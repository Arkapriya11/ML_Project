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15" activeTab="32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M44" i="39" l="1"/>
  <c r="N44" i="39"/>
  <c r="L44" i="39"/>
  <c r="K44" i="39"/>
  <c r="J44" i="39"/>
  <c r="M110" i="32"/>
  <c r="N110" i="32"/>
  <c r="L110" i="32"/>
  <c r="K110" i="32"/>
  <c r="J110" i="32"/>
  <c r="I110" i="32"/>
  <c r="K110" i="31"/>
  <c r="L110" i="31"/>
  <c r="M110" i="31"/>
  <c r="N110" i="31"/>
  <c r="J110" i="31"/>
  <c r="G110" i="31"/>
  <c r="H110" i="31"/>
  <c r="I110" i="31"/>
  <c r="K110" i="30"/>
  <c r="L110" i="30"/>
  <c r="M110" i="30"/>
  <c r="N110" i="30"/>
  <c r="J110" i="30"/>
  <c r="I110" i="30"/>
  <c r="H110" i="29"/>
  <c r="K110" i="29"/>
  <c r="L110" i="29"/>
  <c r="M110" i="29"/>
  <c r="N110" i="29"/>
  <c r="J110" i="29"/>
  <c r="I110" i="44"/>
  <c r="H110" i="44"/>
  <c r="Q110" i="44" l="1"/>
  <c r="Q112" i="44" s="1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2" i="44"/>
  <c r="H112" i="44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B108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H110" i="28"/>
  <c r="K110" i="28"/>
  <c r="J110" i="28"/>
  <c r="I111" i="27"/>
  <c r="K110" i="27"/>
  <c r="J110" i="27"/>
  <c r="I110" i="27"/>
  <c r="H111" i="26"/>
  <c r="H110" i="26"/>
  <c r="G110" i="26"/>
  <c r="B110" i="26"/>
  <c r="B111" i="26" s="1"/>
  <c r="M110" i="26"/>
  <c r="Q110" i="25"/>
  <c r="H110" i="25"/>
  <c r="G110" i="25"/>
  <c r="C110" i="25"/>
  <c r="D110" i="25"/>
  <c r="E110" i="25"/>
  <c r="F110" i="25"/>
  <c r="I110" i="25"/>
  <c r="J110" i="25"/>
  <c r="K110" i="25"/>
  <c r="L110" i="25"/>
  <c r="M110" i="25"/>
  <c r="N110" i="25"/>
  <c r="O110" i="25"/>
  <c r="P110" i="25"/>
  <c r="B110" i="25"/>
  <c r="C111" i="44" l="1"/>
  <c r="D111" i="44"/>
  <c r="E111" i="44"/>
  <c r="B111" i="44"/>
  <c r="F111" i="44"/>
  <c r="G111" i="44"/>
  <c r="H111" i="44"/>
  <c r="I111" i="44"/>
  <c r="J111" i="44"/>
  <c r="K111" i="44"/>
  <c r="L111" i="44"/>
  <c r="M111" i="44"/>
  <c r="N111" i="44"/>
  <c r="O111" i="44"/>
  <c r="P111" i="44"/>
  <c r="Q111" i="44"/>
  <c r="H110" i="24"/>
  <c r="G110" i="24"/>
  <c r="G110" i="22"/>
  <c r="H110" i="22"/>
  <c r="H110" i="20"/>
  <c r="G110" i="20"/>
  <c r="Q110" i="19"/>
  <c r="H110" i="19"/>
  <c r="J110" i="18"/>
  <c r="I110" i="18"/>
  <c r="H110" i="18"/>
  <c r="G110" i="18"/>
  <c r="Q110" i="17"/>
  <c r="Q110" i="16"/>
  <c r="Q110" i="15"/>
  <c r="H110" i="13"/>
  <c r="G110" i="13"/>
  <c r="E110" i="13"/>
  <c r="C110" i="13"/>
  <c r="D110" i="13"/>
  <c r="B110" i="13"/>
  <c r="F110" i="12"/>
  <c r="G110" i="12"/>
  <c r="H110" i="12"/>
  <c r="I110" i="12"/>
  <c r="C110" i="11"/>
  <c r="D110" i="11"/>
  <c r="B110" i="11"/>
  <c r="I110" i="11"/>
  <c r="H110" i="11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B110" i="8"/>
  <c r="E110" i="3"/>
  <c r="P110" i="3"/>
  <c r="I110" i="3"/>
  <c r="H110" i="3"/>
  <c r="G110" i="3"/>
  <c r="Q110" i="2"/>
  <c r="J110" i="2"/>
  <c r="K110" i="2"/>
  <c r="L110" i="2"/>
  <c r="M110" i="2"/>
  <c r="N110" i="2"/>
  <c r="O110" i="2"/>
  <c r="P110" i="2"/>
  <c r="I110" i="2"/>
  <c r="G110" i="2"/>
  <c r="H110" i="2"/>
  <c r="F110" i="2"/>
  <c r="E110" i="2"/>
  <c r="C110" i="2"/>
  <c r="D110" i="2"/>
  <c r="B110" i="2"/>
  <c r="C110" i="26" l="1"/>
  <c r="C112" i="26" s="1"/>
  <c r="D110" i="26"/>
  <c r="D112" i="26" s="1"/>
  <c r="B112" i="26"/>
  <c r="E110" i="26"/>
  <c r="E112" i="26" s="1"/>
  <c r="F110" i="26"/>
  <c r="F111" i="26" s="1"/>
  <c r="G112" i="26"/>
  <c r="H112" i="26"/>
  <c r="I110" i="26"/>
  <c r="I112" i="26" s="1"/>
  <c r="J110" i="26"/>
  <c r="J111" i="26" s="1"/>
  <c r="K110" i="26"/>
  <c r="L110" i="26"/>
  <c r="N110" i="26"/>
  <c r="N112" i="26" s="1"/>
  <c r="O110" i="26"/>
  <c r="P110" i="26"/>
  <c r="P112" i="26" s="1"/>
  <c r="Q110" i="26"/>
  <c r="C111" i="25"/>
  <c r="D112" i="25"/>
  <c r="E112" i="25"/>
  <c r="G112" i="25"/>
  <c r="H111" i="25"/>
  <c r="J112" i="25"/>
  <c r="K111" i="25"/>
  <c r="L112" i="25"/>
  <c r="M111" i="25"/>
  <c r="N111" i="25"/>
  <c r="O111" i="25"/>
  <c r="P111" i="25"/>
  <c r="Q111" i="25"/>
  <c r="B112" i="25"/>
  <c r="Q110" i="14"/>
  <c r="Q112" i="14" s="1"/>
  <c r="I110" i="14"/>
  <c r="I111" i="14" s="1"/>
  <c r="I110" i="13"/>
  <c r="I111" i="13" s="1"/>
  <c r="I110" i="41"/>
  <c r="I112" i="41" s="1"/>
  <c r="J110" i="41"/>
  <c r="J112" i="41" s="1"/>
  <c r="H110" i="41"/>
  <c r="H112" i="41" s="1"/>
  <c r="J110" i="40"/>
  <c r="J111" i="40" s="1"/>
  <c r="H110" i="40"/>
  <c r="H111" i="40" s="1"/>
  <c r="I110" i="40"/>
  <c r="I111" i="40" s="1"/>
  <c r="G110" i="33"/>
  <c r="G112" i="33" s="1"/>
  <c r="H110" i="33"/>
  <c r="H111" i="33" s="1"/>
  <c r="I110" i="33"/>
  <c r="I111" i="33" s="1"/>
  <c r="J110" i="33"/>
  <c r="J112" i="33" s="1"/>
  <c r="J111" i="32"/>
  <c r="I112" i="32"/>
  <c r="H110" i="32"/>
  <c r="H111" i="32" s="1"/>
  <c r="Q110" i="31"/>
  <c r="H112" i="31"/>
  <c r="I111" i="31"/>
  <c r="J111" i="31"/>
  <c r="G112" i="31"/>
  <c r="J111" i="30"/>
  <c r="I112" i="30"/>
  <c r="H110" i="30"/>
  <c r="H112" i="30" s="1"/>
  <c r="J112" i="29"/>
  <c r="I110" i="29"/>
  <c r="I112" i="29" s="1"/>
  <c r="H112" i="29"/>
  <c r="J111" i="28"/>
  <c r="I110" i="28"/>
  <c r="I112" i="28" s="1"/>
  <c r="H111" i="28"/>
  <c r="I112" i="27"/>
  <c r="C110" i="27"/>
  <c r="C111" i="27" s="1"/>
  <c r="D110" i="27"/>
  <c r="D111" i="27" s="1"/>
  <c r="E110" i="27"/>
  <c r="F110" i="27"/>
  <c r="F112" i="27" s="1"/>
  <c r="G110" i="27"/>
  <c r="G112" i="27" s="1"/>
  <c r="H110" i="27"/>
  <c r="H111" i="27" s="1"/>
  <c r="L110" i="27"/>
  <c r="L112" i="27" s="1"/>
  <c r="M110" i="27"/>
  <c r="N110" i="27"/>
  <c r="O110" i="27"/>
  <c r="P110" i="27"/>
  <c r="Q110" i="27"/>
  <c r="Q111" i="26"/>
  <c r="I111" i="25"/>
  <c r="F112" i="25"/>
  <c r="J110" i="24"/>
  <c r="J111" i="24" s="1"/>
  <c r="I110" i="24"/>
  <c r="I112" i="24" s="1"/>
  <c r="H112" i="24"/>
  <c r="J110" i="23"/>
  <c r="J112" i="23" s="1"/>
  <c r="I110" i="23"/>
  <c r="I112" i="23" s="1"/>
  <c r="H110" i="23"/>
  <c r="J110" i="22"/>
  <c r="J112" i="22" s="1"/>
  <c r="I110" i="22"/>
  <c r="I112" i="22" s="1"/>
  <c r="H112" i="22"/>
  <c r="G111" i="22"/>
  <c r="J110" i="21"/>
  <c r="J111" i="21" s="1"/>
  <c r="I110" i="21"/>
  <c r="I111" i="21" s="1"/>
  <c r="H110" i="21"/>
  <c r="H111" i="21" s="1"/>
  <c r="H112" i="20"/>
  <c r="I110" i="20"/>
  <c r="I111" i="20" s="1"/>
  <c r="J110" i="20"/>
  <c r="J112" i="20" s="1"/>
  <c r="Q112" i="19"/>
  <c r="J110" i="19"/>
  <c r="J111" i="19" s="1"/>
  <c r="I110" i="19"/>
  <c r="I112" i="19" s="1"/>
  <c r="H112" i="19"/>
  <c r="Q112" i="17"/>
  <c r="J110" i="17"/>
  <c r="J112" i="17" s="1"/>
  <c r="I110" i="17"/>
  <c r="I111" i="17" s="1"/>
  <c r="H110" i="17"/>
  <c r="H112" i="17" s="1"/>
  <c r="H110" i="16"/>
  <c r="H111" i="16" s="1"/>
  <c r="I110" i="16"/>
  <c r="I111" i="16" s="1"/>
  <c r="J110" i="16"/>
  <c r="J111" i="16" s="1"/>
  <c r="H110" i="15"/>
  <c r="H111" i="15" s="1"/>
  <c r="I110" i="15"/>
  <c r="I111" i="15" s="1"/>
  <c r="J110" i="15"/>
  <c r="J112" i="15" s="1"/>
  <c r="Q111" i="15"/>
  <c r="J110" i="14"/>
  <c r="J111" i="14" s="1"/>
  <c r="H110" i="14"/>
  <c r="H112" i="14" s="1"/>
  <c r="D112" i="11"/>
  <c r="C112" i="11"/>
  <c r="B111" i="11"/>
  <c r="J110" i="13"/>
  <c r="J112" i="13" s="1"/>
  <c r="H112" i="13"/>
  <c r="F111" i="12"/>
  <c r="J110" i="12"/>
  <c r="J112" i="12" s="1"/>
  <c r="H111" i="12"/>
  <c r="I112" i="12"/>
  <c r="J110" i="11"/>
  <c r="J111" i="11"/>
  <c r="I111" i="11"/>
  <c r="H111" i="11"/>
  <c r="G110" i="11"/>
  <c r="G112" i="11" s="1"/>
  <c r="J110" i="10"/>
  <c r="J112" i="10" s="1"/>
  <c r="I110" i="10"/>
  <c r="I111" i="10" s="1"/>
  <c r="H110" i="10"/>
  <c r="H112" i="10" s="1"/>
  <c r="J110" i="9"/>
  <c r="J111" i="9" s="1"/>
  <c r="I110" i="9"/>
  <c r="I111" i="9" s="1"/>
  <c r="H110" i="9"/>
  <c r="H111" i="9" s="1"/>
  <c r="Q111" i="8"/>
  <c r="J112" i="8"/>
  <c r="I111" i="8"/>
  <c r="H111" i="8"/>
  <c r="P112" i="8"/>
  <c r="O111" i="8"/>
  <c r="L112" i="8"/>
  <c r="K111" i="8"/>
  <c r="G111" i="8"/>
  <c r="F112" i="8"/>
  <c r="E112" i="8"/>
  <c r="B112" i="8"/>
  <c r="I112" i="3"/>
  <c r="I111" i="2"/>
  <c r="B2" i="23"/>
  <c r="C111" i="2"/>
  <c r="E111" i="2"/>
  <c r="F111" i="2"/>
  <c r="G112" i="2"/>
  <c r="J111" i="2"/>
  <c r="K111" i="2"/>
  <c r="L112" i="2"/>
  <c r="M112" i="2"/>
  <c r="N112" i="2"/>
  <c r="O111" i="2"/>
  <c r="P112" i="2"/>
  <c r="Q111" i="2"/>
  <c r="C110" i="3"/>
  <c r="C111" i="3" s="1"/>
  <c r="D110" i="3"/>
  <c r="D111" i="3" s="1"/>
  <c r="E111" i="3"/>
  <c r="F110" i="3"/>
  <c r="F111" i="3" s="1"/>
  <c r="G112" i="3"/>
  <c r="H112" i="3"/>
  <c r="J110" i="3"/>
  <c r="J112" i="3" s="1"/>
  <c r="J111" i="3"/>
  <c r="K110" i="3"/>
  <c r="K112" i="3" s="1"/>
  <c r="L110" i="3"/>
  <c r="L111" i="3" s="1"/>
  <c r="M110" i="3"/>
  <c r="M112" i="3" s="1"/>
  <c r="N110" i="3"/>
  <c r="N111" i="3" s="1"/>
  <c r="O110" i="3"/>
  <c r="Q110" i="3"/>
  <c r="Q110" i="41"/>
  <c r="Q111" i="41" s="1"/>
  <c r="P110" i="41"/>
  <c r="P112" i="41" s="1"/>
  <c r="O110" i="41"/>
  <c r="O112" i="41" s="1"/>
  <c r="N110" i="41"/>
  <c r="N111" i="41" s="1"/>
  <c r="M110" i="41"/>
  <c r="M112" i="41" s="1"/>
  <c r="L110" i="41"/>
  <c r="L111" i="41" s="1"/>
  <c r="K110" i="41"/>
  <c r="K112" i="41" s="1"/>
  <c r="G110" i="41"/>
  <c r="G112" i="41" s="1"/>
  <c r="F110" i="41"/>
  <c r="F112" i="41" s="1"/>
  <c r="E110" i="41"/>
  <c r="E111" i="41" s="1"/>
  <c r="D110" i="41"/>
  <c r="D112" i="41" s="1"/>
  <c r="C110" i="41"/>
  <c r="C112" i="4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/>
  <c r="P108" i="41"/>
  <c r="P38" i="39" s="1"/>
  <c r="O108" i="41"/>
  <c r="N108" i="41"/>
  <c r="N38" i="39" s="1"/>
  <c r="M108" i="41"/>
  <c r="L108" i="41"/>
  <c r="K108" i="41"/>
  <c r="K38" i="39" s="1"/>
  <c r="J108" i="41"/>
  <c r="I108" i="41"/>
  <c r="I38" i="39" s="1"/>
  <c r="H108" i="41"/>
  <c r="G108" i="41"/>
  <c r="F108" i="41"/>
  <c r="E108" i="41"/>
  <c r="D108" i="41"/>
  <c r="C108" i="41"/>
  <c r="B108" i="41"/>
  <c r="B38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 s="1"/>
  <c r="P110" i="40"/>
  <c r="P111" i="40" s="1"/>
  <c r="O110" i="40"/>
  <c r="O112" i="40" s="1"/>
  <c r="N110" i="40"/>
  <c r="N111" i="40" s="1"/>
  <c r="M110" i="40"/>
  <c r="M112" i="40" s="1"/>
  <c r="L110" i="40"/>
  <c r="L112" i="40" s="1"/>
  <c r="K110" i="40"/>
  <c r="K112" i="40" s="1"/>
  <c r="G110" i="40"/>
  <c r="G112" i="40"/>
  <c r="F110" i="40"/>
  <c r="F112" i="40" s="1"/>
  <c r="E110" i="40"/>
  <c r="E112" i="40" s="1"/>
  <c r="D110" i="40"/>
  <c r="D112" i="40" s="1"/>
  <c r="C110" i="40"/>
  <c r="C111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/>
  <c r="P108" i="40"/>
  <c r="P37" i="39" s="1"/>
  <c r="O108" i="40"/>
  <c r="N108" i="40"/>
  <c r="M108" i="40"/>
  <c r="L108" i="40"/>
  <c r="K108" i="40"/>
  <c r="K37" i="39" s="1"/>
  <c r="J108" i="40"/>
  <c r="J37" i="39" s="1"/>
  <c r="I108" i="40"/>
  <c r="H108" i="40"/>
  <c r="H37" i="39" s="1"/>
  <c r="G108" i="40"/>
  <c r="G37" i="39" s="1"/>
  <c r="F108" i="40"/>
  <c r="F37" i="39" s="1"/>
  <c r="E108" i="40"/>
  <c r="E37" i="39" s="1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1" i="33" s="1"/>
  <c r="M110" i="33"/>
  <c r="M112" i="33" s="1"/>
  <c r="L110" i="33"/>
  <c r="L112" i="33" s="1"/>
  <c r="K110" i="33"/>
  <c r="K111" i="33" s="1"/>
  <c r="F110" i="33"/>
  <c r="F112" i="33" s="1"/>
  <c r="E110" i="33"/>
  <c r="E112" i="33" s="1"/>
  <c r="D110" i="33"/>
  <c r="D112" i="33" s="1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 s="1"/>
  <c r="N108" i="33"/>
  <c r="M108" i="33"/>
  <c r="M36" i="39" s="1"/>
  <c r="L108" i="33"/>
  <c r="L36" i="39" s="1"/>
  <c r="K108" i="33"/>
  <c r="J108" i="33"/>
  <c r="I108" i="33"/>
  <c r="I36" i="39" s="1"/>
  <c r="H108" i="33"/>
  <c r="G108" i="33"/>
  <c r="G36" i="39" s="1"/>
  <c r="F108" i="33"/>
  <c r="F36" i="39"/>
  <c r="E108" i="33"/>
  <c r="D108" i="33"/>
  <c r="C108" i="33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 s="1"/>
  <c r="O110" i="32"/>
  <c r="O112" i="32" s="1"/>
  <c r="N111" i="32"/>
  <c r="M112" i="32"/>
  <c r="L111" i="32"/>
  <c r="K112" i="32"/>
  <c r="G110" i="32"/>
  <c r="G111" i="32" s="1"/>
  <c r="F110" i="32"/>
  <c r="F112" i="32"/>
  <c r="E110" i="32"/>
  <c r="E111" i="32" s="1"/>
  <c r="D110" i="32"/>
  <c r="D112" i="32" s="1"/>
  <c r="C110" i="32"/>
  <c r="C111" i="32"/>
  <c r="B110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 s="1"/>
  <c r="N108" i="32"/>
  <c r="N35" i="39" s="1"/>
  <c r="M108" i="32"/>
  <c r="M35" i="39" s="1"/>
  <c r="L108" i="32"/>
  <c r="K108" i="32"/>
  <c r="J108" i="32"/>
  <c r="J35" i="39" s="1"/>
  <c r="I108" i="32"/>
  <c r="I35" i="39" s="1"/>
  <c r="H108" i="32"/>
  <c r="G108" i="32"/>
  <c r="F108" i="32"/>
  <c r="F35" i="39" s="1"/>
  <c r="E108" i="32"/>
  <c r="E35" i="39" s="1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2" i="31"/>
  <c r="M111" i="31"/>
  <c r="L112" i="31"/>
  <c r="K111" i="3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M108" i="31"/>
  <c r="L108" i="31"/>
  <c r="K108" i="31"/>
  <c r="J108" i="31"/>
  <c r="I108" i="31"/>
  <c r="H108" i="31"/>
  <c r="G108" i="3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1" i="30" s="1"/>
  <c r="O110" i="30"/>
  <c r="O112" i="30" s="1"/>
  <c r="N112" i="30"/>
  <c r="M112" i="30"/>
  <c r="L112" i="30"/>
  <c r="K112" i="30"/>
  <c r="G110" i="30"/>
  <c r="G112" i="30" s="1"/>
  <c r="F110" i="30"/>
  <c r="F112" i="30" s="1"/>
  <c r="E110" i="30"/>
  <c r="E111" i="30"/>
  <c r="D110" i="30"/>
  <c r="D112" i="30" s="1"/>
  <c r="C110" i="30"/>
  <c r="C111" i="30" s="1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/>
  <c r="P108" i="30"/>
  <c r="P33" i="39"/>
  <c r="O108" i="30"/>
  <c r="O33" i="39"/>
  <c r="N108" i="30"/>
  <c r="M108" i="30"/>
  <c r="L108" i="30"/>
  <c r="K108" i="30"/>
  <c r="J108" i="30"/>
  <c r="I108" i="30"/>
  <c r="H108" i="30"/>
  <c r="G108" i="30"/>
  <c r="F108" i="30"/>
  <c r="E108" i="30"/>
  <c r="E33" i="39"/>
  <c r="D108" i="30"/>
  <c r="D33" i="39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2" i="29"/>
  <c r="M112" i="29"/>
  <c r="L111" i="29"/>
  <c r="K112" i="29"/>
  <c r="G110" i="29"/>
  <c r="G111" i="29" s="1"/>
  <c r="F110" i="29"/>
  <c r="F111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L108" i="29"/>
  <c r="K108" i="29"/>
  <c r="J108" i="29"/>
  <c r="I108" i="29"/>
  <c r="I32" i="39" s="1"/>
  <c r="H108" i="29"/>
  <c r="G108" i="29"/>
  <c r="F108" i="29"/>
  <c r="E108" i="29"/>
  <c r="D108" i="29"/>
  <c r="D32" i="39" s="1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P110" i="28"/>
  <c r="P111" i="28" s="1"/>
  <c r="O110" i="28"/>
  <c r="O112" i="28" s="1"/>
  <c r="N110" i="28"/>
  <c r="N112" i="28" s="1"/>
  <c r="M110" i="28"/>
  <c r="M112" i="28" s="1"/>
  <c r="L110" i="28"/>
  <c r="L112" i="28" s="1"/>
  <c r="K111" i="28"/>
  <c r="G110" i="28"/>
  <c r="G112" i="28" s="1"/>
  <c r="F110" i="28"/>
  <c r="F111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P31" i="39" s="1"/>
  <c r="O108" i="28"/>
  <c r="O31" i="39"/>
  <c r="N108" i="28"/>
  <c r="M108" i="28"/>
  <c r="L108" i="28"/>
  <c r="L31" i="39" s="1"/>
  <c r="K108" i="28"/>
  <c r="J108" i="28"/>
  <c r="I108" i="28"/>
  <c r="H108" i="28"/>
  <c r="H31" i="39" s="1"/>
  <c r="G108" i="28"/>
  <c r="F108" i="28"/>
  <c r="E108" i="28"/>
  <c r="E31" i="39" s="1"/>
  <c r="D108" i="28"/>
  <c r="D31" i="39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O112" i="27"/>
  <c r="N112" i="27"/>
  <c r="M112" i="27"/>
  <c r="K112" i="27"/>
  <c r="J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/>
  <c r="N108" i="27"/>
  <c r="N30" i="39" s="1"/>
  <c r="M108" i="27"/>
  <c r="L108" i="27"/>
  <c r="K108" i="27"/>
  <c r="K30" i="39" s="1"/>
  <c r="J108" i="27"/>
  <c r="J30" i="39" s="1"/>
  <c r="I108" i="27"/>
  <c r="H108" i="27"/>
  <c r="H30" i="39" s="1"/>
  <c r="G108" i="27"/>
  <c r="G30" i="39" s="1"/>
  <c r="F108" i="27"/>
  <c r="E108" i="27"/>
  <c r="E30" i="39"/>
  <c r="D108" i="27"/>
  <c r="D30" i="39" s="1"/>
  <c r="C108" i="27"/>
  <c r="C30" i="39" s="1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M111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 s="1"/>
  <c r="O108" i="26"/>
  <c r="O29" i="39" s="1"/>
  <c r="N108" i="26"/>
  <c r="M108" i="26"/>
  <c r="L108" i="26"/>
  <c r="L29" i="39" s="1"/>
  <c r="K108" i="26"/>
  <c r="J108" i="26"/>
  <c r="J29" i="39" s="1"/>
  <c r="I108" i="26"/>
  <c r="H108" i="26"/>
  <c r="H29" i="39" s="1"/>
  <c r="G108" i="26"/>
  <c r="G29" i="39" s="1"/>
  <c r="F108" i="26"/>
  <c r="E108" i="26"/>
  <c r="D108" i="26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M28" i="39" s="1"/>
  <c r="L108" i="25"/>
  <c r="K108" i="25"/>
  <c r="J108" i="25"/>
  <c r="J28" i="39" s="1"/>
  <c r="I108" i="25"/>
  <c r="I28" i="39" s="1"/>
  <c r="H108" i="25"/>
  <c r="G108" i="25"/>
  <c r="F108" i="25"/>
  <c r="F28" i="39" s="1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1" i="24" s="1"/>
  <c r="M110" i="24"/>
  <c r="M112" i="24" s="1"/>
  <c r="L110" i="24"/>
  <c r="L112" i="24" s="1"/>
  <c r="K110" i="24"/>
  <c r="K111" i="24" s="1"/>
  <c r="G112" i="24"/>
  <c r="F110" i="24"/>
  <c r="F112" i="24"/>
  <c r="E110" i="24"/>
  <c r="E112" i="24"/>
  <c r="D110" i="24"/>
  <c r="D112" i="24"/>
  <c r="C110" i="24"/>
  <c r="C111" i="24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/>
  <c r="P108" i="24"/>
  <c r="P27" i="39" s="1"/>
  <c r="O108" i="24"/>
  <c r="N108" i="24"/>
  <c r="N27" i="39"/>
  <c r="M108" i="24"/>
  <c r="L108" i="24"/>
  <c r="K108" i="24"/>
  <c r="K27" i="39" s="1"/>
  <c r="J108" i="24"/>
  <c r="I108" i="24"/>
  <c r="H108" i="24"/>
  <c r="H27" i="39" s="1"/>
  <c r="G108" i="24"/>
  <c r="F108" i="24"/>
  <c r="E108" i="24"/>
  <c r="E27" i="39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1" i="23" s="1"/>
  <c r="M110" i="23"/>
  <c r="M112" i="23" s="1"/>
  <c r="L110" i="23"/>
  <c r="L112" i="23" s="1"/>
  <c r="K110" i="23"/>
  <c r="K112" i="23" s="1"/>
  <c r="H112" i="23"/>
  <c r="G110" i="23"/>
  <c r="G111" i="23" s="1"/>
  <c r="F110" i="23"/>
  <c r="F111" i="23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 s="1"/>
  <c r="M108" i="23"/>
  <c r="M26" i="39" s="1"/>
  <c r="L108" i="23"/>
  <c r="K108" i="23"/>
  <c r="K26" i="39" s="1"/>
  <c r="J108" i="23"/>
  <c r="J26" i="39" s="1"/>
  <c r="I108" i="23"/>
  <c r="H108" i="23"/>
  <c r="H26" i="39" s="1"/>
  <c r="G108" i="23"/>
  <c r="F108" i="23"/>
  <c r="F26" i="39" s="1"/>
  <c r="E108" i="23"/>
  <c r="D108" i="23"/>
  <c r="C108" i="23"/>
  <c r="B108" i="23"/>
  <c r="B26" i="39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 s="1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1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G25" i="39" s="1"/>
  <c r="F108" i="22"/>
  <c r="F25" i="39" s="1"/>
  <c r="E108" i="22"/>
  <c r="D108" i="22"/>
  <c r="C108" i="22"/>
  <c r="C25" i="39" s="1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 s="1"/>
  <c r="O110" i="21"/>
  <c r="O112" i="21" s="1"/>
  <c r="N110" i="21"/>
  <c r="N112" i="21" s="1"/>
  <c r="M110" i="21"/>
  <c r="M111" i="21" s="1"/>
  <c r="L110" i="21"/>
  <c r="L112" i="21" s="1"/>
  <c r="K110" i="21"/>
  <c r="K111" i="21" s="1"/>
  <c r="G110" i="21"/>
  <c r="G112" i="21" s="1"/>
  <c r="F110" i="21"/>
  <c r="F112" i="21" s="1"/>
  <c r="E110" i="21"/>
  <c r="E112" i="21" s="1"/>
  <c r="D110" i="21"/>
  <c r="D111" i="21" s="1"/>
  <c r="C110" i="21"/>
  <c r="C112" i="21" s="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G108" i="2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 s="1"/>
  <c r="N110" i="20"/>
  <c r="N111" i="20" s="1"/>
  <c r="M110" i="20"/>
  <c r="M112" i="20" s="1"/>
  <c r="L110" i="20"/>
  <c r="L112" i="20"/>
  <c r="K110" i="20"/>
  <c r="K112" i="20" s="1"/>
  <c r="G112" i="20"/>
  <c r="F110" i="20"/>
  <c r="F112" i="20" s="1"/>
  <c r="E110" i="20"/>
  <c r="E111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N23" i="39" s="1"/>
  <c r="M108" i="20"/>
  <c r="M23" i="39" s="1"/>
  <c r="L108" i="20"/>
  <c r="K108" i="20"/>
  <c r="J108" i="20"/>
  <c r="J23" i="39"/>
  <c r="I108" i="20"/>
  <c r="I23" i="39"/>
  <c r="H108" i="20"/>
  <c r="G108" i="20"/>
  <c r="F108" i="20"/>
  <c r="F23" i="39" s="1"/>
  <c r="E108" i="20"/>
  <c r="D108" i="20"/>
  <c r="D23" i="39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/>
  <c r="P110" i="19"/>
  <c r="P112" i="19" s="1"/>
  <c r="O110" i="19"/>
  <c r="O112" i="19" s="1"/>
  <c r="N110" i="19"/>
  <c r="N112" i="19" s="1"/>
  <c r="M110" i="19"/>
  <c r="M111" i="19" s="1"/>
  <c r="L110" i="19"/>
  <c r="L112" i="19" s="1"/>
  <c r="K110" i="19"/>
  <c r="K111" i="19" s="1"/>
  <c r="G110" i="19"/>
  <c r="G112" i="19" s="1"/>
  <c r="F110" i="19"/>
  <c r="F112" i="19" s="1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 s="1"/>
  <c r="J108" i="19"/>
  <c r="I108" i="19"/>
  <c r="I22" i="39" s="1"/>
  <c r="H108" i="19"/>
  <c r="G108" i="19"/>
  <c r="H22" i="39" s="1"/>
  <c r="F108" i="19"/>
  <c r="F22" i="39" s="1"/>
  <c r="E108" i="19"/>
  <c r="E22" i="39" s="1"/>
  <c r="D108" i="19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1" i="18" s="1"/>
  <c r="O110" i="18"/>
  <c r="O111" i="18" s="1"/>
  <c r="N110" i="18"/>
  <c r="N112" i="18"/>
  <c r="M110" i="18"/>
  <c r="M111" i="18" s="1"/>
  <c r="L110" i="18"/>
  <c r="L112" i="18" s="1"/>
  <c r="K110" i="18"/>
  <c r="K112" i="18" s="1"/>
  <c r="J111" i="18"/>
  <c r="I112" i="18"/>
  <c r="H111" i="18"/>
  <c r="G112" i="18"/>
  <c r="F110" i="18"/>
  <c r="F112" i="18" s="1"/>
  <c r="E110" i="18"/>
  <c r="E112" i="18"/>
  <c r="D110" i="18"/>
  <c r="D112" i="18" s="1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M21" i="39" s="1"/>
  <c r="L108" i="18"/>
  <c r="L21" i="39" s="1"/>
  <c r="K108" i="18"/>
  <c r="J108" i="18"/>
  <c r="J21" i="39" s="1"/>
  <c r="I108" i="18"/>
  <c r="I21" i="39" s="1"/>
  <c r="H108" i="18"/>
  <c r="H21" i="39" s="1"/>
  <c r="G108" i="18"/>
  <c r="F108" i="18"/>
  <c r="E108" i="18"/>
  <c r="E21" i="39" s="1"/>
  <c r="D108" i="18"/>
  <c r="D21" i="39" s="1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P110" i="17"/>
  <c r="P111" i="17" s="1"/>
  <c r="O110" i="17"/>
  <c r="O112" i="17" s="1"/>
  <c r="N110" i="17"/>
  <c r="N111" i="17" s="1"/>
  <c r="M110" i="17"/>
  <c r="M112" i="17" s="1"/>
  <c r="L110" i="17"/>
  <c r="L111" i="17" s="1"/>
  <c r="K110" i="17"/>
  <c r="K111" i="17" s="1"/>
  <c r="G110" i="17"/>
  <c r="G112" i="17" s="1"/>
  <c r="F110" i="17"/>
  <c r="F111" i="17" s="1"/>
  <c r="E110" i="17"/>
  <c r="E112" i="17" s="1"/>
  <c r="D110" i="17"/>
  <c r="D111" i="17" s="1"/>
  <c r="C110" i="17"/>
  <c r="C111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/>
  <c r="P108" i="17"/>
  <c r="O108" i="17"/>
  <c r="O20" i="39" s="1"/>
  <c r="N108" i="17"/>
  <c r="N20" i="39"/>
  <c r="M108" i="17"/>
  <c r="L108" i="17"/>
  <c r="L20" i="39" s="1"/>
  <c r="K108" i="17"/>
  <c r="K20" i="39" s="1"/>
  <c r="J108" i="17"/>
  <c r="J20" i="39" s="1"/>
  <c r="I108" i="17"/>
  <c r="I20" i="39" s="1"/>
  <c r="H108" i="17"/>
  <c r="H20" i="39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 s="1"/>
  <c r="N110" i="16"/>
  <c r="N112" i="16" s="1"/>
  <c r="M110" i="16"/>
  <c r="M112" i="16" s="1"/>
  <c r="L110" i="16"/>
  <c r="L112" i="16"/>
  <c r="K110" i="16"/>
  <c r="K112" i="16" s="1"/>
  <c r="G110" i="16"/>
  <c r="G111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M108" i="16"/>
  <c r="M19" i="39" s="1"/>
  <c r="L108" i="16"/>
  <c r="K108" i="16"/>
  <c r="J108" i="16"/>
  <c r="J19" i="39"/>
  <c r="I108" i="16"/>
  <c r="I19" i="39" s="1"/>
  <c r="H108" i="16"/>
  <c r="H19" i="39" s="1"/>
  <c r="G108" i="16"/>
  <c r="F108" i="16"/>
  <c r="E108" i="16"/>
  <c r="E19" i="39" s="1"/>
  <c r="D108" i="16"/>
  <c r="D19" i="39" s="1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/>
  <c r="P110" i="15"/>
  <c r="P112" i="15" s="1"/>
  <c r="O110" i="15"/>
  <c r="O112" i="15" s="1"/>
  <c r="N110" i="15"/>
  <c r="N111" i="15" s="1"/>
  <c r="M110" i="15"/>
  <c r="M112" i="15"/>
  <c r="L110" i="15"/>
  <c r="L111" i="15"/>
  <c r="K110" i="15"/>
  <c r="K112" i="15" s="1"/>
  <c r="G110" i="15"/>
  <c r="G111" i="15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/>
  <c r="P108" i="15"/>
  <c r="P18" i="39"/>
  <c r="O108" i="15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G108" i="15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1" i="14" s="1"/>
  <c r="N110" i="14"/>
  <c r="N112" i="14" s="1"/>
  <c r="M110" i="14"/>
  <c r="M112" i="14" s="1"/>
  <c r="L110" i="14"/>
  <c r="L112" i="14" s="1"/>
  <c r="K110" i="14"/>
  <c r="K111" i="14" s="1"/>
  <c r="G110" i="14"/>
  <c r="G112" i="14" s="1"/>
  <c r="F110" i="14"/>
  <c r="F111" i="14" s="1"/>
  <c r="E110" i="14"/>
  <c r="E112" i="14" s="1"/>
  <c r="D110" i="14"/>
  <c r="D112" i="14" s="1"/>
  <c r="C110" i="14"/>
  <c r="C112" i="14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K108" i="14"/>
  <c r="K17" i="39" s="1"/>
  <c r="J108" i="14"/>
  <c r="I108" i="14"/>
  <c r="I17" i="39" s="1"/>
  <c r="H108" i="14"/>
  <c r="G108" i="14"/>
  <c r="G17" i="39" s="1"/>
  <c r="F108" i="14"/>
  <c r="F17" i="39"/>
  <c r="E108" i="14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2" i="13" s="1"/>
  <c r="O110" i="13"/>
  <c r="O111" i="13" s="1"/>
  <c r="N110" i="13"/>
  <c r="N112" i="13" s="1"/>
  <c r="M110" i="13"/>
  <c r="M111" i="13" s="1"/>
  <c r="L110" i="13"/>
  <c r="L112" i="13" s="1"/>
  <c r="K110" i="13"/>
  <c r="K112" i="13" s="1"/>
  <c r="G111" i="13"/>
  <c r="F110" i="13"/>
  <c r="F112" i="13" s="1"/>
  <c r="E111" i="13"/>
  <c r="E112" i="13"/>
  <c r="D111" i="13"/>
  <c r="C112" i="13"/>
  <c r="B111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P16" i="39" s="1"/>
  <c r="O108" i="13"/>
  <c r="O16" i="39" s="1"/>
  <c r="N108" i="13"/>
  <c r="N16" i="39" s="1"/>
  <c r="M108" i="13"/>
  <c r="L108" i="13"/>
  <c r="K108" i="13"/>
  <c r="J108" i="13"/>
  <c r="J16" i="39" s="1"/>
  <c r="I108" i="13"/>
  <c r="H108" i="13"/>
  <c r="H16" i="39" s="1"/>
  <c r="G108" i="13"/>
  <c r="G16" i="39" s="1"/>
  <c r="F108" i="13"/>
  <c r="F16" i="39" s="1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/>
  <c r="Q110" i="12"/>
  <c r="Q112" i="12" s="1"/>
  <c r="P110" i="12"/>
  <c r="P112" i="12" s="1"/>
  <c r="O110" i="12"/>
  <c r="O111" i="12" s="1"/>
  <c r="N110" i="12"/>
  <c r="N112" i="12" s="1"/>
  <c r="M110" i="12"/>
  <c r="M111" i="12" s="1"/>
  <c r="L110" i="12"/>
  <c r="L112" i="12" s="1"/>
  <c r="K110" i="12"/>
  <c r="K111" i="12" s="1"/>
  <c r="G111" i="12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G108" i="12"/>
  <c r="G15" i="39" s="1"/>
  <c r="F108" i="12"/>
  <c r="E108" i="12"/>
  <c r="E15" i="39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F110" i="11"/>
  <c r="F111" i="11" s="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K108" i="11"/>
  <c r="K14" i="39"/>
  <c r="J108" i="11"/>
  <c r="J14" i="39" s="1"/>
  <c r="I108" i="11"/>
  <c r="H108" i="11"/>
  <c r="G108" i="11"/>
  <c r="G14" i="39" s="1"/>
  <c r="F108" i="11"/>
  <c r="F14" i="39" s="1"/>
  <c r="E108" i="11"/>
  <c r="D108" i="1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 s="1"/>
  <c r="G110" i="10"/>
  <c r="G112" i="10" s="1"/>
  <c r="F110" i="10"/>
  <c r="F111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I13" i="39" s="1"/>
  <c r="H108" i="10"/>
  <c r="H13" i="39"/>
  <c r="G108" i="10"/>
  <c r="G13" i="39" s="1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G110" i="9"/>
  <c r="G112" i="9" s="1"/>
  <c r="F110" i="9"/>
  <c r="F111" i="9" s="1"/>
  <c r="E110" i="9"/>
  <c r="E112" i="9" s="1"/>
  <c r="D110" i="9"/>
  <c r="D111" i="9" s="1"/>
  <c r="C110" i="9"/>
  <c r="C112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O12" i="39" s="1"/>
  <c r="N108" i="9"/>
  <c r="N12" i="39" s="1"/>
  <c r="M108" i="9"/>
  <c r="M12" i="39"/>
  <c r="L108" i="9"/>
  <c r="K108" i="9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C108" i="9"/>
  <c r="C12" i="39" s="1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M108" i="8"/>
  <c r="M11" i="39"/>
  <c r="L108" i="8"/>
  <c r="L11" i="39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I27" i="39"/>
  <c r="F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H112" i="2"/>
  <c r="N21" i="39"/>
  <c r="L35" i="39"/>
  <c r="K35" i="39"/>
  <c r="H35" i="39"/>
  <c r="D35" i="39"/>
  <c r="B35" i="39"/>
  <c r="K92" i="6"/>
  <c r="J92" i="6"/>
  <c r="K51" i="6"/>
  <c r="J51" i="6"/>
  <c r="K50" i="6"/>
  <c r="J50" i="6"/>
  <c r="K91" i="6"/>
  <c r="J91" i="6"/>
  <c r="K90" i="6"/>
  <c r="J90" i="6"/>
  <c r="B112" i="2"/>
  <c r="D112" i="2"/>
  <c r="Q112" i="2"/>
  <c r="T40" i="6"/>
  <c r="T21" i="6"/>
  <c r="K88" i="6"/>
  <c r="J88" i="6"/>
  <c r="K115" i="6"/>
  <c r="J115" i="6"/>
  <c r="I115" i="6"/>
  <c r="L12" i="39"/>
  <c r="D12" i="39"/>
  <c r="J9" i="6"/>
  <c r="K9" i="6"/>
  <c r="J10" i="6"/>
  <c r="K10" i="6"/>
  <c r="J11" i="6"/>
  <c r="K11" i="6"/>
  <c r="J12" i="6"/>
  <c r="K12" i="6"/>
  <c r="J13" i="6"/>
  <c r="K13" i="6"/>
  <c r="J14" i="6"/>
  <c r="K14" i="6"/>
  <c r="O38" i="39"/>
  <c r="M38" i="39"/>
  <c r="L38" i="39"/>
  <c r="J38" i="39"/>
  <c r="H38" i="39"/>
  <c r="G38" i="39"/>
  <c r="F38" i="39"/>
  <c r="E38" i="39"/>
  <c r="D38" i="39"/>
  <c r="C38" i="39"/>
  <c r="O37" i="39"/>
  <c r="N37" i="39"/>
  <c r="M37" i="39"/>
  <c r="L37" i="39"/>
  <c r="I37" i="39"/>
  <c r="C37" i="39"/>
  <c r="B37" i="39"/>
  <c r="A37" i="39"/>
  <c r="A26" i="39"/>
  <c r="C26" i="39"/>
  <c r="D26" i="39"/>
  <c r="I26" i="39"/>
  <c r="L26" i="39"/>
  <c r="O25" i="39"/>
  <c r="N25" i="39"/>
  <c r="L25" i="39"/>
  <c r="K25" i="39"/>
  <c r="J25" i="39"/>
  <c r="H25" i="39"/>
  <c r="E25" i="39"/>
  <c r="D25" i="39"/>
  <c r="Q24" i="39"/>
  <c r="G24" i="39"/>
  <c r="A24" i="39"/>
  <c r="Q23" i="39"/>
  <c r="L23" i="39"/>
  <c r="K23" i="39"/>
  <c r="H23" i="39"/>
  <c r="E23" i="39"/>
  <c r="B23" i="39"/>
  <c r="Q22" i="39"/>
  <c r="N22" i="39"/>
  <c r="M22" i="39"/>
  <c r="L22" i="39"/>
  <c r="C22" i="39"/>
  <c r="Q21" i="39"/>
  <c r="P21" i="39"/>
  <c r="K21" i="39"/>
  <c r="G21" i="39"/>
  <c r="F21" i="39"/>
  <c r="C21" i="39"/>
  <c r="B21" i="39"/>
  <c r="M20" i="39"/>
  <c r="E20" i="39"/>
  <c r="A20" i="39"/>
  <c r="L19" i="39"/>
  <c r="K19" i="39"/>
  <c r="G19" i="39"/>
  <c r="B19" i="39"/>
  <c r="L18" i="39"/>
  <c r="I18" i="39"/>
  <c r="H18" i="39"/>
  <c r="G18" i="39"/>
  <c r="E18" i="39"/>
  <c r="D18" i="39"/>
  <c r="P17" i="39"/>
  <c r="M17" i="39"/>
  <c r="L17" i="39"/>
  <c r="A17" i="39"/>
  <c r="Q16" i="39"/>
  <c r="L16" i="39"/>
  <c r="I16" i="39"/>
  <c r="E16" i="39"/>
  <c r="D16" i="39"/>
  <c r="C16" i="39"/>
  <c r="B16" i="39"/>
  <c r="N15" i="39"/>
  <c r="H15" i="39"/>
  <c r="F15" i="39"/>
  <c r="C15" i="39"/>
  <c r="L14" i="39"/>
  <c r="I14" i="39"/>
  <c r="H14" i="39"/>
  <c r="E14" i="39"/>
  <c r="D14" i="39"/>
  <c r="P13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 s="1"/>
  <c r="K108" i="2"/>
  <c r="K9" i="39" s="1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E36" i="39"/>
  <c r="D36" i="39"/>
  <c r="C36" i="39"/>
  <c r="A36" i="39"/>
  <c r="P35" i="39"/>
  <c r="G35" i="39"/>
  <c r="C35" i="39"/>
  <c r="I34" i="39"/>
  <c r="H34" i="39"/>
  <c r="F34" i="39"/>
  <c r="I33" i="39"/>
  <c r="H33" i="39"/>
  <c r="F33" i="39"/>
  <c r="B33" i="39"/>
  <c r="Q32" i="39"/>
  <c r="O32" i="39"/>
  <c r="G32" i="39"/>
  <c r="F32" i="39"/>
  <c r="E32" i="39"/>
  <c r="B32" i="39"/>
  <c r="Q31" i="39"/>
  <c r="M31" i="39"/>
  <c r="I31" i="39"/>
  <c r="F31" i="39"/>
  <c r="M30" i="39"/>
  <c r="L30" i="39"/>
  <c r="I30" i="39"/>
  <c r="F30" i="39"/>
  <c r="Q29" i="39"/>
  <c r="M29" i="39"/>
  <c r="K29" i="39"/>
  <c r="I29" i="39"/>
  <c r="F29" i="39"/>
  <c r="E29" i="39"/>
  <c r="D29" i="39"/>
  <c r="P28" i="39"/>
  <c r="N28" i="39"/>
  <c r="L28" i="39"/>
  <c r="K28" i="39"/>
  <c r="H28" i="39"/>
  <c r="G28" i="39"/>
  <c r="B28" i="39"/>
  <c r="O27" i="39"/>
  <c r="M27" i="39"/>
  <c r="L27" i="39"/>
  <c r="G27" i="39"/>
  <c r="B27" i="39"/>
  <c r="O26" i="39"/>
  <c r="G26" i="39"/>
  <c r="I25" i="39"/>
  <c r="P24" i="39"/>
  <c r="H24" i="39"/>
  <c r="C23" i="39"/>
  <c r="O22" i="39"/>
  <c r="D22" i="39"/>
  <c r="P20" i="39"/>
  <c r="D20" i="39"/>
  <c r="F18" i="39"/>
  <c r="E17" i="39"/>
  <c r="M16" i="39"/>
  <c r="K16" i="39"/>
  <c r="Q12" i="39"/>
  <c r="B12" i="39"/>
  <c r="N11" i="39"/>
  <c r="P10" i="39"/>
  <c r="P36" i="39"/>
  <c r="E34" i="39"/>
  <c r="E26" i="39"/>
  <c r="P23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G34" i="39"/>
  <c r="H32" i="39"/>
  <c r="N29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J22" i="39"/>
  <c r="N19" i="39"/>
  <c r="F19" i="39"/>
  <c r="O18" i="39"/>
  <c r="J17" i="39"/>
  <c r="H17" i="39"/>
  <c r="B17" i="39"/>
  <c r="K28" i="6"/>
  <c r="J28" i="6"/>
  <c r="J13" i="39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44" i="5" s="1"/>
  <c r="D15" i="5"/>
  <c r="D16" i="5"/>
  <c r="D17" i="5"/>
  <c r="D18" i="5"/>
  <c r="D19" i="5"/>
  <c r="H111" i="2"/>
  <c r="O111" i="41"/>
  <c r="K111" i="41"/>
  <c r="G111" i="41"/>
  <c r="F111" i="41"/>
  <c r="D111" i="41"/>
  <c r="C111" i="41"/>
  <c r="B111" i="41"/>
  <c r="Q111" i="40"/>
  <c r="O111" i="40"/>
  <c r="M111" i="40"/>
  <c r="K111" i="40"/>
  <c r="G111" i="40"/>
  <c r="F111" i="40"/>
  <c r="B111" i="40"/>
  <c r="P111" i="33"/>
  <c r="M111" i="33"/>
  <c r="L111" i="33"/>
  <c r="F111" i="33"/>
  <c r="D111" i="33"/>
  <c r="C111" i="33"/>
  <c r="Q111" i="32"/>
  <c r="O111" i="32"/>
  <c r="M111" i="32"/>
  <c r="K111" i="32"/>
  <c r="F111" i="32"/>
  <c r="D111" i="32"/>
  <c r="L111" i="31"/>
  <c r="F111" i="31"/>
  <c r="E111" i="31"/>
  <c r="D111" i="31"/>
  <c r="C111" i="31"/>
  <c r="B111" i="31"/>
  <c r="O111" i="30"/>
  <c r="N111" i="30"/>
  <c r="M111" i="30"/>
  <c r="L111" i="30"/>
  <c r="D111" i="30"/>
  <c r="B111" i="30"/>
  <c r="P111" i="29"/>
  <c r="M111" i="29"/>
  <c r="D111" i="29"/>
  <c r="C111" i="29"/>
  <c r="B111" i="29"/>
  <c r="O111" i="28"/>
  <c r="N111" i="28"/>
  <c r="G111" i="28"/>
  <c r="E111" i="28"/>
  <c r="D111" i="28"/>
  <c r="C111" i="28"/>
  <c r="P111" i="27"/>
  <c r="N111" i="27"/>
  <c r="M111" i="27"/>
  <c r="E111" i="27"/>
  <c r="B111" i="27"/>
  <c r="L111" i="26"/>
  <c r="K111" i="26"/>
  <c r="P111" i="24"/>
  <c r="O111" i="24"/>
  <c r="M111" i="24"/>
  <c r="Q111" i="24"/>
  <c r="F111" i="24"/>
  <c r="E111" i="24"/>
  <c r="D111" i="24"/>
  <c r="B111" i="24"/>
  <c r="P111" i="23"/>
  <c r="M111" i="23"/>
  <c r="K111" i="23"/>
  <c r="H111" i="23"/>
  <c r="E111" i="23"/>
  <c r="D111" i="23"/>
  <c r="C111" i="23"/>
  <c r="B111" i="23"/>
  <c r="P111" i="22"/>
  <c r="M111" i="22"/>
  <c r="K111" i="22"/>
  <c r="E111" i="22"/>
  <c r="D111" i="22"/>
  <c r="C111" i="22"/>
  <c r="Q111" i="21"/>
  <c r="N111" i="21"/>
  <c r="L111" i="21"/>
  <c r="G111" i="21"/>
  <c r="E111" i="21"/>
  <c r="C111" i="21"/>
  <c r="O111" i="20"/>
  <c r="Q112" i="20"/>
  <c r="M111" i="20"/>
  <c r="L111" i="20"/>
  <c r="G111" i="20"/>
  <c r="F111" i="20"/>
  <c r="D111" i="20"/>
  <c r="B111" i="20"/>
  <c r="P111" i="19"/>
  <c r="N111" i="19"/>
  <c r="L111" i="19"/>
  <c r="H111" i="19"/>
  <c r="G111" i="19"/>
  <c r="F111" i="19"/>
  <c r="B111" i="19"/>
  <c r="N111" i="18"/>
  <c r="L111" i="18"/>
  <c r="I111" i="18"/>
  <c r="F111" i="18"/>
  <c r="E111" i="18"/>
  <c r="D111" i="18"/>
  <c r="O111" i="17"/>
  <c r="B111" i="17"/>
  <c r="O111" i="16"/>
  <c r="N111" i="16"/>
  <c r="L111" i="16"/>
  <c r="F111" i="16"/>
  <c r="E111" i="16"/>
  <c r="D111" i="16"/>
  <c r="P111" i="15"/>
  <c r="O111" i="15"/>
  <c r="M111" i="15"/>
  <c r="K111" i="15"/>
  <c r="J111" i="15"/>
  <c r="E111" i="15"/>
  <c r="D111" i="15"/>
  <c r="B111" i="15"/>
  <c r="N111" i="14"/>
  <c r="M111" i="14"/>
  <c r="L111" i="14"/>
  <c r="G111" i="14"/>
  <c r="E111" i="14"/>
  <c r="C111" i="14"/>
  <c r="Q111" i="13"/>
  <c r="N111" i="13"/>
  <c r="L111" i="13"/>
  <c r="K111" i="13"/>
  <c r="F111" i="13"/>
  <c r="C111" i="13"/>
  <c r="Q111" i="12"/>
  <c r="N111" i="12"/>
  <c r="L111" i="12"/>
  <c r="E111" i="12"/>
  <c r="C111" i="12"/>
  <c r="B111" i="12"/>
  <c r="O111" i="11"/>
  <c r="N111" i="11"/>
  <c r="M111" i="11"/>
  <c r="L111" i="11"/>
  <c r="K111" i="11"/>
  <c r="E111" i="11"/>
  <c r="P111" i="10"/>
  <c r="N111" i="10"/>
  <c r="K111" i="10"/>
  <c r="G111" i="10"/>
  <c r="C111" i="10"/>
  <c r="B111" i="10"/>
  <c r="P111" i="9"/>
  <c r="N111" i="9"/>
  <c r="M111" i="9"/>
  <c r="K111" i="9"/>
  <c r="E111" i="9"/>
  <c r="C111" i="9"/>
  <c r="M111" i="8"/>
  <c r="E111" i="8"/>
  <c r="D111" i="8"/>
  <c r="C111" i="8"/>
  <c r="Q111" i="3"/>
  <c r="P111" i="3"/>
  <c r="O111" i="3"/>
  <c r="H111" i="3"/>
  <c r="G111" i="3"/>
  <c r="C112" i="30"/>
  <c r="C112" i="17"/>
  <c r="D112" i="3"/>
  <c r="M111" i="2"/>
  <c r="K112" i="2"/>
  <c r="G111" i="2"/>
  <c r="D111" i="2"/>
  <c r="L112" i="10"/>
  <c r="M112" i="10"/>
  <c r="E111" i="10"/>
  <c r="L111" i="9"/>
  <c r="E112" i="2"/>
  <c r="C112" i="2"/>
  <c r="N111" i="2"/>
  <c r="B111" i="3"/>
  <c r="N112" i="3"/>
  <c r="I112" i="2"/>
  <c r="L111" i="2"/>
  <c r="I111" i="3"/>
  <c r="F112" i="3"/>
  <c r="M111" i="3"/>
  <c r="E112" i="3"/>
  <c r="J111" i="10"/>
  <c r="I112" i="9"/>
  <c r="H112" i="9"/>
  <c r="P111" i="8"/>
  <c r="L111" i="8"/>
  <c r="B111" i="8"/>
  <c r="I112" i="8"/>
  <c r="H112" i="8"/>
  <c r="G112" i="8"/>
  <c r="N111" i="8"/>
  <c r="J111" i="13"/>
  <c r="I112" i="13"/>
  <c r="F112" i="12"/>
  <c r="H112" i="12"/>
  <c r="O112" i="12"/>
  <c r="J112" i="11"/>
  <c r="Q112" i="11"/>
  <c r="P111" i="11"/>
  <c r="H112" i="11"/>
  <c r="G111" i="11"/>
  <c r="I112" i="11"/>
  <c r="D111" i="11"/>
  <c r="C111" i="11"/>
  <c r="C111" i="16"/>
  <c r="I112" i="16"/>
  <c r="P111" i="16"/>
  <c r="Q112" i="16"/>
  <c r="Q112" i="15"/>
  <c r="B112" i="14"/>
  <c r="J112" i="14"/>
  <c r="Q111" i="17"/>
  <c r="B112" i="18"/>
  <c r="J112" i="18"/>
  <c r="J111" i="17"/>
  <c r="I112" i="17"/>
  <c r="N112" i="17"/>
  <c r="L112" i="17"/>
  <c r="K112" i="17"/>
  <c r="F112" i="17"/>
  <c r="D112" i="17"/>
  <c r="Q111" i="19"/>
  <c r="J112" i="19"/>
  <c r="M112" i="19"/>
  <c r="C112" i="19"/>
  <c r="P112" i="25"/>
  <c r="N112" i="25"/>
  <c r="J111" i="25"/>
  <c r="H112" i="25"/>
  <c r="F111" i="25"/>
  <c r="B111" i="25"/>
  <c r="Q112" i="25"/>
  <c r="D111" i="25"/>
  <c r="K112" i="25"/>
  <c r="I112" i="25"/>
  <c r="I111" i="24"/>
  <c r="J111" i="23"/>
  <c r="Q111" i="23"/>
  <c r="O111" i="23"/>
  <c r="G112" i="23"/>
  <c r="J111" i="22"/>
  <c r="H111" i="22"/>
  <c r="Q112" i="22"/>
  <c r="O112" i="22"/>
  <c r="J112" i="21"/>
  <c r="H112" i="21"/>
  <c r="P112" i="21"/>
  <c r="D112" i="27"/>
  <c r="C112" i="27"/>
  <c r="Q111" i="27"/>
  <c r="Q112" i="26"/>
  <c r="G111" i="26"/>
  <c r="O111" i="27"/>
  <c r="K111" i="27"/>
  <c r="J111" i="27"/>
  <c r="B112" i="32"/>
  <c r="J112" i="32"/>
  <c r="H112" i="32"/>
  <c r="I112" i="31"/>
  <c r="Q112" i="31"/>
  <c r="G111" i="31"/>
  <c r="P111" i="31"/>
  <c r="H111" i="30"/>
  <c r="I111" i="30"/>
  <c r="I111" i="29"/>
  <c r="H111" i="29"/>
  <c r="O111" i="29"/>
  <c r="G112" i="29"/>
  <c r="I111" i="28"/>
  <c r="B111" i="28"/>
  <c r="J112" i="40"/>
  <c r="H112" i="40"/>
  <c r="I112" i="40"/>
  <c r="D111" i="40"/>
  <c r="G111" i="33"/>
  <c r="J111" i="33"/>
  <c r="J111" i="41"/>
  <c r="H111" i="41"/>
  <c r="Q112" i="41"/>
  <c r="P111" i="2"/>
  <c r="B111" i="2"/>
  <c r="L112" i="3"/>
  <c r="C112" i="3"/>
  <c r="K112" i="8"/>
  <c r="Q112" i="8"/>
  <c r="F112" i="9"/>
  <c r="Q112" i="9"/>
  <c r="D112" i="9"/>
  <c r="O111" i="9"/>
  <c r="D111" i="10"/>
  <c r="O112" i="10"/>
  <c r="H111" i="10"/>
  <c r="B112" i="11"/>
  <c r="M112" i="12"/>
  <c r="K112" i="12"/>
  <c r="D112" i="13"/>
  <c r="O112" i="13"/>
  <c r="B112" i="13"/>
  <c r="M112" i="13"/>
  <c r="H111" i="13"/>
  <c r="F112" i="14"/>
  <c r="D111" i="14"/>
  <c r="O112" i="14"/>
  <c r="L112" i="15"/>
  <c r="G112" i="15"/>
  <c r="H112" i="15"/>
  <c r="H112" i="16"/>
  <c r="B111" i="16"/>
  <c r="M111" i="16"/>
  <c r="K111" i="16"/>
  <c r="M112" i="18"/>
  <c r="C112" i="18"/>
  <c r="K111" i="18"/>
  <c r="K112" i="19"/>
  <c r="C111" i="20"/>
  <c r="H111" i="20"/>
  <c r="N112" i="20"/>
  <c r="F111" i="21"/>
  <c r="D112" i="21"/>
  <c r="O111" i="21"/>
  <c r="I112" i="21"/>
  <c r="L112" i="22"/>
  <c r="F112" i="22"/>
  <c r="G112" i="22"/>
  <c r="F112" i="23"/>
  <c r="G111" i="24"/>
  <c r="O112" i="26"/>
  <c r="M112" i="26"/>
  <c r="P112" i="28"/>
  <c r="Q112" i="29"/>
  <c r="K111" i="30"/>
  <c r="M112" i="31"/>
  <c r="H111" i="31"/>
  <c r="K112" i="31"/>
  <c r="J112" i="31"/>
  <c r="E112" i="32"/>
  <c r="P111" i="32"/>
  <c r="C112" i="32"/>
  <c r="N112" i="32"/>
  <c r="K112" i="33"/>
  <c r="L111" i="40"/>
  <c r="C111" i="26"/>
  <c r="D111" i="26"/>
  <c r="J112" i="26"/>
  <c r="I111" i="26"/>
  <c r="E111" i="26"/>
  <c r="C112" i="25"/>
  <c r="Q111" i="14"/>
  <c r="I112" i="14"/>
  <c r="B112" i="9"/>
  <c r="Q112" i="10"/>
  <c r="F112" i="11"/>
  <c r="K112" i="14"/>
  <c r="P112" i="17"/>
  <c r="C112" i="24"/>
  <c r="C112" i="40"/>
  <c r="K111" i="3"/>
  <c r="F112" i="2"/>
  <c r="J112" i="16"/>
  <c r="I111" i="19"/>
  <c r="H112" i="33"/>
  <c r="G112" i="13"/>
  <c r="B112" i="21"/>
  <c r="B112" i="22"/>
  <c r="N112" i="22"/>
  <c r="N112" i="23"/>
  <c r="G111" i="30"/>
  <c r="L112" i="32"/>
  <c r="B112" i="33"/>
  <c r="N112" i="33"/>
  <c r="N112" i="41"/>
  <c r="I112" i="10"/>
  <c r="J111" i="12"/>
  <c r="H111" i="14"/>
  <c r="H111" i="24"/>
  <c r="G111" i="25"/>
  <c r="J112" i="28"/>
  <c r="F112" i="10"/>
  <c r="G112" i="12"/>
  <c r="G112" i="16"/>
  <c r="O112" i="18"/>
  <c r="N112" i="24"/>
  <c r="F111" i="15"/>
  <c r="E111" i="17"/>
  <c r="N112" i="40"/>
  <c r="H112" i="28"/>
  <c r="L111" i="27"/>
  <c r="P111" i="13"/>
  <c r="F112" i="28"/>
  <c r="Q112" i="28"/>
  <c r="E112" i="30"/>
  <c r="P112" i="30"/>
  <c r="G112" i="32"/>
  <c r="L112" i="41"/>
  <c r="O112" i="8"/>
  <c r="J112" i="9"/>
  <c r="I111" i="12"/>
  <c r="I112" i="15"/>
  <c r="I111" i="23"/>
  <c r="E111" i="25"/>
  <c r="M112" i="25"/>
  <c r="F112" i="26"/>
  <c r="J112" i="30"/>
  <c r="K45" i="39" l="1"/>
  <c r="N111" i="29"/>
  <c r="L112" i="29"/>
  <c r="M111" i="41"/>
  <c r="O111" i="33"/>
  <c r="I111" i="32"/>
  <c r="N111" i="31"/>
  <c r="O111" i="31"/>
  <c r="E111" i="29"/>
  <c r="F112" i="29"/>
  <c r="J111" i="29"/>
  <c r="L111" i="28"/>
  <c r="M111" i="28"/>
  <c r="K112" i="28"/>
  <c r="G111" i="27"/>
  <c r="F111" i="27"/>
  <c r="N111" i="26"/>
  <c r="O112" i="25"/>
  <c r="L111" i="24"/>
  <c r="J112" i="24"/>
  <c r="K112" i="21"/>
  <c r="K111" i="20"/>
  <c r="I112" i="20"/>
  <c r="E112" i="19"/>
  <c r="G22" i="39"/>
  <c r="G111" i="18"/>
  <c r="Q111" i="18"/>
  <c r="M111" i="17"/>
  <c r="P111" i="14"/>
  <c r="G111" i="9"/>
  <c r="F111" i="8"/>
  <c r="J111" i="8"/>
  <c r="J112" i="2"/>
  <c r="K43" i="39"/>
  <c r="K40" i="39"/>
  <c r="K42" i="39"/>
  <c r="K41" i="39"/>
  <c r="J41" i="39"/>
  <c r="J42" i="39"/>
  <c r="O112" i="2"/>
  <c r="E44" i="39"/>
  <c r="E43" i="39"/>
  <c r="E40" i="39"/>
  <c r="E42" i="39"/>
  <c r="E41" i="39"/>
  <c r="N43" i="39"/>
  <c r="N42" i="39"/>
  <c r="N40" i="39"/>
  <c r="N41" i="39"/>
  <c r="D42" i="39"/>
  <c r="D44" i="39"/>
  <c r="D41" i="39"/>
  <c r="D40" i="39"/>
  <c r="D43" i="39"/>
  <c r="C41" i="39"/>
  <c r="C43" i="39"/>
  <c r="C44" i="39"/>
  <c r="C40" i="39"/>
  <c r="C42" i="39"/>
  <c r="B41" i="39"/>
  <c r="B40" i="39"/>
  <c r="B44" i="39"/>
  <c r="B42" i="39"/>
  <c r="B43" i="39"/>
  <c r="F43" i="39"/>
  <c r="F41" i="39"/>
  <c r="F40" i="39"/>
  <c r="F42" i="39"/>
  <c r="F44" i="39"/>
  <c r="Q44" i="39"/>
  <c r="Q42" i="39"/>
  <c r="Q40" i="39"/>
  <c r="Q41" i="39"/>
  <c r="Q43" i="39"/>
  <c r="M42" i="39"/>
  <c r="M43" i="39"/>
  <c r="M40" i="39"/>
  <c r="M41" i="39"/>
  <c r="L41" i="39"/>
  <c r="L42" i="39"/>
  <c r="L43" i="39"/>
  <c r="L40" i="39"/>
  <c r="O41" i="39"/>
  <c r="O40" i="39"/>
  <c r="O43" i="39"/>
  <c r="O44" i="39"/>
  <c r="O42" i="39"/>
  <c r="I42" i="39"/>
  <c r="I43" i="39"/>
  <c r="I40" i="39"/>
  <c r="I41" i="39"/>
  <c r="I44" i="39"/>
  <c r="H44" i="39"/>
  <c r="H41" i="39"/>
  <c r="H43" i="39"/>
  <c r="H42" i="39"/>
  <c r="H40" i="39"/>
  <c r="G40" i="39"/>
  <c r="G42" i="39"/>
  <c r="G44" i="39"/>
  <c r="G41" i="39"/>
  <c r="G43" i="39"/>
  <c r="P43" i="39"/>
  <c r="P42" i="39"/>
  <c r="P44" i="39"/>
  <c r="P41" i="39"/>
  <c r="P40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3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0" i="39"/>
  <c r="K46" i="39" l="1"/>
  <c r="D46" i="39"/>
  <c r="D45" i="39"/>
  <c r="L46" i="39"/>
  <c r="L45" i="39"/>
  <c r="H45" i="39"/>
  <c r="H46" i="39"/>
  <c r="I46" i="39"/>
  <c r="I45" i="39"/>
  <c r="B46" i="39"/>
  <c r="B45" i="39"/>
  <c r="N45" i="39"/>
  <c r="N46" i="39"/>
  <c r="F46" i="39"/>
  <c r="F45" i="39"/>
  <c r="J45" i="39"/>
  <c r="J46" i="39"/>
  <c r="P46" i="39"/>
  <c r="P45" i="39"/>
  <c r="O46" i="39"/>
  <c r="O45" i="39"/>
  <c r="C45" i="39"/>
  <c r="C46" i="39"/>
  <c r="M45" i="39"/>
  <c r="M46" i="39"/>
  <c r="G46" i="39"/>
  <c r="G45" i="39"/>
  <c r="Q46" i="39"/>
  <c r="Q45" i="39"/>
  <c r="E45" i="39"/>
  <c r="E46" i="39"/>
</calcChain>
</file>

<file path=xl/sharedStrings.xml><?xml version="1.0" encoding="utf-8"?>
<sst xmlns="http://schemas.openxmlformats.org/spreadsheetml/2006/main" count="8341" uniqueCount="3225">
  <si>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</si>
  <si>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</si>
  <si>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</si>
  <si>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</si>
  <si>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</si>
  <si>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</si>
  <si>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</si>
  <si>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</si>
  <si>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</si>
  <si>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</si>
  <si>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</si>
  <si>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</si>
  <si>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</si>
  <si>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</si>
  <si>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</si>
  <si>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</si>
  <si>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</si>
  <si>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</si>
  <si>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</si>
  <si>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</si>
  <si>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</si>
  <si>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</si>
  <si>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</si>
  <si>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</si>
  <si>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</si>
  <si>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</si>
  <si>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</si>
  <si>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</si>
  <si>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</si>
  <si>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</si>
  <si>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</si>
  <si>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</si>
  <si>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</si>
  <si>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</si>
  <si>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</si>
  <si>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</si>
  <si>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</si>
  <si>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</si>
  <si>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</si>
  <si>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</si>
  <si>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</si>
  <si>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</si>
  <si>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</si>
  <si>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</si>
  <si>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</si>
  <si>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</si>
  <si>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</si>
  <si>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</si>
  <si>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</si>
  <si>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</si>
  <si>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</si>
  <si>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</si>
  <si>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</si>
  <si>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</si>
  <si>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</si>
  <si>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</si>
  <si>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</si>
  <si>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</si>
  <si>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</si>
  <si>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</si>
  <si>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</si>
  <si>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</si>
  <si>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</si>
  <si>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</si>
  <si>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</si>
  <si>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</si>
  <si>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</si>
  <si>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</si>
  <si>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</si>
  <si>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</si>
  <si>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</si>
  <si>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</si>
  <si>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</si>
  <si>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</si>
  <si>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</si>
  <si>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</si>
  <si>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</si>
  <si>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</si>
  <si>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</si>
  <si>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</si>
  <si>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</si>
  <si>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</si>
  <si>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</si>
  <si>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</si>
  <si>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</si>
  <si>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</si>
  <si>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</si>
  <si>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</si>
  <si>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</si>
  <si>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</si>
  <si>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</si>
  <si>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</si>
  <si>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</si>
  <si>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</si>
  <si>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</si>
  <si>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</si>
  <si>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</si>
  <si>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</si>
  <si>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</si>
  <si>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</si>
  <si>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</si>
  <si>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</si>
  <si>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</si>
  <si>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</si>
  <si>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</si>
  <si>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</si>
  <si>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</si>
  <si>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</si>
  <si>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</si>
  <si>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</si>
  <si>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</si>
  <si>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</si>
  <si>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</si>
  <si>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</si>
  <si>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</si>
  <si>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</si>
  <si>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</si>
  <si>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</si>
  <si>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</si>
  <si>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</si>
  <si>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</si>
  <si>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</si>
  <si>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</si>
  <si>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</si>
  <si>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</si>
  <si>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</si>
  <si>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</si>
  <si>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</si>
  <si>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</si>
  <si>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</si>
  <si>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</si>
  <si>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</si>
  <si>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</si>
  <si>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</si>
  <si>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</si>
  <si>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</si>
  <si>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</si>
  <si>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</si>
  <si>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</si>
  <si>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</si>
  <si>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</si>
  <si>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</si>
  <si>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</si>
  <si>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</si>
  <si>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</si>
  <si>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</si>
  <si>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</si>
  <si>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</si>
  <si>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</si>
  <si>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</si>
  <si>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</si>
  <si>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</si>
  <si>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</si>
  <si>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</si>
  <si>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</si>
  <si>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</si>
  <si>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</si>
  <si>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</si>
  <si>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</si>
  <si>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</si>
  <si>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</si>
  <si>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</si>
  <si>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</si>
  <si>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</si>
  <si>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</si>
  <si>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</si>
  <si>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</si>
  <si>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</si>
  <si>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</si>
  <si>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</si>
  <si>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</si>
  <si>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</si>
  <si>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</si>
  <si>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</si>
  <si>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</si>
  <si>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</si>
  <si>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</si>
  <si>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</si>
  <si>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</si>
  <si>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</si>
  <si>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</si>
  <si>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</si>
  <si>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</si>
  <si>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</si>
  <si>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</si>
  <si>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</si>
  <si>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</si>
  <si>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</si>
  <si>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</si>
  <si>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</si>
  <si>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</si>
  <si>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</si>
  <si>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</si>
  <si>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</si>
  <si>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</si>
  <si>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</si>
  <si>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</si>
  <si>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</si>
  <si>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</si>
  <si>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</si>
  <si>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</si>
  <si>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</si>
  <si>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</si>
  <si>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</si>
  <si>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</si>
  <si>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</si>
  <si>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</si>
  <si>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</si>
  <si>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</si>
  <si>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</si>
  <si>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</si>
  <si>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</si>
  <si>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</si>
  <si>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</si>
  <si>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</si>
  <si>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</si>
  <si>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</si>
  <si>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</si>
  <si>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</si>
  <si>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</si>
  <si>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</si>
  <si>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</si>
  <si>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</si>
  <si>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</si>
  <si>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ppb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</si>
  <si>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</si>
  <si>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</si>
  <si>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</si>
  <si>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</si>
  <si>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</si>
  <si>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</si>
  <si>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</si>
  <si>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</si>
  <si>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</si>
  <si>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</si>
  <si>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</si>
  <si>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</si>
  <si>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</si>
  <si>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</si>
  <si>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</si>
  <si>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</si>
  <si>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</si>
  <si>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</si>
  <si>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animesh</t>
  </si>
  <si>
    <t>835 ug/cm2</t>
  </si>
  <si>
    <t>847 ug/cm2</t>
  </si>
  <si>
    <t>01/05/2025 00:15</t>
  </si>
  <si>
    <t>01/05/2025 00:30</t>
  </si>
  <si>
    <t>01/05/2025 00:45</t>
  </si>
  <si>
    <t>01/05/2025 01:00</t>
  </si>
  <si>
    <t>01/05/2025 01:15</t>
  </si>
  <si>
    <t>01/05/2025 01:30</t>
  </si>
  <si>
    <t>01/05/2025 01:45</t>
  </si>
  <si>
    <t>01/05/2025 02:00</t>
  </si>
  <si>
    <t>01/05/2025 02:15</t>
  </si>
  <si>
    <t>01/05/2025 02:30</t>
  </si>
  <si>
    <t>01/05/2025 02:45</t>
  </si>
  <si>
    <t>01/05/2025 03:00</t>
  </si>
  <si>
    <t>01/05/2025 03:15</t>
  </si>
  <si>
    <t>01/05/2025 03:30</t>
  </si>
  <si>
    <t>01/05/2025 03:45</t>
  </si>
  <si>
    <t>01/05/2025 04:00</t>
  </si>
  <si>
    <t>01/05/2025 04:15</t>
  </si>
  <si>
    <t>01/05/2025 04:30</t>
  </si>
  <si>
    <t>01/05/2025 04:45</t>
  </si>
  <si>
    <t>01/05/2025 05:00</t>
  </si>
  <si>
    <t>01/05/2025 05:15</t>
  </si>
  <si>
    <t>01/05/2025 05:30</t>
  </si>
  <si>
    <t>01/05/2025 05:45</t>
  </si>
  <si>
    <t>01/05/2025 06:00</t>
  </si>
  <si>
    <t>01/05/2025 06:15</t>
  </si>
  <si>
    <t>01/05/2025 06:30</t>
  </si>
  <si>
    <t>01/05/2025 06:45</t>
  </si>
  <si>
    <t>01/05/2025 07:00</t>
  </si>
  <si>
    <t>01/05/2025 07:15</t>
  </si>
  <si>
    <t>01/05/2025 07:30</t>
  </si>
  <si>
    <t>01/05/2025 07:45</t>
  </si>
  <si>
    <t>01/05/2025 08:00</t>
  </si>
  <si>
    <t>01/05/2025 08:15</t>
  </si>
  <si>
    <t>01/05/2025 08:30</t>
  </si>
  <si>
    <t>01/05/2025 08:45</t>
  </si>
  <si>
    <t>01/05/2025 09:00</t>
  </si>
  <si>
    <t>01/05/2025 09:15</t>
  </si>
  <si>
    <t>01/05/2025 09:30</t>
  </si>
  <si>
    <t>01/05/2025 09:45</t>
  </si>
  <si>
    <t>01/05/2025 10:00</t>
  </si>
  <si>
    <t>01/05/2025 10:15</t>
  </si>
  <si>
    <t>01/05/2025 10:30</t>
  </si>
  <si>
    <t>01/05/2025 10:45</t>
  </si>
  <si>
    <t>01/05/2025 11:00</t>
  </si>
  <si>
    <t>01/05/2025 11:15</t>
  </si>
  <si>
    <t>01/05/2025 11:30</t>
  </si>
  <si>
    <t>01/05/2025 11:45</t>
  </si>
  <si>
    <t>01/05/2025 12:00</t>
  </si>
  <si>
    <t>01/05/2025 12:15</t>
  </si>
  <si>
    <t>01/05/2025 12:30</t>
  </si>
  <si>
    <t>01/05/2025 12:45</t>
  </si>
  <si>
    <t>01/05/2025 13:00</t>
  </si>
  <si>
    <t>01/05/2025 13:15</t>
  </si>
  <si>
    <t>01/05/2025 13:30</t>
  </si>
  <si>
    <t>01/05/2025 13:45</t>
  </si>
  <si>
    <t>01/05/2025 14:00</t>
  </si>
  <si>
    <t>01/05/2025 14:15</t>
  </si>
  <si>
    <t>01/05/2025 14:30</t>
  </si>
  <si>
    <t>01/05/2025 14:45</t>
  </si>
  <si>
    <t>01/05/2025 15:00</t>
  </si>
  <si>
    <t>01/05/2025 15:15</t>
  </si>
  <si>
    <t>01/05/2025 15:30</t>
  </si>
  <si>
    <t>01/05/2025 15:45</t>
  </si>
  <si>
    <t>01/05/2025 16:00</t>
  </si>
  <si>
    <t>01/05/2025 16:15</t>
  </si>
  <si>
    <t>01/05/2025 16:30</t>
  </si>
  <si>
    <t>01/05/2025 16:45</t>
  </si>
  <si>
    <t>01/05/2025 17:00</t>
  </si>
  <si>
    <t>01/05/2025 17:15</t>
  </si>
  <si>
    <t>01/05/2025 17:30</t>
  </si>
  <si>
    <t>01/05/2025 17:45</t>
  </si>
  <si>
    <t>01/05/2025 18:00</t>
  </si>
  <si>
    <t>01/05/2025 18:15</t>
  </si>
  <si>
    <t>01/05/2025 18:30</t>
  </si>
  <si>
    <t>01/05/2025 18:45</t>
  </si>
  <si>
    <t>01/05/2025 19:00</t>
  </si>
  <si>
    <t>01/05/2025 19:15</t>
  </si>
  <si>
    <t>01/05/2025 19:30</t>
  </si>
  <si>
    <t>01/05/2025 19:45</t>
  </si>
  <si>
    <t>01/05/2025 20:00</t>
  </si>
  <si>
    <t>01/05/2025 20:15</t>
  </si>
  <si>
    <t>01/05/2025 20:30</t>
  </si>
  <si>
    <t>01/05/2025 20:45</t>
  </si>
  <si>
    <t>01/05/2025 21:00</t>
  </si>
  <si>
    <t>01/05/2025 21:15</t>
  </si>
  <si>
    <t>01/05/2025 21:30</t>
  </si>
  <si>
    <t>01/05/2025 21:45</t>
  </si>
  <si>
    <t>01/05/2025 22:00</t>
  </si>
  <si>
    <t>01/05/2025 22:15</t>
  </si>
  <si>
    <t>01/05/2025 22:30</t>
  </si>
  <si>
    <t>01/05/2025 22:45</t>
  </si>
  <si>
    <t>01/05/2025 23:00</t>
  </si>
  <si>
    <t>01/05/2025 23:15</t>
  </si>
  <si>
    <t>01/05/2025 23:30</t>
  </si>
  <si>
    <t>01/05/2025 23:45</t>
  </si>
  <si>
    <t>01/05/2025 24:00</t>
  </si>
  <si>
    <t>02/05/2025 00:15</t>
  </si>
  <si>
    <t>02/05/2025 00:30</t>
  </si>
  <si>
    <t>02/05/2025 00:45</t>
  </si>
  <si>
    <t>02/05/2025 01:00</t>
  </si>
  <si>
    <t>02/05/2025 01:15</t>
  </si>
  <si>
    <t>02/05/2025 01:30</t>
  </si>
  <si>
    <t>02/05/2025 01:45</t>
  </si>
  <si>
    <t>02/05/2025 02:00</t>
  </si>
  <si>
    <t>02/05/2025 02:15</t>
  </si>
  <si>
    <t>02/05/2025 02:30</t>
  </si>
  <si>
    <t>02/05/2025 02:45</t>
  </si>
  <si>
    <t>02/05/2025 03:00</t>
  </si>
  <si>
    <t>02/05/2025 03:15</t>
  </si>
  <si>
    <t>02/05/2025 03:30</t>
  </si>
  <si>
    <t>02/05/2025 03:45</t>
  </si>
  <si>
    <t>02/05/2025 04:00</t>
  </si>
  <si>
    <t>02/05/2025 04:15</t>
  </si>
  <si>
    <t>02/05/2025 04:30</t>
  </si>
  <si>
    <t>02/05/2025 04:45</t>
  </si>
  <si>
    <t>02/05/2025 05:00</t>
  </si>
  <si>
    <t>02/05/2025 05:15</t>
  </si>
  <si>
    <t>02/05/2025 05:30</t>
  </si>
  <si>
    <t>02/05/2025 05:45</t>
  </si>
  <si>
    <t>02/05/2025 06:00</t>
  </si>
  <si>
    <t>02/05/2025 06:15</t>
  </si>
  <si>
    <t>02/05/2025 06:30</t>
  </si>
  <si>
    <t>02/05/2025 06:45</t>
  </si>
  <si>
    <t>02/05/2025 07:00</t>
  </si>
  <si>
    <t>02/05/2025 07:15</t>
  </si>
  <si>
    <t>02/05/2025 07:30</t>
  </si>
  <si>
    <t>02/05/2025 07:45</t>
  </si>
  <si>
    <t>02/05/2025 08:00</t>
  </si>
  <si>
    <t>02/05/2025 08:15</t>
  </si>
  <si>
    <t>02/05/2025 08:30</t>
  </si>
  <si>
    <t>02/05/2025 08:45</t>
  </si>
  <si>
    <t>02/05/2025 09:00</t>
  </si>
  <si>
    <t>02/05/2025 09:15</t>
  </si>
  <si>
    <t>02/05/2025 09:30</t>
  </si>
  <si>
    <t>02/05/2025 09:45</t>
  </si>
  <si>
    <t>02/05/2025 10:00</t>
  </si>
  <si>
    <t>02/05/2025 10:15</t>
  </si>
  <si>
    <t>02/05/2025 10:30</t>
  </si>
  <si>
    <t>02/05/2025 10:45</t>
  </si>
  <si>
    <t>02/05/2025 11:00</t>
  </si>
  <si>
    <t>02/05/2025 11:15</t>
  </si>
  <si>
    <t>02/05/2025 11:30</t>
  </si>
  <si>
    <t>02/05/2025 11:45</t>
  </si>
  <si>
    <t>02/05/2025 12:00</t>
  </si>
  <si>
    <t>02/05/2025 12:15</t>
  </si>
  <si>
    <t>02/05/2025 12:30</t>
  </si>
  <si>
    <t>02/05/2025 12:45</t>
  </si>
  <si>
    <t>02/05/2025 13:00</t>
  </si>
  <si>
    <t>02/05/2025 13:15</t>
  </si>
  <si>
    <t>02/05/2025 13:30</t>
  </si>
  <si>
    <t>02/05/2025 13:45</t>
  </si>
  <si>
    <t>02/05/2025 14:00</t>
  </si>
  <si>
    <t>02/05/2025 14:15</t>
  </si>
  <si>
    <t>02/05/2025 14:30</t>
  </si>
  <si>
    <t>02/05/2025 14:45</t>
  </si>
  <si>
    <t>02/05/2025 15:00</t>
  </si>
  <si>
    <t>02/05/2025 15:15</t>
  </si>
  <si>
    <t>02/05/2025 15:30</t>
  </si>
  <si>
    <t>02/05/2025 15:45</t>
  </si>
  <si>
    <t>02/05/2025 16:00</t>
  </si>
  <si>
    <t>02/05/2025 16:15</t>
  </si>
  <si>
    <t>02/05/2025 16:30</t>
  </si>
  <si>
    <t>02/05/2025 16:45</t>
  </si>
  <si>
    <t>02/05/2025 17:00</t>
  </si>
  <si>
    <t>02/05/2025 17:15</t>
  </si>
  <si>
    <t>02/05/2025 17:30</t>
  </si>
  <si>
    <t>02/05/2025 17:45</t>
  </si>
  <si>
    <t>02/05/2025 18:00</t>
  </si>
  <si>
    <t>02/05/2025 18:15</t>
  </si>
  <si>
    <t>02/05/2025 18:30</t>
  </si>
  <si>
    <t>02/05/2025 18:45</t>
  </si>
  <si>
    <t>02/05/2025 19:00</t>
  </si>
  <si>
    <t>02/05/2025 19:15</t>
  </si>
  <si>
    <t>02/05/2025 19:30</t>
  </si>
  <si>
    <t>02/05/2025 19:45</t>
  </si>
  <si>
    <t>02/05/2025 20:00</t>
  </si>
  <si>
    <t>02/05/2025 20:15</t>
  </si>
  <si>
    <t>02/05/2025 20:30</t>
  </si>
  <si>
    <t>02/05/2025 20:45</t>
  </si>
  <si>
    <t>02/05/2025 21:00</t>
  </si>
  <si>
    <t>02/05/2025 21:15</t>
  </si>
  <si>
    <t>02/05/2025 21:30</t>
  </si>
  <si>
    <t>02/05/2025 21:45</t>
  </si>
  <si>
    <t>02/05/2025 22:00</t>
  </si>
  <si>
    <t>02/05/2025 22:15</t>
  </si>
  <si>
    <t>02/05/2025 22:30</t>
  </si>
  <si>
    <t>02/05/2025 22:45</t>
  </si>
  <si>
    <t>02/05/2025 23:00</t>
  </si>
  <si>
    <t>02/05/2025 23:15</t>
  </si>
  <si>
    <t>02/05/2025 23:30</t>
  </si>
  <si>
    <t>02/05/2025 23:45</t>
  </si>
  <si>
    <t>02/05/2025 24:00</t>
  </si>
  <si>
    <t>03/05/2025 00:15</t>
  </si>
  <si>
    <t>03/05/2025 00:30</t>
  </si>
  <si>
    <t>03/05/2025 00:45</t>
  </si>
  <si>
    <t>03/05/2025 01:00</t>
  </si>
  <si>
    <t>03/05/2025 01:15</t>
  </si>
  <si>
    <t>03/05/2025 01:30</t>
  </si>
  <si>
    <t>03/05/2025 01:45</t>
  </si>
  <si>
    <t>03/05/2025 02:00</t>
  </si>
  <si>
    <t>03/05/2025 02:15</t>
  </si>
  <si>
    <t>03/05/2025 02:30</t>
  </si>
  <si>
    <t>03/05/2025 02:45</t>
  </si>
  <si>
    <t>03/05/2025 03:00</t>
  </si>
  <si>
    <t>03/05/2025 03:15</t>
  </si>
  <si>
    <t>03/05/2025 03:30</t>
  </si>
  <si>
    <t>03/05/2025 03:45</t>
  </si>
  <si>
    <t>03/05/2025 04:00</t>
  </si>
  <si>
    <t>03/05/2025 04:15</t>
  </si>
  <si>
    <t>03/05/2025 04:30</t>
  </si>
  <si>
    <t>03/05/2025 04:45</t>
  </si>
  <si>
    <t>03/05/2025 05:00</t>
  </si>
  <si>
    <t>03/05/2025 05:15</t>
  </si>
  <si>
    <t>03/05/2025 05:30</t>
  </si>
  <si>
    <t>03/05/2025 05:45</t>
  </si>
  <si>
    <t>03/05/2025 06:00</t>
  </si>
  <si>
    <t>03/05/2025 06:15</t>
  </si>
  <si>
    <t>03/05/2025 06:30</t>
  </si>
  <si>
    <t>03/05/2025 06:45</t>
  </si>
  <si>
    <t>03/05/2025 07:00</t>
  </si>
  <si>
    <t>03/05/2025 07:15</t>
  </si>
  <si>
    <t>03/05/2025 07:30</t>
  </si>
  <si>
    <t>03/05/2025 07:45</t>
  </si>
  <si>
    <t>03/05/2025 08:00</t>
  </si>
  <si>
    <t>03/05/2025 08:15</t>
  </si>
  <si>
    <t>03/05/2025 08:30</t>
  </si>
  <si>
    <t>03/05/2025 08:45</t>
  </si>
  <si>
    <t>03/05/2025 09:00</t>
  </si>
  <si>
    <t>03/05/2025 09:15</t>
  </si>
  <si>
    <t>03/05/2025 09:30</t>
  </si>
  <si>
    <t>03/05/2025 09:45</t>
  </si>
  <si>
    <t>03/05/2025 10:00</t>
  </si>
  <si>
    <t>03/05/2025 10:15</t>
  </si>
  <si>
    <t>03/05/2025 10:30</t>
  </si>
  <si>
    <t>03/05/2025 10:45</t>
  </si>
  <si>
    <t>03/05/2025 11:00</t>
  </si>
  <si>
    <t>03/05/2025 11:15</t>
  </si>
  <si>
    <t>03/05/2025 11:30</t>
  </si>
  <si>
    <t>03/05/2025 11:45</t>
  </si>
  <si>
    <t>03/05/2025 12:00</t>
  </si>
  <si>
    <t>03/05/2025 12:15</t>
  </si>
  <si>
    <t>03/05/2025 12:30</t>
  </si>
  <si>
    <t>03/05/2025 12:45</t>
  </si>
  <si>
    <t>03/05/2025 13:00</t>
  </si>
  <si>
    <t>03/05/2025 13:15</t>
  </si>
  <si>
    <t>03/05/2025 13:30</t>
  </si>
  <si>
    <t>03/05/2025 13:45</t>
  </si>
  <si>
    <t>03/05/2025 14:00</t>
  </si>
  <si>
    <t>03/05/2025 14:15</t>
  </si>
  <si>
    <t>03/05/2025 14:30</t>
  </si>
  <si>
    <t>03/05/2025 14:45</t>
  </si>
  <si>
    <t>03/05/2025 15:00</t>
  </si>
  <si>
    <t>03/05/2025 15:15</t>
  </si>
  <si>
    <t>03/05/2025 15:30</t>
  </si>
  <si>
    <t>03/05/2025 15:45</t>
  </si>
  <si>
    <t>03/05/2025 16:00</t>
  </si>
  <si>
    <t>03/05/2025 16:15</t>
  </si>
  <si>
    <t>03/05/2025 16:30</t>
  </si>
  <si>
    <t>03/05/2025 16:45</t>
  </si>
  <si>
    <t>03/05/2025 17:00</t>
  </si>
  <si>
    <t>03/05/2025 17:15</t>
  </si>
  <si>
    <t>03/05/2025 17:30</t>
  </si>
  <si>
    <t>03/05/2025 17:45</t>
  </si>
  <si>
    <t>03/05/2025 18:00</t>
  </si>
  <si>
    <t>03/05/2025 18:15</t>
  </si>
  <si>
    <t>03/05/2025 18:30</t>
  </si>
  <si>
    <t>03/05/2025 18:45</t>
  </si>
  <si>
    <t>03/05/2025 19:00</t>
  </si>
  <si>
    <t>03/05/2025 19:15</t>
  </si>
  <si>
    <t>03/05/2025 19:30</t>
  </si>
  <si>
    <t>03/05/2025 19:45</t>
  </si>
  <si>
    <t>03/05/2025 20:00</t>
  </si>
  <si>
    <t>03/05/2025 20:15</t>
  </si>
  <si>
    <t>03/05/2025 20:30</t>
  </si>
  <si>
    <t>03/05/2025 20:45</t>
  </si>
  <si>
    <t>03/05/2025 21:00</t>
  </si>
  <si>
    <t>03/05/2025 21:15</t>
  </si>
  <si>
    <t>03/05/2025 21:30</t>
  </si>
  <si>
    <t>03/05/2025 21:45</t>
  </si>
  <si>
    <t>03/05/2025 22:00</t>
  </si>
  <si>
    <t>03/05/2025 22:15</t>
  </si>
  <si>
    <t>03/05/2025 22:30</t>
  </si>
  <si>
    <t>03/05/2025 22:45</t>
  </si>
  <si>
    <t>03/05/2025 23:00</t>
  </si>
  <si>
    <t>03/05/2025 23:15</t>
  </si>
  <si>
    <t>03/05/2025 23:30</t>
  </si>
  <si>
    <t>03/05/2025 23:45</t>
  </si>
  <si>
    <t>03/05/2025 24:00</t>
  </si>
  <si>
    <t>04/05/2025 00:15</t>
  </si>
  <si>
    <t>04/05/2025 00:30</t>
  </si>
  <si>
    <t>04/05/2025 00:45</t>
  </si>
  <si>
    <t>04/05/2025 01:00</t>
  </si>
  <si>
    <t>04/05/2025 01:15</t>
  </si>
  <si>
    <t>04/05/2025 01:30</t>
  </si>
  <si>
    <t>04/05/2025 01:45</t>
  </si>
  <si>
    <t>04/05/2025 02:00</t>
  </si>
  <si>
    <t>04/05/2025 02:15</t>
  </si>
  <si>
    <t>04/05/2025 02:30</t>
  </si>
  <si>
    <t>04/05/2025 02:45</t>
  </si>
  <si>
    <t>04/05/2025 03:00</t>
  </si>
  <si>
    <t>04/05/2025 03:15</t>
  </si>
  <si>
    <t>04/05/2025 03:30</t>
  </si>
  <si>
    <t>04/05/2025 03:45</t>
  </si>
  <si>
    <t>04/05/2025 04:00</t>
  </si>
  <si>
    <t>04/05/2025 04:15</t>
  </si>
  <si>
    <t>04/05/2025 04:30</t>
  </si>
  <si>
    <t>04/05/2025 04:45</t>
  </si>
  <si>
    <t>04/05/2025 05:00</t>
  </si>
  <si>
    <t>04/05/2025 05:15</t>
  </si>
  <si>
    <t>04/05/2025 05:30</t>
  </si>
  <si>
    <t>04/05/2025 05:45</t>
  </si>
  <si>
    <t>04/05/2025 06:00</t>
  </si>
  <si>
    <t>04/05/2025 06:15</t>
  </si>
  <si>
    <t>04/05/2025 06:30</t>
  </si>
  <si>
    <t>04/05/2025 06:45</t>
  </si>
  <si>
    <t>04/05/2025 07:00</t>
  </si>
  <si>
    <t>04/05/2025 07:15</t>
  </si>
  <si>
    <t>04/05/2025 07:30</t>
  </si>
  <si>
    <t>04/05/2025 07:45</t>
  </si>
  <si>
    <t>04/05/2025 08:00</t>
  </si>
  <si>
    <t>04/05/2025 08:15</t>
  </si>
  <si>
    <t>04/05/2025 08:30</t>
  </si>
  <si>
    <t>04/05/2025 08:45</t>
  </si>
  <si>
    <t>04/05/2025 09:00</t>
  </si>
  <si>
    <t>04/05/2025 09:15</t>
  </si>
  <si>
    <t>04/05/2025 09:30</t>
  </si>
  <si>
    <t>04/05/2025 09:45</t>
  </si>
  <si>
    <t>04/05/2025 10:00</t>
  </si>
  <si>
    <t>04/05/2025 10:15</t>
  </si>
  <si>
    <t>04/05/2025 10:30</t>
  </si>
  <si>
    <t>04/05/2025 10:45</t>
  </si>
  <si>
    <t>04/05/2025 11:00</t>
  </si>
  <si>
    <t>04/05/2025 11:15</t>
  </si>
  <si>
    <t>04/05/2025 11:30</t>
  </si>
  <si>
    <t>04/05/2025 11:45</t>
  </si>
  <si>
    <t>04/05/2025 12:00</t>
  </si>
  <si>
    <t>04/05/2025 12:15</t>
  </si>
  <si>
    <t>04/05/2025 12:30</t>
  </si>
  <si>
    <t>04/05/2025 12:45</t>
  </si>
  <si>
    <t>04/05/2025 13:00</t>
  </si>
  <si>
    <t>04/05/2025 13:15</t>
  </si>
  <si>
    <t>04/05/2025 13:30</t>
  </si>
  <si>
    <t>04/05/2025 13:45</t>
  </si>
  <si>
    <t>04/05/2025 14:00</t>
  </si>
  <si>
    <t>04/05/2025 14:15</t>
  </si>
  <si>
    <t>04/05/2025 14:30</t>
  </si>
  <si>
    <t>04/05/2025 14:45</t>
  </si>
  <si>
    <t>04/05/2025 15:00</t>
  </si>
  <si>
    <t>04/05/2025 15:15</t>
  </si>
  <si>
    <t>04/05/2025 15:30</t>
  </si>
  <si>
    <t>04/05/2025 15:45</t>
  </si>
  <si>
    <t>04/05/2025 16:00</t>
  </si>
  <si>
    <t>04/05/2025 16:15</t>
  </si>
  <si>
    <t>04/05/2025 16:30</t>
  </si>
  <si>
    <t>04/05/2025 16:45</t>
  </si>
  <si>
    <t>04/05/2025 17:00</t>
  </si>
  <si>
    <t>04/05/2025 17:15</t>
  </si>
  <si>
    <t>04/05/2025 17:30</t>
  </si>
  <si>
    <t>04/05/2025 17:45</t>
  </si>
  <si>
    <t>04/05/2025 18:00</t>
  </si>
  <si>
    <t>04/05/2025 18:15</t>
  </si>
  <si>
    <t>04/05/2025 18:30</t>
  </si>
  <si>
    <t>04/05/2025 18:45</t>
  </si>
  <si>
    <t>04/05/2025 19:00</t>
  </si>
  <si>
    <t>04/05/2025 19:15</t>
  </si>
  <si>
    <t>04/05/2025 19:30</t>
  </si>
  <si>
    <t>04/05/2025 19:45</t>
  </si>
  <si>
    <t>04/05/2025 20:00</t>
  </si>
  <si>
    <t>04/05/2025 20:15</t>
  </si>
  <si>
    <t>04/05/2025 20:30</t>
  </si>
  <si>
    <t>04/05/2025 20:45</t>
  </si>
  <si>
    <t>04/05/2025 21:00</t>
  </si>
  <si>
    <t>04/05/2025 21:15</t>
  </si>
  <si>
    <t>04/05/2025 21:30</t>
  </si>
  <si>
    <t>04/05/2025 21:45</t>
  </si>
  <si>
    <t>04/05/2025 22:00</t>
  </si>
  <si>
    <t>04/05/2025 22:15</t>
  </si>
  <si>
    <t>04/05/2025 22:30</t>
  </si>
  <si>
    <t>04/05/2025 22:45</t>
  </si>
  <si>
    <t>04/05/2025 23:00</t>
  </si>
  <si>
    <t>04/05/2025 23:15</t>
  </si>
  <si>
    <t>04/05/2025 23:30</t>
  </si>
  <si>
    <t>04/05/2025 23:45</t>
  </si>
  <si>
    <t>04/05/2025 24:00</t>
  </si>
  <si>
    <t>05/05/2025 00:15</t>
  </si>
  <si>
    <t>05/05/2025 00:30</t>
  </si>
  <si>
    <t>05/05/2025 00:45</t>
  </si>
  <si>
    <t>05/05/2025 01:00</t>
  </si>
  <si>
    <t>05/05/2025 01:15</t>
  </si>
  <si>
    <t>05/05/2025 01:30</t>
  </si>
  <si>
    <t>05/05/2025 01:45</t>
  </si>
  <si>
    <t>05/05/2025 02:00</t>
  </si>
  <si>
    <t>05/05/2025 02:15</t>
  </si>
  <si>
    <t>05/05/2025 02:30</t>
  </si>
  <si>
    <t>05/05/2025 02:45</t>
  </si>
  <si>
    <t>05/05/2025 03:00</t>
  </si>
  <si>
    <t>05/05/2025 03:15</t>
  </si>
  <si>
    <t>05/05/2025 03:30</t>
  </si>
  <si>
    <t>05/05/2025 03:45</t>
  </si>
  <si>
    <t>05/05/2025 04:00</t>
  </si>
  <si>
    <t>05/05/2025 04:15</t>
  </si>
  <si>
    <t>05/05/2025 04:30</t>
  </si>
  <si>
    <t>05/05/2025 04:45</t>
  </si>
  <si>
    <t>05/05/2025 05:00</t>
  </si>
  <si>
    <t>05/05/2025 05:15</t>
  </si>
  <si>
    <t>05/05/2025 05:30</t>
  </si>
  <si>
    <t>05/05/2025 05:45</t>
  </si>
  <si>
    <t>05/05/2025 06:00</t>
  </si>
  <si>
    <t>05/05/2025 06:15</t>
  </si>
  <si>
    <t>05/05/2025 06:30</t>
  </si>
  <si>
    <t>05/05/2025 06:45</t>
  </si>
  <si>
    <t>05/05/2025 07:00</t>
  </si>
  <si>
    <t>05/05/2025 07:15</t>
  </si>
  <si>
    <t>05/05/2025 07:30</t>
  </si>
  <si>
    <t>05/05/2025 07:45</t>
  </si>
  <si>
    <t>05/05/2025 08:00</t>
  </si>
  <si>
    <t>05/05/2025 08:15</t>
  </si>
  <si>
    <t>05/05/2025 08:30</t>
  </si>
  <si>
    <t>05/05/2025 08:45</t>
  </si>
  <si>
    <t>05/05/2025 09:00</t>
  </si>
  <si>
    <t>05/05/2025 09:15</t>
  </si>
  <si>
    <t>05/05/2025 09:30</t>
  </si>
  <si>
    <t>05/05/2025 09:45</t>
  </si>
  <si>
    <t>05/05/2025 10:00</t>
  </si>
  <si>
    <t>05/05/2025 10:15</t>
  </si>
  <si>
    <t>05/05/2025 10:30</t>
  </si>
  <si>
    <t>05/05/2025 10:45</t>
  </si>
  <si>
    <t>05/05/2025 11:00</t>
  </si>
  <si>
    <t>05/05/2025 11:15</t>
  </si>
  <si>
    <t>05/05/2025 11:30</t>
  </si>
  <si>
    <t>05/05/2025 11:45</t>
  </si>
  <si>
    <t>05/05/2025 12:00</t>
  </si>
  <si>
    <t>05/05/2025 12:15</t>
  </si>
  <si>
    <t>05/05/2025 12:30</t>
  </si>
  <si>
    <t>05/05/2025 12:45</t>
  </si>
  <si>
    <t>05/05/2025 13:00</t>
  </si>
  <si>
    <t>05/05/2025 13:15</t>
  </si>
  <si>
    <t>05/05/2025 13:30</t>
  </si>
  <si>
    <t>05/05/2025 13:45</t>
  </si>
  <si>
    <t>05/05/2025 14:00</t>
  </si>
  <si>
    <t>05/05/2025 14:15</t>
  </si>
  <si>
    <t>05/05/2025 14:30</t>
  </si>
  <si>
    <t>05/05/2025 14:45</t>
  </si>
  <si>
    <t>05/05/2025 15:00</t>
  </si>
  <si>
    <t>05/05/2025 15:15</t>
  </si>
  <si>
    <t>05/05/2025 15:30</t>
  </si>
  <si>
    <t>05/05/2025 15:45</t>
  </si>
  <si>
    <t>05/05/2025 16:00</t>
  </si>
  <si>
    <t>05/05/2025 16:15</t>
  </si>
  <si>
    <t>05/05/2025 16:30</t>
  </si>
  <si>
    <t>05/05/2025 16:45</t>
  </si>
  <si>
    <t>05/05/2025 17:00</t>
  </si>
  <si>
    <t>05/05/2025 17:15</t>
  </si>
  <si>
    <t>05/05/2025 17:30</t>
  </si>
  <si>
    <t>05/05/2025 17:45</t>
  </si>
  <si>
    <t>05/05/2025 18:00</t>
  </si>
  <si>
    <t>05/05/2025 18:15</t>
  </si>
  <si>
    <t>05/05/2025 18:30</t>
  </si>
  <si>
    <t>05/05/2025 18:45</t>
  </si>
  <si>
    <t>05/05/2025 19:00</t>
  </si>
  <si>
    <t>05/05/2025 19:15</t>
  </si>
  <si>
    <t>05/05/2025 19:30</t>
  </si>
  <si>
    <t>05/05/2025 19:45</t>
  </si>
  <si>
    <t>05/05/2025 20:00</t>
  </si>
  <si>
    <t>05/05/2025 20:15</t>
  </si>
  <si>
    <t>05/05/2025 20:30</t>
  </si>
  <si>
    <t>05/05/2025 20:45</t>
  </si>
  <si>
    <t>05/05/2025 21:00</t>
  </si>
  <si>
    <t>05/05/2025 21:15</t>
  </si>
  <si>
    <t>05/05/2025 21:30</t>
  </si>
  <si>
    <t>05/05/2025 21:45</t>
  </si>
  <si>
    <t>05/05/2025 22:00</t>
  </si>
  <si>
    <t>05/05/2025 22:15</t>
  </si>
  <si>
    <t>05/05/2025 22:30</t>
  </si>
  <si>
    <t>05/05/2025 22:45</t>
  </si>
  <si>
    <t>05/05/2025 23:00</t>
  </si>
  <si>
    <t>05/05/2025 23:15</t>
  </si>
  <si>
    <t>05/05/2025 23:30</t>
  </si>
  <si>
    <t>05/05/2025 23:45</t>
  </si>
  <si>
    <t>05/05/2025 24:00</t>
  </si>
  <si>
    <t>06/05/2025 00:15</t>
  </si>
  <si>
    <t>06/05/2025 00:30</t>
  </si>
  <si>
    <t>06/05/2025 00:45</t>
  </si>
  <si>
    <t>06/05/2025 01:00</t>
  </si>
  <si>
    <t>06/05/2025 01:15</t>
  </si>
  <si>
    <t>06/05/2025 01:30</t>
  </si>
  <si>
    <t>06/05/2025 01:45</t>
  </si>
  <si>
    <t>06/05/2025 02:00</t>
  </si>
  <si>
    <t>06/05/2025 02:15</t>
  </si>
  <si>
    <t>06/05/2025 02:30</t>
  </si>
  <si>
    <t>06/05/2025 02:45</t>
  </si>
  <si>
    <t>06/05/2025 03:00</t>
  </si>
  <si>
    <t>06/05/2025 03:15</t>
  </si>
  <si>
    <t>06/05/2025 03:30</t>
  </si>
  <si>
    <t>06/05/2025 03:45</t>
  </si>
  <si>
    <t>06/05/2025 04:00</t>
  </si>
  <si>
    <t>06/05/2025 04:15</t>
  </si>
  <si>
    <t>06/05/2025 04:30</t>
  </si>
  <si>
    <t>06/05/2025 04:45</t>
  </si>
  <si>
    <t>06/05/2025 05:00</t>
  </si>
  <si>
    <t>06/05/2025 05:15</t>
  </si>
  <si>
    <t>06/05/2025 05:30</t>
  </si>
  <si>
    <t>06/05/2025 05:45</t>
  </si>
  <si>
    <t>06/05/2025 06:00</t>
  </si>
  <si>
    <t>06/05/2025 06:15</t>
  </si>
  <si>
    <t>06/05/2025 06:30</t>
  </si>
  <si>
    <t>06/05/2025 06:45</t>
  </si>
  <si>
    <t>06/05/2025 07:00</t>
  </si>
  <si>
    <t>06/05/2025 07:15</t>
  </si>
  <si>
    <t>06/05/2025 07:30</t>
  </si>
  <si>
    <t>06/05/2025 07:45</t>
  </si>
  <si>
    <t>06/05/2025 08:00</t>
  </si>
  <si>
    <t>06/05/2025 08:15</t>
  </si>
  <si>
    <t>06/05/2025 08:30</t>
  </si>
  <si>
    <t>06/05/2025 08:45</t>
  </si>
  <si>
    <t>06/05/2025 09:00</t>
  </si>
  <si>
    <t>06/05/2025 09:15</t>
  </si>
  <si>
    <t>06/05/2025 09:30</t>
  </si>
  <si>
    <t>06/05/2025 09:45</t>
  </si>
  <si>
    <t>06/05/2025 10:00</t>
  </si>
  <si>
    <t>06/05/2025 10:15</t>
  </si>
  <si>
    <t>06/05/2025 10:30</t>
  </si>
  <si>
    <t>06/05/2025 10:45</t>
  </si>
  <si>
    <t>06/05/2025 11:00</t>
  </si>
  <si>
    <t>06/05/2025 11:15</t>
  </si>
  <si>
    <t>06/05/2025 11:30</t>
  </si>
  <si>
    <t>06/05/2025 11:45</t>
  </si>
  <si>
    <t>06/05/2025 12:00</t>
  </si>
  <si>
    <t>06/05/2025 12:15</t>
  </si>
  <si>
    <t>06/05/2025 12:30</t>
  </si>
  <si>
    <t>06/05/2025 12:45</t>
  </si>
  <si>
    <t>06/05/2025 13:00</t>
  </si>
  <si>
    <t>06/05/2025 13:15</t>
  </si>
  <si>
    <t>06/05/2025 13:30</t>
  </si>
  <si>
    <t>06/05/2025 13:45</t>
  </si>
  <si>
    <t>06/05/2025 14:00</t>
  </si>
  <si>
    <t>06/05/2025 14:15</t>
  </si>
  <si>
    <t>06/05/2025 14:30</t>
  </si>
  <si>
    <t>06/05/2025 14:45</t>
  </si>
  <si>
    <t>06/05/2025 15:00</t>
  </si>
  <si>
    <t>06/05/2025 15:15</t>
  </si>
  <si>
    <t>06/05/2025 15:30</t>
  </si>
  <si>
    <t>06/05/2025 15:45</t>
  </si>
  <si>
    <t>06/05/2025 16:00</t>
  </si>
  <si>
    <t>06/05/2025 16:15</t>
  </si>
  <si>
    <t>06/05/2025 16:30</t>
  </si>
  <si>
    <t>06/05/2025 16:45</t>
  </si>
  <si>
    <t>06/05/2025 17:00</t>
  </si>
  <si>
    <t>06/05/2025 17:15</t>
  </si>
  <si>
    <t>06/05/2025 17:30</t>
  </si>
  <si>
    <t>06/05/2025 17:45</t>
  </si>
  <si>
    <t>06/05/2025 18:00</t>
  </si>
  <si>
    <t>06/05/2025 18:15</t>
  </si>
  <si>
    <t>06/05/2025 18:30</t>
  </si>
  <si>
    <t>06/05/2025 18:45</t>
  </si>
  <si>
    <t>06/05/2025 19:00</t>
  </si>
  <si>
    <t>06/05/2025 19:15</t>
  </si>
  <si>
    <t>06/05/2025 19:30</t>
  </si>
  <si>
    <t>06/05/2025 19:45</t>
  </si>
  <si>
    <t>06/05/2025 20:00</t>
  </si>
  <si>
    <t>06/05/2025 20:15</t>
  </si>
  <si>
    <t>06/05/2025 20:30</t>
  </si>
  <si>
    <t>06/05/2025 20:45</t>
  </si>
  <si>
    <t>06/05/2025 21:00</t>
  </si>
  <si>
    <t>06/05/2025 21:15</t>
  </si>
  <si>
    <t>06/05/2025 21:30</t>
  </si>
  <si>
    <t>06/05/2025 21:45</t>
  </si>
  <si>
    <t>06/05/2025 22:00</t>
  </si>
  <si>
    <t>06/05/2025 22:15</t>
  </si>
  <si>
    <t>06/05/2025 22:30</t>
  </si>
  <si>
    <t>06/05/2025 22:45</t>
  </si>
  <si>
    <t>06/05/2025 23:00</t>
  </si>
  <si>
    <t>06/05/2025 23:15</t>
  </si>
  <si>
    <t>06/05/2025 23:30</t>
  </si>
  <si>
    <t>06/05/2025 23:45</t>
  </si>
  <si>
    <t>06/05/2025 24:00</t>
  </si>
  <si>
    <t>07/05/2025 00:15</t>
  </si>
  <si>
    <t>07/05/2025 00:30</t>
  </si>
  <si>
    <t>07/05/2025 00:45</t>
  </si>
  <si>
    <t>07/05/2025 01:00</t>
  </si>
  <si>
    <t>07/05/2025 01:15</t>
  </si>
  <si>
    <t>07/05/2025 01:30</t>
  </si>
  <si>
    <t>07/05/2025 01:45</t>
  </si>
  <si>
    <t>07/05/2025 02:00</t>
  </si>
  <si>
    <t>07/05/2025 02:15</t>
  </si>
  <si>
    <t>07/05/2025 02:30</t>
  </si>
  <si>
    <t>07/05/2025 02:45</t>
  </si>
  <si>
    <t>07/05/2025 03:00</t>
  </si>
  <si>
    <t>07/05/2025 03:15</t>
  </si>
  <si>
    <t>07/05/2025 03:30</t>
  </si>
  <si>
    <t>07/05/2025 03:45</t>
  </si>
  <si>
    <t>07/05/2025 04:00</t>
  </si>
  <si>
    <t>07/05/2025 04:15</t>
  </si>
  <si>
    <t>07/05/2025 04:30</t>
  </si>
  <si>
    <t>07/05/2025 04:45</t>
  </si>
  <si>
    <t>07/05/2025 05:00</t>
  </si>
  <si>
    <t>07/05/2025 05:15</t>
  </si>
  <si>
    <t>07/05/2025 05:30</t>
  </si>
  <si>
    <t>07/05/2025 05:45</t>
  </si>
  <si>
    <t>07/05/2025 06:00</t>
  </si>
  <si>
    <t>07/05/2025 06:15</t>
  </si>
  <si>
    <t>07/05/2025 06:30</t>
  </si>
  <si>
    <t>07/05/2025 06:45</t>
  </si>
  <si>
    <t>07/05/2025 07:00</t>
  </si>
  <si>
    <t>07/05/2025 07:15</t>
  </si>
  <si>
    <t>07/05/2025 07:30</t>
  </si>
  <si>
    <t>07/05/2025 07:45</t>
  </si>
  <si>
    <t>07/05/2025 08:00</t>
  </si>
  <si>
    <t>07/05/2025 08:15</t>
  </si>
  <si>
    <t>07/05/2025 08:30</t>
  </si>
  <si>
    <t>07/05/2025 08:45</t>
  </si>
  <si>
    <t>07/05/2025 09:00</t>
  </si>
  <si>
    <t>07/05/2025 09:15</t>
  </si>
  <si>
    <t>07/05/2025 09:30</t>
  </si>
  <si>
    <t>07/05/2025 09:45</t>
  </si>
  <si>
    <t>07/05/2025 10:00</t>
  </si>
  <si>
    <t>07/05/2025 10:15</t>
  </si>
  <si>
    <t>07/05/2025 10:30</t>
  </si>
  <si>
    <t>07/05/2025 10:45</t>
  </si>
  <si>
    <t>07/05/2025 11:00</t>
  </si>
  <si>
    <t>07/05/2025 11:15</t>
  </si>
  <si>
    <t>07/05/2025 11:30</t>
  </si>
  <si>
    <t>07/05/2025 11:45</t>
  </si>
  <si>
    <t>07/05/2025 12:00</t>
  </si>
  <si>
    <t>07/05/2025 12:15</t>
  </si>
  <si>
    <t>07/05/2025 12:30</t>
  </si>
  <si>
    <t>07/05/2025 12:45</t>
  </si>
  <si>
    <t>07/05/2025 13:00</t>
  </si>
  <si>
    <t>07/05/2025 13:15</t>
  </si>
  <si>
    <t>07/05/2025 13:30</t>
  </si>
  <si>
    <t>07/05/2025 13:45</t>
  </si>
  <si>
    <t>07/05/2025 14:00</t>
  </si>
  <si>
    <t>07/05/2025 14:15</t>
  </si>
  <si>
    <t>07/05/2025 14:30</t>
  </si>
  <si>
    <t>07/05/2025 14:45</t>
  </si>
  <si>
    <t>07/05/2025 15:00</t>
  </si>
  <si>
    <t>07/05/2025 15:15</t>
  </si>
  <si>
    <t>07/05/2025 15:30</t>
  </si>
  <si>
    <t>07/05/2025 15:45</t>
  </si>
  <si>
    <t>07/05/2025 16:00</t>
  </si>
  <si>
    <t>07/05/2025 16:15</t>
  </si>
  <si>
    <t>07/05/2025 16:30</t>
  </si>
  <si>
    <t>07/05/2025 16:45</t>
  </si>
  <si>
    <t>07/05/2025 17:00</t>
  </si>
  <si>
    <t>07/05/2025 17:15</t>
  </si>
  <si>
    <t>07/05/2025 17:30</t>
  </si>
  <si>
    <t>07/05/2025 17:45</t>
  </si>
  <si>
    <t>07/05/2025 18:00</t>
  </si>
  <si>
    <t>07/05/2025 18:15</t>
  </si>
  <si>
    <t>07/05/2025 18:30</t>
  </si>
  <si>
    <t>07/05/2025 18:45</t>
  </si>
  <si>
    <t>07/05/2025 19:00</t>
  </si>
  <si>
    <t>07/05/2025 19:15</t>
  </si>
  <si>
    <t>07/05/2025 19:30</t>
  </si>
  <si>
    <t>07/05/2025 19:45</t>
  </si>
  <si>
    <t>07/05/2025 20:00</t>
  </si>
  <si>
    <t>07/05/2025 20:15</t>
  </si>
  <si>
    <t>07/05/2025 20:30</t>
  </si>
  <si>
    <t>07/05/2025 20:45</t>
  </si>
  <si>
    <t>07/05/2025 21:00</t>
  </si>
  <si>
    <t>07/05/2025 21:15</t>
  </si>
  <si>
    <t>07/05/2025 21:30</t>
  </si>
  <si>
    <t>07/05/2025 21:45</t>
  </si>
  <si>
    <t>07/05/2025 22:00</t>
  </si>
  <si>
    <t>07/05/2025 22:15</t>
  </si>
  <si>
    <t>07/05/2025 22:30</t>
  </si>
  <si>
    <t>07/05/2025 22:45</t>
  </si>
  <si>
    <t>07/05/2025 23:00</t>
  </si>
  <si>
    <t>07/05/2025 23:15</t>
  </si>
  <si>
    <t>07/05/2025 23:30</t>
  </si>
  <si>
    <t>07/05/2025 23:45</t>
  </si>
  <si>
    <t>07/05/2025 24:00</t>
  </si>
  <si>
    <t>08/05/2025 00:15</t>
  </si>
  <si>
    <t>08/05/2025 00:30</t>
  </si>
  <si>
    <t>08/05/2025 00:45</t>
  </si>
  <si>
    <t>08/05/2025 01:00</t>
  </si>
  <si>
    <t>08/05/2025 01:15</t>
  </si>
  <si>
    <t>08/05/2025 01:30</t>
  </si>
  <si>
    <t>08/05/2025 01:45</t>
  </si>
  <si>
    <t>08/05/2025 02:00</t>
  </si>
  <si>
    <t>08/05/2025 02:15</t>
  </si>
  <si>
    <t>08/05/2025 02:30</t>
  </si>
  <si>
    <t>08/05/2025 02:45</t>
  </si>
  <si>
    <t>08/05/2025 03:00</t>
  </si>
  <si>
    <t>08/05/2025 03:15</t>
  </si>
  <si>
    <t>08/05/2025 03:30</t>
  </si>
  <si>
    <t>08/05/2025 03:45</t>
  </si>
  <si>
    <t>08/05/2025 04:00</t>
  </si>
  <si>
    <t>08/05/2025 04:15</t>
  </si>
  <si>
    <t>08/05/2025 04:30</t>
  </si>
  <si>
    <t>08/05/2025 04:45</t>
  </si>
  <si>
    <t>08/05/2025 05:00</t>
  </si>
  <si>
    <t>08/05/2025 05:15</t>
  </si>
  <si>
    <t>08/05/2025 05:30</t>
  </si>
  <si>
    <t>08/05/2025 05:45</t>
  </si>
  <si>
    <t>08/05/2025 06:00</t>
  </si>
  <si>
    <t>08/05/2025 06:15</t>
  </si>
  <si>
    <t>08/05/2025 06:30</t>
  </si>
  <si>
    <t>08/05/2025 06:45</t>
  </si>
  <si>
    <t>08/05/2025 07:00</t>
  </si>
  <si>
    <t>08/05/2025 07:15</t>
  </si>
  <si>
    <t>08/05/2025 07:30</t>
  </si>
  <si>
    <t>08/05/2025 07:45</t>
  </si>
  <si>
    <t>08/05/2025 08:00</t>
  </si>
  <si>
    <t>08/05/2025 08:15</t>
  </si>
  <si>
    <t>08/05/2025 08:30</t>
  </si>
  <si>
    <t>08/05/2025 08:45</t>
  </si>
  <si>
    <t>08/05/2025 09:00</t>
  </si>
  <si>
    <t>08/05/2025 09:15</t>
  </si>
  <si>
    <t>08/05/2025 09:30</t>
  </si>
  <si>
    <t>08/05/2025 09:45</t>
  </si>
  <si>
    <t>08/05/2025 10:00</t>
  </si>
  <si>
    <t>08/05/2025 10:15</t>
  </si>
  <si>
    <t>08/05/2025 10:30</t>
  </si>
  <si>
    <t>08/05/2025 10:45</t>
  </si>
  <si>
    <t>08/05/2025 11:00</t>
  </si>
  <si>
    <t>08/05/2025 11:15</t>
  </si>
  <si>
    <t>08/05/2025 11:30</t>
  </si>
  <si>
    <t>08/05/2025 11:45</t>
  </si>
  <si>
    <t>08/05/2025 12:00</t>
  </si>
  <si>
    <t>08/05/2025 12:15</t>
  </si>
  <si>
    <t>08/05/2025 12:30</t>
  </si>
  <si>
    <t>08/05/2025 12:45</t>
  </si>
  <si>
    <t>08/05/2025 13:00</t>
  </si>
  <si>
    <t>08/05/2025 13:15</t>
  </si>
  <si>
    <t>08/05/2025 13:30</t>
  </si>
  <si>
    <t>08/05/2025 13:45</t>
  </si>
  <si>
    <t>08/05/2025 14:00</t>
  </si>
  <si>
    <t>08/05/2025 14:15</t>
  </si>
  <si>
    <t>08/05/2025 14:30</t>
  </si>
  <si>
    <t>08/05/2025 14:45</t>
  </si>
  <si>
    <t>08/05/2025 15:00</t>
  </si>
  <si>
    <t>08/05/2025 15:15</t>
  </si>
  <si>
    <t>08/05/2025 15:30</t>
  </si>
  <si>
    <t>08/05/2025 15:45</t>
  </si>
  <si>
    <t>08/05/2025 16:00</t>
  </si>
  <si>
    <t>08/05/2025 16:15</t>
  </si>
  <si>
    <t>08/05/2025 16:30</t>
  </si>
  <si>
    <t>08/05/2025 16:45</t>
  </si>
  <si>
    <t>08/05/2025 17:00</t>
  </si>
  <si>
    <t>08/05/2025 17:15</t>
  </si>
  <si>
    <t>08/05/2025 17:30</t>
  </si>
  <si>
    <t>08/05/2025 17:45</t>
  </si>
  <si>
    <t>08/05/2025 18:00</t>
  </si>
  <si>
    <t>08/05/2025 18:15</t>
  </si>
  <si>
    <t>08/05/2025 18:30</t>
  </si>
  <si>
    <t>08/05/2025 18:45</t>
  </si>
  <si>
    <t>08/05/2025 19:00</t>
  </si>
  <si>
    <t>08/05/2025 19:15</t>
  </si>
  <si>
    <t>08/05/2025 19:30</t>
  </si>
  <si>
    <t>08/05/2025 19:45</t>
  </si>
  <si>
    <t>08/05/2025 20:00</t>
  </si>
  <si>
    <t>08/05/2025 20:15</t>
  </si>
  <si>
    <t>08/05/2025 20:30</t>
  </si>
  <si>
    <t>08/05/2025 20:45</t>
  </si>
  <si>
    <t>08/05/2025 21:00</t>
  </si>
  <si>
    <t>08/05/2025 21:15</t>
  </si>
  <si>
    <t>08/05/2025 21:30</t>
  </si>
  <si>
    <t>08/05/2025 21:45</t>
  </si>
  <si>
    <t>08/05/2025 22:00</t>
  </si>
  <si>
    <t>08/05/2025 22:15</t>
  </si>
  <si>
    <t>08/05/2025 22:30</t>
  </si>
  <si>
    <t>08/05/2025 22:45</t>
  </si>
  <si>
    <t>08/05/2025 23:00</t>
  </si>
  <si>
    <t>08/05/2025 23:15</t>
  </si>
  <si>
    <t>08/05/2025 23:30</t>
  </si>
  <si>
    <t>08/05/2025 23:45</t>
  </si>
  <si>
    <t>08/05/2025 24:00</t>
  </si>
  <si>
    <t>09/05/2025 00:15</t>
  </si>
  <si>
    <t>09/05/2025 00:30</t>
  </si>
  <si>
    <t>09/05/2025 00:45</t>
  </si>
  <si>
    <t>09/05/2025 01:00</t>
  </si>
  <si>
    <t>09/05/2025 01:15</t>
  </si>
  <si>
    <t>09/05/2025 01:30</t>
  </si>
  <si>
    <t>09/05/2025 01:45</t>
  </si>
  <si>
    <t>09/05/2025 02:00</t>
  </si>
  <si>
    <t>09/05/2025 02:15</t>
  </si>
  <si>
    <t>09/05/2025 02:30</t>
  </si>
  <si>
    <t>09/05/2025 02:45</t>
  </si>
  <si>
    <t>09/05/2025 03:00</t>
  </si>
  <si>
    <t>09/05/2025 03:15</t>
  </si>
  <si>
    <t>09/05/2025 03:30</t>
  </si>
  <si>
    <t>09/05/2025 03:45</t>
  </si>
  <si>
    <t>09/05/2025 04:00</t>
  </si>
  <si>
    <t>09/05/2025 04:15</t>
  </si>
  <si>
    <t>09/05/2025 04:30</t>
  </si>
  <si>
    <t>09/05/2025 04:45</t>
  </si>
  <si>
    <t>09/05/2025 05:00</t>
  </si>
  <si>
    <t>09/05/2025 05:15</t>
  </si>
  <si>
    <t>09/05/2025 05:30</t>
  </si>
  <si>
    <t>09/05/2025 05:45</t>
  </si>
  <si>
    <t>09/05/2025 06:00</t>
  </si>
  <si>
    <t>09/05/2025 06:15</t>
  </si>
  <si>
    <t>09/05/2025 06:30</t>
  </si>
  <si>
    <t>09/05/2025 06:45</t>
  </si>
  <si>
    <t>09/05/2025 07:00</t>
  </si>
  <si>
    <t>09/05/2025 07:15</t>
  </si>
  <si>
    <t>09/05/2025 07:30</t>
  </si>
  <si>
    <t>09/05/2025 07:45</t>
  </si>
  <si>
    <t>09/05/2025 08:00</t>
  </si>
  <si>
    <t>09/05/2025 08:15</t>
  </si>
  <si>
    <t>09/05/2025 08:30</t>
  </si>
  <si>
    <t>09/05/2025 08:45</t>
  </si>
  <si>
    <t>09/05/2025 09:00</t>
  </si>
  <si>
    <t>09/05/2025 09:15</t>
  </si>
  <si>
    <t>09/05/2025 09:30</t>
  </si>
  <si>
    <t>09/05/2025 09:45</t>
  </si>
  <si>
    <t>09/05/2025 10:00</t>
  </si>
  <si>
    <t>09/05/2025 10:15</t>
  </si>
  <si>
    <t>09/05/2025 10:30</t>
  </si>
  <si>
    <t>09/05/2025 10:45</t>
  </si>
  <si>
    <t>09/05/2025 11:00</t>
  </si>
  <si>
    <t>09/05/2025 11:15</t>
  </si>
  <si>
    <t>09/05/2025 11:30</t>
  </si>
  <si>
    <t>09/05/2025 11:45</t>
  </si>
  <si>
    <t>09/05/2025 12:00</t>
  </si>
  <si>
    <t>09/05/2025 12:15</t>
  </si>
  <si>
    <t>09/05/2025 12:30</t>
  </si>
  <si>
    <t>09/05/2025 12:45</t>
  </si>
  <si>
    <t>09/05/2025 13:00</t>
  </si>
  <si>
    <t>09/05/2025 13:15</t>
  </si>
  <si>
    <t>09/05/2025 13:30</t>
  </si>
  <si>
    <t>09/05/2025 13:45</t>
  </si>
  <si>
    <t>09/05/2025 14:00</t>
  </si>
  <si>
    <t>09/05/2025 14:15</t>
  </si>
  <si>
    <t>09/05/2025 14:30</t>
  </si>
  <si>
    <t>09/05/2025 14:45</t>
  </si>
  <si>
    <t>09/05/2025 15:00</t>
  </si>
  <si>
    <t>09/05/2025 15:15</t>
  </si>
  <si>
    <t>09/05/2025 15:30</t>
  </si>
  <si>
    <t>09/05/2025 15:45</t>
  </si>
  <si>
    <t>09/05/2025 16:00</t>
  </si>
  <si>
    <t>09/05/2025 16:15</t>
  </si>
  <si>
    <t>09/05/2025 16:30</t>
  </si>
  <si>
    <t>09/05/2025 16:45</t>
  </si>
  <si>
    <t>09/05/2025 17:00</t>
  </si>
  <si>
    <t>09/05/2025 17:15</t>
  </si>
  <si>
    <t>09/05/2025 17:30</t>
  </si>
  <si>
    <t>09/05/2025 17:45</t>
  </si>
  <si>
    <t>09/05/2025 18:00</t>
  </si>
  <si>
    <t>09/05/2025 18:15</t>
  </si>
  <si>
    <t>09/05/2025 18:30</t>
  </si>
  <si>
    <t>09/05/2025 18:45</t>
  </si>
  <si>
    <t>09/05/2025 19:00</t>
  </si>
  <si>
    <t>09/05/2025 19:15</t>
  </si>
  <si>
    <t>09/05/2025 19:30</t>
  </si>
  <si>
    <t>09/05/2025 19:45</t>
  </si>
  <si>
    <t>09/05/2025 20:00</t>
  </si>
  <si>
    <t>09/05/2025 20:15</t>
  </si>
  <si>
    <t>09/05/2025 20:30</t>
  </si>
  <si>
    <t>09/05/2025 20:45</t>
  </si>
  <si>
    <t>09/05/2025 21:00</t>
  </si>
  <si>
    <t>09/05/2025 21:15</t>
  </si>
  <si>
    <t>09/05/2025 21:30</t>
  </si>
  <si>
    <t>09/05/2025 21:45</t>
  </si>
  <si>
    <t>09/05/2025 22:00</t>
  </si>
  <si>
    <t>09/05/2025 22:15</t>
  </si>
  <si>
    <t>09/05/2025 22:30</t>
  </si>
  <si>
    <t>09/05/2025 22:45</t>
  </si>
  <si>
    <t>09/05/2025 23:00</t>
  </si>
  <si>
    <t>09/05/2025 23:15</t>
  </si>
  <si>
    <t>09/05/2025 23:30</t>
  </si>
  <si>
    <t>09/05/2025 23:45</t>
  </si>
  <si>
    <t>09/05/2025 24:00</t>
  </si>
  <si>
    <t>10/05/2025 00:15</t>
  </si>
  <si>
    <t>10/05/2025 00:30</t>
  </si>
  <si>
    <t>10/05/2025 00:45</t>
  </si>
  <si>
    <t>10/05/2025 01:00</t>
  </si>
  <si>
    <t>10/05/2025 01:15</t>
  </si>
  <si>
    <t>10/05/2025 01:30</t>
  </si>
  <si>
    <t>10/05/2025 01:45</t>
  </si>
  <si>
    <t>10/05/2025 02:00</t>
  </si>
  <si>
    <t>10/05/2025 02:15</t>
  </si>
  <si>
    <t>10/05/2025 02:30</t>
  </si>
  <si>
    <t>10/05/2025 02:45</t>
  </si>
  <si>
    <t>10/05/2025 03:00</t>
  </si>
  <si>
    <t>10/05/2025 03:15</t>
  </si>
  <si>
    <t>10/05/2025 03:30</t>
  </si>
  <si>
    <t>10/05/2025 03:45</t>
  </si>
  <si>
    <t>10/05/2025 04:00</t>
  </si>
  <si>
    <t>10/05/2025 04:15</t>
  </si>
  <si>
    <t>10/05/2025 04:30</t>
  </si>
  <si>
    <t>10/05/2025 04:45</t>
  </si>
  <si>
    <t>10/05/2025 05:00</t>
  </si>
  <si>
    <t>10/05/2025 05:15</t>
  </si>
  <si>
    <t>10/05/2025 05:30</t>
  </si>
  <si>
    <t>10/05/2025 05:45</t>
  </si>
  <si>
    <t>10/05/2025 06:00</t>
  </si>
  <si>
    <t>10/05/2025 06:15</t>
  </si>
  <si>
    <t>10/05/2025 06:30</t>
  </si>
  <si>
    <t>10/05/2025 06:45</t>
  </si>
  <si>
    <t>10/05/2025 07:00</t>
  </si>
  <si>
    <t>10/05/2025 07:15</t>
  </si>
  <si>
    <t>10/05/2025 07:30</t>
  </si>
  <si>
    <t>10/05/2025 07:45</t>
  </si>
  <si>
    <t>10/05/2025 08:00</t>
  </si>
  <si>
    <t>10/05/2025 08:15</t>
  </si>
  <si>
    <t>10/05/2025 08:30</t>
  </si>
  <si>
    <t>10/05/2025 08:45</t>
  </si>
  <si>
    <t>10/05/2025 09:00</t>
  </si>
  <si>
    <t>10/05/2025 09:15</t>
  </si>
  <si>
    <t>10/05/2025 09:30</t>
  </si>
  <si>
    <t>10/05/2025 09:45</t>
  </si>
  <si>
    <t>10/05/2025 10:00</t>
  </si>
  <si>
    <t>10/05/2025 10:15</t>
  </si>
  <si>
    <t>10/05/2025 10:30</t>
  </si>
  <si>
    <t>10/05/2025 10:45</t>
  </si>
  <si>
    <t>10/05/2025 11:00</t>
  </si>
  <si>
    <t>10/05/2025 11:15</t>
  </si>
  <si>
    <t>10/05/2025 11:30</t>
  </si>
  <si>
    <t>10/05/2025 11:45</t>
  </si>
  <si>
    <t>10/05/2025 12:00</t>
  </si>
  <si>
    <t>10/05/2025 12:15</t>
  </si>
  <si>
    <t>10/05/2025 12:30</t>
  </si>
  <si>
    <t>10/05/2025 12:45</t>
  </si>
  <si>
    <t>10/05/2025 13:00</t>
  </si>
  <si>
    <t>10/05/2025 13:15</t>
  </si>
  <si>
    <t>10/05/2025 13:30</t>
  </si>
  <si>
    <t>10/05/2025 13:45</t>
  </si>
  <si>
    <t>10/05/2025 14:00</t>
  </si>
  <si>
    <t>10/05/2025 14:15</t>
  </si>
  <si>
    <t>10/05/2025 14:30</t>
  </si>
  <si>
    <t>10/05/2025 14:45</t>
  </si>
  <si>
    <t>10/05/2025 15:00</t>
  </si>
  <si>
    <t>10/05/2025 15:15</t>
  </si>
  <si>
    <t>10/05/2025 15:30</t>
  </si>
  <si>
    <t>10/05/2025 15:45</t>
  </si>
  <si>
    <t>10/05/2025 16:00</t>
  </si>
  <si>
    <t>10/05/2025 16:15</t>
  </si>
  <si>
    <t>10/05/2025 16:30</t>
  </si>
  <si>
    <t>10/05/2025 16:45</t>
  </si>
  <si>
    <t>10/05/2025 17:00</t>
  </si>
  <si>
    <t>10/05/2025 17:15</t>
  </si>
  <si>
    <t>10/05/2025 17:30</t>
  </si>
  <si>
    <t>10/05/2025 17:45</t>
  </si>
  <si>
    <t>10/05/2025 18:00</t>
  </si>
  <si>
    <t>10/05/2025 18:15</t>
  </si>
  <si>
    <t>10/05/2025 18:30</t>
  </si>
  <si>
    <t>10/05/2025 18:45</t>
  </si>
  <si>
    <t>10/05/2025 19:00</t>
  </si>
  <si>
    <t>10/05/2025 19:15</t>
  </si>
  <si>
    <t>10/05/2025 19:30</t>
  </si>
  <si>
    <t>10/05/2025 19:45</t>
  </si>
  <si>
    <t>10/05/2025 20:00</t>
  </si>
  <si>
    <t>10/05/2025 20:15</t>
  </si>
  <si>
    <t>10/05/2025 20:30</t>
  </si>
  <si>
    <t>10/05/2025 20:45</t>
  </si>
  <si>
    <t>10/05/2025 21:00</t>
  </si>
  <si>
    <t>10/05/2025 21:15</t>
  </si>
  <si>
    <t>10/05/2025 21:30</t>
  </si>
  <si>
    <t>10/05/2025 21:45</t>
  </si>
  <si>
    <t>10/05/2025 22:00</t>
  </si>
  <si>
    <t>10/05/2025 22:15</t>
  </si>
  <si>
    <t>10/05/2025 22:30</t>
  </si>
  <si>
    <t>10/05/2025 22:45</t>
  </si>
  <si>
    <t>10/05/2025 23:00</t>
  </si>
  <si>
    <t>10/05/2025 23:15</t>
  </si>
  <si>
    <t>10/05/2025 23:30</t>
  </si>
  <si>
    <t>10/05/2025 23:45</t>
  </si>
  <si>
    <t>10/05/2025 24:00</t>
  </si>
  <si>
    <t>11/05/2025 00:15</t>
  </si>
  <si>
    <t>11/05/2025 00:30</t>
  </si>
  <si>
    <t>11/05/2025 00:45</t>
  </si>
  <si>
    <t>11/05/2025 01:00</t>
  </si>
  <si>
    <t>11/05/2025 01:15</t>
  </si>
  <si>
    <t>11/05/2025 01:30</t>
  </si>
  <si>
    <t>11/05/2025 01:45</t>
  </si>
  <si>
    <t>11/05/2025 02:00</t>
  </si>
  <si>
    <t>11/05/2025 02:15</t>
  </si>
  <si>
    <t>11/05/2025 02:30</t>
  </si>
  <si>
    <t>11/05/2025 02:45</t>
  </si>
  <si>
    <t>11/05/2025 03:00</t>
  </si>
  <si>
    <t>11/05/2025 03:15</t>
  </si>
  <si>
    <t>11/05/2025 03:30</t>
  </si>
  <si>
    <t>11/05/2025 03:45</t>
  </si>
  <si>
    <t>11/05/2025 04:00</t>
  </si>
  <si>
    <t>11/05/2025 04:15</t>
  </si>
  <si>
    <t>11/05/2025 04:30</t>
  </si>
  <si>
    <t>11/05/2025 04:45</t>
  </si>
  <si>
    <t>11/05/2025 05:00</t>
  </si>
  <si>
    <t>11/05/2025 05:15</t>
  </si>
  <si>
    <t>11/05/2025 05:30</t>
  </si>
  <si>
    <t>11/05/2025 05:45</t>
  </si>
  <si>
    <t>11/05/2025 06:00</t>
  </si>
  <si>
    <t>11/05/2025 06:15</t>
  </si>
  <si>
    <t>11/05/2025 06:30</t>
  </si>
  <si>
    <t>11/05/2025 06:45</t>
  </si>
  <si>
    <t>11/05/2025 07:00</t>
  </si>
  <si>
    <t>11/05/2025 07:15</t>
  </si>
  <si>
    <t>11/05/2025 07:30</t>
  </si>
  <si>
    <t>11/05/2025 07:45</t>
  </si>
  <si>
    <t>11/05/2025 08:00</t>
  </si>
  <si>
    <t>11/05/2025 08:15</t>
  </si>
  <si>
    <t>11/05/2025 08:30</t>
  </si>
  <si>
    <t>11/05/2025 08:45</t>
  </si>
  <si>
    <t>11/05/2025 09:00</t>
  </si>
  <si>
    <t>11/05/2025 09:15</t>
  </si>
  <si>
    <t>11/05/2025 09:30</t>
  </si>
  <si>
    <t>11/05/2025 09:45</t>
  </si>
  <si>
    <t>11/05/2025 10:00</t>
  </si>
  <si>
    <t>11/05/2025 10:15</t>
  </si>
  <si>
    <t>11/05/2025 10:30</t>
  </si>
  <si>
    <t>11/05/2025 10:45</t>
  </si>
  <si>
    <t>11/05/2025 11:00</t>
  </si>
  <si>
    <t>11/05/2025 11:15</t>
  </si>
  <si>
    <t>11/05/2025 11:30</t>
  </si>
  <si>
    <t>11/05/2025 11:45</t>
  </si>
  <si>
    <t>11/05/2025 12:00</t>
  </si>
  <si>
    <t>11/05/2025 12:15</t>
  </si>
  <si>
    <t>11/05/2025 12:30</t>
  </si>
  <si>
    <t>11/05/2025 12:45</t>
  </si>
  <si>
    <t>11/05/2025 13:00</t>
  </si>
  <si>
    <t>11/05/2025 13:15</t>
  </si>
  <si>
    <t>11/05/2025 13:30</t>
  </si>
  <si>
    <t>11/05/2025 13:45</t>
  </si>
  <si>
    <t>11/05/2025 14:00</t>
  </si>
  <si>
    <t>11/05/2025 14:15</t>
  </si>
  <si>
    <t>11/05/2025 14:30</t>
  </si>
  <si>
    <t>11/05/2025 14:45</t>
  </si>
  <si>
    <t>11/05/2025 15:00</t>
  </si>
  <si>
    <t>11/05/2025 15:15</t>
  </si>
  <si>
    <t>11/05/2025 15:30</t>
  </si>
  <si>
    <t>11/05/2025 15:45</t>
  </si>
  <si>
    <t>11/05/2025 16:00</t>
  </si>
  <si>
    <t>11/05/2025 16:15</t>
  </si>
  <si>
    <t>11/05/2025 16:30</t>
  </si>
  <si>
    <t>11/05/2025 16:45</t>
  </si>
  <si>
    <t>11/05/2025 17:00</t>
  </si>
  <si>
    <t>11/05/2025 17:15</t>
  </si>
  <si>
    <t>11/05/2025 17:30</t>
  </si>
  <si>
    <t>11/05/2025 17:45</t>
  </si>
  <si>
    <t>11/05/2025 18:00</t>
  </si>
  <si>
    <t>11/05/2025 18:15</t>
  </si>
  <si>
    <t>11/05/2025 18:30</t>
  </si>
  <si>
    <t>11/05/2025 18:45</t>
  </si>
  <si>
    <t>11/05/2025 19:00</t>
  </si>
  <si>
    <t>11/05/2025 19:15</t>
  </si>
  <si>
    <t>11/05/2025 19:30</t>
  </si>
  <si>
    <t>11/05/2025 19:45</t>
  </si>
  <si>
    <t>11/05/2025 20:00</t>
  </si>
  <si>
    <t>11/05/2025 20:15</t>
  </si>
  <si>
    <t>11/05/2025 20:30</t>
  </si>
  <si>
    <t>11/05/2025 20:45</t>
  </si>
  <si>
    <t>11/05/2025 21:00</t>
  </si>
  <si>
    <t>11/05/2025 21:15</t>
  </si>
  <si>
    <t>11/05/2025 21:30</t>
  </si>
  <si>
    <t>11/05/2025 21:45</t>
  </si>
  <si>
    <t>11/05/2025 22:00</t>
  </si>
  <si>
    <t>11/05/2025 22:15</t>
  </si>
  <si>
    <t>11/05/2025 22:30</t>
  </si>
  <si>
    <t>11/05/2025 22:45</t>
  </si>
  <si>
    <t>11/05/2025 23:00</t>
  </si>
  <si>
    <t>11/05/2025 23:15</t>
  </si>
  <si>
    <t>11/05/2025 23:30</t>
  </si>
  <si>
    <t>11/05/2025 23:45</t>
  </si>
  <si>
    <t>11/05/2025 24:00</t>
  </si>
  <si>
    <t>12/05/2025 00:15</t>
  </si>
  <si>
    <t>12/05/2025 00:30</t>
  </si>
  <si>
    <t>12/05/2025 00:45</t>
  </si>
  <si>
    <t>12/05/2025 01:00</t>
  </si>
  <si>
    <t>12/05/2025 01:15</t>
  </si>
  <si>
    <t>12/05/2025 01:30</t>
  </si>
  <si>
    <t>12/05/2025 01:45</t>
  </si>
  <si>
    <t>12/05/2025 02:00</t>
  </si>
  <si>
    <t>12/05/2025 02:15</t>
  </si>
  <si>
    <t>12/05/2025 02:30</t>
  </si>
  <si>
    <t>12/05/2025 02:45</t>
  </si>
  <si>
    <t>12/05/2025 03:00</t>
  </si>
  <si>
    <t>12/05/2025 03:15</t>
  </si>
  <si>
    <t>12/05/2025 03:30</t>
  </si>
  <si>
    <t>12/05/2025 03:45</t>
  </si>
  <si>
    <t>12/05/2025 04:00</t>
  </si>
  <si>
    <t>12/05/2025 04:15</t>
  </si>
  <si>
    <t>12/05/2025 04:30</t>
  </si>
  <si>
    <t>12/05/2025 04:45</t>
  </si>
  <si>
    <t>12/05/2025 05:00</t>
  </si>
  <si>
    <t>12/05/2025 05:15</t>
  </si>
  <si>
    <t>12/05/2025 05:30</t>
  </si>
  <si>
    <t>12/05/2025 05:45</t>
  </si>
  <si>
    <t>12/05/2025 06:00</t>
  </si>
  <si>
    <t>12/05/2025 06:15</t>
  </si>
  <si>
    <t>12/05/2025 06:30</t>
  </si>
  <si>
    <t>12/05/2025 06:45</t>
  </si>
  <si>
    <t>12/05/2025 07:00</t>
  </si>
  <si>
    <t>12/05/2025 07:15</t>
  </si>
  <si>
    <t>12/05/2025 07:30</t>
  </si>
  <si>
    <t>12/05/2025 07:45</t>
  </si>
  <si>
    <t>12/05/2025 08:00</t>
  </si>
  <si>
    <t>12/05/2025 08:15</t>
  </si>
  <si>
    <t>12/05/2025 08:30</t>
  </si>
  <si>
    <t>12/05/2025 08:45</t>
  </si>
  <si>
    <t>12/05/2025 09:00</t>
  </si>
  <si>
    <t>12/05/2025 09:15</t>
  </si>
  <si>
    <t>12/05/2025 09:30</t>
  </si>
  <si>
    <t>12/05/2025 09:45</t>
  </si>
  <si>
    <t>12/05/2025 10:00</t>
  </si>
  <si>
    <t>12/05/2025 10:15</t>
  </si>
  <si>
    <t>12/05/2025 10:30</t>
  </si>
  <si>
    <t>12/05/2025 10:45</t>
  </si>
  <si>
    <t>12/05/2025 11:00</t>
  </si>
  <si>
    <t>12/05/2025 11:15</t>
  </si>
  <si>
    <t>12/05/2025 11:30</t>
  </si>
  <si>
    <t>12/05/2025 11:45</t>
  </si>
  <si>
    <t>12/05/2025 12:00</t>
  </si>
  <si>
    <t>12/05/2025 12:15</t>
  </si>
  <si>
    <t>12/05/2025 12:30</t>
  </si>
  <si>
    <t>12/05/2025 12:45</t>
  </si>
  <si>
    <t>12/05/2025 13:00</t>
  </si>
  <si>
    <t>12/05/2025 13:15</t>
  </si>
  <si>
    <t>12/05/2025 13:30</t>
  </si>
  <si>
    <t>12/05/2025 13:45</t>
  </si>
  <si>
    <t>12/05/2025 14:00</t>
  </si>
  <si>
    <t>12/05/2025 14:15</t>
  </si>
  <si>
    <t>12/05/2025 14:30</t>
  </si>
  <si>
    <t>12/05/2025 14:45</t>
  </si>
  <si>
    <t>12/05/2025 15:00</t>
  </si>
  <si>
    <t>12/05/2025 15:15</t>
  </si>
  <si>
    <t>12/05/2025 15:30</t>
  </si>
  <si>
    <t>12/05/2025 15:45</t>
  </si>
  <si>
    <t>12/05/2025 16:00</t>
  </si>
  <si>
    <t>12/05/2025 16:15</t>
  </si>
  <si>
    <t>12/05/2025 16:30</t>
  </si>
  <si>
    <t>12/05/2025 16:45</t>
  </si>
  <si>
    <t>12/05/2025 17:00</t>
  </si>
  <si>
    <t>12/05/2025 17:15</t>
  </si>
  <si>
    <t>12/05/2025 17:30</t>
  </si>
  <si>
    <t>12/05/2025 17:45</t>
  </si>
  <si>
    <t>12/05/2025 18:00</t>
  </si>
  <si>
    <t>12/05/2025 18:15</t>
  </si>
  <si>
    <t>12/05/2025 18:30</t>
  </si>
  <si>
    <t>12/05/2025 18:45</t>
  </si>
  <si>
    <t>12/05/2025 19:00</t>
  </si>
  <si>
    <t>12/05/2025 19:15</t>
  </si>
  <si>
    <t>12/05/2025 19:30</t>
  </si>
  <si>
    <t>12/05/2025 19:45</t>
  </si>
  <si>
    <t>12/05/2025 20:00</t>
  </si>
  <si>
    <t>12/05/2025 20:15</t>
  </si>
  <si>
    <t>12/05/2025 20:30</t>
  </si>
  <si>
    <t>12/05/2025 20:45</t>
  </si>
  <si>
    <t>12/05/2025 21:00</t>
  </si>
  <si>
    <t>12/05/2025 21:15</t>
  </si>
  <si>
    <t>12/05/2025 21:30</t>
  </si>
  <si>
    <t>12/05/2025 21:45</t>
  </si>
  <si>
    <t>12/05/2025 22:00</t>
  </si>
  <si>
    <t>12/05/2025 22:15</t>
  </si>
  <si>
    <t>12/05/2025 22:30</t>
  </si>
  <si>
    <t>12/05/2025 22:45</t>
  </si>
  <si>
    <t>12/05/2025 23:00</t>
  </si>
  <si>
    <t>12/05/2025 23:15</t>
  </si>
  <si>
    <t>12/05/2025 23:30</t>
  </si>
  <si>
    <t>12/05/2025 23:45</t>
  </si>
  <si>
    <t>12/05/2025 24:00</t>
  </si>
  <si>
    <t>13/05/2025 00:15</t>
  </si>
  <si>
    <t>13/05/2025 00:30</t>
  </si>
  <si>
    <t>13/05/2025 00:45</t>
  </si>
  <si>
    <t>13/05/2025 01:00</t>
  </si>
  <si>
    <t>13/05/2025 01:15</t>
  </si>
  <si>
    <t>13/05/2025 01:30</t>
  </si>
  <si>
    <t>13/05/2025 01:45</t>
  </si>
  <si>
    <t>13/05/2025 02:00</t>
  </si>
  <si>
    <t>13/05/2025 02:15</t>
  </si>
  <si>
    <t>13/05/2025 02:30</t>
  </si>
  <si>
    <t>13/05/2025 02:45</t>
  </si>
  <si>
    <t>13/05/2025 03:00</t>
  </si>
  <si>
    <t>13/05/2025 03:15</t>
  </si>
  <si>
    <t>13/05/2025 03:30</t>
  </si>
  <si>
    <t>13/05/2025 03:45</t>
  </si>
  <si>
    <t>13/05/2025 04:00</t>
  </si>
  <si>
    <t>13/05/2025 04:15</t>
  </si>
  <si>
    <t>13/05/2025 04:30</t>
  </si>
  <si>
    <t>13/05/2025 04:45</t>
  </si>
  <si>
    <t>13/05/2025 05:00</t>
  </si>
  <si>
    <t>13/05/2025 05:15</t>
  </si>
  <si>
    <t>13/05/2025 05:30</t>
  </si>
  <si>
    <t>13/05/2025 05:45</t>
  </si>
  <si>
    <t>13/05/2025 06:00</t>
  </si>
  <si>
    <t>13/05/2025 06:15</t>
  </si>
  <si>
    <t>13/05/2025 06:30</t>
  </si>
  <si>
    <t>13/05/2025 06:45</t>
  </si>
  <si>
    <t>13/05/2025 07:00</t>
  </si>
  <si>
    <t>13/05/2025 07:15</t>
  </si>
  <si>
    <t>13/05/2025 07:30</t>
  </si>
  <si>
    <t>13/05/2025 07:45</t>
  </si>
  <si>
    <t>13/05/2025 08:00</t>
  </si>
  <si>
    <t>13/05/2025 08:15</t>
  </si>
  <si>
    <t>13/05/2025 08:30</t>
  </si>
  <si>
    <t>13/05/2025 08:45</t>
  </si>
  <si>
    <t>13/05/2025 09:00</t>
  </si>
  <si>
    <t>13/05/2025 09:15</t>
  </si>
  <si>
    <t>13/05/2025 09:30</t>
  </si>
  <si>
    <t>13/05/2025 09:45</t>
  </si>
  <si>
    <t>13/05/2025 10:00</t>
  </si>
  <si>
    <t>13/05/2025 10:15</t>
  </si>
  <si>
    <t>13/05/2025 10:30</t>
  </si>
  <si>
    <t>13/05/2025 10:45</t>
  </si>
  <si>
    <t>13/05/2025 11:00</t>
  </si>
  <si>
    <t>13/05/2025 11:15</t>
  </si>
  <si>
    <t>13/05/2025 11:30</t>
  </si>
  <si>
    <t>13/05/2025 11:45</t>
  </si>
  <si>
    <t>13/05/2025 12:00</t>
  </si>
  <si>
    <t>13/05/2025 12:15</t>
  </si>
  <si>
    <t>13/05/2025 12:30</t>
  </si>
  <si>
    <t>13/05/2025 12:45</t>
  </si>
  <si>
    <t>13/05/2025 13:00</t>
  </si>
  <si>
    <t>13/05/2025 13:15</t>
  </si>
  <si>
    <t>13/05/2025 13:30</t>
  </si>
  <si>
    <t>13/05/2025 13:45</t>
  </si>
  <si>
    <t>13/05/2025 14:00</t>
  </si>
  <si>
    <t>13/05/2025 14:15</t>
  </si>
  <si>
    <t>13/05/2025 14:30</t>
  </si>
  <si>
    <t>13/05/2025 14:45</t>
  </si>
  <si>
    <t>13/05/2025 15:00</t>
  </si>
  <si>
    <t>13/05/2025 15:15</t>
  </si>
  <si>
    <t>13/05/2025 15:30</t>
  </si>
  <si>
    <t>13/05/2025 15:45</t>
  </si>
  <si>
    <t>13/05/2025 16:00</t>
  </si>
  <si>
    <t>13/05/2025 16:15</t>
  </si>
  <si>
    <t>13/05/2025 16:30</t>
  </si>
  <si>
    <t>13/05/2025 16:45</t>
  </si>
  <si>
    <t>13/05/2025 17:00</t>
  </si>
  <si>
    <t>13/05/2025 17:15</t>
  </si>
  <si>
    <t>13/05/2025 17:30</t>
  </si>
  <si>
    <t>13/05/2025 17:45</t>
  </si>
  <si>
    <t>13/05/2025 18:00</t>
  </si>
  <si>
    <t>13/05/2025 18:15</t>
  </si>
  <si>
    <t>13/05/2025 18:30</t>
  </si>
  <si>
    <t>13/05/2025 18:45</t>
  </si>
  <si>
    <t>13/05/2025 19:00</t>
  </si>
  <si>
    <t>13/05/2025 19:15</t>
  </si>
  <si>
    <t>13/05/2025 19:30</t>
  </si>
  <si>
    <t>13/05/2025 19:45</t>
  </si>
  <si>
    <t>13/05/2025 20:00</t>
  </si>
  <si>
    <t>13/05/2025 20:15</t>
  </si>
  <si>
    <t>13/05/2025 20:30</t>
  </si>
  <si>
    <t>13/05/2025 20:45</t>
  </si>
  <si>
    <t>13/05/2025 21:00</t>
  </si>
  <si>
    <t>13/05/2025 21:15</t>
  </si>
  <si>
    <t>13/05/2025 21:30</t>
  </si>
  <si>
    <t>13/05/2025 21:45</t>
  </si>
  <si>
    <t>13/05/2025 22:00</t>
  </si>
  <si>
    <t>13/05/2025 22:15</t>
  </si>
  <si>
    <t>13/05/2025 22:30</t>
  </si>
  <si>
    <t>13/05/2025 22:45</t>
  </si>
  <si>
    <t>13/05/2025 23:00</t>
  </si>
  <si>
    <t>13/05/2025 23:15</t>
  </si>
  <si>
    <t>13/05/2025 23:30</t>
  </si>
  <si>
    <t>13/05/2025 23:45</t>
  </si>
  <si>
    <t>13/05/2025 24:00</t>
  </si>
  <si>
    <t>14/05/2025 00:15</t>
  </si>
  <si>
    <t>14/05/2025 00:30</t>
  </si>
  <si>
    <t>14/05/2025 00:45</t>
  </si>
  <si>
    <t>14/05/2025 01:00</t>
  </si>
  <si>
    <t>14/05/2025 01:15</t>
  </si>
  <si>
    <t>14/05/2025 01:30</t>
  </si>
  <si>
    <t>14/05/2025 01:45</t>
  </si>
  <si>
    <t>14/05/2025 02:00</t>
  </si>
  <si>
    <t>14/05/2025 02:15</t>
  </si>
  <si>
    <t>14/05/2025 02:30</t>
  </si>
  <si>
    <t>14/05/2025 02:45</t>
  </si>
  <si>
    <t>14/05/2025 03:00</t>
  </si>
  <si>
    <t>14/05/2025 03:15</t>
  </si>
  <si>
    <t>14/05/2025 03:30</t>
  </si>
  <si>
    <t>14/05/2025 03:45</t>
  </si>
  <si>
    <t>14/05/2025 04:00</t>
  </si>
  <si>
    <t>14/05/2025 04:15</t>
  </si>
  <si>
    <t>14/05/2025 04:30</t>
  </si>
  <si>
    <t>14/05/2025 04:45</t>
  </si>
  <si>
    <t>14/05/2025 05:00</t>
  </si>
  <si>
    <t>14/05/2025 05:15</t>
  </si>
  <si>
    <t>14/05/2025 05:30</t>
  </si>
  <si>
    <t>14/05/2025 05:45</t>
  </si>
  <si>
    <t>14/05/2025 06:00</t>
  </si>
  <si>
    <t>14/05/2025 06:15</t>
  </si>
  <si>
    <t>14/05/2025 06:30</t>
  </si>
  <si>
    <t>14/05/2025 06:45</t>
  </si>
  <si>
    <t>14/05/2025 07:00</t>
  </si>
  <si>
    <t>14/05/2025 07:15</t>
  </si>
  <si>
    <t>14/05/2025 07:30</t>
  </si>
  <si>
    <t>14/05/2025 07:45</t>
  </si>
  <si>
    <t>14/05/2025 08:00</t>
  </si>
  <si>
    <t>14/05/2025 08:15</t>
  </si>
  <si>
    <t>14/05/2025 08:30</t>
  </si>
  <si>
    <t>14/05/2025 08:45</t>
  </si>
  <si>
    <t>14/05/2025 09:00</t>
  </si>
  <si>
    <t>14/05/2025 09:15</t>
  </si>
  <si>
    <t>14/05/2025 09:30</t>
  </si>
  <si>
    <t>14/05/2025 09:45</t>
  </si>
  <si>
    <t>14/05/2025 10:00</t>
  </si>
  <si>
    <t>14/05/2025 10:15</t>
  </si>
  <si>
    <t>14/05/2025 10:30</t>
  </si>
  <si>
    <t>14/05/2025 10:45</t>
  </si>
  <si>
    <t>14/05/2025 11:00</t>
  </si>
  <si>
    <t>14/05/2025 11:15</t>
  </si>
  <si>
    <t>14/05/2025 11:30</t>
  </si>
  <si>
    <t>14/05/2025 11:45</t>
  </si>
  <si>
    <t>14/05/2025 12:00</t>
  </si>
  <si>
    <t>14/05/2025 12:15</t>
  </si>
  <si>
    <t>14/05/2025 12:30</t>
  </si>
  <si>
    <t>14/05/2025 12:45</t>
  </si>
  <si>
    <t>14/05/2025 13:00</t>
  </si>
  <si>
    <t>14/05/2025 13:15</t>
  </si>
  <si>
    <t>14/05/2025 13:30</t>
  </si>
  <si>
    <t>14/05/2025 13:45</t>
  </si>
  <si>
    <t>14/05/2025 14:00</t>
  </si>
  <si>
    <t>14/05/2025 14:15</t>
  </si>
  <si>
    <t>14/05/2025 14:30</t>
  </si>
  <si>
    <t>14/05/2025 14:45</t>
  </si>
  <si>
    <t>14/05/2025 15:00</t>
  </si>
  <si>
    <t>14/05/2025 15:15</t>
  </si>
  <si>
    <t>14/05/2025 15:30</t>
  </si>
  <si>
    <t>14/05/2025 15:45</t>
  </si>
  <si>
    <t>14/05/2025 16:00</t>
  </si>
  <si>
    <t>14/05/2025 16:15</t>
  </si>
  <si>
    <t>14/05/2025 16:30</t>
  </si>
  <si>
    <t>14/05/2025 16:45</t>
  </si>
  <si>
    <t>14/05/2025 17:00</t>
  </si>
  <si>
    <t>14/05/2025 17:15</t>
  </si>
  <si>
    <t>14/05/2025 17:30</t>
  </si>
  <si>
    <t>14/05/2025 17:45</t>
  </si>
  <si>
    <t>14/05/2025 18:00</t>
  </si>
  <si>
    <t>14/05/2025 18:15</t>
  </si>
  <si>
    <t>14/05/2025 18:30</t>
  </si>
  <si>
    <t>14/05/2025 18:45</t>
  </si>
  <si>
    <t>14/05/2025 19:00</t>
  </si>
  <si>
    <t>14/05/2025 19:15</t>
  </si>
  <si>
    <t>14/05/2025 19:30</t>
  </si>
  <si>
    <t>14/05/2025 19:45</t>
  </si>
  <si>
    <t>14/05/2025 20:00</t>
  </si>
  <si>
    <t>14/05/2025 20:15</t>
  </si>
  <si>
    <t>14/05/2025 20:30</t>
  </si>
  <si>
    <t>14/05/2025 20:45</t>
  </si>
  <si>
    <t>14/05/2025 21:00</t>
  </si>
  <si>
    <t>14/05/2025 21:15</t>
  </si>
  <si>
    <t>14/05/2025 21:30</t>
  </si>
  <si>
    <t>14/05/2025 21:45</t>
  </si>
  <si>
    <t>14/05/2025 22:00</t>
  </si>
  <si>
    <t>14/05/2025 22:15</t>
  </si>
  <si>
    <t>14/05/2025 22:30</t>
  </si>
  <si>
    <t>14/05/2025 22:45</t>
  </si>
  <si>
    <t>14/05/2025 23:00</t>
  </si>
  <si>
    <t>14/05/2025 23:15</t>
  </si>
  <si>
    <t>14/05/2025 23:30</t>
  </si>
  <si>
    <t>14/05/2025 23:45</t>
  </si>
  <si>
    <t>14/05/2025 24:00</t>
  </si>
  <si>
    <t>15/05/2025 00:15</t>
  </si>
  <si>
    <t>15/05/2025 00:30</t>
  </si>
  <si>
    <t>15/05/2025 00:45</t>
  </si>
  <si>
    <t>15/05/2025 01:00</t>
  </si>
  <si>
    <t>15/05/2025 01:15</t>
  </si>
  <si>
    <t>15/05/2025 01:30</t>
  </si>
  <si>
    <t>15/05/2025 01:45</t>
  </si>
  <si>
    <t>15/05/2025 02:00</t>
  </si>
  <si>
    <t>15/05/2025 02:15</t>
  </si>
  <si>
    <t>15/05/2025 02:30</t>
  </si>
  <si>
    <t>15/05/2025 02:45</t>
  </si>
  <si>
    <t>15/05/2025 03:00</t>
  </si>
  <si>
    <t>15/05/2025 03:15</t>
  </si>
  <si>
    <t>15/05/2025 03:30</t>
  </si>
  <si>
    <t>15/05/2025 03:45</t>
  </si>
  <si>
    <t>15/05/2025 04:00</t>
  </si>
  <si>
    <t>15/05/2025 04:15</t>
  </si>
  <si>
    <t>15/05/2025 04:30</t>
  </si>
  <si>
    <t>15/05/2025 04:45</t>
  </si>
  <si>
    <t>15/05/2025 05:00</t>
  </si>
  <si>
    <t>15/05/2025 05:15</t>
  </si>
  <si>
    <t>15/05/2025 05:30</t>
  </si>
  <si>
    <t>15/05/2025 05:45</t>
  </si>
  <si>
    <t>15/05/2025 06:00</t>
  </si>
  <si>
    <t>15/05/2025 06:15</t>
  </si>
  <si>
    <t>15/05/2025 06:30</t>
  </si>
  <si>
    <t>15/05/2025 06:45</t>
  </si>
  <si>
    <t>15/05/2025 07:00</t>
  </si>
  <si>
    <t>15/05/2025 07:15</t>
  </si>
  <si>
    <t>15/05/2025 07:30</t>
  </si>
  <si>
    <t>15/05/2025 07:45</t>
  </si>
  <si>
    <t>15/05/2025 08:00</t>
  </si>
  <si>
    <t>15/05/2025 08:15</t>
  </si>
  <si>
    <t>15/05/2025 08:30</t>
  </si>
  <si>
    <t>15/05/2025 08:45</t>
  </si>
  <si>
    <t>15/05/2025 09:00</t>
  </si>
  <si>
    <t>15/05/2025 09:15</t>
  </si>
  <si>
    <t>15/05/2025 09:30</t>
  </si>
  <si>
    <t>15/05/2025 09:45</t>
  </si>
  <si>
    <t>15/05/2025 10:00</t>
  </si>
  <si>
    <t>15/05/2025 10:15</t>
  </si>
  <si>
    <t>15/05/2025 10:30</t>
  </si>
  <si>
    <t>15/05/2025 10:45</t>
  </si>
  <si>
    <t>15/05/2025 11:00</t>
  </si>
  <si>
    <t>15/05/2025 11:15</t>
  </si>
  <si>
    <t>15/05/2025 11:30</t>
  </si>
  <si>
    <t>15/05/2025 11:45</t>
  </si>
  <si>
    <t>15/05/2025 12:00</t>
  </si>
  <si>
    <t>15/05/2025 12:15</t>
  </si>
  <si>
    <t>15/05/2025 12:30</t>
  </si>
  <si>
    <t>15/05/2025 12:45</t>
  </si>
  <si>
    <t>15/05/2025 13:00</t>
  </si>
  <si>
    <t>15/05/2025 13:15</t>
  </si>
  <si>
    <t>15/05/2025 13:30</t>
  </si>
  <si>
    <t>15/05/2025 13:45</t>
  </si>
  <si>
    <t>15/05/2025 14:00</t>
  </si>
  <si>
    <t>15/05/2025 14:15</t>
  </si>
  <si>
    <t>15/05/2025 14:30</t>
  </si>
  <si>
    <t>15/05/2025 14:45</t>
  </si>
  <si>
    <t>15/05/2025 15:00</t>
  </si>
  <si>
    <t>15/05/2025 15:15</t>
  </si>
  <si>
    <t>15/05/2025 15:30</t>
  </si>
  <si>
    <t>15/05/2025 15:45</t>
  </si>
  <si>
    <t>15/05/2025 16:00</t>
  </si>
  <si>
    <t>15/05/2025 16:15</t>
  </si>
  <si>
    <t>15/05/2025 16:30</t>
  </si>
  <si>
    <t>15/05/2025 16:45</t>
  </si>
  <si>
    <t>15/05/2025 17:00</t>
  </si>
  <si>
    <t>15/05/2025 17:15</t>
  </si>
  <si>
    <t>15/05/2025 17:30</t>
  </si>
  <si>
    <t>15/05/2025 17:45</t>
  </si>
  <si>
    <t>15/05/2025 18:00</t>
  </si>
  <si>
    <t>15/05/2025 18:15</t>
  </si>
  <si>
    <t>15/05/2025 18:30</t>
  </si>
  <si>
    <t>15/05/2025 18:45</t>
  </si>
  <si>
    <t>15/05/2025 19:00</t>
  </si>
  <si>
    <t>15/05/2025 19:15</t>
  </si>
  <si>
    <t>15/05/2025 19:30</t>
  </si>
  <si>
    <t>15/05/2025 19:45</t>
  </si>
  <si>
    <t>15/05/2025 20:00</t>
  </si>
  <si>
    <t>15/05/2025 20:15</t>
  </si>
  <si>
    <t>15/05/2025 20:30</t>
  </si>
  <si>
    <t>15/05/2025 20:45</t>
  </si>
  <si>
    <t>15/05/2025 21:00</t>
  </si>
  <si>
    <t>15/05/2025 21:15</t>
  </si>
  <si>
    <t>15/05/2025 21:30</t>
  </si>
  <si>
    <t>15/05/2025 21:45</t>
  </si>
  <si>
    <t>15/05/2025 22:00</t>
  </si>
  <si>
    <t>15/05/2025 22:15</t>
  </si>
  <si>
    <t>15/05/2025 22:30</t>
  </si>
  <si>
    <t>15/05/2025 22:45</t>
  </si>
  <si>
    <t>15/05/2025 23:00</t>
  </si>
  <si>
    <t>15/05/2025 23:15</t>
  </si>
  <si>
    <t>15/05/2025 23:30</t>
  </si>
  <si>
    <t>15/05/2025 23:45</t>
  </si>
  <si>
    <t>15/05/2025 24:00</t>
  </si>
  <si>
    <t>16/05/2025 00:15</t>
  </si>
  <si>
    <t>16/05/2025 00:30</t>
  </si>
  <si>
    <t>16/05/2025 00:45</t>
  </si>
  <si>
    <t>16/05/2025 01:00</t>
  </si>
  <si>
    <t>16/05/2025 01:15</t>
  </si>
  <si>
    <t>16/05/2025 01:30</t>
  </si>
  <si>
    <t>16/05/2025 01:45</t>
  </si>
  <si>
    <t>16/05/2025 02:00</t>
  </si>
  <si>
    <t>16/05/2025 02:15</t>
  </si>
  <si>
    <t>16/05/2025 02:30</t>
  </si>
  <si>
    <t>16/05/2025 02:45</t>
  </si>
  <si>
    <t>16/05/2025 03:00</t>
  </si>
  <si>
    <t>16/05/2025 03:15</t>
  </si>
  <si>
    <t>16/05/2025 03:30</t>
  </si>
  <si>
    <t>16/05/2025 03:45</t>
  </si>
  <si>
    <t>16/05/2025 04:00</t>
  </si>
  <si>
    <t>16/05/2025 04:15</t>
  </si>
  <si>
    <t>16/05/2025 04:30</t>
  </si>
  <si>
    <t>16/05/2025 04:45</t>
  </si>
  <si>
    <t>16/05/2025 05:00</t>
  </si>
  <si>
    <t>16/05/2025 05:15</t>
  </si>
  <si>
    <t>16/05/2025 05:30</t>
  </si>
  <si>
    <t>16/05/2025 05:45</t>
  </si>
  <si>
    <t>16/05/2025 06:00</t>
  </si>
  <si>
    <t>16/05/2025 06:15</t>
  </si>
  <si>
    <t>16/05/2025 06:30</t>
  </si>
  <si>
    <t>16/05/2025 06:45</t>
  </si>
  <si>
    <t>16/05/2025 07:00</t>
  </si>
  <si>
    <t>16/05/2025 07:15</t>
  </si>
  <si>
    <t>16/05/2025 07:30</t>
  </si>
  <si>
    <t>16/05/2025 07:45</t>
  </si>
  <si>
    <t>16/05/2025 08:00</t>
  </si>
  <si>
    <t>16/05/2025 08:15</t>
  </si>
  <si>
    <t>16/05/2025 08:30</t>
  </si>
  <si>
    <t>16/05/2025 08:45</t>
  </si>
  <si>
    <t>16/05/2025 09:00</t>
  </si>
  <si>
    <t>16/05/2025 09:15</t>
  </si>
  <si>
    <t>16/05/2025 09:30</t>
  </si>
  <si>
    <t>16/05/2025 09:45</t>
  </si>
  <si>
    <t>16/05/2025 10:00</t>
  </si>
  <si>
    <t>16/05/2025 10:15</t>
  </si>
  <si>
    <t>16/05/2025 10:30</t>
  </si>
  <si>
    <t>16/05/2025 10:45</t>
  </si>
  <si>
    <t>16/05/2025 11:00</t>
  </si>
  <si>
    <t>16/05/2025 11:15</t>
  </si>
  <si>
    <t>16/05/2025 11:30</t>
  </si>
  <si>
    <t>16/05/2025 11:45</t>
  </si>
  <si>
    <t>16/05/2025 12:00</t>
  </si>
  <si>
    <t>16/05/2025 12:15</t>
  </si>
  <si>
    <t>16/05/2025 12:30</t>
  </si>
  <si>
    <t>16/05/2025 12:45</t>
  </si>
  <si>
    <t>16/05/2025 13:00</t>
  </si>
  <si>
    <t>16/05/2025 13:15</t>
  </si>
  <si>
    <t>16/05/2025 13:30</t>
  </si>
  <si>
    <t>16/05/2025 13:45</t>
  </si>
  <si>
    <t>16/05/2025 14:00</t>
  </si>
  <si>
    <t>16/05/2025 14:15</t>
  </si>
  <si>
    <t>16/05/2025 14:30</t>
  </si>
  <si>
    <t>16/05/2025 14:45</t>
  </si>
  <si>
    <t>16/05/2025 15:00</t>
  </si>
  <si>
    <t>16/05/2025 15:15</t>
  </si>
  <si>
    <t>16/05/2025 15:30</t>
  </si>
  <si>
    <t>16/05/2025 15:45</t>
  </si>
  <si>
    <t>16/05/2025 16:00</t>
  </si>
  <si>
    <t>16/05/2025 16:15</t>
  </si>
  <si>
    <t>16/05/2025 16:30</t>
  </si>
  <si>
    <t>16/05/2025 16:45</t>
  </si>
  <si>
    <t>16/05/2025 17:00</t>
  </si>
  <si>
    <t>16/05/2025 17:15</t>
  </si>
  <si>
    <t>16/05/2025 17:30</t>
  </si>
  <si>
    <t>16/05/2025 17:45</t>
  </si>
  <si>
    <t>16/05/2025 18:00</t>
  </si>
  <si>
    <t>16/05/2025 18:15</t>
  </si>
  <si>
    <t>16/05/2025 18:30</t>
  </si>
  <si>
    <t>16/05/2025 18:45</t>
  </si>
  <si>
    <t>16/05/2025 19:00</t>
  </si>
  <si>
    <t>16/05/2025 19:15</t>
  </si>
  <si>
    <t>16/05/2025 19:30</t>
  </si>
  <si>
    <t>16/05/2025 19:45</t>
  </si>
  <si>
    <t>16/05/2025 20:00</t>
  </si>
  <si>
    <t>16/05/2025 20:15</t>
  </si>
  <si>
    <t>16/05/2025 20:30</t>
  </si>
  <si>
    <t>16/05/2025 20:45</t>
  </si>
  <si>
    <t>16/05/2025 21:00</t>
  </si>
  <si>
    <t>16/05/2025 21:15</t>
  </si>
  <si>
    <t>16/05/2025 21:30</t>
  </si>
  <si>
    <t>16/05/2025 21:45</t>
  </si>
  <si>
    <t>16/05/2025 22:00</t>
  </si>
  <si>
    <t>16/05/2025 22:15</t>
  </si>
  <si>
    <t>16/05/2025 22:30</t>
  </si>
  <si>
    <t>16/05/2025 22:45</t>
  </si>
  <si>
    <t>16/05/2025 23:00</t>
  </si>
  <si>
    <t>16/05/2025 23:15</t>
  </si>
  <si>
    <t>16/05/2025 23:30</t>
  </si>
  <si>
    <t>16/05/2025 23:45</t>
  </si>
  <si>
    <t>16/05/2025 24:00</t>
  </si>
  <si>
    <t>17/05/2025 00:15</t>
  </si>
  <si>
    <t>17/05/2025 00:30</t>
  </si>
  <si>
    <t>17/05/2025 00:45</t>
  </si>
  <si>
    <t>17/05/2025 01:00</t>
  </si>
  <si>
    <t>17/05/2025 01:15</t>
  </si>
  <si>
    <t>17/05/2025 01:30</t>
  </si>
  <si>
    <t>17/05/2025 01:45</t>
  </si>
  <si>
    <t>17/05/2025 02:00</t>
  </si>
  <si>
    <t>17/05/2025 02:15</t>
  </si>
  <si>
    <t>17/05/2025 02:30</t>
  </si>
  <si>
    <t>17/05/2025 02:45</t>
  </si>
  <si>
    <t>17/05/2025 03:00</t>
  </si>
  <si>
    <t>17/05/2025 03:15</t>
  </si>
  <si>
    <t>17/05/2025 03:30</t>
  </si>
  <si>
    <t>17/05/2025 03:45</t>
  </si>
  <si>
    <t>17/05/2025 04:00</t>
  </si>
  <si>
    <t>17/05/2025 04:15</t>
  </si>
  <si>
    <t>17/05/2025 04:30</t>
  </si>
  <si>
    <t>17/05/2025 04:45</t>
  </si>
  <si>
    <t>17/05/2025 05:00</t>
  </si>
  <si>
    <t>17/05/2025 05:15</t>
  </si>
  <si>
    <t>17/05/2025 05:30</t>
  </si>
  <si>
    <t>17/05/2025 05:45</t>
  </si>
  <si>
    <t>17/05/2025 06:00</t>
  </si>
  <si>
    <t>17/05/2025 06:15</t>
  </si>
  <si>
    <t>17/05/2025 06:30</t>
  </si>
  <si>
    <t>17/05/2025 06:45</t>
  </si>
  <si>
    <t>17/05/2025 07:00</t>
  </si>
  <si>
    <t>17/05/2025 07:15</t>
  </si>
  <si>
    <t>17/05/2025 07:30</t>
  </si>
  <si>
    <t>17/05/2025 07:45</t>
  </si>
  <si>
    <t>17/05/2025 08:00</t>
  </si>
  <si>
    <t>17/05/2025 08:15</t>
  </si>
  <si>
    <t>17/05/2025 08:30</t>
  </si>
  <si>
    <t>17/05/2025 08:45</t>
  </si>
  <si>
    <t>17/05/2025 09:00</t>
  </si>
  <si>
    <t>17/05/2025 09:15</t>
  </si>
  <si>
    <t>17/05/2025 09:30</t>
  </si>
  <si>
    <t>17/05/2025 09:45</t>
  </si>
  <si>
    <t>17/05/2025 10:00</t>
  </si>
  <si>
    <t>17/05/2025 10:15</t>
  </si>
  <si>
    <t>17/05/2025 10:30</t>
  </si>
  <si>
    <t>17/05/2025 10:45</t>
  </si>
  <si>
    <t>17/05/2025 11:00</t>
  </si>
  <si>
    <t>17/05/2025 11:15</t>
  </si>
  <si>
    <t>17/05/2025 11:30</t>
  </si>
  <si>
    <t>17/05/2025 11:45</t>
  </si>
  <si>
    <t>17/05/2025 12:00</t>
  </si>
  <si>
    <t>17/05/2025 12:15</t>
  </si>
  <si>
    <t>17/05/2025 12:30</t>
  </si>
  <si>
    <t>17/05/2025 12:45</t>
  </si>
  <si>
    <t>17/05/2025 13:00</t>
  </si>
  <si>
    <t>17/05/2025 13:15</t>
  </si>
  <si>
    <t>17/05/2025 13:30</t>
  </si>
  <si>
    <t>17/05/2025 13:45</t>
  </si>
  <si>
    <t>17/05/2025 14:00</t>
  </si>
  <si>
    <t>17/05/2025 14:15</t>
  </si>
  <si>
    <t>17/05/2025 14:30</t>
  </si>
  <si>
    <t>17/05/2025 14:45</t>
  </si>
  <si>
    <t>17/05/2025 15:00</t>
  </si>
  <si>
    <t>17/05/2025 15:15</t>
  </si>
  <si>
    <t>17/05/2025 15:30</t>
  </si>
  <si>
    <t>17/05/2025 15:45</t>
  </si>
  <si>
    <t>17/05/2025 16:00</t>
  </si>
  <si>
    <t>17/05/2025 16:15</t>
  </si>
  <si>
    <t>17/05/2025 16:30</t>
  </si>
  <si>
    <t>17/05/2025 16:45</t>
  </si>
  <si>
    <t>17/05/2025 17:00</t>
  </si>
  <si>
    <t>17/05/2025 17:15</t>
  </si>
  <si>
    <t>17/05/2025 17:30</t>
  </si>
  <si>
    <t>17/05/2025 17:45</t>
  </si>
  <si>
    <t>17/05/2025 18:00</t>
  </si>
  <si>
    <t>17/05/2025 18:15</t>
  </si>
  <si>
    <t>17/05/2025 18:30</t>
  </si>
  <si>
    <t>17/05/2025 18:45</t>
  </si>
  <si>
    <t>17/05/2025 19:00</t>
  </si>
  <si>
    <t>17/05/2025 19:15</t>
  </si>
  <si>
    <t>17/05/2025 19:30</t>
  </si>
  <si>
    <t>17/05/2025 19:45</t>
  </si>
  <si>
    <t>17/05/2025 20:00</t>
  </si>
  <si>
    <t>17/05/2025 20:15</t>
  </si>
  <si>
    <t>17/05/2025 20:30</t>
  </si>
  <si>
    <t>17/05/2025 20:45</t>
  </si>
  <si>
    <t>17/05/2025 21:00</t>
  </si>
  <si>
    <t>17/05/2025 21:15</t>
  </si>
  <si>
    <t>17/05/2025 21:30</t>
  </si>
  <si>
    <t>17/05/2025 21:45</t>
  </si>
  <si>
    <t>17/05/2025 22:00</t>
  </si>
  <si>
    <t>17/05/2025 22:15</t>
  </si>
  <si>
    <t>17/05/2025 22:30</t>
  </si>
  <si>
    <t>17/05/2025 22:45</t>
  </si>
  <si>
    <t>17/05/2025 23:00</t>
  </si>
  <si>
    <t>17/05/2025 23:15</t>
  </si>
  <si>
    <t>17/05/2025 23:30</t>
  </si>
  <si>
    <t>17/05/2025 23:45</t>
  </si>
  <si>
    <t>17/05/2025 24:00</t>
  </si>
  <si>
    <t>18/05/2025 00:15</t>
  </si>
  <si>
    <t>18/05/2025 00:30</t>
  </si>
  <si>
    <t>18/05/2025 00:45</t>
  </si>
  <si>
    <t>18/05/2025 01:00</t>
  </si>
  <si>
    <t>18/05/2025 01:15</t>
  </si>
  <si>
    <t>18/05/2025 01:30</t>
  </si>
  <si>
    <t>18/05/2025 01:45</t>
  </si>
  <si>
    <t>18/05/2025 02:00</t>
  </si>
  <si>
    <t>18/05/2025 02:15</t>
  </si>
  <si>
    <t>18/05/2025 02:30</t>
  </si>
  <si>
    <t>18/05/2025 02:45</t>
  </si>
  <si>
    <t>18/05/2025 03:00</t>
  </si>
  <si>
    <t>18/05/2025 03:15</t>
  </si>
  <si>
    <t>18/05/2025 03:30</t>
  </si>
  <si>
    <t>18/05/2025 03:45</t>
  </si>
  <si>
    <t>18/05/2025 04:00</t>
  </si>
  <si>
    <t>18/05/2025 04:15</t>
  </si>
  <si>
    <t>18/05/2025 04:30</t>
  </si>
  <si>
    <t>18/05/2025 04:45</t>
  </si>
  <si>
    <t>18/05/2025 05:00</t>
  </si>
  <si>
    <t>18/05/2025 05:15</t>
  </si>
  <si>
    <t>18/05/2025 05:30</t>
  </si>
  <si>
    <t>18/05/2025 05:45</t>
  </si>
  <si>
    <t>18/05/2025 06:00</t>
  </si>
  <si>
    <t>18/05/2025 06:15</t>
  </si>
  <si>
    <t>18/05/2025 06:30</t>
  </si>
  <si>
    <t>18/05/2025 06:45</t>
  </si>
  <si>
    <t>18/05/2025 07:00</t>
  </si>
  <si>
    <t>18/05/2025 07:15</t>
  </si>
  <si>
    <t>18/05/2025 07:30</t>
  </si>
  <si>
    <t>18/05/2025 07:45</t>
  </si>
  <si>
    <t>18/05/2025 08:00</t>
  </si>
  <si>
    <t>18/05/2025 08:15</t>
  </si>
  <si>
    <t>18/05/2025 08:30</t>
  </si>
  <si>
    <t>18/05/2025 08:45</t>
  </si>
  <si>
    <t>18/05/2025 09:00</t>
  </si>
  <si>
    <t>18/05/2025 09:15</t>
  </si>
  <si>
    <t>18/05/2025 09:30</t>
  </si>
  <si>
    <t>18/05/2025 09:45</t>
  </si>
  <si>
    <t>18/05/2025 10:00</t>
  </si>
  <si>
    <t>18/05/2025 10:15</t>
  </si>
  <si>
    <t>18/05/2025 10:30</t>
  </si>
  <si>
    <t>18/05/2025 10:45</t>
  </si>
  <si>
    <t>18/05/2025 11:00</t>
  </si>
  <si>
    <t>18/05/2025 11:15</t>
  </si>
  <si>
    <t>18/05/2025 11:30</t>
  </si>
  <si>
    <t>18/05/2025 11:45</t>
  </si>
  <si>
    <t>18/05/2025 12:00</t>
  </si>
  <si>
    <t>18/05/2025 12:15</t>
  </si>
  <si>
    <t>18/05/2025 12:30</t>
  </si>
  <si>
    <t>18/05/2025 12:45</t>
  </si>
  <si>
    <t>18/05/2025 13:00</t>
  </si>
  <si>
    <t>18/05/2025 13:15</t>
  </si>
  <si>
    <t>18/05/2025 13:30</t>
  </si>
  <si>
    <t>18/05/2025 13:45</t>
  </si>
  <si>
    <t>18/05/2025 14:00</t>
  </si>
  <si>
    <t>18/05/2025 14:15</t>
  </si>
  <si>
    <t>18/05/2025 14:30</t>
  </si>
  <si>
    <t>18/05/2025 14:45</t>
  </si>
  <si>
    <t>18/05/2025 15:00</t>
  </si>
  <si>
    <t>18/05/2025 15:15</t>
  </si>
  <si>
    <t>18/05/2025 15:30</t>
  </si>
  <si>
    <t>18/05/2025 15:45</t>
  </si>
  <si>
    <t>18/05/2025 16:00</t>
  </si>
  <si>
    <t>18/05/2025 16:15</t>
  </si>
  <si>
    <t>18/05/2025 16:30</t>
  </si>
  <si>
    <t>18/05/2025 16:45</t>
  </si>
  <si>
    <t>18/05/2025 17:00</t>
  </si>
  <si>
    <t>18/05/2025 17:15</t>
  </si>
  <si>
    <t>18/05/2025 17:30</t>
  </si>
  <si>
    <t>18/05/2025 17:45</t>
  </si>
  <si>
    <t>18/05/2025 18:00</t>
  </si>
  <si>
    <t>18/05/2025 18:15</t>
  </si>
  <si>
    <t>18/05/2025 18:30</t>
  </si>
  <si>
    <t>18/05/2025 18:45</t>
  </si>
  <si>
    <t>18/05/2025 19:00</t>
  </si>
  <si>
    <t>18/05/2025 19:15</t>
  </si>
  <si>
    <t>18/05/2025 19:30</t>
  </si>
  <si>
    <t>18/05/2025 19:45</t>
  </si>
  <si>
    <t>18/05/2025 20:00</t>
  </si>
  <si>
    <t>18/05/2025 20:15</t>
  </si>
  <si>
    <t>18/05/2025 20:30</t>
  </si>
  <si>
    <t>18/05/2025 20:45</t>
  </si>
  <si>
    <t>18/05/2025 21:00</t>
  </si>
  <si>
    <t>18/05/2025 21:15</t>
  </si>
  <si>
    <t>18/05/2025 21:30</t>
  </si>
  <si>
    <t>18/05/2025 21:45</t>
  </si>
  <si>
    <t>18/05/2025 22:00</t>
  </si>
  <si>
    <t>18/05/2025 22:15</t>
  </si>
  <si>
    <t>18/05/2025 22:30</t>
  </si>
  <si>
    <t>18/05/2025 22:45</t>
  </si>
  <si>
    <t>18/05/2025 23:00</t>
  </si>
  <si>
    <t>18/05/2025 23:15</t>
  </si>
  <si>
    <t>18/05/2025 23:30</t>
  </si>
  <si>
    <t>18/05/2025 23:45</t>
  </si>
  <si>
    <t>18/05/2025 24:00</t>
  </si>
  <si>
    <t>19/05/2025 00:15</t>
  </si>
  <si>
    <t>19/05/2025 00:30</t>
  </si>
  <si>
    <t>19/05/2025 00:45</t>
  </si>
  <si>
    <t>19/05/2025 01:00</t>
  </si>
  <si>
    <t>19/05/2025 01:15</t>
  </si>
  <si>
    <t>19/05/2025 01:30</t>
  </si>
  <si>
    <t>19/05/2025 01:45</t>
  </si>
  <si>
    <t>19/05/2025 02:00</t>
  </si>
  <si>
    <t>19/05/2025 02:15</t>
  </si>
  <si>
    <t>19/05/2025 02:30</t>
  </si>
  <si>
    <t>19/05/2025 02:45</t>
  </si>
  <si>
    <t>19/05/2025 03:00</t>
  </si>
  <si>
    <t>19/05/2025 03:15</t>
  </si>
  <si>
    <t>19/05/2025 03:30</t>
  </si>
  <si>
    <t>19/05/2025 03:45</t>
  </si>
  <si>
    <t>19/05/2025 04:00</t>
  </si>
  <si>
    <t>19/05/2025 04:15</t>
  </si>
  <si>
    <t>19/05/2025 04:30</t>
  </si>
  <si>
    <t>19/05/2025 04:45</t>
  </si>
  <si>
    <t>19/05/2025 05:00</t>
  </si>
  <si>
    <t>19/05/2025 05:15</t>
  </si>
  <si>
    <t>19/05/2025 05:30</t>
  </si>
  <si>
    <t>19/05/2025 05:45</t>
  </si>
  <si>
    <t>19/05/2025 06:00</t>
  </si>
  <si>
    <t>19/05/2025 06:15</t>
  </si>
  <si>
    <t>19/05/2025 06:30</t>
  </si>
  <si>
    <t>19/05/2025 06:45</t>
  </si>
  <si>
    <t>19/05/2025 07:00</t>
  </si>
  <si>
    <t>19/05/2025 07:15</t>
  </si>
  <si>
    <t>19/05/2025 07:30</t>
  </si>
  <si>
    <t>19/05/2025 07:45</t>
  </si>
  <si>
    <t>19/05/2025 08:00</t>
  </si>
  <si>
    <t>19/05/2025 08:15</t>
  </si>
  <si>
    <t>19/05/2025 08:30</t>
  </si>
  <si>
    <t>19/05/2025 08:45</t>
  </si>
  <si>
    <t>19/05/2025 09:00</t>
  </si>
  <si>
    <t>19/05/2025 09:15</t>
  </si>
  <si>
    <t>19/05/2025 09:30</t>
  </si>
  <si>
    <t>19/05/2025 09:45</t>
  </si>
  <si>
    <t>19/05/2025 10:00</t>
  </si>
  <si>
    <t>19/05/2025 10:15</t>
  </si>
  <si>
    <t>19/05/2025 10:30</t>
  </si>
  <si>
    <t>19/05/2025 10:45</t>
  </si>
  <si>
    <t>19/05/2025 11:00</t>
  </si>
  <si>
    <t>19/05/2025 11:15</t>
  </si>
  <si>
    <t>19/05/2025 11:30</t>
  </si>
  <si>
    <t>19/05/2025 11:45</t>
  </si>
  <si>
    <t>19/05/2025 12:00</t>
  </si>
  <si>
    <t>19/05/2025 12:15</t>
  </si>
  <si>
    <t>19/05/2025 12:30</t>
  </si>
  <si>
    <t>19/05/2025 12:45</t>
  </si>
  <si>
    <t>19/05/2025 13:00</t>
  </si>
  <si>
    <t>19/05/2025 13:15</t>
  </si>
  <si>
    <t>19/05/2025 13:30</t>
  </si>
  <si>
    <t>19/05/2025 13:45</t>
  </si>
  <si>
    <t>19/05/2025 14:00</t>
  </si>
  <si>
    <t>19/05/2025 14:15</t>
  </si>
  <si>
    <t>19/05/2025 14:30</t>
  </si>
  <si>
    <t>19/05/2025 14:45</t>
  </si>
  <si>
    <t>19/05/2025 15:00</t>
  </si>
  <si>
    <t>19/05/2025 15:15</t>
  </si>
  <si>
    <t>19/05/2025 15:30</t>
  </si>
  <si>
    <t>19/05/2025 15:45</t>
  </si>
  <si>
    <t>19/05/2025 16:00</t>
  </si>
  <si>
    <t>19/05/2025 16:15</t>
  </si>
  <si>
    <t>19/05/2025 16:30</t>
  </si>
  <si>
    <t>19/05/2025 16:45</t>
  </si>
  <si>
    <t>19/05/2025 17:00</t>
  </si>
  <si>
    <t>19/05/2025 17:15</t>
  </si>
  <si>
    <t>19/05/2025 17:30</t>
  </si>
  <si>
    <t>19/05/2025 17:45</t>
  </si>
  <si>
    <t>19/05/2025 18:00</t>
  </si>
  <si>
    <t>19/05/2025 18:15</t>
  </si>
  <si>
    <t>19/05/2025 18:30</t>
  </si>
  <si>
    <t>19/05/2025 18:45</t>
  </si>
  <si>
    <t>19/05/2025 19:00</t>
  </si>
  <si>
    <t>19/05/2025 19:15</t>
  </si>
  <si>
    <t>19/05/2025 19:30</t>
  </si>
  <si>
    <t>19/05/2025 19:45</t>
  </si>
  <si>
    <t>19/05/2025 20:00</t>
  </si>
  <si>
    <t>19/05/2025 20:15</t>
  </si>
  <si>
    <t>19/05/2025 20:30</t>
  </si>
  <si>
    <t>19/05/2025 20:45</t>
  </si>
  <si>
    <t>19/05/2025 21:00</t>
  </si>
  <si>
    <t>19/05/2025 21:15</t>
  </si>
  <si>
    <t>19/05/2025 21:30</t>
  </si>
  <si>
    <t>19/05/2025 21:45</t>
  </si>
  <si>
    <t>19/05/2025 22:00</t>
  </si>
  <si>
    <t>19/05/2025 22:15</t>
  </si>
  <si>
    <t>19/05/2025 22:30</t>
  </si>
  <si>
    <t>19/05/2025 22:45</t>
  </si>
  <si>
    <t>19/05/2025 23:00</t>
  </si>
  <si>
    <t>19/05/2025 23:15</t>
  </si>
  <si>
    <t>19/05/2025 23:30</t>
  </si>
  <si>
    <t>19/05/2025 23:45</t>
  </si>
  <si>
    <t>19/05/2025 24:00</t>
  </si>
  <si>
    <t>20/05/2025 00:15</t>
  </si>
  <si>
    <t>20/05/2025 00:30</t>
  </si>
  <si>
    <t>20/05/2025 00:45</t>
  </si>
  <si>
    <t>20/05/2025 01:00</t>
  </si>
  <si>
    <t>20/05/2025 01:15</t>
  </si>
  <si>
    <t>20/05/2025 01:30</t>
  </si>
  <si>
    <t>20/05/2025 01:45</t>
  </si>
  <si>
    <t>20/05/2025 02:00</t>
  </si>
  <si>
    <t>20/05/2025 02:15</t>
  </si>
  <si>
    <t>20/05/2025 02:30</t>
  </si>
  <si>
    <t>20/05/2025 02:45</t>
  </si>
  <si>
    <t>20/05/2025 03:00</t>
  </si>
  <si>
    <t>20/05/2025 03:15</t>
  </si>
  <si>
    <t>20/05/2025 03:30</t>
  </si>
  <si>
    <t>20/05/2025 03:45</t>
  </si>
  <si>
    <t>20/05/2025 04:00</t>
  </si>
  <si>
    <t>20/05/2025 04:15</t>
  </si>
  <si>
    <t>20/05/2025 04:30</t>
  </si>
  <si>
    <t>20/05/2025 04:45</t>
  </si>
  <si>
    <t>20/05/2025 05:00</t>
  </si>
  <si>
    <t>20/05/2025 05:15</t>
  </si>
  <si>
    <t>20/05/2025 05:30</t>
  </si>
  <si>
    <t>20/05/2025 05:45</t>
  </si>
  <si>
    <t>20/05/2025 06:00</t>
  </si>
  <si>
    <t>20/05/2025 06:15</t>
  </si>
  <si>
    <t>20/05/2025 06:30</t>
  </si>
  <si>
    <t>20/05/2025 06:45</t>
  </si>
  <si>
    <t>20/05/2025 07:00</t>
  </si>
  <si>
    <t>20/05/2025 07:15</t>
  </si>
  <si>
    <t>20/05/2025 07:30</t>
  </si>
  <si>
    <t>20/05/2025 07:45</t>
  </si>
  <si>
    <t>20/05/2025 08:00</t>
  </si>
  <si>
    <t>20/05/2025 08:15</t>
  </si>
  <si>
    <t>20/05/2025 08:30</t>
  </si>
  <si>
    <t>20/05/2025 08:45</t>
  </si>
  <si>
    <t>20/05/2025 09:00</t>
  </si>
  <si>
    <t>20/05/2025 09:15</t>
  </si>
  <si>
    <t>20/05/2025 09:30</t>
  </si>
  <si>
    <t>20/05/2025 09:45</t>
  </si>
  <si>
    <t>20/05/2025 10:00</t>
  </si>
  <si>
    <t>20/05/2025 10:15</t>
  </si>
  <si>
    <t>20/05/2025 10:30</t>
  </si>
  <si>
    <t>20/05/2025 10:45</t>
  </si>
  <si>
    <t>20/05/2025 11:00</t>
  </si>
  <si>
    <t>20/05/2025 11:15</t>
  </si>
  <si>
    <t>20/05/2025 11:30</t>
  </si>
  <si>
    <t>20/05/2025 11:45</t>
  </si>
  <si>
    <t>20/05/2025 12:00</t>
  </si>
  <si>
    <t>20/05/2025 12:15</t>
  </si>
  <si>
    <t>20/05/2025 12:30</t>
  </si>
  <si>
    <t>20/05/2025 12:45</t>
  </si>
  <si>
    <t>20/05/2025 13:00</t>
  </si>
  <si>
    <t>20/05/2025 13:15</t>
  </si>
  <si>
    <t>20/05/2025 13:30</t>
  </si>
  <si>
    <t>20/05/2025 13:45</t>
  </si>
  <si>
    <t>20/05/2025 14:00</t>
  </si>
  <si>
    <t>20/05/2025 14:15</t>
  </si>
  <si>
    <t>20/05/2025 14:30</t>
  </si>
  <si>
    <t>20/05/2025 14:45</t>
  </si>
  <si>
    <t>20/05/2025 15:00</t>
  </si>
  <si>
    <t>20/05/2025 15:15</t>
  </si>
  <si>
    <t>20/05/2025 15:30</t>
  </si>
  <si>
    <t>20/05/2025 15:45</t>
  </si>
  <si>
    <t>20/05/2025 16:00</t>
  </si>
  <si>
    <t>20/05/2025 16:15</t>
  </si>
  <si>
    <t>20/05/2025 16:30</t>
  </si>
  <si>
    <t>20/05/2025 16:45</t>
  </si>
  <si>
    <t>20/05/2025 17:00</t>
  </si>
  <si>
    <t>20/05/2025 17:15</t>
  </si>
  <si>
    <t>20/05/2025 17:30</t>
  </si>
  <si>
    <t>20/05/2025 17:45</t>
  </si>
  <si>
    <t>20/05/2025 18:00</t>
  </si>
  <si>
    <t>20/05/2025 18:15</t>
  </si>
  <si>
    <t>20/05/2025 18:30</t>
  </si>
  <si>
    <t>20/05/2025 18:45</t>
  </si>
  <si>
    <t>20/05/2025 19:00</t>
  </si>
  <si>
    <t>20/05/2025 19:15</t>
  </si>
  <si>
    <t>20/05/2025 19:30</t>
  </si>
  <si>
    <t>20/05/2025 19:45</t>
  </si>
  <si>
    <t>20/05/2025 20:00</t>
  </si>
  <si>
    <t>20/05/2025 20:15</t>
  </si>
  <si>
    <t>20/05/2025 20:30</t>
  </si>
  <si>
    <t>20/05/2025 20:45</t>
  </si>
  <si>
    <t>20/05/2025 21:00</t>
  </si>
  <si>
    <t>20/05/2025 21:15</t>
  </si>
  <si>
    <t>20/05/2025 21:30</t>
  </si>
  <si>
    <t>20/05/2025 21:45</t>
  </si>
  <si>
    <t>20/05/2025 22:00</t>
  </si>
  <si>
    <t>20/05/2025 22:15</t>
  </si>
  <si>
    <t>20/05/2025 22:30</t>
  </si>
  <si>
    <t>20/05/2025 22:45</t>
  </si>
  <si>
    <t>20/05/2025 23:00</t>
  </si>
  <si>
    <t>20/05/2025 23:15</t>
  </si>
  <si>
    <t>20/05/2025 23:30</t>
  </si>
  <si>
    <t>20/05/2025 23:45</t>
  </si>
  <si>
    <t>20/05/2025 24:00</t>
  </si>
  <si>
    <t xml:space="preserve"> </t>
  </si>
  <si>
    <t>21/05/2025 00:15</t>
  </si>
  <si>
    <t>21/05/2025 00:30</t>
  </si>
  <si>
    <t>21/05/2025 00:45</t>
  </si>
  <si>
    <t>21/05/2025 01:00</t>
  </si>
  <si>
    <t>21/05/2025 01:15</t>
  </si>
  <si>
    <t>21/05/2025 01:30</t>
  </si>
  <si>
    <t>21/05/2025 01:45</t>
  </si>
  <si>
    <t>21/05/2025 02:00</t>
  </si>
  <si>
    <t>21/05/2025 02:15</t>
  </si>
  <si>
    <t>21/05/2025 02:30</t>
  </si>
  <si>
    <t>21/05/2025 02:45</t>
  </si>
  <si>
    <t>21/05/2025 03:00</t>
  </si>
  <si>
    <t>21/05/2025 03:15</t>
  </si>
  <si>
    <t>21/05/2025 03:30</t>
  </si>
  <si>
    <t>21/05/2025 03:45</t>
  </si>
  <si>
    <t>21/05/2025 04:00</t>
  </si>
  <si>
    <t>21/05/2025 04:15</t>
  </si>
  <si>
    <t>21/05/2025 04:30</t>
  </si>
  <si>
    <t>21/05/2025 04:45</t>
  </si>
  <si>
    <t>21/05/2025 05:00</t>
  </si>
  <si>
    <t>21/05/2025 05:15</t>
  </si>
  <si>
    <t>21/05/2025 05:30</t>
  </si>
  <si>
    <t>21/05/2025 05:45</t>
  </si>
  <si>
    <t>21/05/2025 06:00</t>
  </si>
  <si>
    <t>21/05/2025 06:15</t>
  </si>
  <si>
    <t>21/05/2025 06:30</t>
  </si>
  <si>
    <t>21/05/2025 06:45</t>
  </si>
  <si>
    <t>21/05/2025 07:00</t>
  </si>
  <si>
    <t>21/05/2025 07:15</t>
  </si>
  <si>
    <t>21/05/2025 07:30</t>
  </si>
  <si>
    <t>21/05/2025 07:45</t>
  </si>
  <si>
    <t>21/05/2025 08:00</t>
  </si>
  <si>
    <t>21/05/2025 08:15</t>
  </si>
  <si>
    <t>21/05/2025 08:30</t>
  </si>
  <si>
    <t>21/05/2025 08:45</t>
  </si>
  <si>
    <t>21/05/2025 09:00</t>
  </si>
  <si>
    <t>21/05/2025 09:15</t>
  </si>
  <si>
    <t>21/05/2025 09:30</t>
  </si>
  <si>
    <t>21/05/2025 09:45</t>
  </si>
  <si>
    <t>21/05/2025 10:00</t>
  </si>
  <si>
    <t>21/05/2025 10:15</t>
  </si>
  <si>
    <t>21/05/2025 10:30</t>
  </si>
  <si>
    <t>21/05/2025 10:45</t>
  </si>
  <si>
    <t>21/05/2025 11:00</t>
  </si>
  <si>
    <t>21/05/2025 11:15</t>
  </si>
  <si>
    <t>21/05/2025 11:30</t>
  </si>
  <si>
    <t>21/05/2025 11:45</t>
  </si>
  <si>
    <t>21/05/2025 12:00</t>
  </si>
  <si>
    <t>21/05/2025 12:15</t>
  </si>
  <si>
    <t>21/05/2025 12:30</t>
  </si>
  <si>
    <t>21/05/2025 12:45</t>
  </si>
  <si>
    <t>21/05/2025 13:00</t>
  </si>
  <si>
    <t>21/05/2025 13:15</t>
  </si>
  <si>
    <t>21/05/2025 13:30</t>
  </si>
  <si>
    <t>21/05/2025 13:45</t>
  </si>
  <si>
    <t>21/05/2025 14:00</t>
  </si>
  <si>
    <t>21/05/2025 14:15</t>
  </si>
  <si>
    <t>21/05/2025 14:30</t>
  </si>
  <si>
    <t>21/05/2025 14:45</t>
  </si>
  <si>
    <t>21/05/2025 15:00</t>
  </si>
  <si>
    <t>21/05/2025 15:15</t>
  </si>
  <si>
    <t>21/05/2025 15:30</t>
  </si>
  <si>
    <t>21/05/2025 15:45</t>
  </si>
  <si>
    <t>21/05/2025 16:00</t>
  </si>
  <si>
    <t>21/05/2025 16:15</t>
  </si>
  <si>
    <t>21/05/2025 16:30</t>
  </si>
  <si>
    <t>21/05/2025 16:45</t>
  </si>
  <si>
    <t>21/05/2025 17:00</t>
  </si>
  <si>
    <t>21/05/2025 17:15</t>
  </si>
  <si>
    <t>21/05/2025 17:30</t>
  </si>
  <si>
    <t>21/05/2025 17:45</t>
  </si>
  <si>
    <t>21/05/2025 18:00</t>
  </si>
  <si>
    <t>21/05/2025 18:15</t>
  </si>
  <si>
    <t>21/05/2025 18:30</t>
  </si>
  <si>
    <t>21/05/2025 18:45</t>
  </si>
  <si>
    <t>21/05/2025 19:00</t>
  </si>
  <si>
    <t>21/05/2025 19:15</t>
  </si>
  <si>
    <t>21/05/2025 19:30</t>
  </si>
  <si>
    <t>21/05/2025 19:45</t>
  </si>
  <si>
    <t>21/05/2025 20:00</t>
  </si>
  <si>
    <t>21/05/2025 20:15</t>
  </si>
  <si>
    <t>21/05/2025 20:30</t>
  </si>
  <si>
    <t>21/05/2025 20:45</t>
  </si>
  <si>
    <t>21/05/2025 21:00</t>
  </si>
  <si>
    <t>21/05/2025 21:15</t>
  </si>
  <si>
    <t>21/05/2025 21:30</t>
  </si>
  <si>
    <t>21/05/2025 21:45</t>
  </si>
  <si>
    <t>21/05/2025 22:00</t>
  </si>
  <si>
    <t>21/05/2025 22:15</t>
  </si>
  <si>
    <t>21/05/2025 22:30</t>
  </si>
  <si>
    <t>21/05/2025 22:45</t>
  </si>
  <si>
    <t>21/05/2025 23:00</t>
  </si>
  <si>
    <t>21/05/2025 23:15</t>
  </si>
  <si>
    <t>21/05/2025 23:30</t>
  </si>
  <si>
    <t>21/05/2025 23:45</t>
  </si>
  <si>
    <t>21/05/2025 24:00</t>
  </si>
  <si>
    <t>22/05/2025 00:15</t>
  </si>
  <si>
    <t>22/05/2025 00:30</t>
  </si>
  <si>
    <t>22/05/2025 00:45</t>
  </si>
  <si>
    <t>22/05/2025 01:00</t>
  </si>
  <si>
    <t>22/05/2025 01:15</t>
  </si>
  <si>
    <t>22/05/2025 01:30</t>
  </si>
  <si>
    <t>22/05/2025 01:45</t>
  </si>
  <si>
    <t>22/05/2025 02:00</t>
  </si>
  <si>
    <t>22/05/2025 02:15</t>
  </si>
  <si>
    <t>22/05/2025 02:30</t>
  </si>
  <si>
    <t>22/05/2025 02:45</t>
  </si>
  <si>
    <t>22/05/2025 03:00</t>
  </si>
  <si>
    <t>22/05/2025 03:15</t>
  </si>
  <si>
    <t>22/05/2025 03:30</t>
  </si>
  <si>
    <t>22/05/2025 03:45</t>
  </si>
  <si>
    <t>22/05/2025 04:00</t>
  </si>
  <si>
    <t>22/05/2025 04:15</t>
  </si>
  <si>
    <t>22/05/2025 04:30</t>
  </si>
  <si>
    <t>22/05/2025 04:45</t>
  </si>
  <si>
    <t>22/05/2025 05:00</t>
  </si>
  <si>
    <t>22/05/2025 05:15</t>
  </si>
  <si>
    <t>22/05/2025 05:30</t>
  </si>
  <si>
    <t>22/05/2025 05:45</t>
  </si>
  <si>
    <t>22/05/2025 06:00</t>
  </si>
  <si>
    <t>22/05/2025 06:15</t>
  </si>
  <si>
    <t>22/05/2025 06:30</t>
  </si>
  <si>
    <t>22/05/2025 06:45</t>
  </si>
  <si>
    <t>22/05/2025 07:00</t>
  </si>
  <si>
    <t>22/05/2025 07:15</t>
  </si>
  <si>
    <t>22/05/2025 07:30</t>
  </si>
  <si>
    <t>22/05/2025 07:45</t>
  </si>
  <si>
    <t>22/05/2025 08:00</t>
  </si>
  <si>
    <t>22/05/2025 08:15</t>
  </si>
  <si>
    <t>22/05/2025 08:30</t>
  </si>
  <si>
    <t>22/05/2025 08:45</t>
  </si>
  <si>
    <t>22/05/2025 09:00</t>
  </si>
  <si>
    <t>22/05/2025 09:15</t>
  </si>
  <si>
    <t>22/05/2025 09:30</t>
  </si>
  <si>
    <t>22/05/2025 09:45</t>
  </si>
  <si>
    <t>22/05/2025 10:00</t>
  </si>
  <si>
    <t>22/05/2025 10:15</t>
  </si>
  <si>
    <t>22/05/2025 10:30</t>
  </si>
  <si>
    <t>22/05/2025 10:45</t>
  </si>
  <si>
    <t>22/05/2025 11:00</t>
  </si>
  <si>
    <t>22/05/2025 11:15</t>
  </si>
  <si>
    <t>22/05/2025 11:30</t>
  </si>
  <si>
    <t>22/05/2025 11:45</t>
  </si>
  <si>
    <t>22/05/2025 12:00</t>
  </si>
  <si>
    <t>22/05/2025 12:15</t>
  </si>
  <si>
    <t>22/05/2025 12:30</t>
  </si>
  <si>
    <t>22/05/2025 12:45</t>
  </si>
  <si>
    <t>22/05/2025 13:00</t>
  </si>
  <si>
    <t>22/05/2025 13:15</t>
  </si>
  <si>
    <t>22/05/2025 13:30</t>
  </si>
  <si>
    <t>22/05/2025 13:45</t>
  </si>
  <si>
    <t>22/05/2025 14:00</t>
  </si>
  <si>
    <t>22/05/2025 14:15</t>
  </si>
  <si>
    <t>22/05/2025 14:30</t>
  </si>
  <si>
    <t>22/05/2025 14:45</t>
  </si>
  <si>
    <t>22/05/2025 15:00</t>
  </si>
  <si>
    <t>22/05/2025 15:15</t>
  </si>
  <si>
    <t>22/05/2025 15:30</t>
  </si>
  <si>
    <t>22/05/2025 15:45</t>
  </si>
  <si>
    <t>22/05/2025 16:00</t>
  </si>
  <si>
    <t>22/05/2025 16:15</t>
  </si>
  <si>
    <t>22/05/2025 16:30</t>
  </si>
  <si>
    <t>22/05/2025 16:45</t>
  </si>
  <si>
    <t>22/05/2025 17:00</t>
  </si>
  <si>
    <t>22/05/2025 17:15</t>
  </si>
  <si>
    <t>22/05/2025 17:30</t>
  </si>
  <si>
    <t>22/05/2025 17:45</t>
  </si>
  <si>
    <t>22/05/2025 18:00</t>
  </si>
  <si>
    <t>22/05/2025 18:15</t>
  </si>
  <si>
    <t>22/05/2025 18:30</t>
  </si>
  <si>
    <t>22/05/2025 18:45</t>
  </si>
  <si>
    <t>22/05/2025 19:00</t>
  </si>
  <si>
    <t>22/05/2025 19:15</t>
  </si>
  <si>
    <t>22/05/2025 19:30</t>
  </si>
  <si>
    <t>22/05/2025 19:45</t>
  </si>
  <si>
    <t>22/05/2025 20:00</t>
  </si>
  <si>
    <t>22/05/2025 20:15</t>
  </si>
  <si>
    <t>22/05/2025 20:30</t>
  </si>
  <si>
    <t>22/05/2025 20:45</t>
  </si>
  <si>
    <t>22/05/2025 21:00</t>
  </si>
  <si>
    <t>22/05/2025 21:15</t>
  </si>
  <si>
    <t>22/05/2025 21:30</t>
  </si>
  <si>
    <t>22/05/2025 21:45</t>
  </si>
  <si>
    <t>22/05/2025 22:00</t>
  </si>
  <si>
    <t>22/05/2025 22:15</t>
  </si>
  <si>
    <t>22/05/2025 22:30</t>
  </si>
  <si>
    <t>22/05/2025 22:45</t>
  </si>
  <si>
    <t>22/05/2025 23:00</t>
  </si>
  <si>
    <t>22/05/2025 23:15</t>
  </si>
  <si>
    <t>22/05/2025 23:30</t>
  </si>
  <si>
    <t>22/05/2025 23:45</t>
  </si>
  <si>
    <t>22/05/2025 24:00</t>
  </si>
  <si>
    <t>23/05/2025 00:15</t>
  </si>
  <si>
    <t>23/05/2025 00:30</t>
  </si>
  <si>
    <t>23/05/2025 00:45</t>
  </si>
  <si>
    <t>23/05/2025 01:00</t>
  </si>
  <si>
    <t>23/05/2025 01:15</t>
  </si>
  <si>
    <t>23/05/2025 01:30</t>
  </si>
  <si>
    <t>23/05/2025 01:45</t>
  </si>
  <si>
    <t>23/05/2025 02:00</t>
  </si>
  <si>
    <t>23/05/2025 02:15</t>
  </si>
  <si>
    <t>23/05/2025 02:30</t>
  </si>
  <si>
    <t>23/05/2025 02:45</t>
  </si>
  <si>
    <t>23/05/2025 03:00</t>
  </si>
  <si>
    <t>23/05/2025 03:15</t>
  </si>
  <si>
    <t>23/05/2025 03:30</t>
  </si>
  <si>
    <t>23/05/2025 03:45</t>
  </si>
  <si>
    <t>23/05/2025 04:00</t>
  </si>
  <si>
    <t>23/05/2025 04:15</t>
  </si>
  <si>
    <t>23/05/2025 04:30</t>
  </si>
  <si>
    <t>23/05/2025 04:45</t>
  </si>
  <si>
    <t>23/05/2025 05:00</t>
  </si>
  <si>
    <t>23/05/2025 05:15</t>
  </si>
  <si>
    <t>23/05/2025 05:30</t>
  </si>
  <si>
    <t>23/05/2025 05:45</t>
  </si>
  <si>
    <t>23/05/2025 06:00</t>
  </si>
  <si>
    <t>23/05/2025 06:15</t>
  </si>
  <si>
    <t>23/05/2025 06:30</t>
  </si>
  <si>
    <t>23/05/2025 06:45</t>
  </si>
  <si>
    <t>23/05/2025 07:00</t>
  </si>
  <si>
    <t>23/05/2025 07:15</t>
  </si>
  <si>
    <t>23/05/2025 07:30</t>
  </si>
  <si>
    <t>23/05/2025 07:45</t>
  </si>
  <si>
    <t>23/05/2025 08:00</t>
  </si>
  <si>
    <t>23/05/2025 08:15</t>
  </si>
  <si>
    <t>23/05/2025 08:30</t>
  </si>
  <si>
    <t>23/05/2025 08:45</t>
  </si>
  <si>
    <t>23/05/2025 09:00</t>
  </si>
  <si>
    <t>23/05/2025 09:15</t>
  </si>
  <si>
    <t>23/05/2025 09:30</t>
  </si>
  <si>
    <t>23/05/2025 09:45</t>
  </si>
  <si>
    <t>23/05/2025 10:00</t>
  </si>
  <si>
    <t>23/05/2025 10:15</t>
  </si>
  <si>
    <t>23/05/2025 10:30</t>
  </si>
  <si>
    <t>23/05/2025 10:45</t>
  </si>
  <si>
    <t>23/05/2025 11:00</t>
  </si>
  <si>
    <t>23/05/2025 11:15</t>
  </si>
  <si>
    <t>23/05/2025 11:30</t>
  </si>
  <si>
    <t>23/05/2025 11:45</t>
  </si>
  <si>
    <t>23/05/2025 12:00</t>
  </si>
  <si>
    <t>23/05/2025 12:15</t>
  </si>
  <si>
    <t>23/05/2025 12:30</t>
  </si>
  <si>
    <t>23/05/2025 12:45</t>
  </si>
  <si>
    <t>23/05/2025 13:00</t>
  </si>
  <si>
    <t>23/05/2025 13:15</t>
  </si>
  <si>
    <t>23/05/2025 13:30</t>
  </si>
  <si>
    <t>23/05/2025 13:45</t>
  </si>
  <si>
    <t>23/05/2025 14:00</t>
  </si>
  <si>
    <t>23/05/2025 14:15</t>
  </si>
  <si>
    <t>23/05/2025 14:30</t>
  </si>
  <si>
    <t>23/05/2025 14:45</t>
  </si>
  <si>
    <t>23/05/2025 15:00</t>
  </si>
  <si>
    <t>23/05/2025 15:15</t>
  </si>
  <si>
    <t>23/05/2025 15:30</t>
  </si>
  <si>
    <t>23/05/2025 15:45</t>
  </si>
  <si>
    <t>23/05/2025 16:00</t>
  </si>
  <si>
    <t>23/05/2025 16:15</t>
  </si>
  <si>
    <t>23/05/2025 16:30</t>
  </si>
  <si>
    <t>23/05/2025 16:45</t>
  </si>
  <si>
    <t>23/05/2025 17:00</t>
  </si>
  <si>
    <t>23/05/2025 17:15</t>
  </si>
  <si>
    <t>23/05/2025 17:30</t>
  </si>
  <si>
    <t>23/05/2025 17:45</t>
  </si>
  <si>
    <t>23/05/2025 18:00</t>
  </si>
  <si>
    <t>23/05/2025 18:15</t>
  </si>
  <si>
    <t>23/05/2025 18:30</t>
  </si>
  <si>
    <t>23/05/2025 18:45</t>
  </si>
  <si>
    <t>23/05/2025 19:00</t>
  </si>
  <si>
    <t>23/05/2025 19:15</t>
  </si>
  <si>
    <t>23/05/2025 19:30</t>
  </si>
  <si>
    <t>23/05/2025 19:45</t>
  </si>
  <si>
    <t>23/05/2025 20:00</t>
  </si>
  <si>
    <t>23/05/2025 20:15</t>
  </si>
  <si>
    <t>23/05/2025 20:30</t>
  </si>
  <si>
    <t>23/05/2025 20:45</t>
  </si>
  <si>
    <t>23/05/2025 21:00</t>
  </si>
  <si>
    <t>23/05/2025 21:15</t>
  </si>
  <si>
    <t>23/05/2025 21:30</t>
  </si>
  <si>
    <t>23/05/2025 21:45</t>
  </si>
  <si>
    <t>23/05/2025 22:00</t>
  </si>
  <si>
    <t>23/05/2025 22:15</t>
  </si>
  <si>
    <t>23/05/2025 22:30</t>
  </si>
  <si>
    <t>23/05/2025 22:45</t>
  </si>
  <si>
    <t>23/05/2025 23:00</t>
  </si>
  <si>
    <t>23/05/2025 23:15</t>
  </si>
  <si>
    <t>23/05/2025 23:30</t>
  </si>
  <si>
    <t>23/05/2025 23:45</t>
  </si>
  <si>
    <t>23/05/2025 24:00</t>
  </si>
  <si>
    <t>24/05/2025 00:15</t>
  </si>
  <si>
    <t>24/05/2025 00:30</t>
  </si>
  <si>
    <t>24/05/2025 00:45</t>
  </si>
  <si>
    <t>24/05/2025 01:00</t>
  </si>
  <si>
    <t>24/05/2025 01:15</t>
  </si>
  <si>
    <t>24/05/2025 01:30</t>
  </si>
  <si>
    <t>24/05/2025 01:45</t>
  </si>
  <si>
    <t>24/05/2025 02:00</t>
  </si>
  <si>
    <t>24/05/2025 02:15</t>
  </si>
  <si>
    <t>24/05/2025 02:30</t>
  </si>
  <si>
    <t>24/05/2025 02:45</t>
  </si>
  <si>
    <t>24/05/2025 03:00</t>
  </si>
  <si>
    <t>24/05/2025 03:15</t>
  </si>
  <si>
    <t>24/05/2025 03:30</t>
  </si>
  <si>
    <t>24/05/2025 03:45</t>
  </si>
  <si>
    <t>24/05/2025 04:00</t>
  </si>
  <si>
    <t>24/05/2025 04:15</t>
  </si>
  <si>
    <t>24/05/2025 04:30</t>
  </si>
  <si>
    <t>24/05/2025 04:45</t>
  </si>
  <si>
    <t>24/05/2025 05:00</t>
  </si>
  <si>
    <t>24/05/2025 05:15</t>
  </si>
  <si>
    <t>24/05/2025 05:30</t>
  </si>
  <si>
    <t>24/05/2025 05:45</t>
  </si>
  <si>
    <t>24/05/2025 06:00</t>
  </si>
  <si>
    <t>24/05/2025 06:15</t>
  </si>
  <si>
    <t>24/05/2025 06:30</t>
  </si>
  <si>
    <t>24/05/2025 06:45</t>
  </si>
  <si>
    <t>24/05/2025 07:00</t>
  </si>
  <si>
    <t>24/05/2025 07:15</t>
  </si>
  <si>
    <t>24/05/2025 07:30</t>
  </si>
  <si>
    <t>24/05/2025 07:45</t>
  </si>
  <si>
    <t>24/05/2025 08:00</t>
  </si>
  <si>
    <t>24/05/2025 08:15</t>
  </si>
  <si>
    <t>24/05/2025 08:30</t>
  </si>
  <si>
    <t>24/05/2025 08:45</t>
  </si>
  <si>
    <t>24/05/2025 09:00</t>
  </si>
  <si>
    <t>24/05/2025 09:15</t>
  </si>
  <si>
    <t>24/05/2025 09:30</t>
  </si>
  <si>
    <t>24/05/2025 09:45</t>
  </si>
  <si>
    <t>24/05/2025 10:00</t>
  </si>
  <si>
    <t>24/05/2025 10:15</t>
  </si>
  <si>
    <t>24/05/2025 10:30</t>
  </si>
  <si>
    <t>24/05/2025 10:45</t>
  </si>
  <si>
    <t>24/05/2025 11:00</t>
  </si>
  <si>
    <t>24/05/2025 11:15</t>
  </si>
  <si>
    <t>24/05/2025 11:30</t>
  </si>
  <si>
    <t>24/05/2025 11:45</t>
  </si>
  <si>
    <t>24/05/2025 12:00</t>
  </si>
  <si>
    <t>24/05/2025 12:15</t>
  </si>
  <si>
    <t>24/05/2025 12:30</t>
  </si>
  <si>
    <t>24/05/2025 12:45</t>
  </si>
  <si>
    <t>24/05/2025 13:00</t>
  </si>
  <si>
    <t>24/05/2025 13:15</t>
  </si>
  <si>
    <t>24/05/2025 13:30</t>
  </si>
  <si>
    <t>24/05/2025 13:45</t>
  </si>
  <si>
    <t>24/05/2025 14:00</t>
  </si>
  <si>
    <t>24/05/2025 14:15</t>
  </si>
  <si>
    <t>24/05/2025 14:30</t>
  </si>
  <si>
    <t>24/05/2025 14:45</t>
  </si>
  <si>
    <t>24/05/2025 15:00</t>
  </si>
  <si>
    <t>24/05/2025 15:15</t>
  </si>
  <si>
    <t>24/05/2025 15:30</t>
  </si>
  <si>
    <t>24/05/2025 15:45</t>
  </si>
  <si>
    <t>24/05/2025 16:00</t>
  </si>
  <si>
    <t>24/05/2025 16:15</t>
  </si>
  <si>
    <t>24/05/2025 16:30</t>
  </si>
  <si>
    <t>24/05/2025 16:45</t>
  </si>
  <si>
    <t>24/05/2025 17:00</t>
  </si>
  <si>
    <t>24/05/2025 17:15</t>
  </si>
  <si>
    <t>24/05/2025 17:30</t>
  </si>
  <si>
    <t>24/05/2025 17:45</t>
  </si>
  <si>
    <t>24/05/2025 18:00</t>
  </si>
  <si>
    <t>24/05/2025 18:15</t>
  </si>
  <si>
    <t>24/05/2025 18:30</t>
  </si>
  <si>
    <t>24/05/2025 18:45</t>
  </si>
  <si>
    <t>24/05/2025 19:00</t>
  </si>
  <si>
    <t>24/05/2025 19:15</t>
  </si>
  <si>
    <t>24/05/2025 19:30</t>
  </si>
  <si>
    <t>24/05/2025 19:45</t>
  </si>
  <si>
    <t>24/05/2025 20:00</t>
  </si>
  <si>
    <t>24/05/2025 20:15</t>
  </si>
  <si>
    <t>24/05/2025 20:30</t>
  </si>
  <si>
    <t>24/05/2025 20:45</t>
  </si>
  <si>
    <t>24/05/2025 21:00</t>
  </si>
  <si>
    <t>24/05/2025 21:15</t>
  </si>
  <si>
    <t>24/05/2025 21:30</t>
  </si>
  <si>
    <t>24/05/2025 21:45</t>
  </si>
  <si>
    <t>24/05/2025 22:00</t>
  </si>
  <si>
    <t>24/05/2025 22:15</t>
  </si>
  <si>
    <t>24/05/2025 22:30</t>
  </si>
  <si>
    <t>24/05/2025 22:45</t>
  </si>
  <si>
    <t>24/05/2025 23:00</t>
  </si>
  <si>
    <t>24/05/2025 23:15</t>
  </si>
  <si>
    <t>24/05/2025 23:30</t>
  </si>
  <si>
    <t>24/05/2025 23:45</t>
  </si>
  <si>
    <t>24/05/2025 24:00</t>
  </si>
  <si>
    <t>25/05/2025 00:15</t>
  </si>
  <si>
    <t>25/05/2025 00:30</t>
  </si>
  <si>
    <t>25/05/2025 00:45</t>
  </si>
  <si>
    <t>25/05/2025 01:00</t>
  </si>
  <si>
    <t>25/05/2025 01:15</t>
  </si>
  <si>
    <t>25/05/2025 01:30</t>
  </si>
  <si>
    <t>25/05/2025 01:45</t>
  </si>
  <si>
    <t>25/05/2025 02:00</t>
  </si>
  <si>
    <t>25/05/2025 02:15</t>
  </si>
  <si>
    <t>25/05/2025 02:30</t>
  </si>
  <si>
    <t>25/05/2025 02:45</t>
  </si>
  <si>
    <t>25/05/2025 03:00</t>
  </si>
  <si>
    <t>25/05/2025 03:15</t>
  </si>
  <si>
    <t>25/05/2025 03:30</t>
  </si>
  <si>
    <t>25/05/2025 03:45</t>
  </si>
  <si>
    <t>25/05/2025 04:00</t>
  </si>
  <si>
    <t>25/05/2025 04:15</t>
  </si>
  <si>
    <t>25/05/2025 04:30</t>
  </si>
  <si>
    <t>25/05/2025 04:45</t>
  </si>
  <si>
    <t>25/05/2025 05:00</t>
  </si>
  <si>
    <t>25/05/2025 05:15</t>
  </si>
  <si>
    <t>25/05/2025 05:30</t>
  </si>
  <si>
    <t>25/05/2025 05:45</t>
  </si>
  <si>
    <t>25/05/2025 06:00</t>
  </si>
  <si>
    <t>25/05/2025 06:15</t>
  </si>
  <si>
    <t>25/05/2025 06:30</t>
  </si>
  <si>
    <t>25/05/2025 06:45</t>
  </si>
  <si>
    <t>25/05/2025 07:00</t>
  </si>
  <si>
    <t>25/05/2025 07:15</t>
  </si>
  <si>
    <t>25/05/2025 07:30</t>
  </si>
  <si>
    <t>25/05/2025 07:45</t>
  </si>
  <si>
    <t>25/05/2025 08:00</t>
  </si>
  <si>
    <t>25/05/2025 08:15</t>
  </si>
  <si>
    <t>25/05/2025 08:30</t>
  </si>
  <si>
    <t>25/05/2025 08:45</t>
  </si>
  <si>
    <t>25/05/2025 09:00</t>
  </si>
  <si>
    <t>25/05/2025 09:15</t>
  </si>
  <si>
    <t>25/05/2025 09:30</t>
  </si>
  <si>
    <t>25/05/2025 09:45</t>
  </si>
  <si>
    <t>25/05/2025 10:00</t>
  </si>
  <si>
    <t>25/05/2025 10:15</t>
  </si>
  <si>
    <t>25/05/2025 10:30</t>
  </si>
  <si>
    <t>25/05/2025 10:45</t>
  </si>
  <si>
    <t>25/05/2025 11:00</t>
  </si>
  <si>
    <t>25/05/2025 11:15</t>
  </si>
  <si>
    <t>25/05/2025 11:30</t>
  </si>
  <si>
    <t>25/05/2025 11:45</t>
  </si>
  <si>
    <t>25/05/2025 12:00</t>
  </si>
  <si>
    <t>25/05/2025 12:15</t>
  </si>
  <si>
    <t>25/05/2025 12:30</t>
  </si>
  <si>
    <t>25/05/2025 12:45</t>
  </si>
  <si>
    <t>25/05/2025 13:00</t>
  </si>
  <si>
    <t>25/05/2025 13:15</t>
  </si>
  <si>
    <t>25/05/2025 13:30</t>
  </si>
  <si>
    <t>25/05/2025 13:45</t>
  </si>
  <si>
    <t>25/05/2025 14:00</t>
  </si>
  <si>
    <t>25/05/2025 14:15</t>
  </si>
  <si>
    <t>25/05/2025 14:30</t>
  </si>
  <si>
    <t>25/05/2025 14:45</t>
  </si>
  <si>
    <t>25/05/2025 15:00</t>
  </si>
  <si>
    <t>25/05/2025 15:15</t>
  </si>
  <si>
    <t>25/05/2025 15:30</t>
  </si>
  <si>
    <t>25/05/2025 15:45</t>
  </si>
  <si>
    <t>25/05/2025 16:00</t>
  </si>
  <si>
    <t>25/05/2025 16:15</t>
  </si>
  <si>
    <t>25/05/2025 16:30</t>
  </si>
  <si>
    <t>25/05/2025 16:45</t>
  </si>
  <si>
    <t>25/05/2025 17:00</t>
  </si>
  <si>
    <t>25/05/2025 17:15</t>
  </si>
  <si>
    <t>25/05/2025 17:30</t>
  </si>
  <si>
    <t>25/05/2025 17:45</t>
  </si>
  <si>
    <t>25/05/2025 18:00</t>
  </si>
  <si>
    <t>25/05/2025 18:15</t>
  </si>
  <si>
    <t>25/05/2025 18:30</t>
  </si>
  <si>
    <t>25/05/2025 18:45</t>
  </si>
  <si>
    <t>25/05/2025 19:00</t>
  </si>
  <si>
    <t>25/05/2025 19:15</t>
  </si>
  <si>
    <t>25/05/2025 19:30</t>
  </si>
  <si>
    <t>25/05/2025 19:45</t>
  </si>
  <si>
    <t>25/05/2025 20:00</t>
  </si>
  <si>
    <t>25/05/2025 20:15</t>
  </si>
  <si>
    <t>25/05/2025 20:30</t>
  </si>
  <si>
    <t>25/05/2025 20:45</t>
  </si>
  <si>
    <t>25/05/2025 21:00</t>
  </si>
  <si>
    <t>25/05/2025 21:15</t>
  </si>
  <si>
    <t>25/05/2025 21:30</t>
  </si>
  <si>
    <t>25/05/2025 21:45</t>
  </si>
  <si>
    <t>25/05/2025 22:00</t>
  </si>
  <si>
    <t>25/05/2025 22:15</t>
  </si>
  <si>
    <t>25/05/2025 22:30</t>
  </si>
  <si>
    <t>25/05/2025 22:45</t>
  </si>
  <si>
    <t>25/05/2025 23:00</t>
  </si>
  <si>
    <t>25/05/2025 23:15</t>
  </si>
  <si>
    <t>25/05/2025 23:30</t>
  </si>
  <si>
    <t>25/05/2025 23:45</t>
  </si>
  <si>
    <t>25/05/2025 24:00</t>
  </si>
  <si>
    <t>26/05/2025 00:15</t>
  </si>
  <si>
    <t>26/05/2025 00:30</t>
  </si>
  <si>
    <t>26/05/2025 00:45</t>
  </si>
  <si>
    <t>26/05/2025 01:00</t>
  </si>
  <si>
    <t>26/05/2025 01:15</t>
  </si>
  <si>
    <t>26/05/2025 01:30</t>
  </si>
  <si>
    <t>26/05/2025 01:45</t>
  </si>
  <si>
    <t>26/05/2025 02:00</t>
  </si>
  <si>
    <t>26/05/2025 02:15</t>
  </si>
  <si>
    <t>26/05/2025 02:30</t>
  </si>
  <si>
    <t>26/05/2025 02:45</t>
  </si>
  <si>
    <t>26/05/2025 03:00</t>
  </si>
  <si>
    <t>26/05/2025 03:15</t>
  </si>
  <si>
    <t>26/05/2025 03:30</t>
  </si>
  <si>
    <t>26/05/2025 03:45</t>
  </si>
  <si>
    <t>26/05/2025 04:00</t>
  </si>
  <si>
    <t>26/05/2025 04:15</t>
  </si>
  <si>
    <t>26/05/2025 04:30</t>
  </si>
  <si>
    <t>26/05/2025 04:45</t>
  </si>
  <si>
    <t>26/05/2025 05:00</t>
  </si>
  <si>
    <t>26/05/2025 05:15</t>
  </si>
  <si>
    <t>26/05/2025 05:30</t>
  </si>
  <si>
    <t>26/05/2025 05:45</t>
  </si>
  <si>
    <t>26/05/2025 06:00</t>
  </si>
  <si>
    <t>26/05/2025 06:15</t>
  </si>
  <si>
    <t>26/05/2025 06:30</t>
  </si>
  <si>
    <t>26/05/2025 06:45</t>
  </si>
  <si>
    <t>26/05/2025 07:00</t>
  </si>
  <si>
    <t>26/05/2025 07:15</t>
  </si>
  <si>
    <t>26/05/2025 07:30</t>
  </si>
  <si>
    <t>26/05/2025 07:45</t>
  </si>
  <si>
    <t>26/05/2025 08:00</t>
  </si>
  <si>
    <t>26/05/2025 08:15</t>
  </si>
  <si>
    <t>26/05/2025 08:30</t>
  </si>
  <si>
    <t>26/05/2025 08:45</t>
  </si>
  <si>
    <t>26/05/2025 09:00</t>
  </si>
  <si>
    <t>26/05/2025 09:15</t>
  </si>
  <si>
    <t>26/05/2025 09:30</t>
  </si>
  <si>
    <t>26/05/2025 09:45</t>
  </si>
  <si>
    <t>26/05/2025 10:00</t>
  </si>
  <si>
    <t>26/05/2025 10:15</t>
  </si>
  <si>
    <t>26/05/2025 10:30</t>
  </si>
  <si>
    <t>26/05/2025 10:45</t>
  </si>
  <si>
    <t>26/05/2025 11:00</t>
  </si>
  <si>
    <t>26/05/2025 11:15</t>
  </si>
  <si>
    <t>26/05/2025 11:30</t>
  </si>
  <si>
    <t>26/05/2025 11:45</t>
  </si>
  <si>
    <t>26/05/2025 12:00</t>
  </si>
  <si>
    <t>26/05/2025 12:15</t>
  </si>
  <si>
    <t>26/05/2025 12:30</t>
  </si>
  <si>
    <t>26/05/2025 12:45</t>
  </si>
  <si>
    <t>26/05/2025 13:00</t>
  </si>
  <si>
    <t>26/05/2025 13:15</t>
  </si>
  <si>
    <t>26/05/2025 13:30</t>
  </si>
  <si>
    <t>26/05/2025 13:45</t>
  </si>
  <si>
    <t>26/05/2025 14:00</t>
  </si>
  <si>
    <t>26/05/2025 14:15</t>
  </si>
  <si>
    <t>26/05/2025 14:30</t>
  </si>
  <si>
    <t>26/05/2025 14:45</t>
  </si>
  <si>
    <t>26/05/2025 15:00</t>
  </si>
  <si>
    <t>26/05/2025 15:15</t>
  </si>
  <si>
    <t>26/05/2025 15:30</t>
  </si>
  <si>
    <t>26/05/2025 15:45</t>
  </si>
  <si>
    <t>26/05/2025 16:00</t>
  </si>
  <si>
    <t>26/05/2025 16:15</t>
  </si>
  <si>
    <t>26/05/2025 16:30</t>
  </si>
  <si>
    <t>26/05/2025 16:45</t>
  </si>
  <si>
    <t>26/05/2025 17:00</t>
  </si>
  <si>
    <t>26/05/2025 17:15</t>
  </si>
  <si>
    <t>26/05/2025 17:30</t>
  </si>
  <si>
    <t>26/05/2025 17:45</t>
  </si>
  <si>
    <t>26/05/2025 18:00</t>
  </si>
  <si>
    <t>26/05/2025 18:15</t>
  </si>
  <si>
    <t>26/05/2025 18:30</t>
  </si>
  <si>
    <t>26/05/2025 18:45</t>
  </si>
  <si>
    <t>26/05/2025 19:00</t>
  </si>
  <si>
    <t>26/05/2025 19:15</t>
  </si>
  <si>
    <t>26/05/2025 19:30</t>
  </si>
  <si>
    <t>26/05/2025 19:45</t>
  </si>
  <si>
    <t>26/05/2025 20:00</t>
  </si>
  <si>
    <t>26/05/2025 20:15</t>
  </si>
  <si>
    <t>26/05/2025 20:30</t>
  </si>
  <si>
    <t>26/05/2025 20:45</t>
  </si>
  <si>
    <t>26/05/2025 21:00</t>
  </si>
  <si>
    <t>26/05/2025 21:15</t>
  </si>
  <si>
    <t>26/05/2025 21:30</t>
  </si>
  <si>
    <t>26/05/2025 21:45</t>
  </si>
  <si>
    <t>26/05/2025 22:00</t>
  </si>
  <si>
    <t>26/05/2025 22:15</t>
  </si>
  <si>
    <t>26/05/2025 22:30</t>
  </si>
  <si>
    <t>26/05/2025 22:45</t>
  </si>
  <si>
    <t>26/05/2025 23:00</t>
  </si>
  <si>
    <t>26/05/2025 23:15</t>
  </si>
  <si>
    <t>26/05/2025 23:30</t>
  </si>
  <si>
    <t>26/05/2025 23:45</t>
  </si>
  <si>
    <t>26/05/2025 24:00</t>
  </si>
  <si>
    <t>27/05/2025 00:15</t>
  </si>
  <si>
    <t>27/05/2025 00:30</t>
  </si>
  <si>
    <t>27/05/2025 00:45</t>
  </si>
  <si>
    <t>27/05/2025 01:00</t>
  </si>
  <si>
    <t>27/05/2025 01:15</t>
  </si>
  <si>
    <t>27/05/2025 01:30</t>
  </si>
  <si>
    <t>27/05/2025 01:45</t>
  </si>
  <si>
    <t>27/05/2025 02:00</t>
  </si>
  <si>
    <t>27/05/2025 02:15</t>
  </si>
  <si>
    <t>27/05/2025 02:30</t>
  </si>
  <si>
    <t>27/05/2025 02:45</t>
  </si>
  <si>
    <t>27/05/2025 03:00</t>
  </si>
  <si>
    <t>27/05/2025 03:15</t>
  </si>
  <si>
    <t>27/05/2025 03:30</t>
  </si>
  <si>
    <t>27/05/2025 03:45</t>
  </si>
  <si>
    <t>27/05/2025 04:00</t>
  </si>
  <si>
    <t>27/05/2025 04:15</t>
  </si>
  <si>
    <t>27/05/2025 04:30</t>
  </si>
  <si>
    <t>27/05/2025 04:45</t>
  </si>
  <si>
    <t>27/05/2025 05:00</t>
  </si>
  <si>
    <t>27/05/2025 05:15</t>
  </si>
  <si>
    <t>27/05/2025 05:30</t>
  </si>
  <si>
    <t>27/05/2025 05:45</t>
  </si>
  <si>
    <t>27/05/2025 06:00</t>
  </si>
  <si>
    <t>27/05/2025 06:15</t>
  </si>
  <si>
    <t>27/05/2025 06:30</t>
  </si>
  <si>
    <t>27/05/2025 06:45</t>
  </si>
  <si>
    <t>27/05/2025 07:00</t>
  </si>
  <si>
    <t>27/05/2025 07:15</t>
  </si>
  <si>
    <t>27/05/2025 07:30</t>
  </si>
  <si>
    <t>27/05/2025 07:45</t>
  </si>
  <si>
    <t>27/05/2025 08:00</t>
  </si>
  <si>
    <t>27/05/2025 08:15</t>
  </si>
  <si>
    <t>27/05/2025 08:30</t>
  </si>
  <si>
    <t>27/05/2025 08:45</t>
  </si>
  <si>
    <t>27/05/2025 09:00</t>
  </si>
  <si>
    <t>27/05/2025 09:15</t>
  </si>
  <si>
    <t>27/05/2025 09:30</t>
  </si>
  <si>
    <t>27/05/2025 09:45</t>
  </si>
  <si>
    <t>27/05/2025 10:00</t>
  </si>
  <si>
    <t>27/05/2025 10:15</t>
  </si>
  <si>
    <t>27/05/2025 10:30</t>
  </si>
  <si>
    <t>27/05/2025 10:45</t>
  </si>
  <si>
    <t>27/05/2025 11:00</t>
  </si>
  <si>
    <t>27/05/2025 11:15</t>
  </si>
  <si>
    <t>27/05/2025 11:30</t>
  </si>
  <si>
    <t>27/05/2025 11:45</t>
  </si>
  <si>
    <t>27/05/2025 12:00</t>
  </si>
  <si>
    <t>27/05/2025 12:15</t>
  </si>
  <si>
    <t>27/05/2025 12:30</t>
  </si>
  <si>
    <t>27/05/2025 12:45</t>
  </si>
  <si>
    <t>27/05/2025 13:00</t>
  </si>
  <si>
    <t>27/05/2025 13:15</t>
  </si>
  <si>
    <t>27/05/2025 13:30</t>
  </si>
  <si>
    <t>27/05/2025 13:45</t>
  </si>
  <si>
    <t>27/05/2025 14:00</t>
  </si>
  <si>
    <t>27/05/2025 14:15</t>
  </si>
  <si>
    <t>27/05/2025 14:30</t>
  </si>
  <si>
    <t>27/05/2025 14:45</t>
  </si>
  <si>
    <t>27/05/2025 15:00</t>
  </si>
  <si>
    <t>27/05/2025 15:15</t>
  </si>
  <si>
    <t>27/05/2025 15:30</t>
  </si>
  <si>
    <t>27/05/2025 15:45</t>
  </si>
  <si>
    <t>27/05/2025 16:00</t>
  </si>
  <si>
    <t>27/05/2025 16:15</t>
  </si>
  <si>
    <t>27/05/2025 16:30</t>
  </si>
  <si>
    <t>27/05/2025 16:45</t>
  </si>
  <si>
    <t>27/05/2025 17:00</t>
  </si>
  <si>
    <t>27/05/2025 17:15</t>
  </si>
  <si>
    <t>27/05/2025 17:30</t>
  </si>
  <si>
    <t>27/05/2025 17:45</t>
  </si>
  <si>
    <t>27/05/2025 18:00</t>
  </si>
  <si>
    <t>27/05/2025 18:15</t>
  </si>
  <si>
    <t>27/05/2025 18:30</t>
  </si>
  <si>
    <t>27/05/2025 18:45</t>
  </si>
  <si>
    <t>27/05/2025 19:00</t>
  </si>
  <si>
    <t>27/05/2025 19:15</t>
  </si>
  <si>
    <t>27/05/2025 19:30</t>
  </si>
  <si>
    <t>27/05/2025 19:45</t>
  </si>
  <si>
    <t>27/05/2025 20:00</t>
  </si>
  <si>
    <t>27/05/2025 20:15</t>
  </si>
  <si>
    <t>27/05/2025 20:30</t>
  </si>
  <si>
    <t>27/05/2025 20:45</t>
  </si>
  <si>
    <t>27/05/2025 21:00</t>
  </si>
  <si>
    <t>27/05/2025 21:15</t>
  </si>
  <si>
    <t>27/05/2025 21:30</t>
  </si>
  <si>
    <t>27/05/2025 21:45</t>
  </si>
  <si>
    <t>27/05/2025 22:00</t>
  </si>
  <si>
    <t>27/05/2025 22:15</t>
  </si>
  <si>
    <t>27/05/2025 22:30</t>
  </si>
  <si>
    <t>27/05/2025 22:45</t>
  </si>
  <si>
    <t>27/05/2025 23:00</t>
  </si>
  <si>
    <t>27/05/2025 23:15</t>
  </si>
  <si>
    <t>27/05/2025 23:30</t>
  </si>
  <si>
    <t>27/05/2025 23:45</t>
  </si>
  <si>
    <t>27/05/2025 24:00</t>
  </si>
  <si>
    <t>28/05/2025 00:15</t>
  </si>
  <si>
    <t>28/05/2025 00:30</t>
  </si>
  <si>
    <t>28/05/2025 00:45</t>
  </si>
  <si>
    <t>28/05/2025 01:00</t>
  </si>
  <si>
    <t>28/05/2025 01:15</t>
  </si>
  <si>
    <t>28/05/2025 01:30</t>
  </si>
  <si>
    <t>28/05/2025 01:45</t>
  </si>
  <si>
    <t>28/05/2025 02:00</t>
  </si>
  <si>
    <t>28/05/2025 02:15</t>
  </si>
  <si>
    <t>28/05/2025 02:30</t>
  </si>
  <si>
    <t>28/05/2025 02:45</t>
  </si>
  <si>
    <t>28/05/2025 03:00</t>
  </si>
  <si>
    <t>28/05/2025 03:15</t>
  </si>
  <si>
    <t>28/05/2025 03:30</t>
  </si>
  <si>
    <t>28/05/2025 03:45</t>
  </si>
  <si>
    <t>28/05/2025 04:00</t>
  </si>
  <si>
    <t>28/05/2025 04:15</t>
  </si>
  <si>
    <t>28/05/2025 04:30</t>
  </si>
  <si>
    <t>28/05/2025 04:45</t>
  </si>
  <si>
    <t>28/05/2025 05:00</t>
  </si>
  <si>
    <t>28/05/2025 05:15</t>
  </si>
  <si>
    <t>28/05/2025 05:30</t>
  </si>
  <si>
    <t>28/05/2025 05:45</t>
  </si>
  <si>
    <t>28/05/2025 06:00</t>
  </si>
  <si>
    <t>28/05/2025 06:15</t>
  </si>
  <si>
    <t>28/05/2025 06:30</t>
  </si>
  <si>
    <t>28/05/2025 06:45</t>
  </si>
  <si>
    <t>28/05/2025 07:00</t>
  </si>
  <si>
    <t>28/05/2025 07:15</t>
  </si>
  <si>
    <t>28/05/2025 07:30</t>
  </si>
  <si>
    <t>28/05/2025 07:45</t>
  </si>
  <si>
    <t>28/05/2025 08:00</t>
  </si>
  <si>
    <t>28/05/2025 08:15</t>
  </si>
  <si>
    <t>28/05/2025 08:30</t>
  </si>
  <si>
    <t>28/05/2025 08:45</t>
  </si>
  <si>
    <t>28/05/2025 09:00</t>
  </si>
  <si>
    <t>28/05/2025 09:15</t>
  </si>
  <si>
    <t>28/05/2025 09:30</t>
  </si>
  <si>
    <t>28/05/2025 09:45</t>
  </si>
  <si>
    <t>28/05/2025 10:00</t>
  </si>
  <si>
    <t>28/05/2025 10:15</t>
  </si>
  <si>
    <t>28/05/2025 10:30</t>
  </si>
  <si>
    <t>28/05/2025 10:45</t>
  </si>
  <si>
    <t>28/05/2025 11:00</t>
  </si>
  <si>
    <t>28/05/2025 11:15</t>
  </si>
  <si>
    <t>28/05/2025 11:30</t>
  </si>
  <si>
    <t>28/05/2025 11:45</t>
  </si>
  <si>
    <t>28/05/2025 12:00</t>
  </si>
  <si>
    <t>28/05/2025 12:15</t>
  </si>
  <si>
    <t>28/05/2025 12:30</t>
  </si>
  <si>
    <t>28/05/2025 12:45</t>
  </si>
  <si>
    <t>28/05/2025 13:00</t>
  </si>
  <si>
    <t>28/05/2025 13:15</t>
  </si>
  <si>
    <t>28/05/2025 13:30</t>
  </si>
  <si>
    <t>28/05/2025 13:45</t>
  </si>
  <si>
    <t>28/05/2025 14:00</t>
  </si>
  <si>
    <t>28/05/2025 14:15</t>
  </si>
  <si>
    <t>28/05/2025 14:30</t>
  </si>
  <si>
    <t>28/05/2025 14:45</t>
  </si>
  <si>
    <t>28/05/2025 15:00</t>
  </si>
  <si>
    <t>28/05/2025 15:15</t>
  </si>
  <si>
    <t>28/05/2025 15:30</t>
  </si>
  <si>
    <t>28/05/2025 15:45</t>
  </si>
  <si>
    <t>28/05/2025 16:00</t>
  </si>
  <si>
    <t>28/05/2025 16:15</t>
  </si>
  <si>
    <t>28/05/2025 16:30</t>
  </si>
  <si>
    <t>28/05/2025 16:45</t>
  </si>
  <si>
    <t>28/05/2025 17:00</t>
  </si>
  <si>
    <t>28/05/2025 17:15</t>
  </si>
  <si>
    <t>28/05/2025 17:30</t>
  </si>
  <si>
    <t>28/05/2025 17:45</t>
  </si>
  <si>
    <t>28/05/2025 18:00</t>
  </si>
  <si>
    <t>28/05/2025 18:15</t>
  </si>
  <si>
    <t>28/05/2025 18:30</t>
  </si>
  <si>
    <t>28/05/2025 18:45</t>
  </si>
  <si>
    <t>28/05/2025 19:00</t>
  </si>
  <si>
    <t>28/05/2025 19:15</t>
  </si>
  <si>
    <t>28/05/2025 19:30</t>
  </si>
  <si>
    <t>28/05/2025 19:45</t>
  </si>
  <si>
    <t>28/05/2025 20:00</t>
  </si>
  <si>
    <t>28/05/2025 20:15</t>
  </si>
  <si>
    <t>28/05/2025 20:30</t>
  </si>
  <si>
    <t>28/05/2025 20:45</t>
  </si>
  <si>
    <t>28/05/2025 21:00</t>
  </si>
  <si>
    <t>28/05/2025 21:15</t>
  </si>
  <si>
    <t>28/05/2025 21:30</t>
  </si>
  <si>
    <t>28/05/2025 21:45</t>
  </si>
  <si>
    <t>28/05/2025 22:00</t>
  </si>
  <si>
    <t>28/05/2025 22:15</t>
  </si>
  <si>
    <t>28/05/2025 22:30</t>
  </si>
  <si>
    <t>28/05/2025 22:45</t>
  </si>
  <si>
    <t>28/05/2025 23:00</t>
  </si>
  <si>
    <t>28/05/2025 23:15</t>
  </si>
  <si>
    <t>28/05/2025 23:30</t>
  </si>
  <si>
    <t>28/05/2025 23:45</t>
  </si>
  <si>
    <t>28/05/2025 24:00</t>
  </si>
  <si>
    <t>29/05/2025 00:15</t>
  </si>
  <si>
    <t>29/05/2025 00:30</t>
  </si>
  <si>
    <t>29/05/2025 00:45</t>
  </si>
  <si>
    <t>29/05/2025 01:00</t>
  </si>
  <si>
    <t>29/05/2025 01:15</t>
  </si>
  <si>
    <t>29/05/2025 01:30</t>
  </si>
  <si>
    <t>29/05/2025 01:45</t>
  </si>
  <si>
    <t>29/05/2025 02:00</t>
  </si>
  <si>
    <t>29/05/2025 02:15</t>
  </si>
  <si>
    <t>29/05/2025 02:30</t>
  </si>
  <si>
    <t>29/05/2025 02:45</t>
  </si>
  <si>
    <t>29/05/2025 03:00</t>
  </si>
  <si>
    <t>29/05/2025 03:15</t>
  </si>
  <si>
    <t>29/05/2025 03:30</t>
  </si>
  <si>
    <t>29/05/2025 03:45</t>
  </si>
  <si>
    <t>29/05/2025 04:00</t>
  </si>
  <si>
    <t>29/05/2025 04:15</t>
  </si>
  <si>
    <t>29/05/2025 04:30</t>
  </si>
  <si>
    <t>29/05/2025 04:45</t>
  </si>
  <si>
    <t>29/05/2025 05:00</t>
  </si>
  <si>
    <t>29/05/2025 05:15</t>
  </si>
  <si>
    <t>29/05/2025 05:30</t>
  </si>
  <si>
    <t>29/05/2025 05:45</t>
  </si>
  <si>
    <t>29/05/2025 06:00</t>
  </si>
  <si>
    <t>29/05/2025 06:15</t>
  </si>
  <si>
    <t>29/05/2025 06:30</t>
  </si>
  <si>
    <t>29/05/2025 06:45</t>
  </si>
  <si>
    <t>29/05/2025 07:00</t>
  </si>
  <si>
    <t>29/05/2025 07:15</t>
  </si>
  <si>
    <t>29/05/2025 07:30</t>
  </si>
  <si>
    <t>29/05/2025 07:45</t>
  </si>
  <si>
    <t>29/05/2025 08:00</t>
  </si>
  <si>
    <t>29/05/2025 08:15</t>
  </si>
  <si>
    <t>29/05/2025 08:30</t>
  </si>
  <si>
    <t>29/05/2025 08:45</t>
  </si>
  <si>
    <t>29/05/2025 09:00</t>
  </si>
  <si>
    <t>29/05/2025 09:15</t>
  </si>
  <si>
    <t>29/05/2025 09:30</t>
  </si>
  <si>
    <t>29/05/2025 09:45</t>
  </si>
  <si>
    <t>29/05/2025 10:00</t>
  </si>
  <si>
    <t>29/05/2025 10:15</t>
  </si>
  <si>
    <t>29/05/2025 10:30</t>
  </si>
  <si>
    <t>29/05/2025 10:45</t>
  </si>
  <si>
    <t>29/05/2025 11:00</t>
  </si>
  <si>
    <t>29/05/2025 11:15</t>
  </si>
  <si>
    <t>29/05/2025 11:30</t>
  </si>
  <si>
    <t>29/05/2025 11:45</t>
  </si>
  <si>
    <t>29/05/2025 12:00</t>
  </si>
  <si>
    <t>29/05/2025 12:15</t>
  </si>
  <si>
    <t>29/05/2025 12:30</t>
  </si>
  <si>
    <t>29/05/2025 12:45</t>
  </si>
  <si>
    <t>29/05/2025 13:00</t>
  </si>
  <si>
    <t>29/05/2025 13:15</t>
  </si>
  <si>
    <t>29/05/2025 13:30</t>
  </si>
  <si>
    <t>29/05/2025 13:45</t>
  </si>
  <si>
    <t>29/05/2025 14:00</t>
  </si>
  <si>
    <t>29/05/2025 14:15</t>
  </si>
  <si>
    <t>29/05/2025 14:30</t>
  </si>
  <si>
    <t>29/05/2025 14:45</t>
  </si>
  <si>
    <t>29/05/2025 15:00</t>
  </si>
  <si>
    <t>29/05/2025 15:15</t>
  </si>
  <si>
    <t>29/05/2025 15:30</t>
  </si>
  <si>
    <t>29/05/2025 15:45</t>
  </si>
  <si>
    <t>29/05/2025 16:00</t>
  </si>
  <si>
    <t>29/05/2025 16:15</t>
  </si>
  <si>
    <t>29/05/2025 16:30</t>
  </si>
  <si>
    <t>29/05/2025 16:45</t>
  </si>
  <si>
    <t>29/05/2025 17:00</t>
  </si>
  <si>
    <t>29/05/2025 17:15</t>
  </si>
  <si>
    <t>29/05/2025 17:30</t>
  </si>
  <si>
    <t>29/05/2025 17:45</t>
  </si>
  <si>
    <t>29/05/2025 18:00</t>
  </si>
  <si>
    <t>29/05/2025 18:15</t>
  </si>
  <si>
    <t>29/05/2025 18:30</t>
  </si>
  <si>
    <t>29/05/2025 18:45</t>
  </si>
  <si>
    <t>29/05/2025 19:00</t>
  </si>
  <si>
    <t>29/05/2025 19:15</t>
  </si>
  <si>
    <t>29/05/2025 19:30</t>
  </si>
  <si>
    <t>29/05/2025 19:45</t>
  </si>
  <si>
    <t>29/05/2025 20:00</t>
  </si>
  <si>
    <t>29/05/2025 20:15</t>
  </si>
  <si>
    <t>29/05/2025 20:30</t>
  </si>
  <si>
    <t>29/05/2025 20:45</t>
  </si>
  <si>
    <t>29/05/2025 21:00</t>
  </si>
  <si>
    <t>29/05/2025 21:15</t>
  </si>
  <si>
    <t>29/05/2025 21:30</t>
  </si>
  <si>
    <t>29/05/2025 21:45</t>
  </si>
  <si>
    <t>29/05/2025 22:00</t>
  </si>
  <si>
    <t>29/05/2025 22:15</t>
  </si>
  <si>
    <t>29/05/2025 22:30</t>
  </si>
  <si>
    <t>29/05/2025 22:45</t>
  </si>
  <si>
    <t>29/05/2025 23:00</t>
  </si>
  <si>
    <t>29/05/2025 23:15</t>
  </si>
  <si>
    <t>29/05/2025 23:30</t>
  </si>
  <si>
    <t>29/05/2025 23:45</t>
  </si>
  <si>
    <t>29/05/2025 24:00</t>
  </si>
  <si>
    <t>30/05/2025 00:15</t>
  </si>
  <si>
    <t>30/05/2025 00:30</t>
  </si>
  <si>
    <t>30/05/2025 00:45</t>
  </si>
  <si>
    <t>30/05/2025 01:00</t>
  </si>
  <si>
    <t>30/05/2025 01:15</t>
  </si>
  <si>
    <t>30/05/2025 01:30</t>
  </si>
  <si>
    <t>30/05/2025 01:45</t>
  </si>
  <si>
    <t>30/05/2025 02:00</t>
  </si>
  <si>
    <t>30/05/2025 02:15</t>
  </si>
  <si>
    <t>30/05/2025 02:30</t>
  </si>
  <si>
    <t>30/05/2025 02:45</t>
  </si>
  <si>
    <t>30/05/2025 03:00</t>
  </si>
  <si>
    <t>30/05/2025 03:15</t>
  </si>
  <si>
    <t>30/05/2025 03:30</t>
  </si>
  <si>
    <t>30/05/2025 03:45</t>
  </si>
  <si>
    <t>30/05/2025 04:00</t>
  </si>
  <si>
    <t>30/05/2025 04:15</t>
  </si>
  <si>
    <t>30/05/2025 04:30</t>
  </si>
  <si>
    <t>30/05/2025 04:45</t>
  </si>
  <si>
    <t>30/05/2025 05:00</t>
  </si>
  <si>
    <t>30/05/2025 05:15</t>
  </si>
  <si>
    <t>30/05/2025 05:30</t>
  </si>
  <si>
    <t>30/05/2025 05:45</t>
  </si>
  <si>
    <t>30/05/2025 06:00</t>
  </si>
  <si>
    <t>30/05/2025 06:15</t>
  </si>
  <si>
    <t>30/05/2025 06:30</t>
  </si>
  <si>
    <t>30/05/2025 06:45</t>
  </si>
  <si>
    <t>30/05/2025 07:00</t>
  </si>
  <si>
    <t>30/05/2025 07:15</t>
  </si>
  <si>
    <t>30/05/2025 07:30</t>
  </si>
  <si>
    <t>30/05/2025 07:45</t>
  </si>
  <si>
    <t>30/05/2025 08:00</t>
  </si>
  <si>
    <t>30/05/2025 08:15</t>
  </si>
  <si>
    <t>30/05/2025 08:30</t>
  </si>
  <si>
    <t>30/05/2025 08:45</t>
  </si>
  <si>
    <t>30/05/2025 09:00</t>
  </si>
  <si>
    <t>30/05/2025 09:15</t>
  </si>
  <si>
    <t>30/05/2025 09:30</t>
  </si>
  <si>
    <t>30/05/2025 09:45</t>
  </si>
  <si>
    <t>30/05/2025 10:00</t>
  </si>
  <si>
    <t>30/05/2025 10:15</t>
  </si>
  <si>
    <t>30/05/2025 10:30</t>
  </si>
  <si>
    <t>30/05/2025 10:45</t>
  </si>
  <si>
    <t>30/05/2025 11:00</t>
  </si>
  <si>
    <t>30/05/2025 11:15</t>
  </si>
  <si>
    <t>30/05/2025 11:30</t>
  </si>
  <si>
    <t>30/05/2025 11:45</t>
  </si>
  <si>
    <t>30/05/2025 12:00</t>
  </si>
  <si>
    <t>30/05/2025 12:15</t>
  </si>
  <si>
    <t>30/05/2025 12:30</t>
  </si>
  <si>
    <t>30/05/2025 12:45</t>
  </si>
  <si>
    <t>30/05/2025 13:00</t>
  </si>
  <si>
    <t>30/05/2025 13:15</t>
  </si>
  <si>
    <t>30/05/2025 13:30</t>
  </si>
  <si>
    <t>30/05/2025 13:45</t>
  </si>
  <si>
    <t>30/05/2025 14:00</t>
  </si>
  <si>
    <t>30/05/2025 14:15</t>
  </si>
  <si>
    <t>30/05/2025 14:30</t>
  </si>
  <si>
    <t>30/05/2025 14:45</t>
  </si>
  <si>
    <t>30/05/2025 15:00</t>
  </si>
  <si>
    <t>30/05/2025 15:15</t>
  </si>
  <si>
    <t>30/05/2025 15:30</t>
  </si>
  <si>
    <t>30/05/2025 15:45</t>
  </si>
  <si>
    <t>30/05/2025 16:00</t>
  </si>
  <si>
    <t>30/05/2025 16:15</t>
  </si>
  <si>
    <t>30/05/2025 16:30</t>
  </si>
  <si>
    <t>30/05/2025 16:45</t>
  </si>
  <si>
    <t>30/05/2025 17:00</t>
  </si>
  <si>
    <t>30/05/2025 17:15</t>
  </si>
  <si>
    <t>30/05/2025 17:30</t>
  </si>
  <si>
    <t>30/05/2025 17:45</t>
  </si>
  <si>
    <t>30/05/2025 18:00</t>
  </si>
  <si>
    <t>30/05/2025 18:15</t>
  </si>
  <si>
    <t>30/05/2025 18:30</t>
  </si>
  <si>
    <t>30/05/2025 18:45</t>
  </si>
  <si>
    <t>30/05/2025 19:00</t>
  </si>
  <si>
    <t>30/05/2025 19:15</t>
  </si>
  <si>
    <t>30/05/2025 19:30</t>
  </si>
  <si>
    <t>30/05/2025 19:45</t>
  </si>
  <si>
    <t>30/05/2025 20:00</t>
  </si>
  <si>
    <t>30/05/2025 20:15</t>
  </si>
  <si>
    <t>30/05/2025 20:30</t>
  </si>
  <si>
    <t>30/05/2025 20:45</t>
  </si>
  <si>
    <t>30/05/2025 21:00</t>
  </si>
  <si>
    <t>30/05/2025 21:15</t>
  </si>
  <si>
    <t>30/05/2025 21:30</t>
  </si>
  <si>
    <t>30/05/2025 21:45</t>
  </si>
  <si>
    <t>30/05/2025 22:00</t>
  </si>
  <si>
    <t>30/05/2025 22:15</t>
  </si>
  <si>
    <t>30/05/2025 22:30</t>
  </si>
  <si>
    <t>30/05/2025 22:45</t>
  </si>
  <si>
    <t>30/05/2025 23:00</t>
  </si>
  <si>
    <t>30/05/2025 23:15</t>
  </si>
  <si>
    <t>30/05/2025 23:30</t>
  </si>
  <si>
    <t>30/05/2025 23:45</t>
  </si>
  <si>
    <t>30/05/2025 24:00</t>
  </si>
  <si>
    <t>31/05/2025 00:15</t>
  </si>
  <si>
    <t>31/05/2025 00:30</t>
  </si>
  <si>
    <t>31/05/2025 00:45</t>
  </si>
  <si>
    <t>31/05/2025 01:00</t>
  </si>
  <si>
    <t>31/05/2025 01:15</t>
  </si>
  <si>
    <t>31/05/2025 01:30</t>
  </si>
  <si>
    <t>31/05/2025 01:45</t>
  </si>
  <si>
    <t>31/05/2025 02:00</t>
  </si>
  <si>
    <t>31/05/2025 02:15</t>
  </si>
  <si>
    <t>31/05/2025 02:30</t>
  </si>
  <si>
    <t>31/05/2025 02:45</t>
  </si>
  <si>
    <t>31/05/2025 03:00</t>
  </si>
  <si>
    <t>31/05/2025 03:15</t>
  </si>
  <si>
    <t>31/05/2025 03:30</t>
  </si>
  <si>
    <t>31/05/2025 03:45</t>
  </si>
  <si>
    <t>31/05/2025 04:00</t>
  </si>
  <si>
    <t>31/05/2025 04:15</t>
  </si>
  <si>
    <t>31/05/2025 04:30</t>
  </si>
  <si>
    <t>31/05/2025 04:45</t>
  </si>
  <si>
    <t>31/05/2025 05:00</t>
  </si>
  <si>
    <t>31/05/2025 05:15</t>
  </si>
  <si>
    <t>31/05/2025 05:30</t>
  </si>
  <si>
    <t>31/05/2025 05:45</t>
  </si>
  <si>
    <t>31/05/2025 06:00</t>
  </si>
  <si>
    <t>31/05/2025 06:15</t>
  </si>
  <si>
    <t>31/05/2025 06:30</t>
  </si>
  <si>
    <t>31/05/2025 06:45</t>
  </si>
  <si>
    <t>31/05/2025 07:00</t>
  </si>
  <si>
    <t>31/05/2025 07:15</t>
  </si>
  <si>
    <t>31/05/2025 07:30</t>
  </si>
  <si>
    <t>31/05/2025 07:45</t>
  </si>
  <si>
    <t>31/05/2025 08:00</t>
  </si>
  <si>
    <t>31/05/2025 08:15</t>
  </si>
  <si>
    <t>31/05/2025 08:30</t>
  </si>
  <si>
    <t>31/05/2025 08:45</t>
  </si>
  <si>
    <t>31/05/2025 09:00</t>
  </si>
  <si>
    <t>31/05/2025 09:15</t>
  </si>
  <si>
    <t>31/05/2025 09:30</t>
  </si>
  <si>
    <t>31/05/2025 09:45</t>
  </si>
  <si>
    <t>31/05/2025 10:00</t>
  </si>
  <si>
    <t>31/05/2025 10:15</t>
  </si>
  <si>
    <t>31/05/2025 10:30</t>
  </si>
  <si>
    <t>31/05/2025 10:45</t>
  </si>
  <si>
    <t>31/05/2025 11:00</t>
  </si>
  <si>
    <t>31/05/2025 11:15</t>
  </si>
  <si>
    <t>31/05/2025 11:30</t>
  </si>
  <si>
    <t>31/05/2025 11:45</t>
  </si>
  <si>
    <t>31/05/2025 12:00</t>
  </si>
  <si>
    <t>31/05/2025 12:15</t>
  </si>
  <si>
    <t>31/05/2025 12:30</t>
  </si>
  <si>
    <t>31/05/2025 12:45</t>
  </si>
  <si>
    <t>31/05/2025 13:00</t>
  </si>
  <si>
    <t>31/05/2025 13:15</t>
  </si>
  <si>
    <t>31/05/2025 13:30</t>
  </si>
  <si>
    <t>31/05/2025 13:45</t>
  </si>
  <si>
    <t>31/05/2025 14:00</t>
  </si>
  <si>
    <t>31/05/2025 14:15</t>
  </si>
  <si>
    <t>31/05/2025 14:30</t>
  </si>
  <si>
    <t>31/05/2025 14:45</t>
  </si>
  <si>
    <t>31/05/2025 15:00</t>
  </si>
  <si>
    <t>31/05/2025 15:15</t>
  </si>
  <si>
    <t>31/05/2025 15:30</t>
  </si>
  <si>
    <t>31/05/2025 15:45</t>
  </si>
  <si>
    <t>31/05/2025 16:00</t>
  </si>
  <si>
    <t>31/05/2025 16:15</t>
  </si>
  <si>
    <t>31/05/2025 16:30</t>
  </si>
  <si>
    <t>31/05/2025 16:45</t>
  </si>
  <si>
    <t>31/05/2025 17:00</t>
  </si>
  <si>
    <t>31/05/2025 17:15</t>
  </si>
  <si>
    <t>31/05/2025 17:30</t>
  </si>
  <si>
    <t>31/05/2025 17:45</t>
  </si>
  <si>
    <t>31/05/2025 18:00</t>
  </si>
  <si>
    <t>31/05/2025 18:15</t>
  </si>
  <si>
    <t>31/05/2025 18:30</t>
  </si>
  <si>
    <t>31/05/2025 18:45</t>
  </si>
  <si>
    <t>31/05/2025 19:00</t>
  </si>
  <si>
    <t>31/05/2025 19:15</t>
  </si>
  <si>
    <t>31/05/2025 19:30</t>
  </si>
  <si>
    <t>31/05/2025 19:45</t>
  </si>
  <si>
    <t>31/05/2025 20:00</t>
  </si>
  <si>
    <t>31/05/2025 20:15</t>
  </si>
  <si>
    <t>31/05/2025 20:30</t>
  </si>
  <si>
    <t>31/05/2025 20:45</t>
  </si>
  <si>
    <t>31/05/2025 21:00</t>
  </si>
  <si>
    <t>31/05/2025 21:15</t>
  </si>
  <si>
    <t>31/05/2025 21:30</t>
  </si>
  <si>
    <t>31/05/2025 21:45</t>
  </si>
  <si>
    <t>31/05/2025 22:00</t>
  </si>
  <si>
    <t>31/05/2025 22:15</t>
  </si>
  <si>
    <t>31/05/2025 22:30</t>
  </si>
  <si>
    <t>31/05/2025 22:45</t>
  </si>
  <si>
    <t>31/05/2025 23:00</t>
  </si>
  <si>
    <t>31/05/2025 23:15</t>
  </si>
  <si>
    <t>31/05/2025 23:30</t>
  </si>
  <si>
    <t>31/05/2025 23:45</t>
  </si>
  <si>
    <t>31/05/2025 24:00</t>
  </si>
  <si>
    <t>Calibration report Of Bhatagaon, RAIPUR</t>
  </si>
  <si>
    <t>01/05/2025 - 31/05/2025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</si>
</sst>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1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1" fillId="12" borderId="1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6" activePane="bottomRight" state="frozen"/>
      <selection activeCell="A9" sqref="A9:U104"/>
      <selection pane="topRight" activeCell="A9" sqref="A9:U104"/>
      <selection pane="bottomLeft" activeCell="A9" sqref="A9:U104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246</v>
      </c>
      <c r="B9" s="64">
        <v>5.2</v>
      </c>
      <c r="C9" s="64">
        <v>25.89</v>
      </c>
      <c r="D9" s="64">
        <v>41.56</v>
      </c>
      <c r="E9" s="64">
        <v>3.01</v>
      </c>
      <c r="F9" s="64">
        <v>7.26</v>
      </c>
      <c r="G9" s="64">
        <v>21.51</v>
      </c>
      <c r="H9" s="64">
        <v>8.27</v>
      </c>
      <c r="I9" s="64">
        <v>4.13</v>
      </c>
      <c r="J9" s="64">
        <v>3.2</v>
      </c>
      <c r="K9" s="64">
        <v>91.32</v>
      </c>
      <c r="L9" s="64">
        <v>29.24</v>
      </c>
      <c r="M9" s="64">
        <v>62.55</v>
      </c>
      <c r="N9" s="64">
        <v>138.19999999999999</v>
      </c>
      <c r="O9" s="64">
        <v>0</v>
      </c>
      <c r="P9" s="64">
        <v>0.37</v>
      </c>
      <c r="Q9" s="64">
        <v>9.52</v>
      </c>
      <c r="R9" s="198"/>
      <c r="S9" s="198"/>
      <c r="T9" s="198"/>
      <c r="U9" s="198"/>
    </row>
    <row r="10" spans="1:21" s="12" customFormat="1" x14ac:dyDescent="0.25">
      <c r="A10" s="214" t="s">
        <v>247</v>
      </c>
      <c r="B10" s="64">
        <v>4.84</v>
      </c>
      <c r="C10" s="64">
        <v>22.95</v>
      </c>
      <c r="D10" s="64">
        <v>36.5</v>
      </c>
      <c r="E10" s="64">
        <v>2.84</v>
      </c>
      <c r="F10" s="64">
        <v>8.3800000000000008</v>
      </c>
      <c r="G10" s="64">
        <v>21.51</v>
      </c>
      <c r="H10" s="64">
        <v>8.27</v>
      </c>
      <c r="I10" s="64">
        <v>3.83</v>
      </c>
      <c r="J10" s="64">
        <v>2.33</v>
      </c>
      <c r="K10" s="64">
        <v>93.51</v>
      </c>
      <c r="L10" s="64">
        <v>29.1</v>
      </c>
      <c r="M10" s="64">
        <v>62.79</v>
      </c>
      <c r="N10" s="64">
        <v>194.6</v>
      </c>
      <c r="O10" s="64">
        <v>0</v>
      </c>
      <c r="P10" s="64">
        <v>0.35</v>
      </c>
      <c r="Q10" s="64">
        <v>9.52</v>
      </c>
      <c r="R10" s="198"/>
      <c r="S10" s="198"/>
      <c r="T10" s="198"/>
      <c r="U10" s="198"/>
    </row>
    <row r="11" spans="1:21" s="12" customFormat="1" x14ac:dyDescent="0.25">
      <c r="A11" s="214" t="s">
        <v>248</v>
      </c>
      <c r="B11" s="64">
        <v>4.5</v>
      </c>
      <c r="C11" s="64">
        <v>23.62</v>
      </c>
      <c r="D11" s="64">
        <v>38.31</v>
      </c>
      <c r="E11" s="64">
        <v>2.72</v>
      </c>
      <c r="F11" s="64">
        <v>8.7100000000000009</v>
      </c>
      <c r="G11" s="64">
        <v>21.51</v>
      </c>
      <c r="H11" s="64">
        <v>8.27</v>
      </c>
      <c r="I11" s="64">
        <v>3.9</v>
      </c>
      <c r="J11" s="64">
        <v>1.52</v>
      </c>
      <c r="K11" s="64">
        <v>121.37</v>
      </c>
      <c r="L11" s="64">
        <v>29.07</v>
      </c>
      <c r="M11" s="64">
        <v>61.82</v>
      </c>
      <c r="N11" s="64">
        <v>180.7</v>
      </c>
      <c r="O11" s="64">
        <v>0</v>
      </c>
      <c r="P11" s="64">
        <v>0.35</v>
      </c>
      <c r="Q11" s="64">
        <v>9.49</v>
      </c>
      <c r="R11" s="198"/>
      <c r="S11" s="198"/>
      <c r="T11" s="198"/>
      <c r="U11" s="198"/>
    </row>
    <row r="12" spans="1:21" s="12" customFormat="1" x14ac:dyDescent="0.25">
      <c r="A12" s="214" t="s">
        <v>249</v>
      </c>
      <c r="B12" s="64">
        <v>3.99</v>
      </c>
      <c r="C12" s="64">
        <v>21.92</v>
      </c>
      <c r="D12" s="64">
        <v>35.83</v>
      </c>
      <c r="E12" s="64">
        <v>2.42</v>
      </c>
      <c r="F12" s="64">
        <v>8.67</v>
      </c>
      <c r="G12" s="64">
        <v>21.81</v>
      </c>
      <c r="H12" s="64">
        <v>6.64</v>
      </c>
      <c r="I12" s="64">
        <v>4.0199999999999996</v>
      </c>
      <c r="J12" s="64">
        <v>1.61</v>
      </c>
      <c r="K12" s="64">
        <v>155.12</v>
      </c>
      <c r="L12" s="64">
        <v>28.97</v>
      </c>
      <c r="M12" s="64">
        <v>61.74</v>
      </c>
      <c r="N12" s="64">
        <v>190.5</v>
      </c>
      <c r="O12" s="64">
        <v>0</v>
      </c>
      <c r="P12" s="64">
        <v>0.34</v>
      </c>
      <c r="Q12" s="64">
        <v>9.4700000000000006</v>
      </c>
      <c r="R12" s="198"/>
      <c r="S12" s="198"/>
      <c r="T12" s="198"/>
      <c r="U12" s="198"/>
    </row>
    <row r="13" spans="1:21" s="12" customFormat="1" x14ac:dyDescent="0.25">
      <c r="A13" s="214" t="s">
        <v>250</v>
      </c>
      <c r="B13" s="64">
        <v>3.77</v>
      </c>
      <c r="C13" s="64">
        <v>22.69</v>
      </c>
      <c r="D13" s="64">
        <v>37.65</v>
      </c>
      <c r="E13" s="64">
        <v>2.58</v>
      </c>
      <c r="F13" s="64">
        <v>7.75</v>
      </c>
      <c r="G13" s="64">
        <v>21.9</v>
      </c>
      <c r="H13" s="64">
        <v>6.17</v>
      </c>
      <c r="I13" s="64">
        <v>4.0199999999999996</v>
      </c>
      <c r="J13" s="64">
        <v>1.52</v>
      </c>
      <c r="K13" s="64">
        <v>151.35</v>
      </c>
      <c r="L13" s="64">
        <v>28.79</v>
      </c>
      <c r="M13" s="64">
        <v>62.53</v>
      </c>
      <c r="N13" s="64">
        <v>172</v>
      </c>
      <c r="O13" s="64">
        <v>0</v>
      </c>
      <c r="P13" s="64">
        <v>0.32</v>
      </c>
      <c r="Q13" s="64">
        <v>9.4700000000000006</v>
      </c>
      <c r="R13" s="198"/>
      <c r="S13" s="198"/>
      <c r="T13" s="198"/>
      <c r="U13" s="198"/>
    </row>
    <row r="14" spans="1:21" s="12" customFormat="1" x14ac:dyDescent="0.25">
      <c r="A14" s="214" t="s">
        <v>251</v>
      </c>
      <c r="B14" s="64">
        <v>3.54</v>
      </c>
      <c r="C14" s="64">
        <v>21.11</v>
      </c>
      <c r="D14" s="64">
        <v>34.97</v>
      </c>
      <c r="E14" s="64">
        <v>2.46</v>
      </c>
      <c r="F14" s="64">
        <v>8.6</v>
      </c>
      <c r="G14" s="64">
        <v>21.9</v>
      </c>
      <c r="H14" s="64">
        <v>6.17</v>
      </c>
      <c r="I14" s="64">
        <v>4.05</v>
      </c>
      <c r="J14" s="64">
        <v>0.28000000000000003</v>
      </c>
      <c r="K14" s="64">
        <v>127.02</v>
      </c>
      <c r="L14" s="64">
        <v>28.68</v>
      </c>
      <c r="M14" s="64">
        <v>62.97</v>
      </c>
      <c r="N14" s="64">
        <v>165.9</v>
      </c>
      <c r="O14" s="64">
        <v>0</v>
      </c>
      <c r="P14" s="64">
        <v>0.33</v>
      </c>
      <c r="Q14" s="64">
        <v>9.4499999999999993</v>
      </c>
      <c r="R14" s="198"/>
      <c r="S14" s="198"/>
      <c r="T14" s="198"/>
      <c r="U14" s="198"/>
    </row>
    <row r="15" spans="1:21" s="12" customFormat="1" x14ac:dyDescent="0.25">
      <c r="A15" s="214" t="s">
        <v>252</v>
      </c>
      <c r="B15" s="64">
        <v>3.59</v>
      </c>
      <c r="C15" s="64">
        <v>22.25</v>
      </c>
      <c r="D15" s="64">
        <v>37.07</v>
      </c>
      <c r="E15" s="64">
        <v>2.4900000000000002</v>
      </c>
      <c r="F15" s="64">
        <v>7.04</v>
      </c>
      <c r="G15" s="64">
        <v>21.9</v>
      </c>
      <c r="H15" s="64">
        <v>6.17</v>
      </c>
      <c r="I15" s="64">
        <v>4.1100000000000003</v>
      </c>
      <c r="J15" s="64">
        <v>2</v>
      </c>
      <c r="K15" s="64">
        <v>181.42</v>
      </c>
      <c r="L15" s="64">
        <v>28.64</v>
      </c>
      <c r="M15" s="64">
        <v>63.03</v>
      </c>
      <c r="N15" s="64">
        <v>125.9</v>
      </c>
      <c r="O15" s="64">
        <v>0</v>
      </c>
      <c r="P15" s="64">
        <v>0.33</v>
      </c>
      <c r="Q15" s="64">
        <v>9.4499999999999993</v>
      </c>
      <c r="R15" s="198"/>
      <c r="S15" s="198"/>
      <c r="T15" s="198"/>
      <c r="U15" s="198"/>
    </row>
    <row r="16" spans="1:21" s="12" customFormat="1" x14ac:dyDescent="0.25">
      <c r="A16" s="214" t="s">
        <v>253</v>
      </c>
      <c r="B16" s="64">
        <v>3.26</v>
      </c>
      <c r="C16" s="64">
        <v>20.079999999999998</v>
      </c>
      <c r="D16" s="64">
        <v>33.43</v>
      </c>
      <c r="E16" s="64">
        <v>2.36</v>
      </c>
      <c r="F16" s="64">
        <v>9.34</v>
      </c>
      <c r="G16" s="64">
        <v>15.99</v>
      </c>
      <c r="H16" s="64">
        <v>7.98</v>
      </c>
      <c r="I16" s="64">
        <v>4.07</v>
      </c>
      <c r="J16" s="64">
        <v>1.29</v>
      </c>
      <c r="K16" s="64">
        <v>200.23</v>
      </c>
      <c r="L16" s="64">
        <v>28.5</v>
      </c>
      <c r="M16" s="64">
        <v>63.94</v>
      </c>
      <c r="N16" s="64">
        <v>139.9</v>
      </c>
      <c r="O16" s="64">
        <v>0</v>
      </c>
      <c r="P16" s="64">
        <v>0.28999999999999998</v>
      </c>
      <c r="Q16" s="64">
        <v>9.43</v>
      </c>
      <c r="R16" s="198"/>
      <c r="S16" s="198"/>
      <c r="T16" s="198"/>
      <c r="U16" s="198"/>
    </row>
    <row r="17" spans="1:21" s="12" customFormat="1" x14ac:dyDescent="0.25">
      <c r="A17" s="214" t="s">
        <v>254</v>
      </c>
      <c r="B17" s="64">
        <v>3.45</v>
      </c>
      <c r="C17" s="64">
        <v>21.98</v>
      </c>
      <c r="D17" s="64">
        <v>36.78</v>
      </c>
      <c r="E17" s="64">
        <v>2.66</v>
      </c>
      <c r="F17" s="64">
        <v>8.56</v>
      </c>
      <c r="G17" s="64">
        <v>14.31</v>
      </c>
      <c r="H17" s="64">
        <v>8.5</v>
      </c>
      <c r="I17" s="64">
        <v>3.85</v>
      </c>
      <c r="J17" s="64">
        <v>1.99</v>
      </c>
      <c r="K17" s="64">
        <v>265.64999999999998</v>
      </c>
      <c r="L17" s="64">
        <v>28.16</v>
      </c>
      <c r="M17" s="64">
        <v>67.209999999999994</v>
      </c>
      <c r="N17" s="64">
        <v>147.6</v>
      </c>
      <c r="O17" s="64">
        <v>0</v>
      </c>
      <c r="P17" s="64">
        <v>0.32</v>
      </c>
      <c r="Q17" s="64">
        <v>9.41</v>
      </c>
      <c r="R17" s="198"/>
      <c r="S17" s="198"/>
      <c r="T17" s="198"/>
      <c r="U17" s="198"/>
    </row>
    <row r="18" spans="1:21" s="12" customFormat="1" x14ac:dyDescent="0.25">
      <c r="A18" s="214" t="s">
        <v>255</v>
      </c>
      <c r="B18" s="64">
        <v>6.86</v>
      </c>
      <c r="C18" s="64">
        <v>27.22</v>
      </c>
      <c r="D18" s="64">
        <v>41.57</v>
      </c>
      <c r="E18" s="64">
        <v>2.58</v>
      </c>
      <c r="F18" s="64">
        <v>10.31</v>
      </c>
      <c r="G18" s="64">
        <v>14.31</v>
      </c>
      <c r="H18" s="64">
        <v>8.5</v>
      </c>
      <c r="I18" s="64">
        <v>3.96</v>
      </c>
      <c r="J18" s="64">
        <v>2.1</v>
      </c>
      <c r="K18" s="64">
        <v>271.75</v>
      </c>
      <c r="L18" s="64">
        <v>27.61</v>
      </c>
      <c r="M18" s="64">
        <v>74.349999999999994</v>
      </c>
      <c r="N18" s="64">
        <v>127.6</v>
      </c>
      <c r="O18" s="64">
        <v>0</v>
      </c>
      <c r="P18" s="64">
        <v>0.35</v>
      </c>
      <c r="Q18" s="64">
        <v>9.42</v>
      </c>
      <c r="R18" s="198"/>
      <c r="S18" s="198"/>
      <c r="T18" s="198"/>
      <c r="U18" s="198"/>
    </row>
    <row r="19" spans="1:21" s="12" customFormat="1" x14ac:dyDescent="0.25">
      <c r="A19" s="214" t="s">
        <v>256</v>
      </c>
      <c r="B19" s="64">
        <v>5.67</v>
      </c>
      <c r="C19" s="64">
        <v>25.15</v>
      </c>
      <c r="D19" s="64">
        <v>39.44</v>
      </c>
      <c r="E19" s="64">
        <v>2.39</v>
      </c>
      <c r="F19" s="64">
        <v>11.33</v>
      </c>
      <c r="G19" s="64">
        <v>14.31</v>
      </c>
      <c r="H19" s="64">
        <v>8.5</v>
      </c>
      <c r="I19" s="64">
        <v>4.1100000000000003</v>
      </c>
      <c r="J19" s="64">
        <v>2</v>
      </c>
      <c r="K19" s="64">
        <v>274.68</v>
      </c>
      <c r="L19" s="64">
        <v>27.23</v>
      </c>
      <c r="M19" s="64">
        <v>76.37</v>
      </c>
      <c r="N19" s="64">
        <v>146.9</v>
      </c>
      <c r="O19" s="64">
        <v>0</v>
      </c>
      <c r="P19" s="64">
        <v>0.28999999999999998</v>
      </c>
      <c r="Q19" s="64">
        <v>9.4</v>
      </c>
      <c r="R19" s="198"/>
      <c r="S19" s="198"/>
      <c r="T19" s="198"/>
      <c r="U19" s="198"/>
    </row>
    <row r="20" spans="1:21" s="12" customFormat="1" x14ac:dyDescent="0.25">
      <c r="A20" s="214" t="s">
        <v>257</v>
      </c>
      <c r="B20" s="64">
        <v>3.49</v>
      </c>
      <c r="C20" s="64">
        <v>19.940000000000001</v>
      </c>
      <c r="D20" s="64">
        <v>32.82</v>
      </c>
      <c r="E20" s="64">
        <v>2.2200000000000002</v>
      </c>
      <c r="F20" s="64">
        <v>13.36</v>
      </c>
      <c r="G20" s="64">
        <v>17.96</v>
      </c>
      <c r="H20" s="64">
        <v>6.69</v>
      </c>
      <c r="I20" s="64">
        <v>3.9</v>
      </c>
      <c r="J20" s="64">
        <v>1.08</v>
      </c>
      <c r="K20" s="64">
        <v>38.47</v>
      </c>
      <c r="L20" s="64">
        <v>27.04</v>
      </c>
      <c r="M20" s="64">
        <v>75.56</v>
      </c>
      <c r="N20" s="64">
        <v>143.19999999999999</v>
      </c>
      <c r="O20" s="64">
        <v>0</v>
      </c>
      <c r="P20" s="64">
        <v>0.26</v>
      </c>
      <c r="Q20" s="64">
        <v>9.39</v>
      </c>
      <c r="R20" s="198"/>
      <c r="S20" s="198"/>
      <c r="T20" s="198"/>
      <c r="U20" s="198"/>
    </row>
    <row r="21" spans="1:21" s="12" customFormat="1" x14ac:dyDescent="0.25">
      <c r="A21" s="214" t="s">
        <v>258</v>
      </c>
      <c r="B21" s="64">
        <v>3.25</v>
      </c>
      <c r="C21" s="64">
        <v>19.05</v>
      </c>
      <c r="D21" s="64">
        <v>31.48</v>
      </c>
      <c r="E21" s="64">
        <v>2.2599999999999998</v>
      </c>
      <c r="F21" s="64">
        <v>13.77</v>
      </c>
      <c r="G21" s="64">
        <v>19</v>
      </c>
      <c r="H21" s="64">
        <v>6.18</v>
      </c>
      <c r="I21" s="64">
        <v>4.01</v>
      </c>
      <c r="J21" s="64">
        <v>0.67</v>
      </c>
      <c r="K21" s="64">
        <v>256.61</v>
      </c>
      <c r="L21" s="64">
        <v>27.12</v>
      </c>
      <c r="M21" s="64">
        <v>74.12</v>
      </c>
      <c r="N21" s="64">
        <v>102.3</v>
      </c>
      <c r="O21" s="64">
        <v>0</v>
      </c>
      <c r="P21" s="64">
        <v>0.25</v>
      </c>
      <c r="Q21" s="64">
        <v>9.4</v>
      </c>
      <c r="R21" s="198"/>
      <c r="S21" s="198"/>
      <c r="T21" s="198"/>
      <c r="U21" s="198"/>
    </row>
    <row r="22" spans="1:21" s="12" customFormat="1" x14ac:dyDescent="0.25">
      <c r="A22" s="214" t="s">
        <v>259</v>
      </c>
      <c r="B22" s="64">
        <v>5.38</v>
      </c>
      <c r="C22" s="64">
        <v>26.29</v>
      </c>
      <c r="D22" s="64">
        <v>42.07</v>
      </c>
      <c r="E22" s="64">
        <v>2.61</v>
      </c>
      <c r="F22" s="64">
        <v>10.02</v>
      </c>
      <c r="G22" s="64">
        <v>19</v>
      </c>
      <c r="H22" s="64">
        <v>6.18</v>
      </c>
      <c r="I22" s="64">
        <v>3.92</v>
      </c>
      <c r="J22" s="64">
        <v>2.08</v>
      </c>
      <c r="K22" s="64">
        <v>270.62</v>
      </c>
      <c r="L22" s="64">
        <v>27.16</v>
      </c>
      <c r="M22" s="64">
        <v>77.290000000000006</v>
      </c>
      <c r="N22" s="64">
        <v>102.7</v>
      </c>
      <c r="O22" s="64">
        <v>0</v>
      </c>
      <c r="P22" s="64">
        <v>0.28000000000000003</v>
      </c>
      <c r="Q22" s="64">
        <v>9.43</v>
      </c>
      <c r="R22" s="198"/>
      <c r="S22" s="198"/>
      <c r="T22" s="198"/>
      <c r="U22" s="198"/>
    </row>
    <row r="23" spans="1:21" s="12" customFormat="1" x14ac:dyDescent="0.25">
      <c r="A23" s="214" t="s">
        <v>260</v>
      </c>
      <c r="B23" s="64">
        <v>4.21</v>
      </c>
      <c r="C23" s="64">
        <v>21.61</v>
      </c>
      <c r="D23" s="64">
        <v>34.909999999999997</v>
      </c>
      <c r="E23" s="64">
        <v>2.42</v>
      </c>
      <c r="F23" s="64">
        <v>11.61</v>
      </c>
      <c r="G23" s="64">
        <v>19</v>
      </c>
      <c r="H23" s="64">
        <v>6.18</v>
      </c>
      <c r="I23" s="64">
        <v>3.88</v>
      </c>
      <c r="J23" s="64">
        <v>1.1499999999999999</v>
      </c>
      <c r="K23" s="64">
        <v>113.4</v>
      </c>
      <c r="L23" s="64">
        <v>27.01</v>
      </c>
      <c r="M23" s="64">
        <v>76.42</v>
      </c>
      <c r="N23" s="64">
        <v>102.6</v>
      </c>
      <c r="O23" s="64">
        <v>0</v>
      </c>
      <c r="P23" s="64">
        <v>0.27</v>
      </c>
      <c r="Q23" s="64">
        <v>9.4600000000000009</v>
      </c>
      <c r="R23" s="198"/>
      <c r="S23" s="198"/>
      <c r="T23" s="198"/>
      <c r="U23" s="198"/>
    </row>
    <row r="24" spans="1:21" s="12" customFormat="1" x14ac:dyDescent="0.25">
      <c r="A24" s="214" t="s">
        <v>261</v>
      </c>
      <c r="B24" s="64">
        <v>7.33</v>
      </c>
      <c r="C24" s="64">
        <v>30.77</v>
      </c>
      <c r="D24" s="64">
        <v>47.64</v>
      </c>
      <c r="E24" s="64">
        <v>2.31</v>
      </c>
      <c r="F24" s="64">
        <v>9.67</v>
      </c>
      <c r="G24" s="64">
        <v>19.690000000000001</v>
      </c>
      <c r="H24" s="64">
        <v>6.25</v>
      </c>
      <c r="I24" s="64">
        <v>3.98</v>
      </c>
      <c r="J24" s="64">
        <v>1.05</v>
      </c>
      <c r="K24" s="64">
        <v>294.23</v>
      </c>
      <c r="L24" s="64">
        <v>27.25</v>
      </c>
      <c r="M24" s="64">
        <v>74.41</v>
      </c>
      <c r="N24" s="64">
        <v>103.3</v>
      </c>
      <c r="O24" s="64">
        <v>0</v>
      </c>
      <c r="P24" s="64">
        <v>0.28999999999999998</v>
      </c>
      <c r="Q24" s="64">
        <v>9.4700000000000006</v>
      </c>
      <c r="R24" s="198"/>
      <c r="S24" s="198"/>
      <c r="T24" s="198"/>
      <c r="U24" s="198"/>
    </row>
    <row r="25" spans="1:21" s="12" customFormat="1" x14ac:dyDescent="0.25">
      <c r="A25" s="214" t="s">
        <v>262</v>
      </c>
      <c r="B25" s="64">
        <v>22.55</v>
      </c>
      <c r="C25" s="64">
        <v>41.33</v>
      </c>
      <c r="D25" s="64">
        <v>44.49</v>
      </c>
      <c r="E25" s="64">
        <v>2.42</v>
      </c>
      <c r="F25" s="64">
        <v>8.56</v>
      </c>
      <c r="G25" s="64">
        <v>19.89</v>
      </c>
      <c r="H25" s="64">
        <v>6.27</v>
      </c>
      <c r="I25" s="64">
        <v>4.01</v>
      </c>
      <c r="J25" s="64">
        <v>1.27</v>
      </c>
      <c r="K25" s="64">
        <v>283.27</v>
      </c>
      <c r="L25" s="64">
        <v>27.15</v>
      </c>
      <c r="M25" s="64">
        <v>77.790000000000006</v>
      </c>
      <c r="N25" s="64">
        <v>103.6</v>
      </c>
      <c r="O25" s="64">
        <v>0</v>
      </c>
      <c r="P25" s="64">
        <v>0.32</v>
      </c>
      <c r="Q25" s="64">
        <v>9.49</v>
      </c>
      <c r="R25" s="198"/>
      <c r="S25" s="198"/>
      <c r="T25" s="198"/>
      <c r="U25" s="198"/>
    </row>
    <row r="26" spans="1:21" s="12" customFormat="1" x14ac:dyDescent="0.25">
      <c r="A26" s="214" t="s">
        <v>263</v>
      </c>
      <c r="B26" s="64">
        <v>9.77</v>
      </c>
      <c r="C26" s="64">
        <v>27.41</v>
      </c>
      <c r="D26" s="64">
        <v>37.450000000000003</v>
      </c>
      <c r="E26" s="64">
        <v>2.68</v>
      </c>
      <c r="F26" s="64">
        <v>6.24</v>
      </c>
      <c r="G26" s="64">
        <v>19.89</v>
      </c>
      <c r="H26" s="64">
        <v>6.27</v>
      </c>
      <c r="I26" s="64">
        <v>3.99</v>
      </c>
      <c r="J26" s="64">
        <v>0.69</v>
      </c>
      <c r="K26" s="64">
        <v>14.99</v>
      </c>
      <c r="L26" s="64">
        <v>26.93</v>
      </c>
      <c r="M26" s="64">
        <v>77.91</v>
      </c>
      <c r="N26" s="64">
        <v>103.7</v>
      </c>
      <c r="O26" s="64">
        <v>0</v>
      </c>
      <c r="P26" s="64">
        <v>0.33</v>
      </c>
      <c r="Q26" s="64">
        <v>9.52</v>
      </c>
      <c r="R26" s="198"/>
      <c r="S26" s="198"/>
      <c r="T26" s="198"/>
      <c r="U26" s="198"/>
    </row>
    <row r="27" spans="1:21" s="12" customFormat="1" x14ac:dyDescent="0.25">
      <c r="A27" s="214" t="s">
        <v>264</v>
      </c>
      <c r="B27" s="64">
        <v>14.33</v>
      </c>
      <c r="C27" s="64">
        <v>37.75</v>
      </c>
      <c r="D27" s="64">
        <v>50.25</v>
      </c>
      <c r="E27" s="64">
        <v>2.59</v>
      </c>
      <c r="F27" s="64">
        <v>8.39</v>
      </c>
      <c r="G27" s="64">
        <v>19.89</v>
      </c>
      <c r="H27" s="64">
        <v>6.27</v>
      </c>
      <c r="I27" s="64">
        <v>4.0999999999999996</v>
      </c>
      <c r="J27" s="64">
        <v>0.3</v>
      </c>
      <c r="K27" s="64">
        <v>338.09</v>
      </c>
      <c r="L27" s="64">
        <v>27.44</v>
      </c>
      <c r="M27" s="64">
        <v>72.55</v>
      </c>
      <c r="N27" s="64">
        <v>104.3</v>
      </c>
      <c r="O27" s="64">
        <v>0</v>
      </c>
      <c r="P27" s="64">
        <v>0.33</v>
      </c>
      <c r="Q27" s="64">
        <v>9.52</v>
      </c>
      <c r="R27" s="198"/>
      <c r="S27" s="198"/>
      <c r="T27" s="198"/>
      <c r="U27" s="198"/>
    </row>
    <row r="28" spans="1:21" s="12" customFormat="1" x14ac:dyDescent="0.25">
      <c r="A28" s="214" t="s">
        <v>265</v>
      </c>
      <c r="B28" s="64">
        <v>12.42</v>
      </c>
      <c r="C28" s="64">
        <v>31.17</v>
      </c>
      <c r="D28" s="64">
        <v>40.590000000000003</v>
      </c>
      <c r="E28" s="64">
        <v>2.7</v>
      </c>
      <c r="F28" s="64">
        <v>8.19</v>
      </c>
      <c r="G28" s="64">
        <v>21.08</v>
      </c>
      <c r="H28" s="64">
        <v>4.96</v>
      </c>
      <c r="I28" s="64">
        <v>4.04</v>
      </c>
      <c r="J28" s="64">
        <v>1.0900000000000001</v>
      </c>
      <c r="K28" s="64">
        <v>349.03</v>
      </c>
      <c r="L28" s="64">
        <v>27.59</v>
      </c>
      <c r="M28" s="64">
        <v>73.38</v>
      </c>
      <c r="N28" s="64">
        <v>117.5</v>
      </c>
      <c r="O28" s="64">
        <v>0</v>
      </c>
      <c r="P28" s="64">
        <v>0.34</v>
      </c>
      <c r="Q28" s="64">
        <v>9.58</v>
      </c>
      <c r="R28" s="198"/>
      <c r="S28" s="198"/>
      <c r="T28" s="198"/>
      <c r="U28" s="198"/>
    </row>
    <row r="29" spans="1:21" s="12" customFormat="1" x14ac:dyDescent="0.25">
      <c r="A29" s="214" t="s">
        <v>266</v>
      </c>
      <c r="B29" s="64">
        <v>13.92</v>
      </c>
      <c r="C29" s="64">
        <v>35.450000000000003</v>
      </c>
      <c r="D29" s="64">
        <v>46.49</v>
      </c>
      <c r="E29" s="64">
        <v>2.5099999999999998</v>
      </c>
      <c r="F29" s="64">
        <v>7.12</v>
      </c>
      <c r="G29" s="64">
        <v>21.42</v>
      </c>
      <c r="H29" s="64">
        <v>4.58</v>
      </c>
      <c r="I29" s="64">
        <v>4.22</v>
      </c>
      <c r="J29" s="64">
        <v>0.87</v>
      </c>
      <c r="K29" s="64">
        <v>17.760000000000002</v>
      </c>
      <c r="L29" s="64">
        <v>27.28</v>
      </c>
      <c r="M29" s="64">
        <v>76.11</v>
      </c>
      <c r="N29" s="64">
        <v>134</v>
      </c>
      <c r="O29" s="64">
        <v>0</v>
      </c>
      <c r="P29" s="64">
        <v>0.37</v>
      </c>
      <c r="Q29" s="64">
        <v>9.5500000000000007</v>
      </c>
      <c r="R29" s="198"/>
      <c r="S29" s="198"/>
      <c r="T29" s="198"/>
      <c r="U29" s="198"/>
    </row>
    <row r="30" spans="1:21" s="12" customFormat="1" x14ac:dyDescent="0.25">
      <c r="A30" s="214" t="s">
        <v>267</v>
      </c>
      <c r="B30" s="64">
        <v>12.72</v>
      </c>
      <c r="C30" s="64">
        <v>31.99</v>
      </c>
      <c r="D30" s="64">
        <v>41.71</v>
      </c>
      <c r="E30" s="64">
        <v>2.69</v>
      </c>
      <c r="F30" s="64">
        <v>7.33</v>
      </c>
      <c r="G30" s="64">
        <v>21.42</v>
      </c>
      <c r="H30" s="64">
        <v>4.58</v>
      </c>
      <c r="I30" s="64">
        <v>4.01</v>
      </c>
      <c r="J30" s="64">
        <v>1.2</v>
      </c>
      <c r="K30" s="64">
        <v>92.34</v>
      </c>
      <c r="L30" s="64">
        <v>26.94</v>
      </c>
      <c r="M30" s="64">
        <v>78.680000000000007</v>
      </c>
      <c r="N30" s="64">
        <v>138.30000000000001</v>
      </c>
      <c r="O30" s="64">
        <v>0</v>
      </c>
      <c r="P30" s="64">
        <v>0.36</v>
      </c>
      <c r="Q30" s="64">
        <v>9.6</v>
      </c>
      <c r="R30" s="198"/>
      <c r="S30" s="198"/>
      <c r="T30" s="198"/>
      <c r="U30" s="198"/>
    </row>
    <row r="31" spans="1:21" s="12" customFormat="1" x14ac:dyDescent="0.25">
      <c r="A31" s="214" t="s">
        <v>268</v>
      </c>
      <c r="B31" s="64">
        <v>12.44</v>
      </c>
      <c r="C31" s="64">
        <v>31.51</v>
      </c>
      <c r="D31" s="64">
        <v>41.22</v>
      </c>
      <c r="E31" s="64">
        <v>2.61</v>
      </c>
      <c r="F31" s="64">
        <v>6.66</v>
      </c>
      <c r="G31" s="64">
        <v>21.42</v>
      </c>
      <c r="H31" s="64">
        <v>4.58</v>
      </c>
      <c r="I31" s="64">
        <v>4.1399999999999997</v>
      </c>
      <c r="J31" s="64">
        <v>2.17</v>
      </c>
      <c r="K31" s="64">
        <v>98.11</v>
      </c>
      <c r="L31" s="64">
        <v>26.8</v>
      </c>
      <c r="M31" s="64">
        <v>79.47</v>
      </c>
      <c r="N31" s="64">
        <v>141.5</v>
      </c>
      <c r="O31" s="64">
        <v>0</v>
      </c>
      <c r="P31" s="64">
        <v>0.36</v>
      </c>
      <c r="Q31" s="64">
        <v>9.58</v>
      </c>
      <c r="R31" s="198"/>
      <c r="S31" s="198"/>
      <c r="T31" s="198"/>
      <c r="U31" s="198"/>
    </row>
    <row r="32" spans="1:21" s="12" customFormat="1" x14ac:dyDescent="0.25">
      <c r="A32" s="214" t="s">
        <v>269</v>
      </c>
      <c r="B32" s="64">
        <v>12.14</v>
      </c>
      <c r="C32" s="64">
        <v>29.96</v>
      </c>
      <c r="D32" s="64">
        <v>38.72</v>
      </c>
      <c r="E32" s="64">
        <v>2.11</v>
      </c>
      <c r="F32" s="64">
        <v>6.7</v>
      </c>
      <c r="G32" s="64">
        <v>23.73</v>
      </c>
      <c r="H32" s="64">
        <v>5.18</v>
      </c>
      <c r="I32" s="64">
        <v>4</v>
      </c>
      <c r="J32" s="64">
        <v>3.18</v>
      </c>
      <c r="K32" s="64">
        <v>98.36</v>
      </c>
      <c r="L32" s="64">
        <v>27.13</v>
      </c>
      <c r="M32" s="64">
        <v>77.23</v>
      </c>
      <c r="N32" s="64">
        <v>159.80000000000001</v>
      </c>
      <c r="O32" s="64">
        <v>0</v>
      </c>
      <c r="P32" s="64">
        <v>0.37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4" t="s">
        <v>270</v>
      </c>
      <c r="B33" s="64">
        <v>12.6</v>
      </c>
      <c r="C33" s="64">
        <v>31.49</v>
      </c>
      <c r="D33" s="64">
        <v>40.92</v>
      </c>
      <c r="E33" s="64">
        <v>2.41</v>
      </c>
      <c r="F33" s="64">
        <v>6.86</v>
      </c>
      <c r="G33" s="64">
        <v>24.39</v>
      </c>
      <c r="H33" s="64">
        <v>5.35</v>
      </c>
      <c r="I33" s="64">
        <v>3.88</v>
      </c>
      <c r="J33" s="64">
        <v>1.97</v>
      </c>
      <c r="K33" s="64">
        <v>84.2</v>
      </c>
      <c r="L33" s="64">
        <v>27.24</v>
      </c>
      <c r="M33" s="64">
        <v>75.95</v>
      </c>
      <c r="N33" s="64">
        <v>192.5</v>
      </c>
      <c r="O33" s="64">
        <v>0</v>
      </c>
      <c r="P33" s="64">
        <v>0.36</v>
      </c>
      <c r="Q33" s="64">
        <v>9.6</v>
      </c>
      <c r="R33" s="198"/>
      <c r="S33" s="198"/>
      <c r="T33" s="198"/>
      <c r="U33" s="198"/>
    </row>
    <row r="34" spans="1:21" s="12" customFormat="1" x14ac:dyDescent="0.25">
      <c r="A34" s="214" t="s">
        <v>271</v>
      </c>
      <c r="B34" s="64">
        <v>12.71</v>
      </c>
      <c r="C34" s="64">
        <v>30.61</v>
      </c>
      <c r="D34" s="64">
        <v>39.07</v>
      </c>
      <c r="E34" s="64">
        <v>2.3199999999999998</v>
      </c>
      <c r="F34" s="64">
        <v>6.41</v>
      </c>
      <c r="G34" s="64">
        <v>24.39</v>
      </c>
      <c r="H34" s="64">
        <v>5.35</v>
      </c>
      <c r="I34" s="64">
        <v>4.12</v>
      </c>
      <c r="J34" s="64">
        <v>1.65</v>
      </c>
      <c r="K34" s="64">
        <v>92.14</v>
      </c>
      <c r="L34" s="64">
        <v>27.8</v>
      </c>
      <c r="M34" s="64">
        <v>73.260000000000005</v>
      </c>
      <c r="N34" s="64">
        <v>238.4</v>
      </c>
      <c r="O34" s="64">
        <v>0</v>
      </c>
      <c r="P34" s="64">
        <v>0.38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4" t="s">
        <v>272</v>
      </c>
      <c r="B35" s="64">
        <v>12.8</v>
      </c>
      <c r="C35" s="64">
        <v>32.47</v>
      </c>
      <c r="D35" s="64">
        <v>42.49</v>
      </c>
      <c r="E35" s="64">
        <v>2.41</v>
      </c>
      <c r="F35" s="64">
        <v>7.32</v>
      </c>
      <c r="G35" s="64">
        <v>24.39</v>
      </c>
      <c r="H35" s="64">
        <v>5.35</v>
      </c>
      <c r="I35" s="64">
        <v>4.04</v>
      </c>
      <c r="J35" s="64">
        <v>1.59</v>
      </c>
      <c r="K35" s="64">
        <v>84.83</v>
      </c>
      <c r="L35" s="64">
        <v>28.64</v>
      </c>
      <c r="M35" s="64">
        <v>67.67</v>
      </c>
      <c r="N35" s="64">
        <v>281.89999999999998</v>
      </c>
      <c r="O35" s="64">
        <v>0</v>
      </c>
      <c r="P35" s="64">
        <v>0.38</v>
      </c>
      <c r="Q35" s="64">
        <v>9.6</v>
      </c>
      <c r="R35" s="198"/>
      <c r="S35" s="198"/>
      <c r="T35" s="198"/>
      <c r="U35" s="198"/>
    </row>
    <row r="36" spans="1:21" s="12" customFormat="1" x14ac:dyDescent="0.25">
      <c r="A36" s="214" t="s">
        <v>273</v>
      </c>
      <c r="B36" s="64">
        <v>10.65</v>
      </c>
      <c r="C36" s="64">
        <v>30.5</v>
      </c>
      <c r="D36" s="64">
        <v>42.03</v>
      </c>
      <c r="E36" s="64">
        <v>2.17</v>
      </c>
      <c r="F36" s="64">
        <v>8.58</v>
      </c>
      <c r="G36" s="64">
        <v>26.45</v>
      </c>
      <c r="H36" s="64">
        <v>7.77</v>
      </c>
      <c r="I36" s="64">
        <v>4.01</v>
      </c>
      <c r="J36" s="64">
        <v>3.01</v>
      </c>
      <c r="K36" s="64">
        <v>103.29</v>
      </c>
      <c r="L36" s="64">
        <v>28.91</v>
      </c>
      <c r="M36" s="64">
        <v>66.540000000000006</v>
      </c>
      <c r="N36" s="64">
        <v>335.1</v>
      </c>
      <c r="O36" s="64">
        <v>0</v>
      </c>
      <c r="P36" s="64">
        <v>0.38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14" t="s">
        <v>274</v>
      </c>
      <c r="B37" s="64">
        <v>11.46</v>
      </c>
      <c r="C37" s="64">
        <v>29.49</v>
      </c>
      <c r="D37" s="64">
        <v>38.840000000000003</v>
      </c>
      <c r="E37" s="64">
        <v>2.37</v>
      </c>
      <c r="F37" s="64">
        <v>9.27</v>
      </c>
      <c r="G37" s="64">
        <v>27.04</v>
      </c>
      <c r="H37" s="64">
        <v>8.4700000000000006</v>
      </c>
      <c r="I37" s="64">
        <v>3.94</v>
      </c>
      <c r="J37" s="64">
        <v>2.99</v>
      </c>
      <c r="K37" s="64">
        <v>98.6</v>
      </c>
      <c r="L37" s="64">
        <v>29.16</v>
      </c>
      <c r="M37" s="64">
        <v>66.45</v>
      </c>
      <c r="N37" s="64">
        <v>366</v>
      </c>
      <c r="O37" s="64">
        <v>0</v>
      </c>
      <c r="P37" s="64">
        <v>0.36</v>
      </c>
      <c r="Q37" s="64">
        <v>9.6300000000000008</v>
      </c>
      <c r="R37" s="198"/>
      <c r="S37" s="198"/>
      <c r="T37" s="198"/>
      <c r="U37" s="198"/>
    </row>
    <row r="38" spans="1:21" s="12" customFormat="1" x14ac:dyDescent="0.25">
      <c r="A38" s="214" t="s">
        <v>275</v>
      </c>
      <c r="B38" s="64">
        <v>10.28</v>
      </c>
      <c r="C38" s="64">
        <v>28.05</v>
      </c>
      <c r="D38" s="64">
        <v>37.92</v>
      </c>
      <c r="E38" s="64">
        <v>1.95</v>
      </c>
      <c r="F38" s="64">
        <v>10.15</v>
      </c>
      <c r="G38" s="64">
        <v>27.04</v>
      </c>
      <c r="H38" s="64">
        <v>8.4700000000000006</v>
      </c>
      <c r="I38" s="64">
        <v>3.96</v>
      </c>
      <c r="J38" s="64">
        <v>2.9</v>
      </c>
      <c r="K38" s="64">
        <v>101.97</v>
      </c>
      <c r="L38" s="64">
        <v>29.51</v>
      </c>
      <c r="M38" s="64">
        <v>64.91</v>
      </c>
      <c r="N38" s="64">
        <v>434.6</v>
      </c>
      <c r="O38" s="64">
        <v>0</v>
      </c>
      <c r="P38" s="64">
        <v>0.38</v>
      </c>
      <c r="Q38" s="64">
        <v>9.6300000000000008</v>
      </c>
      <c r="R38" s="198"/>
      <c r="S38" s="198"/>
      <c r="T38" s="198"/>
      <c r="U38" s="198"/>
    </row>
    <row r="39" spans="1:21" s="12" customFormat="1" x14ac:dyDescent="0.25">
      <c r="A39" s="214" t="s">
        <v>276</v>
      </c>
      <c r="B39" s="64">
        <v>9.66</v>
      </c>
      <c r="C39" s="64">
        <v>27.62</v>
      </c>
      <c r="D39" s="64">
        <v>38.03</v>
      </c>
      <c r="E39" s="64">
        <v>2.41</v>
      </c>
      <c r="F39" s="64">
        <v>11.74</v>
      </c>
      <c r="G39" s="64">
        <v>27.04</v>
      </c>
      <c r="H39" s="64">
        <v>8.4700000000000006</v>
      </c>
      <c r="I39" s="64">
        <v>3.97</v>
      </c>
      <c r="J39" s="64">
        <v>1.52</v>
      </c>
      <c r="K39" s="64">
        <v>99.46</v>
      </c>
      <c r="L39" s="64">
        <v>30.33</v>
      </c>
      <c r="M39" s="64">
        <v>61.48</v>
      </c>
      <c r="N39" s="64">
        <v>480.4</v>
      </c>
      <c r="O39" s="64">
        <v>0</v>
      </c>
      <c r="P39" s="64">
        <v>0.37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14" t="s">
        <v>277</v>
      </c>
      <c r="B40" s="64">
        <v>8.2100000000000009</v>
      </c>
      <c r="C40" s="64">
        <v>27.18</v>
      </c>
      <c r="D40" s="64">
        <v>39.42</v>
      </c>
      <c r="E40" s="64">
        <v>2.92</v>
      </c>
      <c r="F40" s="64">
        <v>12.5</v>
      </c>
      <c r="G40" s="64">
        <v>26.44</v>
      </c>
      <c r="H40" s="64">
        <v>6.63</v>
      </c>
      <c r="I40" s="64">
        <v>4.0999999999999996</v>
      </c>
      <c r="J40" s="64">
        <v>1.55</v>
      </c>
      <c r="K40" s="64">
        <v>118.2</v>
      </c>
      <c r="L40" s="64">
        <v>31.77</v>
      </c>
      <c r="M40" s="64">
        <v>56.25</v>
      </c>
      <c r="N40" s="64">
        <v>529.6</v>
      </c>
      <c r="O40" s="64">
        <v>0</v>
      </c>
      <c r="P40" s="64">
        <v>0.36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4" t="s">
        <v>278</v>
      </c>
      <c r="B41" s="64">
        <v>8.3000000000000007</v>
      </c>
      <c r="C41" s="64">
        <v>26.8</v>
      </c>
      <c r="D41" s="64">
        <v>38.549999999999997</v>
      </c>
      <c r="E41" s="64">
        <v>3.08</v>
      </c>
      <c r="F41" s="64">
        <v>13.2</v>
      </c>
      <c r="G41" s="64">
        <v>26.26</v>
      </c>
      <c r="H41" s="64">
        <v>6.11</v>
      </c>
      <c r="I41" s="64">
        <v>3.93</v>
      </c>
      <c r="J41" s="64">
        <v>1.59</v>
      </c>
      <c r="K41" s="64">
        <v>136.44</v>
      </c>
      <c r="L41" s="64">
        <v>32.340000000000003</v>
      </c>
      <c r="M41" s="64">
        <v>52.83</v>
      </c>
      <c r="N41" s="64">
        <v>594.20000000000005</v>
      </c>
      <c r="O41" s="64">
        <v>0</v>
      </c>
      <c r="P41" s="64">
        <v>0.35</v>
      </c>
      <c r="Q41" s="64">
        <v>9.59</v>
      </c>
      <c r="R41" s="198"/>
      <c r="S41" s="198"/>
      <c r="T41" s="198"/>
      <c r="U41" s="198"/>
    </row>
    <row r="42" spans="1:21" s="12" customFormat="1" x14ac:dyDescent="0.25">
      <c r="A42" s="214" t="s">
        <v>279</v>
      </c>
      <c r="B42" s="64">
        <v>9.17</v>
      </c>
      <c r="C42" s="64">
        <v>27.08</v>
      </c>
      <c r="D42" s="64">
        <v>37.76</v>
      </c>
      <c r="E42" s="64">
        <v>3.08</v>
      </c>
      <c r="F42" s="64">
        <v>9.1</v>
      </c>
      <c r="G42" s="64">
        <v>26.26</v>
      </c>
      <c r="H42" s="64">
        <v>6.11</v>
      </c>
      <c r="I42" s="64">
        <v>4.0999999999999996</v>
      </c>
      <c r="J42" s="64">
        <v>1.72</v>
      </c>
      <c r="K42" s="64">
        <v>139.52000000000001</v>
      </c>
      <c r="L42" s="64">
        <v>32.22</v>
      </c>
      <c r="M42" s="64">
        <v>51.89</v>
      </c>
      <c r="N42" s="64">
        <v>638.70000000000005</v>
      </c>
      <c r="O42" s="64">
        <v>0</v>
      </c>
      <c r="P42" s="64">
        <v>0.37</v>
      </c>
      <c r="Q42" s="64">
        <v>9.6</v>
      </c>
      <c r="R42" s="198"/>
      <c r="S42" s="198"/>
      <c r="T42" s="198"/>
      <c r="U42" s="198"/>
    </row>
    <row r="43" spans="1:21" s="12" customFormat="1" x14ac:dyDescent="0.25">
      <c r="A43" s="214" t="s">
        <v>280</v>
      </c>
      <c r="B43" s="64">
        <v>8.74</v>
      </c>
      <c r="C43" s="64">
        <v>27.06</v>
      </c>
      <c r="D43" s="64">
        <v>38.369999999999997</v>
      </c>
      <c r="E43" s="64">
        <v>3.14</v>
      </c>
      <c r="F43" s="64">
        <v>7.84</v>
      </c>
      <c r="G43" s="64">
        <v>26.26</v>
      </c>
      <c r="H43" s="64">
        <v>6.11</v>
      </c>
      <c r="I43" s="64">
        <v>4.1500000000000004</v>
      </c>
      <c r="J43" s="64">
        <v>2.88</v>
      </c>
      <c r="K43" s="64">
        <v>160.21</v>
      </c>
      <c r="L43" s="64">
        <v>32.6</v>
      </c>
      <c r="M43" s="64">
        <v>50.15</v>
      </c>
      <c r="N43" s="64">
        <v>685</v>
      </c>
      <c r="O43" s="64">
        <v>0</v>
      </c>
      <c r="P43" s="64">
        <v>0.37</v>
      </c>
      <c r="Q43" s="64">
        <v>9.6</v>
      </c>
      <c r="R43" s="198"/>
      <c r="S43" s="198"/>
      <c r="T43" s="198"/>
      <c r="U43" s="198"/>
    </row>
    <row r="44" spans="1:21" s="12" customFormat="1" x14ac:dyDescent="0.25">
      <c r="A44" s="214" t="s">
        <v>281</v>
      </c>
      <c r="B44" s="64">
        <v>8.49</v>
      </c>
      <c r="C44" s="64">
        <v>29.7</v>
      </c>
      <c r="D44" s="64">
        <v>43.81</v>
      </c>
      <c r="E44" s="64">
        <v>3</v>
      </c>
      <c r="F44" s="64">
        <v>7.69</v>
      </c>
      <c r="G44" s="64">
        <v>25.39</v>
      </c>
      <c r="H44" s="64">
        <v>4.79</v>
      </c>
      <c r="I44" s="64">
        <v>4.04</v>
      </c>
      <c r="J44" s="64">
        <v>2.69</v>
      </c>
      <c r="K44" s="64">
        <v>150.47</v>
      </c>
      <c r="L44" s="64">
        <v>32.99</v>
      </c>
      <c r="M44" s="64">
        <v>48.9</v>
      </c>
      <c r="N44" s="64">
        <v>729.6</v>
      </c>
      <c r="O44" s="64">
        <v>0</v>
      </c>
      <c r="P44" s="64">
        <v>0.37</v>
      </c>
      <c r="Q44" s="64">
        <v>9.57</v>
      </c>
      <c r="R44" s="198"/>
      <c r="S44" s="198"/>
      <c r="T44" s="198"/>
      <c r="U44" s="198"/>
    </row>
    <row r="45" spans="1:21" s="12" customFormat="1" x14ac:dyDescent="0.25">
      <c r="A45" s="214" t="s">
        <v>282</v>
      </c>
      <c r="B45" s="64">
        <v>7.11</v>
      </c>
      <c r="C45" s="64">
        <v>27.31</v>
      </c>
      <c r="D45" s="64">
        <v>41.36</v>
      </c>
      <c r="E45" s="64">
        <v>2.97</v>
      </c>
      <c r="F45" s="64">
        <v>9.0299999999999994</v>
      </c>
      <c r="G45" s="64">
        <v>25.14</v>
      </c>
      <c r="H45" s="64">
        <v>4.41</v>
      </c>
      <c r="I45" s="64">
        <v>3.94</v>
      </c>
      <c r="J45" s="64">
        <v>2.54</v>
      </c>
      <c r="K45" s="64">
        <v>155.51</v>
      </c>
      <c r="L45" s="64">
        <v>33.97</v>
      </c>
      <c r="M45" s="64">
        <v>45.72</v>
      </c>
      <c r="N45" s="64">
        <v>769.2</v>
      </c>
      <c r="O45" s="64">
        <v>0</v>
      </c>
      <c r="P45" s="64">
        <v>0.35</v>
      </c>
      <c r="Q45" s="64">
        <v>9.5299999999999994</v>
      </c>
      <c r="R45" s="198"/>
      <c r="S45" s="198"/>
      <c r="T45" s="198"/>
      <c r="U45" s="198"/>
    </row>
    <row r="46" spans="1:21" s="12" customFormat="1" x14ac:dyDescent="0.25">
      <c r="A46" s="214" t="s">
        <v>283</v>
      </c>
      <c r="B46" s="64">
        <v>6.13</v>
      </c>
      <c r="C46" s="64">
        <v>25.56</v>
      </c>
      <c r="D46" s="64">
        <v>39.51</v>
      </c>
      <c r="E46" s="64">
        <v>2.92</v>
      </c>
      <c r="F46" s="64">
        <v>6.94</v>
      </c>
      <c r="G46" s="64">
        <v>25.14</v>
      </c>
      <c r="H46" s="64">
        <v>4.41</v>
      </c>
      <c r="I46" s="64">
        <v>3.96</v>
      </c>
      <c r="J46" s="64">
        <v>2.34</v>
      </c>
      <c r="K46" s="64">
        <v>137.63999999999999</v>
      </c>
      <c r="L46" s="64">
        <v>34.31</v>
      </c>
      <c r="M46" s="64">
        <v>45.08</v>
      </c>
      <c r="N46" s="64">
        <v>815.6</v>
      </c>
      <c r="O46" s="64">
        <v>0</v>
      </c>
      <c r="P46" s="64">
        <v>0.36</v>
      </c>
      <c r="Q46" s="64">
        <v>9.48</v>
      </c>
      <c r="R46" s="198"/>
      <c r="S46" s="198"/>
      <c r="T46" s="198"/>
      <c r="U46" s="198"/>
    </row>
    <row r="47" spans="1:21" s="12" customFormat="1" x14ac:dyDescent="0.25">
      <c r="A47" s="214" t="s">
        <v>284</v>
      </c>
      <c r="B47" s="64">
        <v>4.63</v>
      </c>
      <c r="C47" s="64">
        <v>25.43</v>
      </c>
      <c r="D47" s="64">
        <v>41.57</v>
      </c>
      <c r="E47" s="64">
        <v>3.17</v>
      </c>
      <c r="F47" s="64">
        <v>12.5</v>
      </c>
      <c r="G47" s="64">
        <v>25.14</v>
      </c>
      <c r="H47" s="64">
        <v>4.41</v>
      </c>
      <c r="I47" s="64">
        <v>3.85</v>
      </c>
      <c r="J47" s="64">
        <v>2.23</v>
      </c>
      <c r="K47" s="64">
        <v>144.38</v>
      </c>
      <c r="L47" s="64">
        <v>35.200000000000003</v>
      </c>
      <c r="M47" s="64">
        <v>42.98</v>
      </c>
      <c r="N47" s="64">
        <v>847.2</v>
      </c>
      <c r="O47" s="64">
        <v>0</v>
      </c>
      <c r="P47" s="64">
        <v>0.33</v>
      </c>
      <c r="Q47" s="64">
        <v>9.4499999999999993</v>
      </c>
      <c r="R47" s="198"/>
      <c r="S47" s="198"/>
      <c r="T47" s="198"/>
      <c r="U47" s="198"/>
    </row>
    <row r="48" spans="1:21" s="12" customFormat="1" x14ac:dyDescent="0.25">
      <c r="A48" s="214" t="s">
        <v>285</v>
      </c>
      <c r="B48" s="64">
        <v>4.74</v>
      </c>
      <c r="C48" s="64">
        <v>24.46</v>
      </c>
      <c r="D48" s="64">
        <v>39.54</v>
      </c>
      <c r="E48" s="64">
        <v>3.19</v>
      </c>
      <c r="F48" s="64">
        <v>10.95</v>
      </c>
      <c r="G48" s="64">
        <v>22.21</v>
      </c>
      <c r="H48" s="64">
        <v>4.53</v>
      </c>
      <c r="I48" s="64">
        <v>4.09</v>
      </c>
      <c r="J48" s="64">
        <v>1.68</v>
      </c>
      <c r="K48" s="64">
        <v>165.62</v>
      </c>
      <c r="L48" s="64">
        <v>35.79</v>
      </c>
      <c r="M48" s="64">
        <v>41.88</v>
      </c>
      <c r="N48" s="64">
        <v>890.8</v>
      </c>
      <c r="O48" s="64">
        <v>0</v>
      </c>
      <c r="P48" s="64">
        <v>0.34</v>
      </c>
      <c r="Q48" s="64">
        <v>9.43</v>
      </c>
      <c r="R48" s="198"/>
      <c r="S48" s="198"/>
      <c r="T48" s="198"/>
      <c r="U48" s="198"/>
    </row>
    <row r="49" spans="1:21" s="12" customFormat="1" x14ac:dyDescent="0.25">
      <c r="A49" s="214" t="s">
        <v>286</v>
      </c>
      <c r="B49" s="64">
        <v>4.21</v>
      </c>
      <c r="C49" s="64">
        <v>26.2</v>
      </c>
      <c r="D49" s="64">
        <v>43.68</v>
      </c>
      <c r="E49" s="64">
        <v>2.86</v>
      </c>
      <c r="F49" s="64">
        <v>6.7</v>
      </c>
      <c r="G49" s="64">
        <v>21.38</v>
      </c>
      <c r="H49" s="64">
        <v>4.5599999999999996</v>
      </c>
      <c r="I49" s="64">
        <v>3.82</v>
      </c>
      <c r="J49" s="64">
        <v>1.74</v>
      </c>
      <c r="K49" s="64">
        <v>222.76</v>
      </c>
      <c r="L49" s="64">
        <v>35.880000000000003</v>
      </c>
      <c r="M49" s="64">
        <v>42.12</v>
      </c>
      <c r="N49" s="64">
        <v>927.2</v>
      </c>
      <c r="O49" s="64">
        <v>0</v>
      </c>
      <c r="P49" s="64">
        <v>0.36</v>
      </c>
      <c r="Q49" s="64">
        <v>9.41</v>
      </c>
      <c r="R49" s="198"/>
      <c r="S49" s="198"/>
      <c r="T49" s="198"/>
      <c r="U49" s="198"/>
    </row>
    <row r="50" spans="1:21" s="12" customFormat="1" x14ac:dyDescent="0.25">
      <c r="A50" s="214" t="s">
        <v>287</v>
      </c>
      <c r="B50" s="64">
        <v>3.26</v>
      </c>
      <c r="C50" s="64">
        <v>24.63</v>
      </c>
      <c r="D50" s="64">
        <v>42.13</v>
      </c>
      <c r="E50" s="64">
        <v>3.35</v>
      </c>
      <c r="F50" s="64">
        <v>11.73</v>
      </c>
      <c r="G50" s="64">
        <v>21.38</v>
      </c>
      <c r="H50" s="64">
        <v>4.5599999999999996</v>
      </c>
      <c r="I50" s="64">
        <v>3.86</v>
      </c>
      <c r="J50" s="64">
        <v>0.91</v>
      </c>
      <c r="K50" s="64">
        <v>193.62</v>
      </c>
      <c r="L50" s="64">
        <v>37.08</v>
      </c>
      <c r="M50" s="64">
        <v>40.4</v>
      </c>
      <c r="N50" s="64">
        <v>947.7</v>
      </c>
      <c r="O50" s="64">
        <v>0</v>
      </c>
      <c r="P50" s="64">
        <v>0.36</v>
      </c>
      <c r="Q50" s="64">
        <v>9.41</v>
      </c>
      <c r="R50" s="198"/>
      <c r="S50" s="198"/>
      <c r="T50" s="198"/>
      <c r="U50" s="198"/>
    </row>
    <row r="51" spans="1:21" s="12" customFormat="1" x14ac:dyDescent="0.25">
      <c r="A51" s="214" t="s">
        <v>288</v>
      </c>
      <c r="B51" s="64">
        <v>3.2</v>
      </c>
      <c r="C51" s="64">
        <v>22.05</v>
      </c>
      <c r="D51" s="64">
        <v>37.28</v>
      </c>
      <c r="E51" s="64">
        <v>3.54</v>
      </c>
      <c r="F51" s="64">
        <v>12.43</v>
      </c>
      <c r="G51" s="64">
        <v>21.38</v>
      </c>
      <c r="H51" s="64">
        <v>4.5599999999999996</v>
      </c>
      <c r="I51" s="64">
        <v>4.16</v>
      </c>
      <c r="J51" s="64">
        <v>1.57</v>
      </c>
      <c r="K51" s="64">
        <v>181.29</v>
      </c>
      <c r="L51" s="64">
        <v>37.24</v>
      </c>
      <c r="M51" s="64">
        <v>40.4</v>
      </c>
      <c r="N51" s="64">
        <v>980.1</v>
      </c>
      <c r="O51" s="64">
        <v>0</v>
      </c>
      <c r="P51" s="64">
        <v>0.34</v>
      </c>
      <c r="Q51" s="64">
        <v>9.3800000000000008</v>
      </c>
      <c r="R51" s="198"/>
      <c r="S51" s="198"/>
      <c r="T51" s="198"/>
      <c r="U51" s="198"/>
    </row>
    <row r="52" spans="1:21" s="12" customFormat="1" x14ac:dyDescent="0.25">
      <c r="A52" s="214" t="s">
        <v>289</v>
      </c>
      <c r="B52" s="64">
        <v>3.57</v>
      </c>
      <c r="C52" s="64">
        <v>26.5</v>
      </c>
      <c r="D52" s="64">
        <v>45.25</v>
      </c>
      <c r="E52" s="64">
        <v>3.47</v>
      </c>
      <c r="F52" s="64">
        <v>9.3699999999999992</v>
      </c>
      <c r="G52" s="64">
        <v>22.52</v>
      </c>
      <c r="H52" s="64">
        <v>6.12</v>
      </c>
      <c r="I52" s="64">
        <v>4.1500000000000004</v>
      </c>
      <c r="J52" s="64">
        <v>1.1399999999999999</v>
      </c>
      <c r="K52" s="64">
        <v>269.23</v>
      </c>
      <c r="L52" s="64">
        <v>38.94</v>
      </c>
      <c r="M52" s="64">
        <v>37.93</v>
      </c>
      <c r="N52" s="64">
        <v>975.3</v>
      </c>
      <c r="O52" s="64">
        <v>0</v>
      </c>
      <c r="P52" s="64">
        <v>0.39</v>
      </c>
      <c r="Q52" s="64">
        <v>9.3699999999999992</v>
      </c>
      <c r="R52" s="198"/>
      <c r="S52" s="198"/>
      <c r="T52" s="198"/>
      <c r="U52" s="198"/>
    </row>
    <row r="53" spans="1:21" s="12" customFormat="1" x14ac:dyDescent="0.25">
      <c r="A53" s="214" t="s">
        <v>290</v>
      </c>
      <c r="B53" s="64">
        <v>3.77</v>
      </c>
      <c r="C53" s="64">
        <v>23.26</v>
      </c>
      <c r="D53" s="64">
        <v>38.729999999999997</v>
      </c>
      <c r="E53" s="64">
        <v>3</v>
      </c>
      <c r="F53" s="64">
        <v>11.8</v>
      </c>
      <c r="G53" s="64">
        <v>22.85</v>
      </c>
      <c r="H53" s="64">
        <v>6.56</v>
      </c>
      <c r="I53" s="64">
        <v>3.83</v>
      </c>
      <c r="J53" s="64">
        <v>0.69</v>
      </c>
      <c r="K53" s="64">
        <v>207.2</v>
      </c>
      <c r="L53" s="64">
        <v>38.049999999999997</v>
      </c>
      <c r="M53" s="64">
        <v>39.49</v>
      </c>
      <c r="N53" s="64">
        <v>980.5</v>
      </c>
      <c r="O53" s="64">
        <v>0</v>
      </c>
      <c r="P53" s="64">
        <v>0.36</v>
      </c>
      <c r="Q53" s="64">
        <v>9.3800000000000008</v>
      </c>
      <c r="R53" s="198"/>
      <c r="S53" s="198"/>
      <c r="T53" s="198"/>
      <c r="U53" s="198"/>
    </row>
    <row r="54" spans="1:21" s="12" customFormat="1" x14ac:dyDescent="0.25">
      <c r="A54" s="214" t="s">
        <v>291</v>
      </c>
      <c r="B54" s="64">
        <v>5.55</v>
      </c>
      <c r="C54" s="64">
        <v>27.04</v>
      </c>
      <c r="D54" s="64">
        <v>43.23</v>
      </c>
      <c r="E54" s="64">
        <v>3.79</v>
      </c>
      <c r="F54" s="64">
        <v>20.5</v>
      </c>
      <c r="G54" s="64">
        <v>22.85</v>
      </c>
      <c r="H54" s="64">
        <v>6.56</v>
      </c>
      <c r="I54" s="64">
        <v>3.92</v>
      </c>
      <c r="J54" s="64">
        <v>0.73</v>
      </c>
      <c r="K54" s="64">
        <v>233.41</v>
      </c>
      <c r="L54" s="64">
        <v>39.5</v>
      </c>
      <c r="M54" s="64">
        <v>36.76</v>
      </c>
      <c r="N54" s="64">
        <v>970.1</v>
      </c>
      <c r="O54" s="64">
        <v>0</v>
      </c>
      <c r="P54" s="64">
        <v>0.38</v>
      </c>
      <c r="Q54" s="64">
        <v>9.3699999999999992</v>
      </c>
      <c r="R54" s="198"/>
      <c r="S54" s="198"/>
      <c r="T54" s="198"/>
      <c r="U54" s="198"/>
    </row>
    <row r="55" spans="1:21" s="12" customFormat="1" x14ac:dyDescent="0.25">
      <c r="A55" s="214" t="s">
        <v>292</v>
      </c>
      <c r="B55" s="64">
        <v>3.35</v>
      </c>
      <c r="C55" s="64">
        <v>22.03</v>
      </c>
      <c r="D55" s="64">
        <v>37.020000000000003</v>
      </c>
      <c r="E55" s="64">
        <v>2.94</v>
      </c>
      <c r="F55" s="64">
        <v>13.91</v>
      </c>
      <c r="G55" s="64">
        <v>22.85</v>
      </c>
      <c r="H55" s="64">
        <v>6.56</v>
      </c>
      <c r="I55" s="64">
        <v>4.0199999999999996</v>
      </c>
      <c r="J55" s="64">
        <v>0.99</v>
      </c>
      <c r="K55" s="64">
        <v>203.68</v>
      </c>
      <c r="L55" s="64">
        <v>38.74</v>
      </c>
      <c r="M55" s="64">
        <v>38.26</v>
      </c>
      <c r="N55" s="64">
        <v>978.2</v>
      </c>
      <c r="O55" s="64">
        <v>0</v>
      </c>
      <c r="P55" s="64">
        <v>0.37</v>
      </c>
      <c r="Q55" s="64">
        <v>9.36</v>
      </c>
      <c r="R55" s="198"/>
      <c r="S55" s="198"/>
      <c r="T55" s="198"/>
      <c r="U55" s="198"/>
    </row>
    <row r="56" spans="1:21" s="12" customFormat="1" x14ac:dyDescent="0.25">
      <c r="A56" s="214" t="s">
        <v>293</v>
      </c>
      <c r="B56" s="64">
        <v>2.78</v>
      </c>
      <c r="C56" s="64">
        <v>20.43</v>
      </c>
      <c r="D56" s="64">
        <v>34.83</v>
      </c>
      <c r="E56" s="64">
        <v>3.55</v>
      </c>
      <c r="F56" s="64">
        <v>17.829999999999998</v>
      </c>
      <c r="G56" s="64">
        <v>23.93</v>
      </c>
      <c r="H56" s="64">
        <v>7.66</v>
      </c>
      <c r="I56" s="64">
        <v>3.99</v>
      </c>
      <c r="J56" s="64">
        <v>0.86</v>
      </c>
      <c r="K56" s="64">
        <v>154.36000000000001</v>
      </c>
      <c r="L56" s="64">
        <v>38.08</v>
      </c>
      <c r="M56" s="64">
        <v>39.74</v>
      </c>
      <c r="N56" s="64">
        <v>979.2</v>
      </c>
      <c r="O56" s="64">
        <v>0</v>
      </c>
      <c r="P56" s="64">
        <v>0.33</v>
      </c>
      <c r="Q56" s="64">
        <v>9.35</v>
      </c>
      <c r="R56" s="198"/>
      <c r="S56" s="198"/>
      <c r="T56" s="198"/>
      <c r="U56" s="198"/>
    </row>
    <row r="57" spans="1:21" s="12" customFormat="1" x14ac:dyDescent="0.25">
      <c r="A57" s="214" t="s">
        <v>294</v>
      </c>
      <c r="B57" s="64">
        <v>3.72</v>
      </c>
      <c r="C57" s="64">
        <v>22.28</v>
      </c>
      <c r="D57" s="64">
        <v>36.92</v>
      </c>
      <c r="E57" s="64">
        <v>3.72</v>
      </c>
      <c r="F57" s="64">
        <v>15.33</v>
      </c>
      <c r="G57" s="64">
        <v>24.24</v>
      </c>
      <c r="H57" s="64">
        <v>7.97</v>
      </c>
      <c r="I57" s="64">
        <v>3.91</v>
      </c>
      <c r="J57" s="64">
        <v>1.1599999999999999</v>
      </c>
      <c r="K57" s="64">
        <v>210.17</v>
      </c>
      <c r="L57" s="64">
        <v>38.18</v>
      </c>
      <c r="M57" s="64">
        <v>39.450000000000003</v>
      </c>
      <c r="N57" s="64">
        <v>976.5</v>
      </c>
      <c r="O57" s="64">
        <v>0</v>
      </c>
      <c r="P57" s="64">
        <v>0.37</v>
      </c>
      <c r="Q57" s="64">
        <v>9.33</v>
      </c>
      <c r="R57" s="198"/>
      <c r="S57" s="198"/>
      <c r="T57" s="198"/>
      <c r="U57" s="198"/>
    </row>
    <row r="58" spans="1:21" s="12" customFormat="1" x14ac:dyDescent="0.25">
      <c r="A58" s="214" t="s">
        <v>295</v>
      </c>
      <c r="B58" s="64">
        <v>3.62</v>
      </c>
      <c r="C58" s="64">
        <v>21.04</v>
      </c>
      <c r="D58" s="64">
        <v>34.72</v>
      </c>
      <c r="E58" s="64">
        <v>4.24</v>
      </c>
      <c r="F58" s="64">
        <v>24.86</v>
      </c>
      <c r="G58" s="64">
        <v>24.24</v>
      </c>
      <c r="H58" s="64">
        <v>7.97</v>
      </c>
      <c r="I58" s="64">
        <v>4.05</v>
      </c>
      <c r="J58" s="64">
        <v>1.52</v>
      </c>
      <c r="K58" s="64">
        <v>87.01</v>
      </c>
      <c r="L58" s="64">
        <v>38.200000000000003</v>
      </c>
      <c r="M58" s="64">
        <v>40.090000000000003</v>
      </c>
      <c r="N58" s="64">
        <v>957</v>
      </c>
      <c r="O58" s="64">
        <v>0</v>
      </c>
      <c r="P58" s="64">
        <v>0.36</v>
      </c>
      <c r="Q58" s="64">
        <v>9.34</v>
      </c>
      <c r="R58" s="198"/>
      <c r="S58" s="198"/>
      <c r="T58" s="198"/>
      <c r="U58" s="198"/>
    </row>
    <row r="59" spans="1:21" s="12" customFormat="1" x14ac:dyDescent="0.25">
      <c r="A59" s="214" t="s">
        <v>296</v>
      </c>
      <c r="B59" s="64">
        <v>2.79</v>
      </c>
      <c r="C59" s="64">
        <v>18.84</v>
      </c>
      <c r="D59" s="64">
        <v>31.79</v>
      </c>
      <c r="E59" s="64">
        <v>4.1500000000000004</v>
      </c>
      <c r="F59" s="64">
        <v>22.15</v>
      </c>
      <c r="G59" s="64">
        <v>24.24</v>
      </c>
      <c r="H59" s="64">
        <v>7.97</v>
      </c>
      <c r="I59" s="64">
        <v>3.92</v>
      </c>
      <c r="J59" s="64">
        <v>2.2000000000000002</v>
      </c>
      <c r="K59" s="64">
        <v>130.19999999999999</v>
      </c>
      <c r="L59" s="64">
        <v>38.03</v>
      </c>
      <c r="M59" s="64">
        <v>39.72</v>
      </c>
      <c r="N59" s="64">
        <v>947.3</v>
      </c>
      <c r="O59" s="64">
        <v>0</v>
      </c>
      <c r="P59" s="64">
        <v>0.33</v>
      </c>
      <c r="Q59" s="64">
        <v>9.32</v>
      </c>
      <c r="R59" s="198"/>
      <c r="S59" s="198"/>
      <c r="T59" s="198"/>
      <c r="U59" s="198"/>
    </row>
    <row r="60" spans="1:21" s="12" customFormat="1" x14ac:dyDescent="0.25">
      <c r="A60" s="214" t="s">
        <v>297</v>
      </c>
      <c r="B60" s="64">
        <v>2.48</v>
      </c>
      <c r="C60" s="64">
        <v>17.940000000000001</v>
      </c>
      <c r="D60" s="64">
        <v>30.55</v>
      </c>
      <c r="E60" s="64">
        <v>4.3899999999999997</v>
      </c>
      <c r="F60" s="64">
        <v>24.57</v>
      </c>
      <c r="G60" s="64">
        <v>26.66</v>
      </c>
      <c r="H60" s="64">
        <v>7.99</v>
      </c>
      <c r="I60" s="64">
        <v>3.96</v>
      </c>
      <c r="J60" s="64">
        <v>3.07</v>
      </c>
      <c r="K60" s="64">
        <v>105.32</v>
      </c>
      <c r="L60" s="64">
        <v>37.76</v>
      </c>
      <c r="M60" s="64">
        <v>40.82</v>
      </c>
      <c r="N60" s="64">
        <v>924.9</v>
      </c>
      <c r="O60" s="64">
        <v>0</v>
      </c>
      <c r="P60" s="64">
        <v>0.31</v>
      </c>
      <c r="Q60" s="64">
        <v>9.32</v>
      </c>
      <c r="R60" s="198"/>
      <c r="S60" s="198"/>
      <c r="T60" s="198"/>
      <c r="U60" s="198"/>
    </row>
    <row r="61" spans="1:21" s="12" customFormat="1" x14ac:dyDescent="0.25">
      <c r="A61" s="214" t="s">
        <v>298</v>
      </c>
      <c r="B61" s="64">
        <v>2.73</v>
      </c>
      <c r="C61" s="64">
        <v>20.96</v>
      </c>
      <c r="D61" s="64">
        <v>35.93</v>
      </c>
      <c r="E61" s="64">
        <v>4.22</v>
      </c>
      <c r="F61" s="64">
        <v>19.850000000000001</v>
      </c>
      <c r="G61" s="64">
        <v>27.35</v>
      </c>
      <c r="H61" s="64">
        <v>8</v>
      </c>
      <c r="I61" s="64">
        <v>3.89</v>
      </c>
      <c r="J61" s="64">
        <v>0.22</v>
      </c>
      <c r="K61" s="64">
        <v>309.18</v>
      </c>
      <c r="L61" s="64">
        <v>38.69</v>
      </c>
      <c r="M61" s="64">
        <v>38.86</v>
      </c>
      <c r="N61" s="64">
        <v>881.5</v>
      </c>
      <c r="O61" s="64">
        <v>0</v>
      </c>
      <c r="P61" s="64">
        <v>0.34</v>
      </c>
      <c r="Q61" s="64">
        <v>9.32</v>
      </c>
      <c r="R61" s="198"/>
      <c r="S61" s="198"/>
      <c r="T61" s="198"/>
      <c r="U61" s="198"/>
    </row>
    <row r="62" spans="1:21" s="12" customFormat="1" x14ac:dyDescent="0.25">
      <c r="A62" s="214" t="s">
        <v>299</v>
      </c>
      <c r="B62" s="64">
        <v>3.52</v>
      </c>
      <c r="C62" s="64">
        <v>25.23</v>
      </c>
      <c r="D62" s="64">
        <v>42.9</v>
      </c>
      <c r="E62" s="64">
        <v>3.57</v>
      </c>
      <c r="F62" s="64">
        <v>10.72</v>
      </c>
      <c r="G62" s="64">
        <v>27.35</v>
      </c>
      <c r="H62" s="64">
        <v>8</v>
      </c>
      <c r="I62" s="64">
        <v>4.04</v>
      </c>
      <c r="J62" s="64">
        <v>1.89</v>
      </c>
      <c r="K62" s="64">
        <v>254.12</v>
      </c>
      <c r="L62" s="64">
        <v>40.47</v>
      </c>
      <c r="M62" s="64">
        <v>34.51</v>
      </c>
      <c r="N62" s="64">
        <v>591.20000000000005</v>
      </c>
      <c r="O62" s="64">
        <v>0</v>
      </c>
      <c r="P62" s="64">
        <v>0.39</v>
      </c>
      <c r="Q62" s="64">
        <v>9.35</v>
      </c>
      <c r="R62" s="198"/>
      <c r="S62" s="198"/>
      <c r="T62" s="198"/>
      <c r="U62" s="198"/>
    </row>
    <row r="63" spans="1:21" s="12" customFormat="1" x14ac:dyDescent="0.25">
      <c r="A63" s="214" t="s">
        <v>300</v>
      </c>
      <c r="B63" s="64">
        <v>2.98</v>
      </c>
      <c r="C63" s="64">
        <v>20.95</v>
      </c>
      <c r="D63" s="64">
        <v>35.54</v>
      </c>
      <c r="E63" s="64">
        <v>3.94</v>
      </c>
      <c r="F63" s="64">
        <v>18.64</v>
      </c>
      <c r="G63" s="64">
        <v>27.35</v>
      </c>
      <c r="H63" s="64">
        <v>8</v>
      </c>
      <c r="I63" s="64">
        <v>3.97</v>
      </c>
      <c r="J63" s="64">
        <v>1.47</v>
      </c>
      <c r="K63" s="64">
        <v>183.39</v>
      </c>
      <c r="L63" s="64">
        <v>39.630000000000003</v>
      </c>
      <c r="M63" s="64">
        <v>35.909999999999997</v>
      </c>
      <c r="N63" s="64">
        <v>511.4</v>
      </c>
      <c r="O63" s="64">
        <v>0</v>
      </c>
      <c r="P63" s="64">
        <v>0.37</v>
      </c>
      <c r="Q63" s="64">
        <v>9.36</v>
      </c>
      <c r="R63" s="198"/>
      <c r="S63" s="198"/>
      <c r="T63" s="198"/>
      <c r="U63" s="198"/>
    </row>
    <row r="64" spans="1:21" s="12" customFormat="1" x14ac:dyDescent="0.25">
      <c r="A64" s="214" t="s">
        <v>301</v>
      </c>
      <c r="B64" s="64">
        <v>2.58</v>
      </c>
      <c r="C64" s="64">
        <v>20</v>
      </c>
      <c r="D64" s="64">
        <v>34.33</v>
      </c>
      <c r="E64" s="64">
        <v>3.76</v>
      </c>
      <c r="F64" s="64">
        <v>12.55</v>
      </c>
      <c r="G64" s="64">
        <v>29.29</v>
      </c>
      <c r="H64" s="64">
        <v>8.2200000000000006</v>
      </c>
      <c r="I64" s="64">
        <v>3.94</v>
      </c>
      <c r="J64" s="64">
        <v>2.2599999999999998</v>
      </c>
      <c r="K64" s="64">
        <v>274.06</v>
      </c>
      <c r="L64" s="64">
        <v>40.31</v>
      </c>
      <c r="M64" s="64">
        <v>34.880000000000003</v>
      </c>
      <c r="N64" s="64">
        <v>506.8</v>
      </c>
      <c r="O64" s="64">
        <v>0</v>
      </c>
      <c r="P64" s="64">
        <v>0.38</v>
      </c>
      <c r="Q64" s="64">
        <v>9.36</v>
      </c>
      <c r="R64" s="198"/>
      <c r="S64" s="198"/>
      <c r="T64" s="198"/>
      <c r="U64" s="198"/>
    </row>
    <row r="65" spans="1:21" s="12" customFormat="1" x14ac:dyDescent="0.25">
      <c r="A65" s="214" t="s">
        <v>302</v>
      </c>
      <c r="B65" s="64">
        <v>3.19</v>
      </c>
      <c r="C65" s="64">
        <v>19.75</v>
      </c>
      <c r="D65" s="64">
        <v>32.909999999999997</v>
      </c>
      <c r="E65" s="64">
        <v>4.07</v>
      </c>
      <c r="F65" s="64">
        <v>24.62</v>
      </c>
      <c r="G65" s="64">
        <v>29.84</v>
      </c>
      <c r="H65" s="64">
        <v>8.2899999999999991</v>
      </c>
      <c r="I65" s="64">
        <v>4.03</v>
      </c>
      <c r="J65" s="64">
        <v>1.41</v>
      </c>
      <c r="K65" s="64">
        <v>261.27</v>
      </c>
      <c r="L65" s="64">
        <v>41.57</v>
      </c>
      <c r="M65" s="64">
        <v>32.39</v>
      </c>
      <c r="N65" s="64">
        <v>287.60000000000002</v>
      </c>
      <c r="O65" s="64">
        <v>0</v>
      </c>
      <c r="P65" s="64">
        <v>0.36</v>
      </c>
      <c r="Q65" s="64">
        <v>9.34</v>
      </c>
      <c r="R65" s="198"/>
      <c r="S65" s="198"/>
      <c r="T65" s="198"/>
      <c r="U65" s="198"/>
    </row>
    <row r="66" spans="1:21" s="12" customFormat="1" x14ac:dyDescent="0.25">
      <c r="A66" s="214" t="s">
        <v>303</v>
      </c>
      <c r="B66" s="64">
        <v>1.95</v>
      </c>
      <c r="C66" s="64">
        <v>16.98</v>
      </c>
      <c r="D66" s="64">
        <v>29.5</v>
      </c>
      <c r="E66" s="64">
        <v>4.1900000000000004</v>
      </c>
      <c r="F66" s="64">
        <v>15.57</v>
      </c>
      <c r="G66" s="64">
        <v>29.84</v>
      </c>
      <c r="H66" s="64">
        <v>8.2899999999999991</v>
      </c>
      <c r="I66" s="64">
        <v>4.12</v>
      </c>
      <c r="J66" s="64">
        <v>2.4900000000000002</v>
      </c>
      <c r="K66" s="64">
        <v>167.08</v>
      </c>
      <c r="L66" s="64">
        <v>39.130000000000003</v>
      </c>
      <c r="M66" s="64">
        <v>35.700000000000003</v>
      </c>
      <c r="N66" s="64">
        <v>320.10000000000002</v>
      </c>
      <c r="O66" s="64">
        <v>0</v>
      </c>
      <c r="P66" s="64">
        <v>0.35</v>
      </c>
      <c r="Q66" s="64">
        <v>9.33</v>
      </c>
      <c r="R66" s="198"/>
      <c r="S66" s="198"/>
      <c r="T66" s="198"/>
      <c r="U66" s="198"/>
    </row>
    <row r="67" spans="1:21" s="12" customFormat="1" x14ac:dyDescent="0.25">
      <c r="A67" s="214" t="s">
        <v>304</v>
      </c>
      <c r="B67" s="64">
        <v>2.0499999999999998</v>
      </c>
      <c r="C67" s="64">
        <v>17.73</v>
      </c>
      <c r="D67" s="64">
        <v>30.79</v>
      </c>
      <c r="E67" s="64">
        <v>4.04</v>
      </c>
      <c r="F67" s="64">
        <v>18.71</v>
      </c>
      <c r="G67" s="64">
        <v>29.84</v>
      </c>
      <c r="H67" s="64">
        <v>8.2899999999999991</v>
      </c>
      <c r="I67" s="64">
        <v>3.9</v>
      </c>
      <c r="J67" s="64">
        <v>1.41</v>
      </c>
      <c r="K67" s="64">
        <v>179.3</v>
      </c>
      <c r="L67" s="64">
        <v>38.78</v>
      </c>
      <c r="M67" s="64">
        <v>36.32</v>
      </c>
      <c r="N67" s="64">
        <v>434.8</v>
      </c>
      <c r="O67" s="64">
        <v>0</v>
      </c>
      <c r="P67" s="64">
        <v>0.34</v>
      </c>
      <c r="Q67" s="64">
        <v>9.32</v>
      </c>
      <c r="R67" s="198"/>
      <c r="S67" s="198"/>
      <c r="T67" s="198"/>
      <c r="U67" s="198"/>
    </row>
    <row r="68" spans="1:21" s="12" customFormat="1" x14ac:dyDescent="0.25">
      <c r="A68" s="214" t="s">
        <v>305</v>
      </c>
      <c r="B68" s="64">
        <v>4.24</v>
      </c>
      <c r="C68" s="64">
        <v>22.19</v>
      </c>
      <c r="D68" s="64">
        <v>35.97</v>
      </c>
      <c r="E68" s="64">
        <v>3.9</v>
      </c>
      <c r="F68" s="64">
        <v>20.64</v>
      </c>
      <c r="G68" s="64">
        <v>27.92</v>
      </c>
      <c r="H68" s="64">
        <v>8.6999999999999993</v>
      </c>
      <c r="I68" s="64">
        <v>4.2300000000000004</v>
      </c>
      <c r="J68" s="64">
        <v>0.67</v>
      </c>
      <c r="K68" s="64">
        <v>230.7</v>
      </c>
      <c r="L68" s="64">
        <v>39.78</v>
      </c>
      <c r="M68" s="64">
        <v>34.200000000000003</v>
      </c>
      <c r="N68" s="64">
        <v>352.7</v>
      </c>
      <c r="O68" s="64">
        <v>0</v>
      </c>
      <c r="P68" s="64">
        <v>0.37</v>
      </c>
      <c r="Q68" s="64">
        <v>9.32</v>
      </c>
      <c r="R68" s="198"/>
      <c r="S68" s="198"/>
      <c r="T68" s="198"/>
      <c r="U68" s="198"/>
    </row>
    <row r="69" spans="1:21" s="12" customFormat="1" x14ac:dyDescent="0.25">
      <c r="A69" s="214" t="s">
        <v>306</v>
      </c>
      <c r="B69" s="64">
        <v>4.67</v>
      </c>
      <c r="C69" s="64">
        <v>21.64</v>
      </c>
      <c r="D69" s="64">
        <v>34.25</v>
      </c>
      <c r="E69" s="64">
        <v>4.1500000000000004</v>
      </c>
      <c r="F69" s="64">
        <v>22.56</v>
      </c>
      <c r="G69" s="64">
        <v>27.37</v>
      </c>
      <c r="H69" s="64">
        <v>8.82</v>
      </c>
      <c r="I69" s="64">
        <v>4.07</v>
      </c>
      <c r="J69" s="64">
        <v>0.66</v>
      </c>
      <c r="K69" s="64">
        <v>259.19</v>
      </c>
      <c r="L69" s="64">
        <v>39.67</v>
      </c>
      <c r="M69" s="64">
        <v>33.44</v>
      </c>
      <c r="N69" s="64">
        <v>231.9</v>
      </c>
      <c r="O69" s="64">
        <v>0</v>
      </c>
      <c r="P69" s="64">
        <v>0.38</v>
      </c>
      <c r="Q69" s="64">
        <v>9.31</v>
      </c>
      <c r="R69" s="198"/>
      <c r="S69" s="198"/>
      <c r="T69" s="198"/>
      <c r="U69" s="198"/>
    </row>
    <row r="70" spans="1:21" s="12" customFormat="1" x14ac:dyDescent="0.25">
      <c r="A70" s="214" t="s">
        <v>307</v>
      </c>
      <c r="B70" s="64">
        <v>2.11</v>
      </c>
      <c r="C70" s="64">
        <v>16.91</v>
      </c>
      <c r="D70" s="64">
        <v>29.12</v>
      </c>
      <c r="E70" s="64">
        <v>4.5999999999999996</v>
      </c>
      <c r="F70" s="64">
        <v>27.1</v>
      </c>
      <c r="G70" s="64">
        <v>27.37</v>
      </c>
      <c r="H70" s="64">
        <v>8.82</v>
      </c>
      <c r="I70" s="64">
        <v>4.04</v>
      </c>
      <c r="J70" s="64">
        <v>2.5</v>
      </c>
      <c r="K70" s="64">
        <v>114.89</v>
      </c>
      <c r="L70" s="64">
        <v>38.479999999999997</v>
      </c>
      <c r="M70" s="64">
        <v>35.58</v>
      </c>
      <c r="N70" s="64">
        <v>222.3</v>
      </c>
      <c r="O70" s="64">
        <v>0</v>
      </c>
      <c r="P70" s="64">
        <v>0.26</v>
      </c>
      <c r="Q70" s="64">
        <v>9.31</v>
      </c>
      <c r="R70" s="198"/>
      <c r="S70" s="198"/>
      <c r="T70" s="198"/>
      <c r="U70" s="198"/>
    </row>
    <row r="71" spans="1:21" s="12" customFormat="1" x14ac:dyDescent="0.25">
      <c r="A71" s="214" t="s">
        <v>308</v>
      </c>
      <c r="B71" s="64">
        <v>2.5299999999999998</v>
      </c>
      <c r="C71" s="64">
        <v>17.43</v>
      </c>
      <c r="D71" s="64">
        <v>29.48</v>
      </c>
      <c r="E71" s="64">
        <v>4.47</v>
      </c>
      <c r="F71" s="64">
        <v>27.97</v>
      </c>
      <c r="G71" s="64">
        <v>27.37</v>
      </c>
      <c r="H71" s="64">
        <v>8.82</v>
      </c>
      <c r="I71" s="64">
        <v>4.04</v>
      </c>
      <c r="J71" s="64">
        <v>1.55</v>
      </c>
      <c r="K71" s="64">
        <v>146.53</v>
      </c>
      <c r="L71" s="64">
        <v>38.72</v>
      </c>
      <c r="M71" s="64">
        <v>35.14</v>
      </c>
      <c r="N71" s="64">
        <v>207.5</v>
      </c>
      <c r="O71" s="64">
        <v>0</v>
      </c>
      <c r="P71" s="64">
        <v>0.27</v>
      </c>
      <c r="Q71" s="64">
        <v>9.31</v>
      </c>
      <c r="R71" s="198"/>
      <c r="S71" s="198"/>
      <c r="T71" s="198"/>
      <c r="U71" s="198"/>
    </row>
    <row r="72" spans="1:21" s="12" customFormat="1" x14ac:dyDescent="0.25">
      <c r="A72" s="214" t="s">
        <v>309</v>
      </c>
      <c r="B72" s="64">
        <v>4.49</v>
      </c>
      <c r="C72" s="64">
        <v>22.86</v>
      </c>
      <c r="D72" s="64">
        <v>36.86</v>
      </c>
      <c r="E72" s="64">
        <v>4.45</v>
      </c>
      <c r="F72" s="64">
        <v>27.87</v>
      </c>
      <c r="G72" s="64">
        <v>26.04</v>
      </c>
      <c r="H72" s="64">
        <v>9.15</v>
      </c>
      <c r="I72" s="64">
        <v>4.05</v>
      </c>
      <c r="J72" s="64">
        <v>1.05</v>
      </c>
      <c r="K72" s="64">
        <v>262.64999999999998</v>
      </c>
      <c r="L72" s="64">
        <v>38.36</v>
      </c>
      <c r="M72" s="64">
        <v>35.5</v>
      </c>
      <c r="N72" s="64">
        <v>112.9</v>
      </c>
      <c r="O72" s="64">
        <v>0</v>
      </c>
      <c r="P72" s="64">
        <v>0.41</v>
      </c>
      <c r="Q72" s="64">
        <v>9.32</v>
      </c>
      <c r="R72" s="198"/>
      <c r="S72" s="198"/>
      <c r="T72" s="198"/>
      <c r="U72" s="198"/>
    </row>
    <row r="73" spans="1:21" s="12" customFormat="1" x14ac:dyDescent="0.25">
      <c r="A73" s="214" t="s">
        <v>310</v>
      </c>
      <c r="B73" s="64">
        <v>12.57</v>
      </c>
      <c r="C73" s="64">
        <v>41.35</v>
      </c>
      <c r="D73" s="64">
        <v>59.84</v>
      </c>
      <c r="E73" s="64">
        <v>4.59</v>
      </c>
      <c r="F73" s="64">
        <v>23.12</v>
      </c>
      <c r="G73" s="64">
        <v>25.66</v>
      </c>
      <c r="H73" s="64">
        <v>9.24</v>
      </c>
      <c r="I73" s="64">
        <v>4.07</v>
      </c>
      <c r="J73" s="64">
        <v>1.84</v>
      </c>
      <c r="K73" s="64">
        <v>282.14</v>
      </c>
      <c r="L73" s="64">
        <v>38.200000000000003</v>
      </c>
      <c r="M73" s="64">
        <v>35.840000000000003</v>
      </c>
      <c r="N73" s="64">
        <v>61.3</v>
      </c>
      <c r="O73" s="64">
        <v>0</v>
      </c>
      <c r="P73" s="64">
        <v>0.53</v>
      </c>
      <c r="Q73" s="64">
        <v>9.31</v>
      </c>
      <c r="R73" s="198"/>
      <c r="S73" s="198"/>
      <c r="T73" s="198"/>
      <c r="U73" s="198"/>
    </row>
    <row r="74" spans="1:21" s="12" customFormat="1" x14ac:dyDescent="0.25">
      <c r="A74" s="214" t="s">
        <v>311</v>
      </c>
      <c r="B74" s="64">
        <v>11.51</v>
      </c>
      <c r="C74" s="64">
        <v>36.28</v>
      </c>
      <c r="D74" s="64">
        <v>51.79</v>
      </c>
      <c r="E74" s="64">
        <v>4.08</v>
      </c>
      <c r="F74" s="64">
        <v>12.05</v>
      </c>
      <c r="G74" s="64">
        <v>25.66</v>
      </c>
      <c r="H74" s="64">
        <v>9.24</v>
      </c>
      <c r="I74" s="64">
        <v>4.24</v>
      </c>
      <c r="J74" s="64">
        <v>5.13</v>
      </c>
      <c r="K74" s="64">
        <v>278.95999999999998</v>
      </c>
      <c r="L74" s="64">
        <v>37.299999999999997</v>
      </c>
      <c r="M74" s="64">
        <v>39.03</v>
      </c>
      <c r="N74" s="64">
        <v>54.5</v>
      </c>
      <c r="O74" s="64">
        <v>0</v>
      </c>
      <c r="P74" s="64">
        <v>0.47</v>
      </c>
      <c r="Q74" s="64">
        <v>9.33</v>
      </c>
      <c r="R74" s="198"/>
      <c r="S74" s="198"/>
      <c r="T74" s="198"/>
      <c r="U74" s="198"/>
    </row>
    <row r="75" spans="1:21" s="12" customFormat="1" x14ac:dyDescent="0.25">
      <c r="A75" s="214" t="s">
        <v>312</v>
      </c>
      <c r="B75" s="64">
        <v>3.52</v>
      </c>
      <c r="C75" s="64">
        <v>21.74</v>
      </c>
      <c r="D75" s="64">
        <v>36.19</v>
      </c>
      <c r="E75" s="64">
        <v>3.51</v>
      </c>
      <c r="F75" s="64">
        <v>10.8</v>
      </c>
      <c r="G75" s="64">
        <v>25.66</v>
      </c>
      <c r="H75" s="64">
        <v>9.24</v>
      </c>
      <c r="I75" s="64">
        <v>4</v>
      </c>
      <c r="J75" s="64">
        <v>8.0399999999999991</v>
      </c>
      <c r="K75" s="64">
        <v>296.56</v>
      </c>
      <c r="L75" s="64">
        <v>27.12</v>
      </c>
      <c r="M75" s="64">
        <v>75.94</v>
      </c>
      <c r="N75" s="64">
        <v>64.8</v>
      </c>
      <c r="O75" s="64">
        <v>0.4</v>
      </c>
      <c r="P75" s="64">
        <v>0.35</v>
      </c>
      <c r="Q75" s="64">
        <v>9.33</v>
      </c>
      <c r="R75" s="198"/>
      <c r="S75" s="198"/>
      <c r="T75" s="198"/>
      <c r="U75" s="198"/>
    </row>
    <row r="76" spans="1:21" s="12" customFormat="1" x14ac:dyDescent="0.25">
      <c r="A76" s="214" t="s">
        <v>313</v>
      </c>
      <c r="B76" s="64">
        <v>2.1800000000000002</v>
      </c>
      <c r="C76" s="64">
        <v>18.36</v>
      </c>
      <c r="D76" s="64">
        <v>31.8</v>
      </c>
      <c r="E76" s="64">
        <v>3.84</v>
      </c>
      <c r="F76" s="64">
        <v>12.03</v>
      </c>
      <c r="G76" s="64">
        <v>421.9</v>
      </c>
      <c r="H76" s="64">
        <v>11.96</v>
      </c>
      <c r="I76" s="64">
        <v>4.04</v>
      </c>
      <c r="J76" s="64">
        <v>6.55</v>
      </c>
      <c r="K76" s="64">
        <v>355.01</v>
      </c>
      <c r="L76" s="64">
        <v>23.29</v>
      </c>
      <c r="M76" s="64">
        <v>101.87</v>
      </c>
      <c r="N76" s="64">
        <v>45.1</v>
      </c>
      <c r="O76" s="64">
        <v>0.4</v>
      </c>
      <c r="P76" s="64">
        <v>0.28000000000000003</v>
      </c>
      <c r="Q76" s="64">
        <v>9.31</v>
      </c>
      <c r="R76" s="198"/>
      <c r="S76" s="198"/>
      <c r="T76" s="198"/>
      <c r="U76" s="198"/>
    </row>
    <row r="77" spans="1:21" s="12" customFormat="1" x14ac:dyDescent="0.25">
      <c r="A77" s="214" t="s">
        <v>314</v>
      </c>
      <c r="B77" s="64">
        <v>2.12</v>
      </c>
      <c r="C77" s="64">
        <v>17.68</v>
      </c>
      <c r="D77" s="64">
        <v>30.59</v>
      </c>
      <c r="E77" s="64">
        <v>3.36</v>
      </c>
      <c r="F77" s="64">
        <v>10.050000000000001</v>
      </c>
      <c r="G77" s="64">
        <v>535.11</v>
      </c>
      <c r="H77" s="64">
        <v>12.73</v>
      </c>
      <c r="I77" s="64">
        <v>3.87</v>
      </c>
      <c r="J77" s="64">
        <v>4.78</v>
      </c>
      <c r="K77" s="64">
        <v>11.54</v>
      </c>
      <c r="L77" s="64">
        <v>23.14</v>
      </c>
      <c r="M77" s="64">
        <v>100.65</v>
      </c>
      <c r="N77" s="64">
        <v>45</v>
      </c>
      <c r="O77" s="64">
        <v>0.4</v>
      </c>
      <c r="P77" s="64">
        <v>0.27</v>
      </c>
      <c r="Q77" s="64">
        <v>9.2899999999999991</v>
      </c>
      <c r="R77" s="198"/>
      <c r="S77" s="198"/>
      <c r="T77" s="198"/>
      <c r="U77" s="198"/>
    </row>
    <row r="78" spans="1:21" s="12" customFormat="1" x14ac:dyDescent="0.25">
      <c r="A78" s="214" t="s">
        <v>315</v>
      </c>
      <c r="B78" s="64">
        <v>2.1800000000000002</v>
      </c>
      <c r="C78" s="64">
        <v>18.63</v>
      </c>
      <c r="D78" s="64">
        <v>32.31</v>
      </c>
      <c r="E78" s="64">
        <v>3.07</v>
      </c>
      <c r="F78" s="64">
        <v>9.14</v>
      </c>
      <c r="G78" s="64">
        <v>535.11</v>
      </c>
      <c r="H78" s="64">
        <v>12.73</v>
      </c>
      <c r="I78" s="64">
        <v>3.96</v>
      </c>
      <c r="J78" s="64">
        <v>2.58</v>
      </c>
      <c r="K78" s="64">
        <v>3.82</v>
      </c>
      <c r="L78" s="64">
        <v>23.71</v>
      </c>
      <c r="M78" s="64">
        <v>94.93</v>
      </c>
      <c r="N78" s="64">
        <v>45.3</v>
      </c>
      <c r="O78" s="64">
        <v>0.2</v>
      </c>
      <c r="P78" s="64">
        <v>0.3</v>
      </c>
      <c r="Q78" s="64">
        <v>9.2799999999999994</v>
      </c>
      <c r="R78" s="198"/>
      <c r="S78" s="198"/>
      <c r="T78" s="198"/>
      <c r="U78" s="198"/>
    </row>
    <row r="79" spans="1:21" s="12" customFormat="1" x14ac:dyDescent="0.25">
      <c r="A79" s="214" t="s">
        <v>316</v>
      </c>
      <c r="B79" s="64">
        <v>2.2400000000000002</v>
      </c>
      <c r="C79" s="64">
        <v>20.9</v>
      </c>
      <c r="D79" s="64">
        <v>36.57</v>
      </c>
      <c r="E79" s="64">
        <v>3.15</v>
      </c>
      <c r="F79" s="64">
        <v>6.16</v>
      </c>
      <c r="G79" s="64">
        <v>535.11</v>
      </c>
      <c r="H79" s="64">
        <v>12.73</v>
      </c>
      <c r="I79" s="64">
        <v>4.0999999999999996</v>
      </c>
      <c r="J79" s="64">
        <v>1.25</v>
      </c>
      <c r="K79" s="64">
        <v>78.489999999999995</v>
      </c>
      <c r="L79" s="64">
        <v>23.54</v>
      </c>
      <c r="M79" s="64">
        <v>93.82</v>
      </c>
      <c r="N79" s="64">
        <v>44.5</v>
      </c>
      <c r="O79" s="64">
        <v>0.2</v>
      </c>
      <c r="P79" s="64">
        <v>0.31</v>
      </c>
      <c r="Q79" s="64">
        <v>9.3000000000000007</v>
      </c>
      <c r="R79" s="198"/>
      <c r="S79" s="198"/>
      <c r="T79" s="198"/>
      <c r="U79" s="198"/>
    </row>
    <row r="80" spans="1:21" s="12" customFormat="1" x14ac:dyDescent="0.25">
      <c r="A80" s="214" t="s">
        <v>317</v>
      </c>
      <c r="B80" s="64">
        <v>2.38</v>
      </c>
      <c r="C80" s="64">
        <v>25.64</v>
      </c>
      <c r="D80" s="64">
        <v>45.44</v>
      </c>
      <c r="E80" s="64">
        <v>3.34</v>
      </c>
      <c r="F80" s="64">
        <v>6.33</v>
      </c>
      <c r="G80" s="64">
        <v>120.58</v>
      </c>
      <c r="H80" s="64">
        <v>12.54</v>
      </c>
      <c r="I80" s="64">
        <v>4.07</v>
      </c>
      <c r="J80" s="64">
        <v>1.19</v>
      </c>
      <c r="K80" s="64">
        <v>82.85</v>
      </c>
      <c r="L80" s="64">
        <v>24.2</v>
      </c>
      <c r="M80" s="64">
        <v>87.84</v>
      </c>
      <c r="N80" s="64">
        <v>46.6</v>
      </c>
      <c r="O80" s="64">
        <v>0</v>
      </c>
      <c r="P80" s="64">
        <v>0.32</v>
      </c>
      <c r="Q80" s="64">
        <v>9.3699999999999992</v>
      </c>
      <c r="R80" s="198"/>
      <c r="S80" s="198"/>
      <c r="T80" s="198"/>
      <c r="U80" s="198"/>
    </row>
    <row r="81" spans="1:26" s="12" customFormat="1" x14ac:dyDescent="0.25">
      <c r="A81" s="214" t="s">
        <v>318</v>
      </c>
      <c r="B81" s="64">
        <v>2.76</v>
      </c>
      <c r="C81" s="64">
        <v>28.16</v>
      </c>
      <c r="D81" s="64">
        <v>49.67</v>
      </c>
      <c r="E81" s="64">
        <v>3.24</v>
      </c>
      <c r="F81" s="64">
        <v>6.12</v>
      </c>
      <c r="G81" s="64">
        <v>32.14</v>
      </c>
      <c r="H81" s="64">
        <v>12.49</v>
      </c>
      <c r="I81" s="64">
        <v>3.91</v>
      </c>
      <c r="J81" s="64">
        <v>3</v>
      </c>
      <c r="K81" s="64">
        <v>103.03</v>
      </c>
      <c r="L81" s="64">
        <v>24.99</v>
      </c>
      <c r="M81" s="64">
        <v>82.2</v>
      </c>
      <c r="N81" s="64">
        <v>47.7</v>
      </c>
      <c r="O81" s="64">
        <v>0</v>
      </c>
      <c r="P81" s="64">
        <v>0.31</v>
      </c>
      <c r="Q81" s="64">
        <v>9.43</v>
      </c>
      <c r="R81" s="198"/>
      <c r="S81" s="198"/>
      <c r="T81" s="198"/>
      <c r="U81" s="198"/>
    </row>
    <row r="82" spans="1:26" s="12" customFormat="1" x14ac:dyDescent="0.25">
      <c r="A82" s="214" t="s">
        <v>319</v>
      </c>
      <c r="B82" s="64">
        <v>2.99</v>
      </c>
      <c r="C82" s="64">
        <v>27.64</v>
      </c>
      <c r="D82" s="64">
        <v>48.32</v>
      </c>
      <c r="E82" s="64">
        <v>3.2</v>
      </c>
      <c r="F82" s="64">
        <v>6.98</v>
      </c>
      <c r="G82" s="64">
        <v>32.14</v>
      </c>
      <c r="H82" s="64">
        <v>12.49</v>
      </c>
      <c r="I82" s="64">
        <v>3.94</v>
      </c>
      <c r="J82" s="64">
        <v>2.27</v>
      </c>
      <c r="K82" s="64">
        <v>93.64</v>
      </c>
      <c r="L82" s="64">
        <v>25.23</v>
      </c>
      <c r="M82" s="64">
        <v>80.22</v>
      </c>
      <c r="N82" s="64">
        <v>46.6</v>
      </c>
      <c r="O82" s="64">
        <v>0</v>
      </c>
      <c r="P82" s="64">
        <v>0.32</v>
      </c>
      <c r="Q82" s="64">
        <v>9.4600000000000009</v>
      </c>
      <c r="R82" s="198"/>
      <c r="S82" s="198"/>
      <c r="T82" s="198"/>
      <c r="U82" s="198"/>
    </row>
    <row r="83" spans="1:26" s="12" customFormat="1" x14ac:dyDescent="0.25">
      <c r="A83" s="214" t="s">
        <v>320</v>
      </c>
      <c r="B83" s="64">
        <v>3.12</v>
      </c>
      <c r="C83" s="64">
        <v>25.64</v>
      </c>
      <c r="D83" s="64">
        <v>44.28</v>
      </c>
      <c r="E83" s="64">
        <v>3.17</v>
      </c>
      <c r="F83" s="64">
        <v>6.92</v>
      </c>
      <c r="G83" s="64">
        <v>32.14</v>
      </c>
      <c r="H83" s="64">
        <v>12.49</v>
      </c>
      <c r="I83" s="64">
        <v>4.2</v>
      </c>
      <c r="J83" s="64">
        <v>2.4</v>
      </c>
      <c r="K83" s="64">
        <v>83.05</v>
      </c>
      <c r="L83" s="64">
        <v>14.64</v>
      </c>
      <c r="M83" s="64">
        <v>81.62</v>
      </c>
      <c r="N83" s="64">
        <v>45</v>
      </c>
      <c r="O83" s="64">
        <v>0</v>
      </c>
      <c r="P83" s="64">
        <v>0.32</v>
      </c>
      <c r="Q83" s="64">
        <v>9.4600000000000009</v>
      </c>
      <c r="R83" s="198"/>
      <c r="S83" s="198"/>
      <c r="T83" s="198"/>
      <c r="U83" s="198"/>
    </row>
    <row r="84" spans="1:26" s="12" customFormat="1" x14ac:dyDescent="0.25">
      <c r="A84" s="214" t="s">
        <v>321</v>
      </c>
      <c r="B84" s="215" t="s">
        <v>32</v>
      </c>
      <c r="C84" s="215" t="s">
        <v>32</v>
      </c>
      <c r="D84" s="215" t="s">
        <v>32</v>
      </c>
      <c r="E84" s="215" t="s">
        <v>32</v>
      </c>
      <c r="F84" s="215" t="s">
        <v>32</v>
      </c>
      <c r="G84" s="215" t="s">
        <v>32</v>
      </c>
      <c r="H84" s="215" t="s">
        <v>32</v>
      </c>
      <c r="I84" s="215" t="s">
        <v>32</v>
      </c>
      <c r="J84" s="215" t="s">
        <v>32</v>
      </c>
      <c r="K84" s="215" t="s">
        <v>32</v>
      </c>
      <c r="L84" s="215" t="s">
        <v>32</v>
      </c>
      <c r="M84" s="215" t="s">
        <v>32</v>
      </c>
      <c r="N84" s="215" t="s">
        <v>32</v>
      </c>
      <c r="O84" s="215" t="s">
        <v>32</v>
      </c>
      <c r="P84" s="215" t="s">
        <v>32</v>
      </c>
      <c r="Q84" s="215" t="s">
        <v>32</v>
      </c>
      <c r="R84" s="198"/>
      <c r="S84" s="198"/>
      <c r="T84" s="198"/>
      <c r="U84" s="198"/>
    </row>
    <row r="85" spans="1:26" s="12" customFormat="1" x14ac:dyDescent="0.25">
      <c r="A85" s="214" t="s">
        <v>322</v>
      </c>
      <c r="B85" s="215" t="s">
        <v>32</v>
      </c>
      <c r="C85" s="215" t="s">
        <v>32</v>
      </c>
      <c r="D85" s="215" t="s">
        <v>32</v>
      </c>
      <c r="E85" s="215" t="s">
        <v>32</v>
      </c>
      <c r="F85" s="215" t="s">
        <v>32</v>
      </c>
      <c r="G85" s="215" t="s">
        <v>32</v>
      </c>
      <c r="H85" s="215" t="s">
        <v>32</v>
      </c>
      <c r="I85" s="215" t="s">
        <v>32</v>
      </c>
      <c r="J85" s="215" t="s">
        <v>32</v>
      </c>
      <c r="K85" s="215" t="s">
        <v>32</v>
      </c>
      <c r="L85" s="215" t="s">
        <v>32</v>
      </c>
      <c r="M85" s="215" t="s">
        <v>32</v>
      </c>
      <c r="N85" s="215" t="s">
        <v>32</v>
      </c>
      <c r="O85" s="215" t="s">
        <v>32</v>
      </c>
      <c r="P85" s="215" t="s">
        <v>32</v>
      </c>
      <c r="Q85" s="215" t="s">
        <v>32</v>
      </c>
      <c r="R85" s="198"/>
      <c r="S85" s="198"/>
      <c r="T85" s="198"/>
      <c r="U85" s="198"/>
    </row>
    <row r="86" spans="1:26" s="12" customFormat="1" x14ac:dyDescent="0.25">
      <c r="A86" s="214" t="s">
        <v>323</v>
      </c>
      <c r="B86" s="215" t="s">
        <v>32</v>
      </c>
      <c r="C86" s="215" t="s">
        <v>32</v>
      </c>
      <c r="D86" s="215" t="s">
        <v>32</v>
      </c>
      <c r="E86" s="215" t="s">
        <v>32</v>
      </c>
      <c r="F86" s="215" t="s">
        <v>32</v>
      </c>
      <c r="G86" s="215" t="s">
        <v>32</v>
      </c>
      <c r="H86" s="215" t="s">
        <v>32</v>
      </c>
      <c r="I86" s="215" t="s">
        <v>32</v>
      </c>
      <c r="J86" s="215" t="s">
        <v>32</v>
      </c>
      <c r="K86" s="215" t="s">
        <v>32</v>
      </c>
      <c r="L86" s="215" t="s">
        <v>32</v>
      </c>
      <c r="M86" s="215" t="s">
        <v>32</v>
      </c>
      <c r="N86" s="215" t="s">
        <v>32</v>
      </c>
      <c r="O86" s="215" t="s">
        <v>32</v>
      </c>
      <c r="P86" s="215" t="s">
        <v>32</v>
      </c>
      <c r="Q86" s="215" t="s">
        <v>32</v>
      </c>
      <c r="R86" s="198"/>
      <c r="S86" s="198"/>
      <c r="T86" s="198"/>
      <c r="U86" s="198"/>
    </row>
    <row r="87" spans="1:26" s="12" customFormat="1" x14ac:dyDescent="0.25">
      <c r="A87" s="214" t="s">
        <v>324</v>
      </c>
      <c r="B87" s="215" t="s">
        <v>32</v>
      </c>
      <c r="C87" s="215" t="s">
        <v>32</v>
      </c>
      <c r="D87" s="215" t="s">
        <v>32</v>
      </c>
      <c r="E87" s="215" t="s">
        <v>32</v>
      </c>
      <c r="F87" s="215" t="s">
        <v>32</v>
      </c>
      <c r="G87" s="215" t="s">
        <v>32</v>
      </c>
      <c r="H87" s="215" t="s">
        <v>32</v>
      </c>
      <c r="I87" s="215" t="s">
        <v>32</v>
      </c>
      <c r="J87" s="215" t="s">
        <v>32</v>
      </c>
      <c r="K87" s="215" t="s">
        <v>32</v>
      </c>
      <c r="L87" s="215" t="s">
        <v>32</v>
      </c>
      <c r="M87" s="215" t="s">
        <v>32</v>
      </c>
      <c r="N87" s="215" t="s">
        <v>32</v>
      </c>
      <c r="O87" s="215" t="s">
        <v>32</v>
      </c>
      <c r="P87" s="215" t="s">
        <v>32</v>
      </c>
      <c r="Q87" s="215" t="s">
        <v>32</v>
      </c>
      <c r="R87" s="198"/>
      <c r="S87" s="198"/>
      <c r="T87" s="198"/>
      <c r="U87" s="198"/>
    </row>
    <row r="88" spans="1:26" s="12" customFormat="1" x14ac:dyDescent="0.25">
      <c r="A88" s="214" t="s">
        <v>325</v>
      </c>
      <c r="B88" s="215" t="s">
        <v>32</v>
      </c>
      <c r="C88" s="215" t="s">
        <v>32</v>
      </c>
      <c r="D88" s="215" t="s">
        <v>32</v>
      </c>
      <c r="E88" s="215" t="s">
        <v>32</v>
      </c>
      <c r="F88" s="215" t="s">
        <v>32</v>
      </c>
      <c r="G88" s="215" t="s">
        <v>32</v>
      </c>
      <c r="H88" s="215" t="s">
        <v>32</v>
      </c>
      <c r="I88" s="215" t="s">
        <v>32</v>
      </c>
      <c r="J88" s="215" t="s">
        <v>32</v>
      </c>
      <c r="K88" s="215" t="s">
        <v>32</v>
      </c>
      <c r="L88" s="215" t="s">
        <v>32</v>
      </c>
      <c r="M88" s="215" t="s">
        <v>32</v>
      </c>
      <c r="N88" s="215" t="s">
        <v>32</v>
      </c>
      <c r="O88" s="215" t="s">
        <v>32</v>
      </c>
      <c r="P88" s="215" t="s">
        <v>32</v>
      </c>
      <c r="Q88" s="215" t="s">
        <v>32</v>
      </c>
      <c r="R88" s="198"/>
      <c r="S88" s="198"/>
      <c r="T88" s="198"/>
      <c r="U88" s="198"/>
    </row>
    <row r="89" spans="1:26" s="12" customFormat="1" x14ac:dyDescent="0.25">
      <c r="A89" s="214" t="s">
        <v>326</v>
      </c>
      <c r="B89" s="215" t="s">
        <v>32</v>
      </c>
      <c r="C89" s="215" t="s">
        <v>32</v>
      </c>
      <c r="D89" s="215" t="s">
        <v>32</v>
      </c>
      <c r="E89" s="215" t="s">
        <v>32</v>
      </c>
      <c r="F89" s="215" t="s">
        <v>32</v>
      </c>
      <c r="G89" s="215" t="s">
        <v>32</v>
      </c>
      <c r="H89" s="215" t="s">
        <v>32</v>
      </c>
      <c r="I89" s="215" t="s">
        <v>32</v>
      </c>
      <c r="J89" s="215" t="s">
        <v>32</v>
      </c>
      <c r="K89" s="215" t="s">
        <v>32</v>
      </c>
      <c r="L89" s="215" t="s">
        <v>32</v>
      </c>
      <c r="M89" s="215" t="s">
        <v>32</v>
      </c>
      <c r="N89" s="215" t="s">
        <v>32</v>
      </c>
      <c r="O89" s="215" t="s">
        <v>32</v>
      </c>
      <c r="P89" s="215" t="s">
        <v>32</v>
      </c>
      <c r="Q89" s="215" t="s">
        <v>32</v>
      </c>
      <c r="R89" s="198"/>
      <c r="S89" s="198"/>
      <c r="T89" s="198"/>
      <c r="U89" s="198"/>
    </row>
    <row r="90" spans="1:26" s="12" customFormat="1" x14ac:dyDescent="0.25">
      <c r="A90" s="214" t="s">
        <v>327</v>
      </c>
      <c r="B90" s="215" t="s">
        <v>32</v>
      </c>
      <c r="C90" s="215" t="s">
        <v>32</v>
      </c>
      <c r="D90" s="215" t="s">
        <v>32</v>
      </c>
      <c r="E90" s="215" t="s">
        <v>32</v>
      </c>
      <c r="F90" s="215" t="s">
        <v>32</v>
      </c>
      <c r="G90" s="215" t="s">
        <v>32</v>
      </c>
      <c r="H90" s="215" t="s">
        <v>32</v>
      </c>
      <c r="I90" s="215" t="s">
        <v>32</v>
      </c>
      <c r="J90" s="215" t="s">
        <v>32</v>
      </c>
      <c r="K90" s="215" t="s">
        <v>32</v>
      </c>
      <c r="L90" s="215" t="s">
        <v>32</v>
      </c>
      <c r="M90" s="215" t="s">
        <v>32</v>
      </c>
      <c r="N90" s="215" t="s">
        <v>32</v>
      </c>
      <c r="O90" s="215" t="s">
        <v>32</v>
      </c>
      <c r="P90" s="215" t="s">
        <v>32</v>
      </c>
      <c r="Q90" s="215" t="s">
        <v>32</v>
      </c>
      <c r="R90" s="198"/>
      <c r="S90" s="198"/>
      <c r="T90" s="198"/>
      <c r="U90" s="198"/>
    </row>
    <row r="91" spans="1:26" s="12" customFormat="1" x14ac:dyDescent="0.25">
      <c r="A91" s="214" t="s">
        <v>328</v>
      </c>
      <c r="B91" s="215" t="s">
        <v>32</v>
      </c>
      <c r="C91" s="215" t="s">
        <v>32</v>
      </c>
      <c r="D91" s="215" t="s">
        <v>32</v>
      </c>
      <c r="E91" s="215" t="s">
        <v>32</v>
      </c>
      <c r="F91" s="215" t="s">
        <v>32</v>
      </c>
      <c r="G91" s="215" t="s">
        <v>32</v>
      </c>
      <c r="H91" s="215" t="s">
        <v>32</v>
      </c>
      <c r="I91" s="215" t="s">
        <v>32</v>
      </c>
      <c r="J91" s="215" t="s">
        <v>32</v>
      </c>
      <c r="K91" s="215" t="s">
        <v>32</v>
      </c>
      <c r="L91" s="215" t="s">
        <v>32</v>
      </c>
      <c r="M91" s="215" t="s">
        <v>32</v>
      </c>
      <c r="N91" s="215" t="s">
        <v>32</v>
      </c>
      <c r="O91" s="215" t="s">
        <v>32</v>
      </c>
      <c r="P91" s="215" t="s">
        <v>32</v>
      </c>
      <c r="Q91" s="215" t="s">
        <v>32</v>
      </c>
      <c r="R91" s="198"/>
      <c r="S91" s="198"/>
      <c r="T91" s="198"/>
      <c r="U91" s="198"/>
    </row>
    <row r="92" spans="1:26" s="12" customFormat="1" x14ac:dyDescent="0.25">
      <c r="A92" s="214" t="s">
        <v>329</v>
      </c>
      <c r="B92" s="215" t="s">
        <v>32</v>
      </c>
      <c r="C92" s="215" t="s">
        <v>32</v>
      </c>
      <c r="D92" s="215" t="s">
        <v>32</v>
      </c>
      <c r="E92" s="215" t="s">
        <v>32</v>
      </c>
      <c r="F92" s="215" t="s">
        <v>32</v>
      </c>
      <c r="G92" s="215" t="s">
        <v>32</v>
      </c>
      <c r="H92" s="215" t="s">
        <v>32</v>
      </c>
      <c r="I92" s="215" t="s">
        <v>32</v>
      </c>
      <c r="J92" s="215" t="s">
        <v>32</v>
      </c>
      <c r="K92" s="215" t="s">
        <v>32</v>
      </c>
      <c r="L92" s="215" t="s">
        <v>32</v>
      </c>
      <c r="M92" s="215" t="s">
        <v>32</v>
      </c>
      <c r="N92" s="215" t="s">
        <v>32</v>
      </c>
      <c r="O92" s="215" t="s">
        <v>32</v>
      </c>
      <c r="P92" s="215" t="s">
        <v>32</v>
      </c>
      <c r="Q92" s="215" t="s">
        <v>32</v>
      </c>
      <c r="R92" s="198"/>
      <c r="S92" s="198"/>
      <c r="T92" s="198"/>
      <c r="U92" s="198"/>
    </row>
    <row r="93" spans="1:26" s="12" customFormat="1" x14ac:dyDescent="0.25">
      <c r="A93" s="214" t="s">
        <v>330</v>
      </c>
      <c r="B93" s="215" t="s">
        <v>32</v>
      </c>
      <c r="C93" s="215" t="s">
        <v>32</v>
      </c>
      <c r="D93" s="215" t="s">
        <v>32</v>
      </c>
      <c r="E93" s="215" t="s">
        <v>32</v>
      </c>
      <c r="F93" s="215" t="s">
        <v>32</v>
      </c>
      <c r="G93" s="215" t="s">
        <v>32</v>
      </c>
      <c r="H93" s="215" t="s">
        <v>32</v>
      </c>
      <c r="I93" s="215" t="s">
        <v>32</v>
      </c>
      <c r="J93" s="215" t="s">
        <v>32</v>
      </c>
      <c r="K93" s="215" t="s">
        <v>32</v>
      </c>
      <c r="L93" s="215" t="s">
        <v>32</v>
      </c>
      <c r="M93" s="215" t="s">
        <v>32</v>
      </c>
      <c r="N93" s="215" t="s">
        <v>32</v>
      </c>
      <c r="O93" s="215" t="s">
        <v>32</v>
      </c>
      <c r="P93" s="215" t="s">
        <v>32</v>
      </c>
      <c r="Q93" s="215" t="s">
        <v>32</v>
      </c>
      <c r="R93" s="198"/>
      <c r="S93" s="198"/>
      <c r="T93" s="198"/>
      <c r="U93" s="198"/>
    </row>
    <row r="94" spans="1:26" s="12" customFormat="1" x14ac:dyDescent="0.25">
      <c r="A94" s="214" t="s">
        <v>331</v>
      </c>
      <c r="B94" s="215" t="s">
        <v>32</v>
      </c>
      <c r="C94" s="215" t="s">
        <v>32</v>
      </c>
      <c r="D94" s="215" t="s">
        <v>32</v>
      </c>
      <c r="E94" s="215" t="s">
        <v>32</v>
      </c>
      <c r="F94" s="215" t="s">
        <v>32</v>
      </c>
      <c r="G94" s="215" t="s">
        <v>32</v>
      </c>
      <c r="H94" s="215" t="s">
        <v>32</v>
      </c>
      <c r="I94" s="215" t="s">
        <v>32</v>
      </c>
      <c r="J94" s="215" t="s">
        <v>32</v>
      </c>
      <c r="K94" s="215" t="s">
        <v>32</v>
      </c>
      <c r="L94" s="215" t="s">
        <v>32</v>
      </c>
      <c r="M94" s="215" t="s">
        <v>32</v>
      </c>
      <c r="N94" s="215" t="s">
        <v>32</v>
      </c>
      <c r="O94" s="215" t="s">
        <v>32</v>
      </c>
      <c r="P94" s="215" t="s">
        <v>32</v>
      </c>
      <c r="Q94" s="215" t="s">
        <v>32</v>
      </c>
      <c r="R94" s="198"/>
      <c r="S94" s="198"/>
      <c r="T94" s="198"/>
      <c r="U94" s="198"/>
    </row>
    <row r="95" spans="1:26" s="12" customFormat="1" x14ac:dyDescent="0.25">
      <c r="A95" s="214" t="s">
        <v>332</v>
      </c>
      <c r="B95" s="215" t="s">
        <v>32</v>
      </c>
      <c r="C95" s="215" t="s">
        <v>32</v>
      </c>
      <c r="D95" s="215" t="s">
        <v>32</v>
      </c>
      <c r="E95" s="215" t="s">
        <v>32</v>
      </c>
      <c r="F95" s="215" t="s">
        <v>32</v>
      </c>
      <c r="G95" s="215" t="s">
        <v>32</v>
      </c>
      <c r="H95" s="215" t="s">
        <v>32</v>
      </c>
      <c r="I95" s="215" t="s">
        <v>32</v>
      </c>
      <c r="J95" s="215" t="s">
        <v>32</v>
      </c>
      <c r="K95" s="215" t="s">
        <v>32</v>
      </c>
      <c r="L95" s="215" t="s">
        <v>32</v>
      </c>
      <c r="M95" s="215" t="s">
        <v>32</v>
      </c>
      <c r="N95" s="215" t="s">
        <v>32</v>
      </c>
      <c r="O95" s="215" t="s">
        <v>32</v>
      </c>
      <c r="P95" s="215" t="s">
        <v>32</v>
      </c>
      <c r="Q95" s="215" t="s">
        <v>32</v>
      </c>
      <c r="R95" s="198"/>
      <c r="S95" s="198"/>
      <c r="T95" s="198"/>
      <c r="U95" s="198"/>
    </row>
    <row r="96" spans="1:26" s="12" customFormat="1" x14ac:dyDescent="0.25">
      <c r="A96" s="214" t="s">
        <v>333</v>
      </c>
      <c r="B96" s="215" t="s">
        <v>32</v>
      </c>
      <c r="C96" s="215" t="s">
        <v>32</v>
      </c>
      <c r="D96" s="215" t="s">
        <v>32</v>
      </c>
      <c r="E96" s="215" t="s">
        <v>32</v>
      </c>
      <c r="F96" s="215" t="s">
        <v>32</v>
      </c>
      <c r="G96" s="215" t="s">
        <v>32</v>
      </c>
      <c r="H96" s="215" t="s">
        <v>32</v>
      </c>
      <c r="I96" s="215" t="s">
        <v>32</v>
      </c>
      <c r="J96" s="215" t="s">
        <v>32</v>
      </c>
      <c r="K96" s="215" t="s">
        <v>32</v>
      </c>
      <c r="L96" s="215" t="s">
        <v>32</v>
      </c>
      <c r="M96" s="215" t="s">
        <v>32</v>
      </c>
      <c r="N96" s="215" t="s">
        <v>32</v>
      </c>
      <c r="O96" s="215" t="s">
        <v>32</v>
      </c>
      <c r="P96" s="215" t="s">
        <v>32</v>
      </c>
      <c r="Q96" s="215" t="s">
        <v>32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334</v>
      </c>
      <c r="B97" s="215" t="s">
        <v>32</v>
      </c>
      <c r="C97" s="215" t="s">
        <v>32</v>
      </c>
      <c r="D97" s="215" t="s">
        <v>32</v>
      </c>
      <c r="E97" s="215" t="s">
        <v>32</v>
      </c>
      <c r="F97" s="215" t="s">
        <v>32</v>
      </c>
      <c r="G97" s="215" t="s">
        <v>32</v>
      </c>
      <c r="H97" s="215" t="s">
        <v>32</v>
      </c>
      <c r="I97" s="215" t="s">
        <v>32</v>
      </c>
      <c r="J97" s="215" t="s">
        <v>32</v>
      </c>
      <c r="K97" s="215" t="s">
        <v>32</v>
      </c>
      <c r="L97" s="215" t="s">
        <v>32</v>
      </c>
      <c r="M97" s="215" t="s">
        <v>32</v>
      </c>
      <c r="N97" s="215" t="s">
        <v>32</v>
      </c>
      <c r="O97" s="215" t="s">
        <v>32</v>
      </c>
      <c r="P97" s="215" t="s">
        <v>32</v>
      </c>
      <c r="Q97" s="215" t="s">
        <v>32</v>
      </c>
      <c r="R97" s="198"/>
      <c r="S97" s="198"/>
      <c r="T97" s="198"/>
      <c r="U97" s="198"/>
    </row>
    <row r="98" spans="1:33" s="12" customFormat="1" x14ac:dyDescent="0.25">
      <c r="A98" s="214" t="s">
        <v>335</v>
      </c>
      <c r="B98" s="215" t="s">
        <v>32</v>
      </c>
      <c r="C98" s="215" t="s">
        <v>32</v>
      </c>
      <c r="D98" s="215" t="s">
        <v>32</v>
      </c>
      <c r="E98" s="215" t="s">
        <v>32</v>
      </c>
      <c r="F98" s="215" t="s">
        <v>32</v>
      </c>
      <c r="G98" s="215" t="s">
        <v>32</v>
      </c>
      <c r="H98" s="215" t="s">
        <v>32</v>
      </c>
      <c r="I98" s="215" t="s">
        <v>32</v>
      </c>
      <c r="J98" s="215" t="s">
        <v>32</v>
      </c>
      <c r="K98" s="215" t="s">
        <v>32</v>
      </c>
      <c r="L98" s="215" t="s">
        <v>32</v>
      </c>
      <c r="M98" s="215" t="s">
        <v>32</v>
      </c>
      <c r="N98" s="215" t="s">
        <v>32</v>
      </c>
      <c r="O98" s="215" t="s">
        <v>32</v>
      </c>
      <c r="P98" s="215" t="s">
        <v>32</v>
      </c>
      <c r="Q98" s="215" t="s">
        <v>32</v>
      </c>
      <c r="R98" s="198"/>
      <c r="S98" s="198"/>
      <c r="T98" s="198"/>
      <c r="U98" s="198"/>
    </row>
    <row r="99" spans="1:33" s="12" customFormat="1" x14ac:dyDescent="0.25">
      <c r="A99" s="214" t="s">
        <v>336</v>
      </c>
      <c r="B99" s="215" t="s">
        <v>32</v>
      </c>
      <c r="C99" s="215" t="s">
        <v>32</v>
      </c>
      <c r="D99" s="215" t="s">
        <v>32</v>
      </c>
      <c r="E99" s="215" t="s">
        <v>32</v>
      </c>
      <c r="F99" s="215" t="s">
        <v>32</v>
      </c>
      <c r="G99" s="215" t="s">
        <v>32</v>
      </c>
      <c r="H99" s="215" t="s">
        <v>32</v>
      </c>
      <c r="I99" s="215" t="s">
        <v>32</v>
      </c>
      <c r="J99" s="215" t="s">
        <v>32</v>
      </c>
      <c r="K99" s="215" t="s">
        <v>32</v>
      </c>
      <c r="L99" s="215" t="s">
        <v>32</v>
      </c>
      <c r="M99" s="215" t="s">
        <v>32</v>
      </c>
      <c r="N99" s="215" t="s">
        <v>32</v>
      </c>
      <c r="O99" s="215" t="s">
        <v>32</v>
      </c>
      <c r="P99" s="215" t="s">
        <v>32</v>
      </c>
      <c r="Q99" s="215" t="s">
        <v>32</v>
      </c>
      <c r="R99" s="198"/>
      <c r="S99" s="198"/>
      <c r="T99" s="198"/>
      <c r="U99" s="198"/>
    </row>
    <row r="100" spans="1:33" s="12" customFormat="1" x14ac:dyDescent="0.25">
      <c r="A100" s="214" t="s">
        <v>337</v>
      </c>
      <c r="B100" s="216" t="s">
        <v>49</v>
      </c>
      <c r="C100" s="216" t="s">
        <v>49</v>
      </c>
      <c r="D100" s="216" t="s">
        <v>49</v>
      </c>
      <c r="E100" s="7" t="s">
        <v>49</v>
      </c>
      <c r="F100" s="64">
        <v>6.29</v>
      </c>
      <c r="G100" s="64">
        <v>0.2</v>
      </c>
      <c r="H100" s="64">
        <v>9.76</v>
      </c>
      <c r="I100" s="64">
        <v>3.95</v>
      </c>
      <c r="J100" s="64">
        <v>1.36</v>
      </c>
      <c r="K100" s="64">
        <v>152.87</v>
      </c>
      <c r="L100" s="64">
        <v>24.47</v>
      </c>
      <c r="M100" s="64">
        <v>91.26</v>
      </c>
      <c r="N100" s="64">
        <v>45.1</v>
      </c>
      <c r="O100" s="64">
        <v>0</v>
      </c>
      <c r="P100" s="64">
        <v>0.13</v>
      </c>
      <c r="Q100" s="216" t="s">
        <v>49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338</v>
      </c>
      <c r="B101" s="216" t="s">
        <v>49</v>
      </c>
      <c r="C101" s="216" t="s">
        <v>49</v>
      </c>
      <c r="D101" s="216" t="s">
        <v>49</v>
      </c>
      <c r="E101" s="64">
        <v>2.1800000000000002</v>
      </c>
      <c r="F101" s="64">
        <v>8.5299999999999994</v>
      </c>
      <c r="G101" s="64">
        <v>0</v>
      </c>
      <c r="H101" s="64">
        <v>8.74</v>
      </c>
      <c r="I101" s="64">
        <v>3.99</v>
      </c>
      <c r="J101" s="64">
        <v>1.1399999999999999</v>
      </c>
      <c r="K101" s="64">
        <v>233.56</v>
      </c>
      <c r="L101" s="64">
        <v>0.94</v>
      </c>
      <c r="M101" s="64">
        <v>92.7</v>
      </c>
      <c r="N101" s="64">
        <v>45.3</v>
      </c>
      <c r="O101" s="64">
        <v>0</v>
      </c>
      <c r="P101" s="64">
        <v>7.0000000000000007E-2</v>
      </c>
      <c r="Q101" s="216" t="s">
        <v>49</v>
      </c>
      <c r="R101" s="198"/>
      <c r="S101" s="198"/>
      <c r="T101" s="198"/>
      <c r="U101" s="198"/>
    </row>
    <row r="102" spans="1:33" s="12" customFormat="1" x14ac:dyDescent="0.25">
      <c r="A102" s="214" t="s">
        <v>339</v>
      </c>
      <c r="B102" s="216" t="s">
        <v>49</v>
      </c>
      <c r="C102" s="216" t="s">
        <v>49</v>
      </c>
      <c r="D102" s="216" t="s">
        <v>49</v>
      </c>
      <c r="E102" s="7" t="s">
        <v>49</v>
      </c>
      <c r="F102" s="64">
        <v>56.07</v>
      </c>
      <c r="G102" s="64">
        <v>0.04</v>
      </c>
      <c r="H102" s="64">
        <v>8.74</v>
      </c>
      <c r="I102" s="64">
        <v>4.1900000000000004</v>
      </c>
      <c r="J102" s="64">
        <v>0.95</v>
      </c>
      <c r="K102" s="64">
        <v>232.19</v>
      </c>
      <c r="L102" s="64">
        <v>24.1</v>
      </c>
      <c r="M102" s="64">
        <v>94</v>
      </c>
      <c r="N102" s="64">
        <v>45.3</v>
      </c>
      <c r="O102" s="64">
        <v>0</v>
      </c>
      <c r="P102" s="64">
        <v>0.18</v>
      </c>
      <c r="Q102" s="216" t="s">
        <v>49</v>
      </c>
      <c r="R102" s="198"/>
      <c r="S102" s="198"/>
      <c r="T102" s="198"/>
      <c r="U102" s="198"/>
    </row>
    <row r="103" spans="1:33" s="12" customFormat="1" x14ac:dyDescent="0.25">
      <c r="A103" s="214" t="s">
        <v>340</v>
      </c>
      <c r="B103" s="64">
        <v>3.23</v>
      </c>
      <c r="C103" s="64">
        <v>15.23</v>
      </c>
      <c r="D103" s="64">
        <v>24.2</v>
      </c>
      <c r="E103" s="64">
        <v>1.88</v>
      </c>
      <c r="F103" s="64">
        <v>5.55</v>
      </c>
      <c r="G103" s="64">
        <v>0.04</v>
      </c>
      <c r="H103" s="64">
        <v>8.74</v>
      </c>
      <c r="I103" s="64">
        <v>3.9</v>
      </c>
      <c r="J103" s="64">
        <v>0.77</v>
      </c>
      <c r="K103" s="64">
        <v>224.93</v>
      </c>
      <c r="L103" s="64">
        <v>23.99</v>
      </c>
      <c r="M103" s="64">
        <v>94.43</v>
      </c>
      <c r="N103" s="64">
        <v>45.2</v>
      </c>
      <c r="O103" s="64">
        <v>0</v>
      </c>
      <c r="P103" s="64">
        <v>0.21</v>
      </c>
      <c r="Q103" s="64">
        <v>8.24</v>
      </c>
      <c r="R103" s="198"/>
      <c r="S103" s="198"/>
      <c r="T103" s="198"/>
      <c r="U103" s="198"/>
    </row>
    <row r="104" spans="1:33" s="12" customFormat="1" x14ac:dyDescent="0.25">
      <c r="A104" s="214" t="s">
        <v>341</v>
      </c>
      <c r="B104" s="64">
        <v>4.53</v>
      </c>
      <c r="C104" s="64">
        <v>23.55</v>
      </c>
      <c r="D104" s="64">
        <v>38.11</v>
      </c>
      <c r="E104" s="64">
        <v>1.2</v>
      </c>
      <c r="F104" s="64">
        <v>6.19</v>
      </c>
      <c r="G104" s="64">
        <v>18.04</v>
      </c>
      <c r="H104" s="64">
        <v>6.7</v>
      </c>
      <c r="I104" s="64">
        <v>4</v>
      </c>
      <c r="J104" s="64">
        <v>1.0900000000000001</v>
      </c>
      <c r="K104" s="64">
        <v>229.45</v>
      </c>
      <c r="L104" s="64">
        <v>23.98</v>
      </c>
      <c r="M104" s="64">
        <v>94.45</v>
      </c>
      <c r="N104" s="64">
        <v>45.1</v>
      </c>
      <c r="O104" s="64">
        <v>0</v>
      </c>
      <c r="P104" s="64">
        <v>0.18</v>
      </c>
      <c r="Q104" s="64">
        <v>9.65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1.95</v>
      </c>
      <c r="C106" s="67">
        <f>MIN(C9:C104)</f>
        <v>15.23</v>
      </c>
      <c r="D106" s="67">
        <f t="shared" ref="D106:Q106" si="0">MIN(D9:D104)</f>
        <v>24.2</v>
      </c>
      <c r="E106" s="67">
        <f t="shared" si="0"/>
        <v>1.2</v>
      </c>
      <c r="F106" s="67">
        <f t="shared" si="0"/>
        <v>5.55</v>
      </c>
      <c r="G106" s="67">
        <f t="shared" si="0"/>
        <v>0</v>
      </c>
      <c r="H106" s="67">
        <f t="shared" si="0"/>
        <v>4.41</v>
      </c>
      <c r="I106" s="67">
        <f t="shared" si="0"/>
        <v>3.82</v>
      </c>
      <c r="J106" s="67">
        <f t="shared" si="0"/>
        <v>0.22</v>
      </c>
      <c r="K106" s="67">
        <f t="shared" si="0"/>
        <v>3.82</v>
      </c>
      <c r="L106" s="67">
        <f t="shared" si="0"/>
        <v>0.94</v>
      </c>
      <c r="M106" s="67">
        <f t="shared" si="0"/>
        <v>32.39</v>
      </c>
      <c r="N106" s="67">
        <f t="shared" si="0"/>
        <v>44.5</v>
      </c>
      <c r="O106" s="67">
        <f t="shared" si="0"/>
        <v>0</v>
      </c>
      <c r="P106" s="67">
        <f t="shared" si="0"/>
        <v>7.0000000000000007E-2</v>
      </c>
      <c r="Q106" s="67">
        <f t="shared" si="0"/>
        <v>8.24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22.55</v>
      </c>
      <c r="C107" s="66">
        <f t="shared" ref="C107:Q107" si="1">MAX(C9:C104)</f>
        <v>41.35</v>
      </c>
      <c r="D107" s="66">
        <f t="shared" si="1"/>
        <v>59.84</v>
      </c>
      <c r="E107" s="66">
        <f t="shared" si="1"/>
        <v>4.5999999999999996</v>
      </c>
      <c r="F107" s="66">
        <f t="shared" si="1"/>
        <v>56.07</v>
      </c>
      <c r="G107" s="66">
        <f t="shared" si="1"/>
        <v>535.11</v>
      </c>
      <c r="H107" s="66">
        <f t="shared" si="1"/>
        <v>12.73</v>
      </c>
      <c r="I107" s="66">
        <f t="shared" si="1"/>
        <v>4.24</v>
      </c>
      <c r="J107" s="66">
        <f t="shared" si="1"/>
        <v>8.0399999999999991</v>
      </c>
      <c r="K107" s="66">
        <f t="shared" si="1"/>
        <v>355.01</v>
      </c>
      <c r="L107" s="66">
        <f t="shared" si="1"/>
        <v>41.57</v>
      </c>
      <c r="M107" s="66">
        <f t="shared" si="1"/>
        <v>101.87</v>
      </c>
      <c r="N107" s="66">
        <f t="shared" si="1"/>
        <v>980.5</v>
      </c>
      <c r="O107" s="66">
        <f t="shared" si="1"/>
        <v>0.4</v>
      </c>
      <c r="P107" s="66">
        <f t="shared" si="1"/>
        <v>0.53</v>
      </c>
      <c r="Q107" s="66">
        <f t="shared" si="1"/>
        <v>9.65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6.0125974025974029</v>
      </c>
      <c r="C108" s="67">
        <f t="shared" ref="C108:Q108" si="2">AVERAGE(C9:C104)</f>
        <v>25.00740259740261</v>
      </c>
      <c r="D108" s="67">
        <f t="shared" si="2"/>
        <v>38.635844155844161</v>
      </c>
      <c r="E108" s="67">
        <f t="shared" si="2"/>
        <v>3.0810256410256405</v>
      </c>
      <c r="F108" s="67">
        <f t="shared" si="2"/>
        <v>12.424499999999998</v>
      </c>
      <c r="G108" s="67">
        <f t="shared" si="2"/>
        <v>47.978874999999988</v>
      </c>
      <c r="H108" s="67">
        <f t="shared" si="2"/>
        <v>7.5668750000000049</v>
      </c>
      <c r="I108" s="67">
        <f t="shared" si="2"/>
        <v>4.008375</v>
      </c>
      <c r="J108" s="67">
        <f t="shared" si="2"/>
        <v>1.8748749999999998</v>
      </c>
      <c r="K108" s="67">
        <f t="shared" si="2"/>
        <v>171.92350000000005</v>
      </c>
      <c r="L108" s="67">
        <f t="shared" si="2"/>
        <v>31.021499999999993</v>
      </c>
      <c r="M108" s="67">
        <f t="shared" si="2"/>
        <v>60.757124999999995</v>
      </c>
      <c r="N108" s="67">
        <f t="shared" si="2"/>
        <v>363.65624999999994</v>
      </c>
      <c r="O108" s="67">
        <f t="shared" si="2"/>
        <v>0.02</v>
      </c>
      <c r="P108" s="67">
        <f t="shared" si="2"/>
        <v>0.332625</v>
      </c>
      <c r="Q108" s="67">
        <f t="shared" si="2"/>
        <v>9.4266233766233789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4.1085169569788347</v>
      </c>
      <c r="C109" s="67">
        <f t="shared" ref="C109:Q109" si="3">STDEV(C9:C104)</f>
        <v>5.5178515085123969</v>
      </c>
      <c r="D109" s="67">
        <f t="shared" si="3"/>
        <v>5.820009348574767</v>
      </c>
      <c r="E109" s="67">
        <f t="shared" si="3"/>
        <v>0.74405625702611911</v>
      </c>
      <c r="F109" s="67">
        <f t="shared" si="3"/>
        <v>7.6904319807558865</v>
      </c>
      <c r="G109" s="67">
        <f t="shared" si="3"/>
        <v>107.25543279142236</v>
      </c>
      <c r="H109" s="67">
        <f t="shared" si="3"/>
        <v>2.2322751031348873</v>
      </c>
      <c r="I109" s="67">
        <f t="shared" si="3"/>
        <v>0.1005484170796099</v>
      </c>
      <c r="J109" s="67">
        <f t="shared" si="3"/>
        <v>1.2577768147898036</v>
      </c>
      <c r="K109" s="67">
        <f t="shared" si="3"/>
        <v>84.592899829234938</v>
      </c>
      <c r="L109" s="67">
        <f t="shared" si="3"/>
        <v>6.7984827235032572</v>
      </c>
      <c r="M109" s="67">
        <f t="shared" si="3"/>
        <v>20.500718924951702</v>
      </c>
      <c r="N109" s="67">
        <f t="shared" si="3"/>
        <v>337.35506624317469</v>
      </c>
      <c r="O109" s="67">
        <f t="shared" si="3"/>
        <v>8.1752946759107534E-2</v>
      </c>
      <c r="P109" s="67">
        <f t="shared" si="3"/>
        <v>6.4390889952389341E-2</v>
      </c>
      <c r="Q109" s="67">
        <f t="shared" si="3"/>
        <v>0.17512860229294341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COUNT(B9:B104)+19</f>
        <v>96</v>
      </c>
      <c r="C110" s="66">
        <f t="shared" ref="C110:D110" si="4">COUNT(C9:C104)+19</f>
        <v>96</v>
      </c>
      <c r="D110" s="66">
        <f t="shared" si="4"/>
        <v>96</v>
      </c>
      <c r="E110" s="66">
        <f>COUNT(E9:E104)+18</f>
        <v>96</v>
      </c>
      <c r="F110" s="66">
        <f>COUNT(F9:F104)+16</f>
        <v>96</v>
      </c>
      <c r="G110" s="66">
        <f t="shared" ref="G110:H110" si="5">COUNT(G9:G104)+16</f>
        <v>96</v>
      </c>
      <c r="H110" s="66">
        <f t="shared" si="5"/>
        <v>96</v>
      </c>
      <c r="I110" s="66">
        <f>COUNT(I9:I104)+16</f>
        <v>96</v>
      </c>
      <c r="J110" s="66">
        <f t="shared" ref="J110:P110" si="6">COUNT(J9:J104)+16</f>
        <v>96</v>
      </c>
      <c r="K110" s="66">
        <f t="shared" si="6"/>
        <v>96</v>
      </c>
      <c r="L110" s="66">
        <f t="shared" si="6"/>
        <v>96</v>
      </c>
      <c r="M110" s="66">
        <f t="shared" si="6"/>
        <v>96</v>
      </c>
      <c r="N110" s="66">
        <f t="shared" si="6"/>
        <v>96</v>
      </c>
      <c r="O110" s="66">
        <f t="shared" si="6"/>
        <v>96</v>
      </c>
      <c r="P110" s="66">
        <f t="shared" si="6"/>
        <v>96</v>
      </c>
      <c r="Q110" s="66">
        <f>COUNT(Q9:Q104)+19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7">IF(C110&gt;=87,"&gt;90%",IF(C110&lt;=87,"&lt;90%"))</f>
        <v>&gt;90%</v>
      </c>
      <c r="D111" s="13" t="str">
        <f t="shared" si="7"/>
        <v>&gt;90%</v>
      </c>
      <c r="E111" s="13" t="str">
        <f t="shared" si="7"/>
        <v>&gt;90%</v>
      </c>
      <c r="F111" s="13" t="str">
        <f t="shared" si="7"/>
        <v>&gt;90%</v>
      </c>
      <c r="G111" s="13" t="str">
        <f t="shared" si="7"/>
        <v>&gt;90%</v>
      </c>
      <c r="H111" s="13" t="str">
        <f t="shared" si="7"/>
        <v>&gt;90%</v>
      </c>
      <c r="I111" s="13" t="str">
        <f t="shared" si="7"/>
        <v>&gt;90%</v>
      </c>
      <c r="J111" s="13" t="str">
        <f t="shared" si="7"/>
        <v>&gt;90%</v>
      </c>
      <c r="K111" s="13" t="str">
        <f t="shared" si="7"/>
        <v>&gt;90%</v>
      </c>
      <c r="L111" s="13" t="str">
        <f t="shared" si="7"/>
        <v>&gt;90%</v>
      </c>
      <c r="M111" s="13" t="str">
        <f t="shared" si="7"/>
        <v>&gt;90%</v>
      </c>
      <c r="N111" s="13" t="str">
        <f t="shared" si="7"/>
        <v>&gt;90%</v>
      </c>
      <c r="O111" s="13" t="str">
        <f t="shared" si="7"/>
        <v>&gt;90%</v>
      </c>
      <c r="P111" s="13" t="str">
        <f t="shared" si="7"/>
        <v>&gt;90%</v>
      </c>
      <c r="Q111" s="13" t="str">
        <f t="shared" si="7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8">IF(C110&gt;=87,"OK",IF(C110&lt;=87,"LESS"))</f>
        <v>OK</v>
      </c>
      <c r="D112" s="13" t="str">
        <f t="shared" si="8"/>
        <v>OK</v>
      </c>
      <c r="E112" s="13" t="str">
        <f t="shared" si="8"/>
        <v>OK</v>
      </c>
      <c r="F112" s="13" t="str">
        <f t="shared" si="8"/>
        <v>OK</v>
      </c>
      <c r="G112" s="13" t="str">
        <f t="shared" si="8"/>
        <v>OK</v>
      </c>
      <c r="H112" s="13" t="str">
        <f t="shared" si="8"/>
        <v>OK</v>
      </c>
      <c r="I112" s="13" t="str">
        <f t="shared" si="8"/>
        <v>OK</v>
      </c>
      <c r="J112" s="13" t="str">
        <f t="shared" si="8"/>
        <v>OK</v>
      </c>
      <c r="K112" s="13" t="str">
        <f t="shared" si="8"/>
        <v>OK</v>
      </c>
      <c r="L112" s="13" t="str">
        <f t="shared" si="8"/>
        <v>OK</v>
      </c>
      <c r="M112" s="13" t="str">
        <f t="shared" si="8"/>
        <v>OK</v>
      </c>
      <c r="N112" s="13" t="str">
        <f t="shared" si="8"/>
        <v>OK</v>
      </c>
      <c r="O112" s="13" t="str">
        <f t="shared" si="8"/>
        <v>OK</v>
      </c>
      <c r="P112" s="13" t="str">
        <f t="shared" si="8"/>
        <v>OK</v>
      </c>
      <c r="Q112" s="13" t="str">
        <f t="shared" si="8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E111" sqref="E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342</v>
      </c>
      <c r="B9" s="64">
        <v>4.6100000000000003</v>
      </c>
      <c r="C9" s="64">
        <v>24.37</v>
      </c>
      <c r="D9" s="64">
        <v>39.56</v>
      </c>
      <c r="E9" s="212" t="s">
        <v>42</v>
      </c>
      <c r="F9" s="64">
        <v>5.59</v>
      </c>
      <c r="G9" s="64">
        <v>22.92</v>
      </c>
      <c r="H9" s="64">
        <v>6.12</v>
      </c>
      <c r="I9" s="64">
        <v>4.01</v>
      </c>
      <c r="J9" s="64">
        <v>0.74</v>
      </c>
      <c r="K9" s="64">
        <v>274.83</v>
      </c>
      <c r="L9" s="64">
        <v>23.78</v>
      </c>
      <c r="M9" s="64">
        <v>96.32</v>
      </c>
      <c r="N9" s="64">
        <v>45.2</v>
      </c>
      <c r="O9" s="64">
        <v>0</v>
      </c>
      <c r="P9" s="64">
        <v>0.15</v>
      </c>
      <c r="Q9" s="64">
        <v>9.67</v>
      </c>
      <c r="R9" s="198"/>
      <c r="S9" s="198"/>
      <c r="T9" s="198"/>
      <c r="U9" s="198"/>
    </row>
    <row r="10" spans="1:21" s="12" customFormat="1" x14ac:dyDescent="0.25">
      <c r="A10" s="214" t="s">
        <v>343</v>
      </c>
      <c r="B10" s="64">
        <v>4.83</v>
      </c>
      <c r="C10" s="64">
        <v>23.98</v>
      </c>
      <c r="D10" s="64">
        <v>38.479999999999997</v>
      </c>
      <c r="E10" s="212" t="s">
        <v>42</v>
      </c>
      <c r="F10" s="64">
        <v>5.38</v>
      </c>
      <c r="G10" s="64">
        <v>22.92</v>
      </c>
      <c r="H10" s="64">
        <v>6.12</v>
      </c>
      <c r="I10" s="64">
        <v>3.99</v>
      </c>
      <c r="J10" s="64">
        <v>0.61</v>
      </c>
      <c r="K10" s="64">
        <v>250.1</v>
      </c>
      <c r="L10" s="64">
        <v>23.58</v>
      </c>
      <c r="M10" s="64">
        <v>98.42</v>
      </c>
      <c r="N10" s="64">
        <v>45.4</v>
      </c>
      <c r="O10" s="64">
        <v>0</v>
      </c>
      <c r="P10" s="64">
        <v>0.15</v>
      </c>
      <c r="Q10" s="64">
        <v>9.6300000000000008</v>
      </c>
      <c r="R10" s="198"/>
      <c r="S10" s="198"/>
      <c r="T10" s="198"/>
      <c r="U10" s="198"/>
    </row>
    <row r="11" spans="1:21" s="12" customFormat="1" x14ac:dyDescent="0.25">
      <c r="A11" s="214" t="s">
        <v>344</v>
      </c>
      <c r="B11" s="64">
        <v>5.3</v>
      </c>
      <c r="C11" s="64">
        <v>23.47</v>
      </c>
      <c r="D11" s="64">
        <v>36.799999999999997</v>
      </c>
      <c r="E11" s="212" t="s">
        <v>42</v>
      </c>
      <c r="F11" s="64">
        <v>5.71</v>
      </c>
      <c r="G11" s="64">
        <v>22.92</v>
      </c>
      <c r="H11" s="64">
        <v>6.12</v>
      </c>
      <c r="I11" s="64">
        <v>3.98</v>
      </c>
      <c r="J11" s="64">
        <v>0.18</v>
      </c>
      <c r="K11" s="64">
        <v>291.83999999999997</v>
      </c>
      <c r="L11" s="64">
        <v>23.57</v>
      </c>
      <c r="M11" s="64">
        <v>98.14</v>
      </c>
      <c r="N11" s="64">
        <v>45.1</v>
      </c>
      <c r="O11" s="64">
        <v>0</v>
      </c>
      <c r="P11" s="64">
        <v>0.15</v>
      </c>
      <c r="Q11" s="64">
        <v>9.64</v>
      </c>
      <c r="R11" s="198"/>
      <c r="S11" s="198"/>
      <c r="T11" s="198"/>
      <c r="U11" s="198"/>
    </row>
    <row r="12" spans="1:21" s="12" customFormat="1" x14ac:dyDescent="0.25">
      <c r="A12" s="214" t="s">
        <v>345</v>
      </c>
      <c r="B12" s="64">
        <v>5.58</v>
      </c>
      <c r="C12" s="64">
        <v>24.28</v>
      </c>
      <c r="D12" s="64">
        <v>37.92</v>
      </c>
      <c r="E12" s="212" t="s">
        <v>42</v>
      </c>
      <c r="F12" s="64">
        <v>5.21</v>
      </c>
      <c r="G12" s="64">
        <v>29.24</v>
      </c>
      <c r="H12" s="64">
        <v>4.93</v>
      </c>
      <c r="I12" s="64">
        <v>4.01</v>
      </c>
      <c r="J12" s="64">
        <v>0.42</v>
      </c>
      <c r="K12" s="64">
        <v>325.20999999999998</v>
      </c>
      <c r="L12" s="64">
        <v>23.55</v>
      </c>
      <c r="M12" s="64">
        <v>98.35</v>
      </c>
      <c r="N12" s="64">
        <v>45.1</v>
      </c>
      <c r="O12" s="64">
        <v>0</v>
      </c>
      <c r="P12" s="64">
        <v>0.13</v>
      </c>
      <c r="Q12" s="64">
        <v>9.6300000000000008</v>
      </c>
      <c r="R12" s="198"/>
      <c r="S12" s="198"/>
      <c r="T12" s="198"/>
      <c r="U12" s="198"/>
    </row>
    <row r="13" spans="1:21" s="12" customFormat="1" x14ac:dyDescent="0.25">
      <c r="A13" s="214" t="s">
        <v>346</v>
      </c>
      <c r="B13" s="64">
        <v>6.09</v>
      </c>
      <c r="C13" s="64">
        <v>22.88</v>
      </c>
      <c r="D13" s="64">
        <v>34.450000000000003</v>
      </c>
      <c r="E13" s="212" t="s">
        <v>42</v>
      </c>
      <c r="F13" s="64">
        <v>6.03</v>
      </c>
      <c r="G13" s="64">
        <v>31.05</v>
      </c>
      <c r="H13" s="64">
        <v>4.59</v>
      </c>
      <c r="I13" s="64">
        <v>4.0599999999999996</v>
      </c>
      <c r="J13" s="64">
        <v>0.8</v>
      </c>
      <c r="K13" s="64">
        <v>49.93</v>
      </c>
      <c r="L13" s="64">
        <v>23.6</v>
      </c>
      <c r="M13" s="64">
        <v>97.5</v>
      </c>
      <c r="N13" s="64">
        <v>45.1</v>
      </c>
      <c r="O13" s="64">
        <v>0</v>
      </c>
      <c r="P13" s="64">
        <v>0.3</v>
      </c>
      <c r="Q13" s="64">
        <v>9.64</v>
      </c>
      <c r="R13" s="198"/>
      <c r="S13" s="198"/>
      <c r="T13" s="198"/>
      <c r="U13" s="198"/>
    </row>
    <row r="14" spans="1:21" s="12" customFormat="1" x14ac:dyDescent="0.25">
      <c r="A14" s="214" t="s">
        <v>347</v>
      </c>
      <c r="B14" s="64">
        <v>6.55</v>
      </c>
      <c r="C14" s="64">
        <v>25.07</v>
      </c>
      <c r="D14" s="64">
        <v>37.93</v>
      </c>
      <c r="E14" s="212" t="s">
        <v>42</v>
      </c>
      <c r="F14" s="64">
        <v>5.04</v>
      </c>
      <c r="G14" s="64">
        <v>31.05</v>
      </c>
      <c r="H14" s="64">
        <v>4.59</v>
      </c>
      <c r="I14" s="64">
        <v>3.85</v>
      </c>
      <c r="J14" s="64">
        <v>0.71</v>
      </c>
      <c r="K14" s="64">
        <v>23.51</v>
      </c>
      <c r="L14" s="64">
        <v>23.88</v>
      </c>
      <c r="M14" s="64">
        <v>96.47</v>
      </c>
      <c r="N14" s="64">
        <v>44.9</v>
      </c>
      <c r="O14" s="64">
        <v>0</v>
      </c>
      <c r="P14" s="64">
        <v>0.31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4" t="s">
        <v>348</v>
      </c>
      <c r="B15" s="64">
        <v>6.84</v>
      </c>
      <c r="C15" s="64">
        <v>23.9</v>
      </c>
      <c r="D15" s="64">
        <v>35.25</v>
      </c>
      <c r="E15" s="212" t="s">
        <v>42</v>
      </c>
      <c r="F15" s="64">
        <v>5.46</v>
      </c>
      <c r="G15" s="64">
        <v>31.05</v>
      </c>
      <c r="H15" s="64">
        <v>4.59</v>
      </c>
      <c r="I15" s="64">
        <v>4.13</v>
      </c>
      <c r="J15" s="64">
        <v>0.28999999999999998</v>
      </c>
      <c r="K15" s="64">
        <v>63.47</v>
      </c>
      <c r="L15" s="64">
        <v>24.19</v>
      </c>
      <c r="M15" s="64">
        <v>95.52</v>
      </c>
      <c r="N15" s="64">
        <v>45</v>
      </c>
      <c r="O15" s="64">
        <v>0</v>
      </c>
      <c r="P15" s="64">
        <v>0.33</v>
      </c>
      <c r="Q15" s="64">
        <v>9.6199999999999992</v>
      </c>
      <c r="R15" s="198"/>
      <c r="S15" s="198"/>
      <c r="T15" s="198"/>
      <c r="U15" s="198"/>
    </row>
    <row r="16" spans="1:21" s="12" customFormat="1" x14ac:dyDescent="0.25">
      <c r="A16" s="214" t="s">
        <v>349</v>
      </c>
      <c r="B16" s="64">
        <v>7.1</v>
      </c>
      <c r="C16" s="64">
        <v>25.8</v>
      </c>
      <c r="D16" s="64">
        <v>38.5</v>
      </c>
      <c r="E16" s="212" t="s">
        <v>42</v>
      </c>
      <c r="F16" s="64">
        <v>5.8</v>
      </c>
      <c r="G16" s="64">
        <v>21.14</v>
      </c>
      <c r="H16" s="64">
        <v>6.41</v>
      </c>
      <c r="I16" s="64">
        <v>4.04</v>
      </c>
      <c r="J16" s="64">
        <v>0.47</v>
      </c>
      <c r="K16" s="64">
        <v>96.26</v>
      </c>
      <c r="L16" s="64">
        <v>24.14</v>
      </c>
      <c r="M16" s="64">
        <v>95.95</v>
      </c>
      <c r="N16" s="64">
        <v>44.9</v>
      </c>
      <c r="O16" s="64">
        <v>0</v>
      </c>
      <c r="P16" s="64">
        <v>0.31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4" t="s">
        <v>350</v>
      </c>
      <c r="B17" s="64">
        <v>7.07</v>
      </c>
      <c r="C17" s="64">
        <v>25.28</v>
      </c>
      <c r="D17" s="64">
        <v>37.54</v>
      </c>
      <c r="E17" s="212" t="s">
        <v>42</v>
      </c>
      <c r="F17" s="64">
        <v>6.21</v>
      </c>
      <c r="G17" s="64">
        <v>18.309999999999999</v>
      </c>
      <c r="H17" s="64">
        <v>6.93</v>
      </c>
      <c r="I17" s="64">
        <v>3.96</v>
      </c>
      <c r="J17" s="64">
        <v>1.91</v>
      </c>
      <c r="K17" s="64">
        <v>98.16</v>
      </c>
      <c r="L17" s="64">
        <v>24.12</v>
      </c>
      <c r="M17" s="64">
        <v>96.07</v>
      </c>
      <c r="N17" s="64">
        <v>45.1</v>
      </c>
      <c r="O17" s="64">
        <v>0</v>
      </c>
      <c r="P17" s="64">
        <v>0.31</v>
      </c>
      <c r="Q17" s="64">
        <v>9.67</v>
      </c>
      <c r="R17" s="198"/>
      <c r="S17" s="198"/>
      <c r="T17" s="198"/>
      <c r="U17" s="198"/>
    </row>
    <row r="18" spans="1:21" s="12" customFormat="1" x14ac:dyDescent="0.25">
      <c r="A18" s="214" t="s">
        <v>351</v>
      </c>
      <c r="B18" s="64">
        <v>7.17</v>
      </c>
      <c r="C18" s="64">
        <v>23.99</v>
      </c>
      <c r="D18" s="64">
        <v>34.92</v>
      </c>
      <c r="E18" s="212" t="s">
        <v>42</v>
      </c>
      <c r="F18" s="64">
        <v>5.76</v>
      </c>
      <c r="G18" s="64">
        <v>18.309999999999999</v>
      </c>
      <c r="H18" s="64">
        <v>6.93</v>
      </c>
      <c r="I18" s="64">
        <v>3.89</v>
      </c>
      <c r="J18" s="64">
        <v>1.61</v>
      </c>
      <c r="K18" s="64">
        <v>96.86</v>
      </c>
      <c r="L18" s="64">
        <v>23.91</v>
      </c>
      <c r="M18" s="64">
        <v>97.23</v>
      </c>
      <c r="N18" s="64">
        <v>45.6</v>
      </c>
      <c r="O18" s="64">
        <v>0</v>
      </c>
      <c r="P18" s="64">
        <v>0.3</v>
      </c>
      <c r="Q18" s="64">
        <v>9.66</v>
      </c>
      <c r="R18" s="198"/>
      <c r="S18" s="198"/>
      <c r="T18" s="198"/>
      <c r="U18" s="198"/>
    </row>
    <row r="19" spans="1:21" s="12" customFormat="1" x14ac:dyDescent="0.25">
      <c r="A19" s="214" t="s">
        <v>352</v>
      </c>
      <c r="B19" s="64">
        <v>7.18</v>
      </c>
      <c r="C19" s="64">
        <v>23.13</v>
      </c>
      <c r="D19" s="64">
        <v>33.25</v>
      </c>
      <c r="E19" s="212" t="s">
        <v>42</v>
      </c>
      <c r="F19" s="64">
        <v>5.87</v>
      </c>
      <c r="G19" s="64">
        <v>18.309999999999999</v>
      </c>
      <c r="H19" s="64">
        <v>6.93</v>
      </c>
      <c r="I19" s="64">
        <v>3.98</v>
      </c>
      <c r="J19" s="64">
        <v>1.17</v>
      </c>
      <c r="K19" s="64">
        <v>109.42</v>
      </c>
      <c r="L19" s="64">
        <v>23.84</v>
      </c>
      <c r="M19" s="64">
        <v>97.03</v>
      </c>
      <c r="N19" s="64">
        <v>45.4</v>
      </c>
      <c r="O19" s="64">
        <v>0</v>
      </c>
      <c r="P19" s="64">
        <v>0.3</v>
      </c>
      <c r="Q19" s="64">
        <v>9.64</v>
      </c>
      <c r="R19" s="198"/>
      <c r="S19" s="198"/>
      <c r="T19" s="198"/>
      <c r="U19" s="198"/>
    </row>
    <row r="20" spans="1:21" s="12" customFormat="1" x14ac:dyDescent="0.25">
      <c r="A20" s="214" t="s">
        <v>353</v>
      </c>
      <c r="B20" s="64">
        <v>6.7</v>
      </c>
      <c r="C20" s="64">
        <v>22.49</v>
      </c>
      <c r="D20" s="64">
        <v>32.770000000000003</v>
      </c>
      <c r="E20" s="212" t="s">
        <v>42</v>
      </c>
      <c r="F20" s="64">
        <v>6.18</v>
      </c>
      <c r="G20" s="64">
        <v>14.53</v>
      </c>
      <c r="H20" s="64">
        <v>5.66</v>
      </c>
      <c r="I20" s="64">
        <v>4.04</v>
      </c>
      <c r="J20" s="64">
        <v>0.7</v>
      </c>
      <c r="K20" s="64">
        <v>95.83</v>
      </c>
      <c r="L20" s="64">
        <v>23.8</v>
      </c>
      <c r="M20" s="64">
        <v>97.19</v>
      </c>
      <c r="N20" s="64">
        <v>45.6</v>
      </c>
      <c r="O20" s="64">
        <v>0</v>
      </c>
      <c r="P20" s="64">
        <v>0.28999999999999998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4" t="s">
        <v>354</v>
      </c>
      <c r="B21" s="64">
        <v>7.27</v>
      </c>
      <c r="C21" s="64">
        <v>22.91</v>
      </c>
      <c r="D21" s="64">
        <v>32.69</v>
      </c>
      <c r="E21" s="212" t="s">
        <v>42</v>
      </c>
      <c r="F21" s="64">
        <v>5.94</v>
      </c>
      <c r="G21" s="64">
        <v>13.44</v>
      </c>
      <c r="H21" s="64">
        <v>5.3</v>
      </c>
      <c r="I21" s="64">
        <v>4.03</v>
      </c>
      <c r="J21" s="64">
        <v>1.33</v>
      </c>
      <c r="K21" s="64">
        <v>91.86</v>
      </c>
      <c r="L21" s="64">
        <v>23.73</v>
      </c>
      <c r="M21" s="64">
        <v>96.61</v>
      </c>
      <c r="N21" s="64">
        <v>45.3</v>
      </c>
      <c r="O21" s="64">
        <v>0</v>
      </c>
      <c r="P21" s="64">
        <v>0.28999999999999998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4" t="s">
        <v>355</v>
      </c>
      <c r="B22" s="64">
        <v>7.7</v>
      </c>
      <c r="C22" s="64">
        <v>23.1</v>
      </c>
      <c r="D22" s="64">
        <v>32.39</v>
      </c>
      <c r="E22" s="212" t="s">
        <v>42</v>
      </c>
      <c r="F22" s="64">
        <v>5.45</v>
      </c>
      <c r="G22" s="64">
        <v>13.44</v>
      </c>
      <c r="H22" s="64">
        <v>5.3</v>
      </c>
      <c r="I22" s="64">
        <v>4.01</v>
      </c>
      <c r="J22" s="64">
        <v>1.04</v>
      </c>
      <c r="K22" s="64">
        <v>97.05</v>
      </c>
      <c r="L22" s="64">
        <v>23.65</v>
      </c>
      <c r="M22" s="64">
        <v>96.27</v>
      </c>
      <c r="N22" s="64">
        <v>45.4</v>
      </c>
      <c r="O22" s="64">
        <v>0</v>
      </c>
      <c r="P22" s="64">
        <v>0.28999999999999998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4" t="s">
        <v>356</v>
      </c>
      <c r="B23" s="64">
        <v>7.78</v>
      </c>
      <c r="C23" s="64">
        <v>23.22</v>
      </c>
      <c r="D23" s="64">
        <v>32.5</v>
      </c>
      <c r="E23" s="212" t="s">
        <v>42</v>
      </c>
      <c r="F23" s="64">
        <v>5.69</v>
      </c>
      <c r="G23" s="64">
        <v>13.44</v>
      </c>
      <c r="H23" s="64">
        <v>5.3</v>
      </c>
      <c r="I23" s="64">
        <v>3.92</v>
      </c>
      <c r="J23" s="64">
        <v>0.51</v>
      </c>
      <c r="K23" s="64">
        <v>101.06</v>
      </c>
      <c r="L23" s="64">
        <v>23.6</v>
      </c>
      <c r="M23" s="64">
        <v>95.6</v>
      </c>
      <c r="N23" s="64">
        <v>45.5</v>
      </c>
      <c r="O23" s="64">
        <v>0</v>
      </c>
      <c r="P23" s="64">
        <v>0.28000000000000003</v>
      </c>
      <c r="Q23" s="64">
        <v>9.6300000000000008</v>
      </c>
      <c r="R23" s="198"/>
      <c r="S23" s="198"/>
      <c r="T23" s="198"/>
      <c r="U23" s="198"/>
    </row>
    <row r="24" spans="1:21" s="12" customFormat="1" x14ac:dyDescent="0.25">
      <c r="A24" s="214" t="s">
        <v>357</v>
      </c>
      <c r="B24" s="64">
        <v>7.92</v>
      </c>
      <c r="C24" s="64">
        <v>23.56</v>
      </c>
      <c r="D24" s="64">
        <v>32.93</v>
      </c>
      <c r="E24" s="212" t="s">
        <v>42</v>
      </c>
      <c r="F24" s="64">
        <v>5.7</v>
      </c>
      <c r="G24" s="64">
        <v>19.059999999999999</v>
      </c>
      <c r="H24" s="64">
        <v>5.55</v>
      </c>
      <c r="I24" s="64">
        <v>3.93</v>
      </c>
      <c r="J24" s="64">
        <v>1.0900000000000001</v>
      </c>
      <c r="K24" s="64">
        <v>96.38</v>
      </c>
      <c r="L24" s="64">
        <v>23.54</v>
      </c>
      <c r="M24" s="64">
        <v>95.28</v>
      </c>
      <c r="N24" s="64">
        <v>45.4</v>
      </c>
      <c r="O24" s="64">
        <v>0</v>
      </c>
      <c r="P24" s="64">
        <v>0.28000000000000003</v>
      </c>
      <c r="Q24" s="64">
        <v>9.6300000000000008</v>
      </c>
      <c r="R24" s="198"/>
      <c r="S24" s="198"/>
      <c r="T24" s="198"/>
      <c r="U24" s="198"/>
    </row>
    <row r="25" spans="1:21" s="12" customFormat="1" x14ac:dyDescent="0.25">
      <c r="A25" s="214" t="s">
        <v>358</v>
      </c>
      <c r="B25" s="64">
        <v>8.24</v>
      </c>
      <c r="C25" s="64">
        <v>25.82</v>
      </c>
      <c r="D25" s="64">
        <v>36.770000000000003</v>
      </c>
      <c r="E25" s="212" t="s">
        <v>42</v>
      </c>
      <c r="F25" s="64">
        <v>5.63</v>
      </c>
      <c r="G25" s="64">
        <v>20.66</v>
      </c>
      <c r="H25" s="64">
        <v>5.62</v>
      </c>
      <c r="I25" s="64">
        <v>3.9</v>
      </c>
      <c r="J25" s="64">
        <v>1.36</v>
      </c>
      <c r="K25" s="64">
        <v>105.58</v>
      </c>
      <c r="L25" s="64">
        <v>23.59</v>
      </c>
      <c r="M25" s="64">
        <v>94.55</v>
      </c>
      <c r="N25" s="64">
        <v>45.2</v>
      </c>
      <c r="O25" s="64">
        <v>0</v>
      </c>
      <c r="P25" s="64">
        <v>0.28000000000000003</v>
      </c>
      <c r="Q25" s="64">
        <v>9.58</v>
      </c>
      <c r="R25" s="198"/>
      <c r="S25" s="198"/>
      <c r="T25" s="198"/>
      <c r="U25" s="198"/>
    </row>
    <row r="26" spans="1:21" s="12" customFormat="1" x14ac:dyDescent="0.25">
      <c r="A26" s="214" t="s">
        <v>359</v>
      </c>
      <c r="B26" s="64">
        <v>8.41</v>
      </c>
      <c r="C26" s="64">
        <v>28.12</v>
      </c>
      <c r="D26" s="64">
        <v>40.92</v>
      </c>
      <c r="E26" s="212" t="s">
        <v>42</v>
      </c>
      <c r="F26" s="64">
        <v>5.34</v>
      </c>
      <c r="G26" s="64">
        <v>20.66</v>
      </c>
      <c r="H26" s="64">
        <v>5.62</v>
      </c>
      <c r="I26" s="64">
        <v>3.88</v>
      </c>
      <c r="J26" s="64">
        <v>0.28000000000000003</v>
      </c>
      <c r="K26" s="64">
        <v>55.65</v>
      </c>
      <c r="L26" s="64">
        <v>23.63</v>
      </c>
      <c r="M26" s="64">
        <v>94.52</v>
      </c>
      <c r="N26" s="64">
        <v>45.5</v>
      </c>
      <c r="O26" s="64">
        <v>0</v>
      </c>
      <c r="P26" s="64">
        <v>0.28000000000000003</v>
      </c>
      <c r="Q26" s="64">
        <v>9.6</v>
      </c>
      <c r="R26" s="198"/>
      <c r="S26" s="198"/>
      <c r="T26" s="198"/>
      <c r="U26" s="198"/>
    </row>
    <row r="27" spans="1:21" s="12" customFormat="1" x14ac:dyDescent="0.25">
      <c r="A27" s="214" t="s">
        <v>360</v>
      </c>
      <c r="B27" s="64">
        <v>8.39</v>
      </c>
      <c r="C27" s="64">
        <v>26.58</v>
      </c>
      <c r="D27" s="64">
        <v>37.99</v>
      </c>
      <c r="E27" s="212" t="s">
        <v>42</v>
      </c>
      <c r="F27" s="64">
        <v>5.15</v>
      </c>
      <c r="G27" s="64">
        <v>20.66</v>
      </c>
      <c r="H27" s="64">
        <v>5.62</v>
      </c>
      <c r="I27" s="64">
        <v>3.98</v>
      </c>
      <c r="J27" s="64">
        <v>0.37</v>
      </c>
      <c r="K27" s="64">
        <v>56.11</v>
      </c>
      <c r="L27" s="64">
        <v>23.5</v>
      </c>
      <c r="M27" s="64">
        <v>94.56</v>
      </c>
      <c r="N27" s="64">
        <v>45.5</v>
      </c>
      <c r="O27" s="64">
        <v>0</v>
      </c>
      <c r="P27" s="64">
        <v>0.28000000000000003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4" t="s">
        <v>361</v>
      </c>
      <c r="B28" s="64">
        <v>8.74</v>
      </c>
      <c r="C28" s="64">
        <v>26.74</v>
      </c>
      <c r="D28" s="64">
        <v>37.76</v>
      </c>
      <c r="E28" s="212" t="s">
        <v>42</v>
      </c>
      <c r="F28" s="64">
        <v>5.44</v>
      </c>
      <c r="G28" s="64">
        <v>17.39</v>
      </c>
      <c r="H28" s="64">
        <v>4.74</v>
      </c>
      <c r="I28" s="64">
        <v>3.91</v>
      </c>
      <c r="J28" s="64">
        <v>0.33</v>
      </c>
      <c r="K28" s="64">
        <v>43.89</v>
      </c>
      <c r="L28" s="64">
        <v>23.42</v>
      </c>
      <c r="M28" s="64">
        <v>96.77</v>
      </c>
      <c r="N28" s="64">
        <v>45.4</v>
      </c>
      <c r="O28" s="64">
        <v>0</v>
      </c>
      <c r="P28" s="64">
        <v>0.28000000000000003</v>
      </c>
      <c r="Q28" s="64">
        <v>9.6300000000000008</v>
      </c>
      <c r="R28" s="198"/>
      <c r="S28" s="198"/>
      <c r="T28" s="198"/>
      <c r="U28" s="198"/>
    </row>
    <row r="29" spans="1:21" s="12" customFormat="1" x14ac:dyDescent="0.25">
      <c r="A29" s="214" t="s">
        <v>362</v>
      </c>
      <c r="B29" s="64">
        <v>9.3699999999999992</v>
      </c>
      <c r="C29" s="64">
        <v>27.32</v>
      </c>
      <c r="D29" s="64">
        <v>37.909999999999997</v>
      </c>
      <c r="E29" s="212" t="s">
        <v>42</v>
      </c>
      <c r="F29" s="64">
        <v>5.2</v>
      </c>
      <c r="G29" s="64">
        <v>16.46</v>
      </c>
      <c r="H29" s="64">
        <v>4.49</v>
      </c>
      <c r="I29" s="64">
        <v>3.94</v>
      </c>
      <c r="J29" s="64">
        <v>0.67</v>
      </c>
      <c r="K29" s="64">
        <v>68.91</v>
      </c>
      <c r="L29" s="64">
        <v>23.38</v>
      </c>
      <c r="M29" s="64">
        <v>96.13</v>
      </c>
      <c r="N29" s="64">
        <v>45.6</v>
      </c>
      <c r="O29" s="64">
        <v>0</v>
      </c>
      <c r="P29" s="64">
        <v>0.28000000000000003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14" t="s">
        <v>363</v>
      </c>
      <c r="B30" s="64">
        <v>9.61</v>
      </c>
      <c r="C30" s="64">
        <v>26.23</v>
      </c>
      <c r="D30" s="64">
        <v>35.47</v>
      </c>
      <c r="E30" s="212" t="s">
        <v>42</v>
      </c>
      <c r="F30" s="64">
        <v>5.41</v>
      </c>
      <c r="G30" s="64">
        <v>16.46</v>
      </c>
      <c r="H30" s="64">
        <v>4.49</v>
      </c>
      <c r="I30" s="64">
        <v>4.07</v>
      </c>
      <c r="J30" s="64">
        <v>0.48</v>
      </c>
      <c r="K30" s="64">
        <v>51.97</v>
      </c>
      <c r="L30" s="64">
        <v>23.33</v>
      </c>
      <c r="M30" s="64">
        <v>97.46</v>
      </c>
      <c r="N30" s="64">
        <v>47.6</v>
      </c>
      <c r="O30" s="64">
        <v>0</v>
      </c>
      <c r="P30" s="64">
        <v>0.28000000000000003</v>
      </c>
      <c r="Q30" s="64">
        <v>9.6300000000000008</v>
      </c>
      <c r="R30" s="198"/>
      <c r="S30" s="198"/>
      <c r="T30" s="198"/>
      <c r="U30" s="198"/>
    </row>
    <row r="31" spans="1:21" s="12" customFormat="1" x14ac:dyDescent="0.25">
      <c r="A31" s="214" t="s">
        <v>364</v>
      </c>
      <c r="B31" s="64">
        <v>10.199999999999999</v>
      </c>
      <c r="C31" s="64">
        <v>28.11</v>
      </c>
      <c r="D31" s="64">
        <v>38.14</v>
      </c>
      <c r="E31" s="212" t="s">
        <v>42</v>
      </c>
      <c r="F31" s="64">
        <v>5.0999999999999996</v>
      </c>
      <c r="G31" s="64">
        <v>16.46</v>
      </c>
      <c r="H31" s="64">
        <v>4.49</v>
      </c>
      <c r="I31" s="64">
        <v>3.99</v>
      </c>
      <c r="J31" s="64">
        <v>1.44</v>
      </c>
      <c r="K31" s="64">
        <v>104.95</v>
      </c>
      <c r="L31" s="64">
        <v>23.51</v>
      </c>
      <c r="M31" s="64">
        <v>96.52</v>
      </c>
      <c r="N31" s="64">
        <v>56</v>
      </c>
      <c r="O31" s="64">
        <v>0</v>
      </c>
      <c r="P31" s="64">
        <v>0.28000000000000003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4" t="s">
        <v>365</v>
      </c>
      <c r="B32" s="64">
        <v>10.41</v>
      </c>
      <c r="C32" s="64">
        <v>26.87</v>
      </c>
      <c r="D32" s="64">
        <v>35.46</v>
      </c>
      <c r="E32" s="212" t="s">
        <v>42</v>
      </c>
      <c r="F32" s="64">
        <v>5.45</v>
      </c>
      <c r="G32" s="64">
        <v>18.11</v>
      </c>
      <c r="H32" s="64">
        <v>5.68</v>
      </c>
      <c r="I32" s="64">
        <v>3.97</v>
      </c>
      <c r="J32" s="64">
        <v>1.02</v>
      </c>
      <c r="K32" s="64">
        <v>81.93</v>
      </c>
      <c r="L32" s="64">
        <v>23.61</v>
      </c>
      <c r="M32" s="64">
        <v>96.25</v>
      </c>
      <c r="N32" s="64">
        <v>74.599999999999994</v>
      </c>
      <c r="O32" s="64">
        <v>0</v>
      </c>
      <c r="P32" s="64">
        <v>0.28999999999999998</v>
      </c>
      <c r="Q32" s="64">
        <v>9.6300000000000008</v>
      </c>
      <c r="R32" s="198"/>
      <c r="S32" s="198"/>
      <c r="T32" s="198"/>
      <c r="U32" s="198"/>
    </row>
    <row r="33" spans="1:21" s="12" customFormat="1" x14ac:dyDescent="0.25">
      <c r="A33" s="214" t="s">
        <v>366</v>
      </c>
      <c r="B33" s="64">
        <v>10.78</v>
      </c>
      <c r="C33" s="64">
        <v>28.56</v>
      </c>
      <c r="D33" s="64">
        <v>38.11</v>
      </c>
      <c r="E33" s="212" t="s">
        <v>42</v>
      </c>
      <c r="F33" s="64">
        <v>5.62</v>
      </c>
      <c r="G33" s="64">
        <v>18.579999999999998</v>
      </c>
      <c r="H33" s="64">
        <v>6.02</v>
      </c>
      <c r="I33" s="64">
        <v>4.0199999999999996</v>
      </c>
      <c r="J33" s="64">
        <v>1.75</v>
      </c>
      <c r="K33" s="64">
        <v>97.98</v>
      </c>
      <c r="L33" s="64">
        <v>23.86</v>
      </c>
      <c r="M33" s="64">
        <v>94.54</v>
      </c>
      <c r="N33" s="64">
        <v>103</v>
      </c>
      <c r="O33" s="64">
        <v>0</v>
      </c>
      <c r="P33" s="64">
        <v>0.28000000000000003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4" t="s">
        <v>367</v>
      </c>
      <c r="B34" s="64">
        <v>10.75</v>
      </c>
      <c r="C34" s="64">
        <v>28.42</v>
      </c>
      <c r="D34" s="64">
        <v>37.89</v>
      </c>
      <c r="E34" s="212" t="s">
        <v>42</v>
      </c>
      <c r="F34" s="64">
        <v>5.09</v>
      </c>
      <c r="G34" s="64">
        <v>18.579999999999998</v>
      </c>
      <c r="H34" s="64">
        <v>6.02</v>
      </c>
      <c r="I34" s="64">
        <v>4.0199999999999996</v>
      </c>
      <c r="J34" s="64">
        <v>1.47</v>
      </c>
      <c r="K34" s="64">
        <v>96.25</v>
      </c>
      <c r="L34" s="64">
        <v>24.45</v>
      </c>
      <c r="M34" s="64">
        <v>93.08</v>
      </c>
      <c r="N34" s="64">
        <v>140.80000000000001</v>
      </c>
      <c r="O34" s="64">
        <v>0</v>
      </c>
      <c r="P34" s="64">
        <v>0.28999999999999998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4" t="s">
        <v>368</v>
      </c>
      <c r="B35" s="64">
        <v>10.69</v>
      </c>
      <c r="C35" s="64">
        <v>29.09</v>
      </c>
      <c r="D35" s="64">
        <v>39.28</v>
      </c>
      <c r="E35" s="212" t="s">
        <v>42</v>
      </c>
      <c r="F35" s="64">
        <v>5.72</v>
      </c>
      <c r="G35" s="64">
        <v>18.579999999999998</v>
      </c>
      <c r="H35" s="64">
        <v>6.02</v>
      </c>
      <c r="I35" s="64">
        <v>4.05</v>
      </c>
      <c r="J35" s="64">
        <v>1.05</v>
      </c>
      <c r="K35" s="64">
        <v>140.34</v>
      </c>
      <c r="L35" s="64">
        <v>25.18</v>
      </c>
      <c r="M35" s="64">
        <v>90.12</v>
      </c>
      <c r="N35" s="64">
        <v>187.3</v>
      </c>
      <c r="O35" s="64">
        <v>0</v>
      </c>
      <c r="P35" s="64">
        <v>0.28000000000000003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14" t="s">
        <v>369</v>
      </c>
      <c r="B36" s="64">
        <v>11.13</v>
      </c>
      <c r="C36" s="64">
        <v>28.79</v>
      </c>
      <c r="D36" s="64">
        <v>38.020000000000003</v>
      </c>
      <c r="E36" s="212" t="s">
        <v>42</v>
      </c>
      <c r="F36" s="64">
        <v>6.05</v>
      </c>
      <c r="G36" s="64">
        <v>14.16</v>
      </c>
      <c r="H36" s="64">
        <v>6.78</v>
      </c>
      <c r="I36" s="64">
        <v>4.0199999999999996</v>
      </c>
      <c r="J36" s="64">
        <v>0.79</v>
      </c>
      <c r="K36" s="64">
        <v>80</v>
      </c>
      <c r="L36" s="64">
        <v>25.9</v>
      </c>
      <c r="M36" s="64">
        <v>88.22</v>
      </c>
      <c r="N36" s="64">
        <v>238.1</v>
      </c>
      <c r="O36" s="64">
        <v>0</v>
      </c>
      <c r="P36" s="64">
        <v>0.28000000000000003</v>
      </c>
      <c r="Q36" s="64">
        <v>9.67</v>
      </c>
      <c r="R36" s="198"/>
      <c r="S36" s="198"/>
      <c r="T36" s="198"/>
      <c r="U36" s="198"/>
    </row>
    <row r="37" spans="1:21" s="12" customFormat="1" x14ac:dyDescent="0.25">
      <c r="A37" s="214" t="s">
        <v>370</v>
      </c>
      <c r="B37" s="64">
        <v>10.11</v>
      </c>
      <c r="C37" s="64">
        <v>26.53</v>
      </c>
      <c r="D37" s="64">
        <v>35.26</v>
      </c>
      <c r="E37" s="212" t="s">
        <v>42</v>
      </c>
      <c r="F37" s="64">
        <v>6.97</v>
      </c>
      <c r="G37" s="64">
        <v>12.9</v>
      </c>
      <c r="H37" s="64">
        <v>6.99</v>
      </c>
      <c r="I37" s="64">
        <v>4.16</v>
      </c>
      <c r="J37" s="64">
        <v>1.1599999999999999</v>
      </c>
      <c r="K37" s="64">
        <v>98.28</v>
      </c>
      <c r="L37" s="64">
        <v>26.55</v>
      </c>
      <c r="M37" s="64">
        <v>82.59</v>
      </c>
      <c r="N37" s="64">
        <v>290</v>
      </c>
      <c r="O37" s="64">
        <v>0</v>
      </c>
      <c r="P37" s="64">
        <v>0.27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4" t="s">
        <v>371</v>
      </c>
      <c r="B38" s="64">
        <v>11.36</v>
      </c>
      <c r="C38" s="64">
        <v>28.09</v>
      </c>
      <c r="D38" s="64">
        <v>36.33</v>
      </c>
      <c r="E38" s="212" t="s">
        <v>42</v>
      </c>
      <c r="F38" s="64">
        <v>6.31</v>
      </c>
      <c r="G38" s="64">
        <v>12.9</v>
      </c>
      <c r="H38" s="64">
        <v>6.99</v>
      </c>
      <c r="I38" s="64">
        <v>4.0199999999999996</v>
      </c>
      <c r="J38" s="64">
        <v>1.03</v>
      </c>
      <c r="K38" s="64">
        <v>93.91</v>
      </c>
      <c r="L38" s="64">
        <v>27.11</v>
      </c>
      <c r="M38" s="64">
        <v>80.52</v>
      </c>
      <c r="N38" s="64">
        <v>345</v>
      </c>
      <c r="O38" s="64">
        <v>0</v>
      </c>
      <c r="P38" s="64">
        <v>0.28000000000000003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4" t="s">
        <v>372</v>
      </c>
      <c r="B39" s="64">
        <v>11.06</v>
      </c>
      <c r="C39" s="64">
        <v>26.96</v>
      </c>
      <c r="D39" s="64">
        <v>34.619999999999997</v>
      </c>
      <c r="E39" s="212" t="s">
        <v>42</v>
      </c>
      <c r="F39" s="64">
        <v>6.12</v>
      </c>
      <c r="G39" s="64">
        <v>12.9</v>
      </c>
      <c r="H39" s="64">
        <v>6.99</v>
      </c>
      <c r="I39" s="64">
        <v>4.1399999999999997</v>
      </c>
      <c r="J39" s="64">
        <v>1.32</v>
      </c>
      <c r="K39" s="64">
        <v>95.9</v>
      </c>
      <c r="L39" s="64">
        <v>27.3</v>
      </c>
      <c r="M39" s="64">
        <v>80.150000000000006</v>
      </c>
      <c r="N39" s="64">
        <v>396.9</v>
      </c>
      <c r="O39" s="64">
        <v>0</v>
      </c>
      <c r="P39" s="64">
        <v>0.28000000000000003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14" t="s">
        <v>373</v>
      </c>
      <c r="B40" s="64">
        <v>11.69</v>
      </c>
      <c r="C40" s="64">
        <v>29.73</v>
      </c>
      <c r="D40" s="64">
        <v>38.96</v>
      </c>
      <c r="E40" s="64">
        <v>1.95</v>
      </c>
      <c r="F40" s="64">
        <v>6.91</v>
      </c>
      <c r="G40" s="64">
        <v>11.66</v>
      </c>
      <c r="H40" s="64">
        <v>5.71</v>
      </c>
      <c r="I40" s="64">
        <v>4.08</v>
      </c>
      <c r="J40" s="64">
        <v>0.46</v>
      </c>
      <c r="K40" s="64">
        <v>79.510000000000005</v>
      </c>
      <c r="L40" s="64">
        <v>28.45</v>
      </c>
      <c r="M40" s="64">
        <v>77.19</v>
      </c>
      <c r="N40" s="64">
        <v>440.7</v>
      </c>
      <c r="O40" s="64">
        <v>0</v>
      </c>
      <c r="P40" s="64">
        <v>0.3</v>
      </c>
      <c r="Q40" s="64">
        <v>9.65</v>
      </c>
      <c r="R40" s="198"/>
      <c r="S40" s="198"/>
      <c r="T40" s="198"/>
      <c r="U40" s="198"/>
    </row>
    <row r="41" spans="1:21" s="12" customFormat="1" x14ac:dyDescent="0.25">
      <c r="A41" s="214" t="s">
        <v>374</v>
      </c>
      <c r="B41" s="64">
        <v>11.91</v>
      </c>
      <c r="C41" s="64">
        <v>29.39</v>
      </c>
      <c r="D41" s="64">
        <v>37.97</v>
      </c>
      <c r="E41" s="64">
        <v>2.27</v>
      </c>
      <c r="F41" s="64">
        <v>6.89</v>
      </c>
      <c r="G41" s="64">
        <v>11.3</v>
      </c>
      <c r="H41" s="64">
        <v>5.34</v>
      </c>
      <c r="I41" s="64">
        <v>3.89</v>
      </c>
      <c r="J41" s="64">
        <v>0.32</v>
      </c>
      <c r="K41" s="64">
        <v>23.37</v>
      </c>
      <c r="L41" s="64">
        <v>29.58</v>
      </c>
      <c r="M41" s="64">
        <v>71.540000000000006</v>
      </c>
      <c r="N41" s="64">
        <v>510.1</v>
      </c>
      <c r="O41" s="64">
        <v>0</v>
      </c>
      <c r="P41" s="64">
        <v>0.3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4" t="s">
        <v>375</v>
      </c>
      <c r="B42" s="64">
        <v>12.69</v>
      </c>
      <c r="C42" s="64">
        <v>29.02</v>
      </c>
      <c r="D42" s="64">
        <v>36.07</v>
      </c>
      <c r="E42" s="64">
        <v>1.91</v>
      </c>
      <c r="F42" s="64">
        <v>6.29</v>
      </c>
      <c r="G42" s="64">
        <v>11.3</v>
      </c>
      <c r="H42" s="64">
        <v>5.34</v>
      </c>
      <c r="I42" s="64">
        <v>3.92</v>
      </c>
      <c r="J42" s="64">
        <v>0.65</v>
      </c>
      <c r="K42" s="64">
        <v>331.89</v>
      </c>
      <c r="L42" s="64">
        <v>30.69</v>
      </c>
      <c r="M42" s="64">
        <v>68.59</v>
      </c>
      <c r="N42" s="64">
        <v>557.6</v>
      </c>
      <c r="O42" s="64">
        <v>0</v>
      </c>
      <c r="P42" s="64">
        <v>0.31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4" t="s">
        <v>376</v>
      </c>
      <c r="B43" s="64">
        <v>13.04</v>
      </c>
      <c r="C43" s="64">
        <v>31.29</v>
      </c>
      <c r="D43" s="64">
        <v>39.869999999999997</v>
      </c>
      <c r="E43" s="64">
        <v>2.64</v>
      </c>
      <c r="F43" s="64">
        <v>6.3</v>
      </c>
      <c r="G43" s="64">
        <v>11.3</v>
      </c>
      <c r="H43" s="64">
        <v>5.34</v>
      </c>
      <c r="I43" s="64">
        <v>3.99</v>
      </c>
      <c r="J43" s="64">
        <v>0.69</v>
      </c>
      <c r="K43" s="64">
        <v>347.84</v>
      </c>
      <c r="L43" s="64">
        <v>32.11</v>
      </c>
      <c r="M43" s="64">
        <v>63.02</v>
      </c>
      <c r="N43" s="64">
        <v>611.9</v>
      </c>
      <c r="O43" s="64">
        <v>0</v>
      </c>
      <c r="P43" s="64">
        <v>0.32</v>
      </c>
      <c r="Q43" s="64">
        <v>9.65</v>
      </c>
      <c r="R43" s="198"/>
      <c r="S43" s="198"/>
      <c r="T43" s="198"/>
      <c r="U43" s="198"/>
    </row>
    <row r="44" spans="1:21" s="12" customFormat="1" x14ac:dyDescent="0.25">
      <c r="A44" s="214" t="s">
        <v>377</v>
      </c>
      <c r="B44" s="64">
        <v>13.13</v>
      </c>
      <c r="C44" s="64">
        <v>31.99</v>
      </c>
      <c r="D44" s="64">
        <v>41.08</v>
      </c>
      <c r="E44" s="64">
        <v>2.25</v>
      </c>
      <c r="F44" s="64">
        <v>6.79</v>
      </c>
      <c r="G44" s="64">
        <v>10.55</v>
      </c>
      <c r="H44" s="64">
        <v>5.61</v>
      </c>
      <c r="I44" s="64">
        <v>3.9</v>
      </c>
      <c r="J44" s="64">
        <v>0.57999999999999996</v>
      </c>
      <c r="K44" s="64">
        <v>328.77</v>
      </c>
      <c r="L44" s="64">
        <v>32.93</v>
      </c>
      <c r="M44" s="64">
        <v>59.94</v>
      </c>
      <c r="N44" s="64">
        <v>665.2</v>
      </c>
      <c r="O44" s="64">
        <v>0</v>
      </c>
      <c r="P44" s="64">
        <v>0.35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4" t="s">
        <v>378</v>
      </c>
      <c r="B45" s="64">
        <v>11.66</v>
      </c>
      <c r="C45" s="64">
        <v>29.35</v>
      </c>
      <c r="D45" s="64">
        <v>38.270000000000003</v>
      </c>
      <c r="E45" s="64">
        <v>2.17</v>
      </c>
      <c r="F45" s="64">
        <v>7.03</v>
      </c>
      <c r="G45" s="64">
        <v>10.33</v>
      </c>
      <c r="H45" s="64">
        <v>5.69</v>
      </c>
      <c r="I45" s="64">
        <v>4</v>
      </c>
      <c r="J45" s="64">
        <v>0.41</v>
      </c>
      <c r="K45" s="64">
        <v>272.33</v>
      </c>
      <c r="L45" s="64">
        <v>32.840000000000003</v>
      </c>
      <c r="M45" s="64">
        <v>61.7</v>
      </c>
      <c r="N45" s="64">
        <v>761.4</v>
      </c>
      <c r="O45" s="64">
        <v>0</v>
      </c>
      <c r="P45" s="64">
        <v>0.35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4" t="s">
        <v>379</v>
      </c>
      <c r="B46" s="64">
        <v>12.57</v>
      </c>
      <c r="C46" s="64">
        <v>31.88</v>
      </c>
      <c r="D46" s="64">
        <v>41.72</v>
      </c>
      <c r="E46" s="64">
        <v>2.1800000000000002</v>
      </c>
      <c r="F46" s="64">
        <v>6.39</v>
      </c>
      <c r="G46" s="64">
        <v>10.33</v>
      </c>
      <c r="H46" s="64">
        <v>5.69</v>
      </c>
      <c r="I46" s="64">
        <v>4.0999999999999996</v>
      </c>
      <c r="J46" s="64">
        <v>1.28</v>
      </c>
      <c r="K46" s="64">
        <v>279.29000000000002</v>
      </c>
      <c r="L46" s="64">
        <v>34.96</v>
      </c>
      <c r="M46" s="64">
        <v>53.33</v>
      </c>
      <c r="N46" s="64">
        <v>770</v>
      </c>
      <c r="O46" s="64">
        <v>0</v>
      </c>
      <c r="P46" s="64">
        <v>0.38</v>
      </c>
      <c r="Q46" s="64">
        <v>9.6300000000000008</v>
      </c>
      <c r="R46" s="198"/>
      <c r="S46" s="198"/>
      <c r="T46" s="198"/>
      <c r="U46" s="198"/>
    </row>
    <row r="47" spans="1:21" s="12" customFormat="1" x14ac:dyDescent="0.25">
      <c r="A47" s="214" t="s">
        <v>380</v>
      </c>
      <c r="B47" s="64">
        <v>12.51</v>
      </c>
      <c r="C47" s="64">
        <v>34.46</v>
      </c>
      <c r="D47" s="64">
        <v>46.75</v>
      </c>
      <c r="E47" s="64">
        <v>2.4</v>
      </c>
      <c r="F47" s="64">
        <v>6.8</v>
      </c>
      <c r="G47" s="64">
        <v>10.33</v>
      </c>
      <c r="H47" s="64">
        <v>5.69</v>
      </c>
      <c r="I47" s="64">
        <v>4.16</v>
      </c>
      <c r="J47" s="64">
        <v>0.5</v>
      </c>
      <c r="K47" s="64">
        <v>341.29</v>
      </c>
      <c r="L47" s="64">
        <v>35.11</v>
      </c>
      <c r="M47" s="64">
        <v>52.81</v>
      </c>
      <c r="N47" s="64">
        <v>782.4</v>
      </c>
      <c r="O47" s="64">
        <v>0</v>
      </c>
      <c r="P47" s="64">
        <v>0.42</v>
      </c>
      <c r="Q47" s="64">
        <v>9.65</v>
      </c>
      <c r="R47" s="198"/>
      <c r="S47" s="198"/>
      <c r="T47" s="198"/>
      <c r="U47" s="198"/>
    </row>
    <row r="48" spans="1:21" s="12" customFormat="1" x14ac:dyDescent="0.25">
      <c r="A48" s="214" t="s">
        <v>381</v>
      </c>
      <c r="B48" s="64">
        <v>11.4</v>
      </c>
      <c r="C48" s="64">
        <v>32.92</v>
      </c>
      <c r="D48" s="64">
        <v>45.52</v>
      </c>
      <c r="E48" s="64">
        <v>2.37</v>
      </c>
      <c r="F48" s="64">
        <v>7.75</v>
      </c>
      <c r="G48" s="64">
        <v>28.91</v>
      </c>
      <c r="H48" s="64">
        <v>7.8</v>
      </c>
      <c r="I48" s="64">
        <v>4</v>
      </c>
      <c r="J48" s="64">
        <v>1.0900000000000001</v>
      </c>
      <c r="K48" s="64">
        <v>272.64999999999998</v>
      </c>
      <c r="L48" s="64">
        <v>35.26</v>
      </c>
      <c r="M48" s="64">
        <v>51.45</v>
      </c>
      <c r="N48" s="64">
        <v>812.6</v>
      </c>
      <c r="O48" s="64">
        <v>0</v>
      </c>
      <c r="P48" s="64">
        <v>0.43</v>
      </c>
      <c r="Q48" s="64">
        <v>9.6300000000000008</v>
      </c>
      <c r="R48" s="198"/>
      <c r="S48" s="198"/>
      <c r="T48" s="198"/>
      <c r="U48" s="198"/>
    </row>
    <row r="49" spans="1:21" s="12" customFormat="1" x14ac:dyDescent="0.25">
      <c r="A49" s="214" t="s">
        <v>382</v>
      </c>
      <c r="B49" s="64">
        <v>10.17</v>
      </c>
      <c r="C49" s="64">
        <v>31.01</v>
      </c>
      <c r="D49" s="64">
        <v>43.75</v>
      </c>
      <c r="E49" s="64">
        <v>2.0299999999999998</v>
      </c>
      <c r="F49" s="64">
        <v>6.27</v>
      </c>
      <c r="G49" s="64">
        <v>34.21</v>
      </c>
      <c r="H49" s="64">
        <v>8.4</v>
      </c>
      <c r="I49" s="64">
        <v>4</v>
      </c>
      <c r="J49" s="64">
        <v>0.64</v>
      </c>
      <c r="K49" s="64">
        <v>257.31</v>
      </c>
      <c r="L49" s="64">
        <v>35.74</v>
      </c>
      <c r="M49" s="64">
        <v>48.08</v>
      </c>
      <c r="N49" s="64">
        <v>859.2</v>
      </c>
      <c r="O49" s="64">
        <v>0</v>
      </c>
      <c r="P49" s="64">
        <v>0.45</v>
      </c>
      <c r="Q49" s="64">
        <v>9.6300000000000008</v>
      </c>
      <c r="R49" s="198"/>
      <c r="S49" s="198"/>
      <c r="T49" s="198"/>
      <c r="U49" s="198"/>
    </row>
    <row r="50" spans="1:21" s="12" customFormat="1" x14ac:dyDescent="0.25">
      <c r="A50" s="214" t="s">
        <v>383</v>
      </c>
      <c r="B50" s="64">
        <v>7.88</v>
      </c>
      <c r="C50" s="64">
        <v>29.99</v>
      </c>
      <c r="D50" s="64">
        <v>45.31</v>
      </c>
      <c r="E50" s="64">
        <v>2</v>
      </c>
      <c r="F50" s="64">
        <v>8.43</v>
      </c>
      <c r="G50" s="64">
        <v>34.21</v>
      </c>
      <c r="H50" s="64">
        <v>8.4</v>
      </c>
      <c r="I50" s="64">
        <v>3.99</v>
      </c>
      <c r="J50" s="64">
        <v>0.76</v>
      </c>
      <c r="K50" s="64">
        <v>250.64</v>
      </c>
      <c r="L50" s="64">
        <v>35.270000000000003</v>
      </c>
      <c r="M50" s="64">
        <v>47.99</v>
      </c>
      <c r="N50" s="64">
        <v>887</v>
      </c>
      <c r="O50" s="64">
        <v>0</v>
      </c>
      <c r="P50" s="64">
        <v>0.45</v>
      </c>
      <c r="Q50" s="64">
        <v>9.64</v>
      </c>
      <c r="R50" s="198"/>
      <c r="S50" s="198"/>
      <c r="T50" s="198"/>
      <c r="U50" s="198"/>
    </row>
    <row r="51" spans="1:21" s="12" customFormat="1" x14ac:dyDescent="0.25">
      <c r="A51" s="214" t="s">
        <v>384</v>
      </c>
      <c r="B51" s="64">
        <v>1.39</v>
      </c>
      <c r="C51" s="64">
        <v>25.12</v>
      </c>
      <c r="D51" s="64">
        <v>45.95</v>
      </c>
      <c r="E51" s="64">
        <v>2.35</v>
      </c>
      <c r="F51" s="64">
        <v>14.32</v>
      </c>
      <c r="G51" s="64">
        <v>34.21</v>
      </c>
      <c r="H51" s="64">
        <v>8.4</v>
      </c>
      <c r="I51" s="64">
        <v>4.12</v>
      </c>
      <c r="J51" s="64">
        <v>1.2</v>
      </c>
      <c r="K51" s="64">
        <v>276.51</v>
      </c>
      <c r="L51" s="64">
        <v>36.700000000000003</v>
      </c>
      <c r="M51" s="64">
        <v>44.26</v>
      </c>
      <c r="N51" s="64">
        <v>913.4</v>
      </c>
      <c r="O51" s="64">
        <v>0</v>
      </c>
      <c r="P51" s="64">
        <v>0.49</v>
      </c>
      <c r="Q51" s="64">
        <v>9.67</v>
      </c>
      <c r="R51" s="198"/>
      <c r="S51" s="198"/>
      <c r="T51" s="198"/>
      <c r="U51" s="198"/>
    </row>
    <row r="52" spans="1:21" s="12" customFormat="1" x14ac:dyDescent="0.25">
      <c r="A52" s="214" t="s">
        <v>385</v>
      </c>
      <c r="B52" s="64">
        <v>-0.09</v>
      </c>
      <c r="C52" s="64">
        <v>4.04</v>
      </c>
      <c r="D52" s="64">
        <v>7.87</v>
      </c>
      <c r="E52" s="64">
        <v>2.89</v>
      </c>
      <c r="F52" s="64">
        <v>20.440000000000001</v>
      </c>
      <c r="G52" s="64">
        <v>34.21</v>
      </c>
      <c r="H52" s="64">
        <v>8.4</v>
      </c>
      <c r="I52" s="64">
        <v>4.2</v>
      </c>
      <c r="J52" s="64">
        <v>0.53</v>
      </c>
      <c r="K52" s="64">
        <v>118.33</v>
      </c>
      <c r="L52" s="64">
        <v>35.51</v>
      </c>
      <c r="M52" s="64">
        <v>47.07</v>
      </c>
      <c r="N52" s="64">
        <v>919.3</v>
      </c>
      <c r="O52" s="64">
        <v>0</v>
      </c>
      <c r="P52" s="64">
        <v>0.53</v>
      </c>
      <c r="Q52" s="64">
        <v>9.6</v>
      </c>
      <c r="R52" s="198"/>
      <c r="S52" s="198"/>
      <c r="T52" s="198"/>
      <c r="U52" s="198"/>
    </row>
    <row r="53" spans="1:21" s="12" customFormat="1" x14ac:dyDescent="0.25">
      <c r="A53" s="214" t="s">
        <v>386</v>
      </c>
      <c r="B53" s="64">
        <v>0.01</v>
      </c>
      <c r="C53" s="64">
        <v>4.58</v>
      </c>
      <c r="D53" s="64">
        <v>8.75</v>
      </c>
      <c r="E53" s="64">
        <v>3.88</v>
      </c>
      <c r="F53" s="64">
        <v>17.25</v>
      </c>
      <c r="G53" s="211" t="s">
        <v>40</v>
      </c>
      <c r="H53" s="211" t="s">
        <v>40</v>
      </c>
      <c r="I53" s="64">
        <v>3.97</v>
      </c>
      <c r="J53" s="64">
        <v>0.34</v>
      </c>
      <c r="K53" s="64">
        <v>204.07</v>
      </c>
      <c r="L53" s="64">
        <v>35.479999999999997</v>
      </c>
      <c r="M53" s="64">
        <v>46.72</v>
      </c>
      <c r="N53" s="64">
        <v>916.2</v>
      </c>
      <c r="O53" s="64">
        <v>0</v>
      </c>
      <c r="P53" s="64">
        <v>0.54</v>
      </c>
      <c r="Q53" s="64">
        <v>9.56</v>
      </c>
      <c r="R53" s="198"/>
      <c r="S53" s="198"/>
      <c r="T53" s="198"/>
      <c r="U53" s="198"/>
    </row>
    <row r="54" spans="1:21" s="12" customFormat="1" x14ac:dyDescent="0.25">
      <c r="A54" s="214" t="s">
        <v>387</v>
      </c>
      <c r="B54" s="64">
        <v>2.96</v>
      </c>
      <c r="C54" s="64">
        <v>55.94</v>
      </c>
      <c r="D54" s="64">
        <v>60.55</v>
      </c>
      <c r="E54" s="64">
        <v>3.66</v>
      </c>
      <c r="F54" s="64">
        <v>19.329999999999998</v>
      </c>
      <c r="G54" s="211" t="s">
        <v>40</v>
      </c>
      <c r="H54" s="211" t="s">
        <v>40</v>
      </c>
      <c r="I54" s="64">
        <v>4.16</v>
      </c>
      <c r="J54" s="64">
        <v>0.37</v>
      </c>
      <c r="K54" s="64">
        <v>103.96</v>
      </c>
      <c r="L54" s="64">
        <v>36.24</v>
      </c>
      <c r="M54" s="64">
        <v>45.45</v>
      </c>
      <c r="N54" s="64">
        <v>884.3</v>
      </c>
      <c r="O54" s="64">
        <v>0</v>
      </c>
      <c r="P54" s="64">
        <v>0.61</v>
      </c>
      <c r="Q54" s="64">
        <v>9.5500000000000007</v>
      </c>
      <c r="R54" s="198"/>
      <c r="S54" s="198"/>
      <c r="T54" s="198"/>
      <c r="U54" s="198"/>
    </row>
    <row r="55" spans="1:21" s="12" customFormat="1" x14ac:dyDescent="0.25">
      <c r="A55" s="214" t="s">
        <v>388</v>
      </c>
      <c r="B55" s="64">
        <v>2.52</v>
      </c>
      <c r="C55" s="64">
        <v>32.26</v>
      </c>
      <c r="D55" s="64">
        <v>57.89</v>
      </c>
      <c r="E55" s="64">
        <v>35.89</v>
      </c>
      <c r="F55" s="64">
        <v>23.03</v>
      </c>
      <c r="G55" s="211" t="s">
        <v>40</v>
      </c>
      <c r="H55" s="211" t="s">
        <v>40</v>
      </c>
      <c r="I55" s="64">
        <v>4.09</v>
      </c>
      <c r="J55" s="64">
        <v>0.19</v>
      </c>
      <c r="K55" s="64">
        <v>30.01</v>
      </c>
      <c r="L55" s="64">
        <v>35.43</v>
      </c>
      <c r="M55" s="64">
        <v>47.79</v>
      </c>
      <c r="N55" s="64">
        <v>883.4</v>
      </c>
      <c r="O55" s="64">
        <v>0</v>
      </c>
      <c r="P55" s="64">
        <v>0.66</v>
      </c>
      <c r="Q55" s="64">
        <v>9.5500000000000007</v>
      </c>
      <c r="R55" s="198"/>
      <c r="S55" s="198"/>
      <c r="T55" s="198"/>
      <c r="U55" s="198"/>
    </row>
    <row r="56" spans="1:21" s="12" customFormat="1" x14ac:dyDescent="0.25">
      <c r="A56" s="214" t="s">
        <v>389</v>
      </c>
      <c r="B56" s="64">
        <v>5.0599999999999996</v>
      </c>
      <c r="C56" s="64">
        <v>42.95</v>
      </c>
      <c r="D56" s="64">
        <v>74.430000000000007</v>
      </c>
      <c r="E56" s="211" t="s">
        <v>40</v>
      </c>
      <c r="F56" s="64">
        <v>20.85</v>
      </c>
      <c r="G56" s="211" t="s">
        <v>40</v>
      </c>
      <c r="H56" s="211" t="s">
        <v>40</v>
      </c>
      <c r="I56" s="64">
        <v>4.13</v>
      </c>
      <c r="J56" s="64">
        <v>0.65</v>
      </c>
      <c r="K56" s="64">
        <v>312.39999999999998</v>
      </c>
      <c r="L56" s="64">
        <v>36.85</v>
      </c>
      <c r="M56" s="64">
        <v>45.19</v>
      </c>
      <c r="N56" s="64">
        <v>844.2</v>
      </c>
      <c r="O56" s="64">
        <v>0</v>
      </c>
      <c r="P56" s="64">
        <v>0.86</v>
      </c>
      <c r="Q56" s="64">
        <v>9.5500000000000007</v>
      </c>
      <c r="R56" s="198"/>
      <c r="S56" s="198"/>
      <c r="T56" s="198"/>
      <c r="U56" s="198"/>
    </row>
    <row r="57" spans="1:21" s="12" customFormat="1" x14ac:dyDescent="0.25">
      <c r="A57" s="214" t="s">
        <v>390</v>
      </c>
      <c r="B57" s="64">
        <v>6.21</v>
      </c>
      <c r="C57" s="64">
        <v>41.47</v>
      </c>
      <c r="D57" s="64">
        <v>69.84</v>
      </c>
      <c r="E57" s="211" t="s">
        <v>40</v>
      </c>
      <c r="F57" s="64">
        <v>15.65</v>
      </c>
      <c r="G57" s="64">
        <v>89.87</v>
      </c>
      <c r="H57" s="64">
        <v>27.85</v>
      </c>
      <c r="I57" s="64">
        <v>3.85</v>
      </c>
      <c r="J57" s="64">
        <v>1.4</v>
      </c>
      <c r="K57" s="64">
        <v>288.08999999999997</v>
      </c>
      <c r="L57" s="64">
        <v>38.159999999999997</v>
      </c>
      <c r="M57" s="64">
        <v>40.86</v>
      </c>
      <c r="N57" s="64">
        <v>858.6</v>
      </c>
      <c r="O57" s="64">
        <v>0</v>
      </c>
      <c r="P57" s="64">
        <v>0.82</v>
      </c>
      <c r="Q57" s="64">
        <v>9.5399999999999991</v>
      </c>
      <c r="R57" s="198"/>
      <c r="S57" s="198"/>
      <c r="T57" s="198"/>
      <c r="U57" s="198"/>
    </row>
    <row r="58" spans="1:21" s="12" customFormat="1" x14ac:dyDescent="0.25">
      <c r="A58" s="214" t="s">
        <v>391</v>
      </c>
      <c r="B58" s="64">
        <v>3.24</v>
      </c>
      <c r="C58" s="64">
        <v>41.64</v>
      </c>
      <c r="D58" s="64">
        <v>74.72</v>
      </c>
      <c r="E58" s="211" t="s">
        <v>40</v>
      </c>
      <c r="F58" s="64">
        <v>20.149999999999999</v>
      </c>
      <c r="G58" s="64">
        <v>89.87</v>
      </c>
      <c r="H58" s="64">
        <v>27.85</v>
      </c>
      <c r="I58" s="64">
        <v>4.08</v>
      </c>
      <c r="J58" s="64">
        <v>0.82</v>
      </c>
      <c r="K58" s="64">
        <v>112.35</v>
      </c>
      <c r="L58" s="64">
        <v>37.729999999999997</v>
      </c>
      <c r="M58" s="64">
        <v>40.479999999999997</v>
      </c>
      <c r="N58" s="64">
        <v>848.6</v>
      </c>
      <c r="O58" s="64">
        <v>0</v>
      </c>
      <c r="P58" s="64">
        <v>0.82</v>
      </c>
      <c r="Q58" s="64">
        <v>9.5299999999999994</v>
      </c>
      <c r="R58" s="198"/>
      <c r="S58" s="198"/>
      <c r="T58" s="198"/>
      <c r="U58" s="198"/>
    </row>
    <row r="59" spans="1:21" s="12" customFormat="1" x14ac:dyDescent="0.25">
      <c r="A59" s="214" t="s">
        <v>392</v>
      </c>
      <c r="B59" s="64">
        <v>1.33</v>
      </c>
      <c r="C59" s="64">
        <v>34.83</v>
      </c>
      <c r="D59" s="64">
        <v>64.62</v>
      </c>
      <c r="E59" s="211" t="s">
        <v>40</v>
      </c>
      <c r="F59" s="64">
        <v>22.07</v>
      </c>
      <c r="G59" s="64">
        <v>89.87</v>
      </c>
      <c r="H59" s="64">
        <v>27.85</v>
      </c>
      <c r="I59" s="64">
        <v>3.86</v>
      </c>
      <c r="J59" s="64">
        <v>1.42</v>
      </c>
      <c r="K59" s="64">
        <v>111.17</v>
      </c>
      <c r="L59" s="64">
        <v>35.53</v>
      </c>
      <c r="M59" s="64">
        <v>46.13</v>
      </c>
      <c r="N59" s="64">
        <v>831.6</v>
      </c>
      <c r="O59" s="64">
        <v>0</v>
      </c>
      <c r="P59" s="64">
        <v>0.8</v>
      </c>
      <c r="Q59" s="64">
        <v>9.5399999999999991</v>
      </c>
      <c r="R59" s="198"/>
      <c r="S59" s="198"/>
      <c r="T59" s="198"/>
      <c r="U59" s="198"/>
    </row>
    <row r="60" spans="1:21" s="12" customFormat="1" x14ac:dyDescent="0.25">
      <c r="A60" s="214" t="s">
        <v>393</v>
      </c>
      <c r="B60" s="64">
        <v>3.28</v>
      </c>
      <c r="C60" s="64">
        <v>41.01</v>
      </c>
      <c r="D60" s="64">
        <v>73.459999999999994</v>
      </c>
      <c r="E60" s="211" t="s">
        <v>40</v>
      </c>
      <c r="F60" s="64">
        <v>19.13</v>
      </c>
      <c r="G60" s="64">
        <v>89.87</v>
      </c>
      <c r="H60" s="64">
        <v>27.85</v>
      </c>
      <c r="I60" s="64">
        <v>4.1100000000000003</v>
      </c>
      <c r="J60" s="64">
        <v>0.24</v>
      </c>
      <c r="K60" s="64">
        <v>274.10000000000002</v>
      </c>
      <c r="L60" s="64">
        <v>36.68</v>
      </c>
      <c r="M60" s="64">
        <v>42.85</v>
      </c>
      <c r="N60" s="64">
        <v>802.4</v>
      </c>
      <c r="O60" s="64">
        <v>0</v>
      </c>
      <c r="P60" s="64">
        <v>0.83</v>
      </c>
      <c r="Q60" s="64">
        <v>9.49</v>
      </c>
      <c r="R60" s="198"/>
      <c r="S60" s="198"/>
      <c r="T60" s="198"/>
      <c r="U60" s="198"/>
    </row>
    <row r="61" spans="1:21" s="12" customFormat="1" x14ac:dyDescent="0.25">
      <c r="A61" s="214" t="s">
        <v>394</v>
      </c>
      <c r="B61" s="64">
        <v>2.02</v>
      </c>
      <c r="C61" s="64">
        <v>36.51</v>
      </c>
      <c r="D61" s="64">
        <v>66.77</v>
      </c>
      <c r="E61" s="64">
        <v>8.74</v>
      </c>
      <c r="F61" s="64">
        <v>21.44</v>
      </c>
      <c r="G61" s="64">
        <v>97.6</v>
      </c>
      <c r="H61" s="64">
        <v>30.96</v>
      </c>
      <c r="I61" s="64">
        <v>4.08</v>
      </c>
      <c r="J61" s="64">
        <v>0.9</v>
      </c>
      <c r="K61" s="64">
        <v>254.1</v>
      </c>
      <c r="L61" s="64">
        <v>39.369999999999997</v>
      </c>
      <c r="M61" s="64">
        <v>37.090000000000003</v>
      </c>
      <c r="N61" s="64">
        <v>795.9</v>
      </c>
      <c r="O61" s="64">
        <v>0</v>
      </c>
      <c r="P61" s="64">
        <v>0.7</v>
      </c>
      <c r="Q61" s="64">
        <v>9.5</v>
      </c>
      <c r="R61" s="198"/>
      <c r="S61" s="198"/>
      <c r="T61" s="198"/>
      <c r="U61" s="198"/>
    </row>
    <row r="62" spans="1:21" s="12" customFormat="1" x14ac:dyDescent="0.25">
      <c r="A62" s="214" t="s">
        <v>395</v>
      </c>
      <c r="B62" s="64">
        <v>0.21</v>
      </c>
      <c r="C62" s="64">
        <v>29.99</v>
      </c>
      <c r="D62" s="64">
        <v>57.07</v>
      </c>
      <c r="E62" s="64">
        <v>7.88</v>
      </c>
      <c r="F62" s="64">
        <v>14.84</v>
      </c>
      <c r="G62" s="64">
        <v>97.6</v>
      </c>
      <c r="H62" s="64">
        <v>30.96</v>
      </c>
      <c r="I62" s="64">
        <v>3.81</v>
      </c>
      <c r="J62" s="64">
        <v>1.03</v>
      </c>
      <c r="K62" s="64">
        <v>184</v>
      </c>
      <c r="L62" s="64">
        <v>37.1</v>
      </c>
      <c r="M62" s="64">
        <v>38.78</v>
      </c>
      <c r="N62" s="64">
        <v>687.8</v>
      </c>
      <c r="O62" s="64">
        <v>0</v>
      </c>
      <c r="P62" s="64">
        <v>0.7</v>
      </c>
      <c r="Q62" s="64">
        <v>9.52</v>
      </c>
      <c r="R62" s="198"/>
      <c r="S62" s="198"/>
      <c r="T62" s="198"/>
      <c r="U62" s="198"/>
    </row>
    <row r="63" spans="1:21" s="12" customFormat="1" x14ac:dyDescent="0.25">
      <c r="A63" s="214" t="s">
        <v>396</v>
      </c>
      <c r="B63" s="64">
        <v>0.21</v>
      </c>
      <c r="C63" s="64">
        <v>25.63</v>
      </c>
      <c r="D63" s="64">
        <v>49.25</v>
      </c>
      <c r="E63" s="64">
        <v>12.25</v>
      </c>
      <c r="F63" s="64">
        <v>17.97</v>
      </c>
      <c r="G63" s="64">
        <v>97.6</v>
      </c>
      <c r="H63" s="64">
        <v>30.96</v>
      </c>
      <c r="I63" s="64">
        <v>4.08</v>
      </c>
      <c r="J63" s="64">
        <v>1.1399999999999999</v>
      </c>
      <c r="K63" s="64">
        <v>244.91</v>
      </c>
      <c r="L63" s="64">
        <v>37.82</v>
      </c>
      <c r="M63" s="64">
        <v>35.57</v>
      </c>
      <c r="N63" s="64">
        <v>607.6</v>
      </c>
      <c r="O63" s="64">
        <v>0</v>
      </c>
      <c r="P63" s="211" t="s">
        <v>40</v>
      </c>
      <c r="Q63" s="64">
        <v>9.5500000000000007</v>
      </c>
      <c r="R63" s="198"/>
      <c r="S63" s="198"/>
      <c r="T63" s="198"/>
      <c r="U63" s="198"/>
    </row>
    <row r="64" spans="1:21" s="12" customFormat="1" x14ac:dyDescent="0.25">
      <c r="A64" s="214" t="s">
        <v>397</v>
      </c>
      <c r="B64" s="64">
        <v>0.4</v>
      </c>
      <c r="C64" s="64">
        <v>25.07</v>
      </c>
      <c r="D64" s="64">
        <v>47.37</v>
      </c>
      <c r="E64" s="64">
        <v>6.89</v>
      </c>
      <c r="F64" s="64">
        <v>16.89</v>
      </c>
      <c r="G64" s="64">
        <v>97.6</v>
      </c>
      <c r="H64" s="64">
        <v>30.96</v>
      </c>
      <c r="I64" s="64">
        <v>4.03</v>
      </c>
      <c r="J64" s="64">
        <v>1.03</v>
      </c>
      <c r="K64" s="64">
        <v>254.66</v>
      </c>
      <c r="L64" s="64">
        <v>39.14</v>
      </c>
      <c r="M64" s="64">
        <v>32.96</v>
      </c>
      <c r="N64" s="64">
        <v>556.20000000000005</v>
      </c>
      <c r="O64" s="64">
        <v>0</v>
      </c>
      <c r="P64" s="211" t="s">
        <v>40</v>
      </c>
      <c r="Q64" s="64">
        <v>9.58</v>
      </c>
      <c r="R64" s="198"/>
      <c r="S64" s="198"/>
      <c r="T64" s="198"/>
      <c r="U64" s="198"/>
    </row>
    <row r="65" spans="1:21" s="12" customFormat="1" x14ac:dyDescent="0.25">
      <c r="A65" s="214" t="s">
        <v>398</v>
      </c>
      <c r="B65" s="64">
        <v>0.34</v>
      </c>
      <c r="C65" s="64">
        <v>23.6</v>
      </c>
      <c r="D65" s="64">
        <v>44.66</v>
      </c>
      <c r="E65" s="64">
        <v>4.79</v>
      </c>
      <c r="F65" s="64">
        <v>10.39</v>
      </c>
      <c r="G65" s="64">
        <v>94.94</v>
      </c>
      <c r="H65" s="64">
        <v>26.42</v>
      </c>
      <c r="I65" s="64">
        <v>4.07</v>
      </c>
      <c r="J65" s="64">
        <v>0.87</v>
      </c>
      <c r="K65" s="64">
        <v>280.36</v>
      </c>
      <c r="L65" s="64">
        <v>39.68</v>
      </c>
      <c r="M65" s="64">
        <v>31.06</v>
      </c>
      <c r="N65" s="64">
        <v>473.3</v>
      </c>
      <c r="O65" s="64">
        <v>0</v>
      </c>
      <c r="P65" s="64">
        <v>0.6</v>
      </c>
      <c r="Q65" s="64">
        <v>9.58</v>
      </c>
      <c r="R65" s="198"/>
      <c r="S65" s="198"/>
      <c r="T65" s="198"/>
      <c r="U65" s="198"/>
    </row>
    <row r="66" spans="1:21" s="12" customFormat="1" x14ac:dyDescent="0.25">
      <c r="A66" s="214" t="s">
        <v>399</v>
      </c>
      <c r="B66" s="64">
        <v>0.35</v>
      </c>
      <c r="C66" s="64">
        <v>21.81</v>
      </c>
      <c r="D66" s="64">
        <v>41.2</v>
      </c>
      <c r="E66" s="64">
        <v>3.46</v>
      </c>
      <c r="F66" s="64">
        <v>12.13</v>
      </c>
      <c r="G66" s="64">
        <v>94.94</v>
      </c>
      <c r="H66" s="64">
        <v>26.42</v>
      </c>
      <c r="I66" s="64">
        <v>3.83</v>
      </c>
      <c r="J66" s="64">
        <v>0.11</v>
      </c>
      <c r="K66" s="64">
        <v>154.16999999999999</v>
      </c>
      <c r="L66" s="64">
        <v>39.78</v>
      </c>
      <c r="M66" s="64">
        <v>29.64</v>
      </c>
      <c r="N66" s="64">
        <v>292.8</v>
      </c>
      <c r="O66" s="64">
        <v>0</v>
      </c>
      <c r="P66" s="64">
        <v>0.54</v>
      </c>
      <c r="Q66" s="64">
        <v>9.58</v>
      </c>
      <c r="R66" s="198"/>
      <c r="S66" s="198"/>
      <c r="T66" s="198"/>
      <c r="U66" s="198"/>
    </row>
    <row r="67" spans="1:21" s="12" customFormat="1" x14ac:dyDescent="0.25">
      <c r="A67" s="214" t="s">
        <v>400</v>
      </c>
      <c r="B67" s="64">
        <v>0.77</v>
      </c>
      <c r="C67" s="64">
        <v>23.47</v>
      </c>
      <c r="D67" s="64">
        <v>43.73</v>
      </c>
      <c r="E67" s="64">
        <v>4.34</v>
      </c>
      <c r="F67" s="64">
        <v>14.91</v>
      </c>
      <c r="G67" s="64">
        <v>94.94</v>
      </c>
      <c r="H67" s="64">
        <v>26.42</v>
      </c>
      <c r="I67" s="64">
        <v>4.09</v>
      </c>
      <c r="J67" s="64">
        <v>0.35</v>
      </c>
      <c r="K67" s="64">
        <v>178.34</v>
      </c>
      <c r="L67" s="64">
        <v>38.28</v>
      </c>
      <c r="M67" s="64">
        <v>30.84</v>
      </c>
      <c r="N67" s="64">
        <v>344.7</v>
      </c>
      <c r="O67" s="64">
        <v>0</v>
      </c>
      <c r="P67" s="64">
        <v>0.52</v>
      </c>
      <c r="Q67" s="64">
        <v>9.5399999999999991</v>
      </c>
      <c r="R67" s="198"/>
      <c r="S67" s="198"/>
      <c r="T67" s="198"/>
      <c r="U67" s="198"/>
    </row>
    <row r="68" spans="1:21" s="12" customFormat="1" x14ac:dyDescent="0.25">
      <c r="A68" s="214" t="s">
        <v>401</v>
      </c>
      <c r="B68" s="64">
        <v>1.73</v>
      </c>
      <c r="C68" s="64">
        <v>22.87</v>
      </c>
      <c r="D68" s="64">
        <v>40.74</v>
      </c>
      <c r="E68" s="64">
        <v>4.9000000000000004</v>
      </c>
      <c r="F68" s="64">
        <v>16.57</v>
      </c>
      <c r="G68" s="64">
        <v>94.94</v>
      </c>
      <c r="H68" s="64">
        <v>26.42</v>
      </c>
      <c r="I68" s="64">
        <v>4.22</v>
      </c>
      <c r="J68" s="64">
        <v>0.49</v>
      </c>
      <c r="K68" s="64">
        <v>246.32</v>
      </c>
      <c r="L68" s="64">
        <v>39.229999999999997</v>
      </c>
      <c r="M68" s="64">
        <v>28.99</v>
      </c>
      <c r="N68" s="64">
        <v>366.8</v>
      </c>
      <c r="O68" s="64">
        <v>0</v>
      </c>
      <c r="P68" s="64">
        <v>0.49</v>
      </c>
      <c r="Q68" s="64">
        <v>9.59</v>
      </c>
      <c r="R68" s="198"/>
      <c r="S68" s="198"/>
      <c r="T68" s="198"/>
      <c r="U68" s="198"/>
    </row>
    <row r="69" spans="1:21" s="12" customFormat="1" x14ac:dyDescent="0.25">
      <c r="A69" s="214" t="s">
        <v>402</v>
      </c>
      <c r="B69" s="64">
        <v>6.91</v>
      </c>
      <c r="C69" s="64">
        <v>26.41</v>
      </c>
      <c r="D69" s="64">
        <v>36.89</v>
      </c>
      <c r="E69" s="64">
        <v>7.67</v>
      </c>
      <c r="F69" s="64">
        <v>30.56</v>
      </c>
      <c r="G69" s="64">
        <v>2.0699999999999998</v>
      </c>
      <c r="H69" s="64">
        <v>24.82</v>
      </c>
      <c r="I69" s="64">
        <v>4.12</v>
      </c>
      <c r="J69" s="64">
        <v>0.56000000000000005</v>
      </c>
      <c r="K69" s="64">
        <v>138.09</v>
      </c>
      <c r="L69" s="64">
        <v>37.75</v>
      </c>
      <c r="M69" s="64">
        <v>31.03</v>
      </c>
      <c r="N69" s="64">
        <v>330</v>
      </c>
      <c r="O69" s="64">
        <v>0</v>
      </c>
      <c r="P69" s="64">
        <v>0.35</v>
      </c>
      <c r="Q69" s="64">
        <v>9.57</v>
      </c>
      <c r="R69" s="198"/>
      <c r="S69" s="198"/>
      <c r="T69" s="198"/>
      <c r="U69" s="198"/>
    </row>
    <row r="70" spans="1:21" s="12" customFormat="1" x14ac:dyDescent="0.25">
      <c r="A70" s="214" t="s">
        <v>403</v>
      </c>
      <c r="B70" s="64">
        <v>7.21</v>
      </c>
      <c r="C70" s="64">
        <v>27.97</v>
      </c>
      <c r="D70" s="64">
        <v>39.409999999999997</v>
      </c>
      <c r="E70" s="64">
        <v>7.95</v>
      </c>
      <c r="F70" s="64">
        <v>23.58</v>
      </c>
      <c r="G70" s="64">
        <v>2.0699999999999998</v>
      </c>
      <c r="H70" s="64">
        <v>24.82</v>
      </c>
      <c r="I70" s="64">
        <v>3.96</v>
      </c>
      <c r="J70" s="64">
        <v>0.27</v>
      </c>
      <c r="K70" s="64">
        <v>237.42</v>
      </c>
      <c r="L70" s="64">
        <v>38.14</v>
      </c>
      <c r="M70" s="64">
        <v>30.4</v>
      </c>
      <c r="N70" s="64">
        <v>338.3</v>
      </c>
      <c r="O70" s="64">
        <v>0</v>
      </c>
      <c r="P70" s="64">
        <v>0.37</v>
      </c>
      <c r="Q70" s="64">
        <v>9.6</v>
      </c>
      <c r="R70" s="198"/>
      <c r="S70" s="198"/>
      <c r="T70" s="198"/>
      <c r="U70" s="198"/>
    </row>
    <row r="71" spans="1:21" s="12" customFormat="1" x14ac:dyDescent="0.25">
      <c r="A71" s="214" t="s">
        <v>404</v>
      </c>
      <c r="B71" s="64">
        <v>8.5500000000000007</v>
      </c>
      <c r="C71" s="64">
        <v>30.91</v>
      </c>
      <c r="D71" s="64">
        <v>42.99</v>
      </c>
      <c r="E71" s="64">
        <v>4.87</v>
      </c>
      <c r="F71" s="64">
        <v>20.3</v>
      </c>
      <c r="G71" s="64">
        <v>2.0699999999999998</v>
      </c>
      <c r="H71" s="64">
        <v>24.82</v>
      </c>
      <c r="I71" s="64">
        <v>3.98</v>
      </c>
      <c r="J71" s="64">
        <v>0.69</v>
      </c>
      <c r="K71" s="64">
        <v>275.91000000000003</v>
      </c>
      <c r="L71" s="64">
        <v>39.08</v>
      </c>
      <c r="M71" s="64">
        <v>29.5</v>
      </c>
      <c r="N71" s="64">
        <v>423.5</v>
      </c>
      <c r="O71" s="64">
        <v>0</v>
      </c>
      <c r="P71" s="64">
        <v>0.41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4" t="s">
        <v>405</v>
      </c>
      <c r="B72" s="64">
        <v>7.8</v>
      </c>
      <c r="C72" s="64">
        <v>27.81</v>
      </c>
      <c r="D72" s="64">
        <v>38.22</v>
      </c>
      <c r="E72" s="64">
        <v>6.74</v>
      </c>
      <c r="F72" s="64">
        <v>32.21</v>
      </c>
      <c r="G72" s="64">
        <v>2.0699999999999998</v>
      </c>
      <c r="H72" s="64">
        <v>24.82</v>
      </c>
      <c r="I72" s="64">
        <v>3.94</v>
      </c>
      <c r="J72" s="64">
        <v>0.2</v>
      </c>
      <c r="K72" s="64">
        <v>105.04</v>
      </c>
      <c r="L72" s="64">
        <v>38.590000000000003</v>
      </c>
      <c r="M72" s="64">
        <v>29.63</v>
      </c>
      <c r="N72" s="64">
        <v>371.3</v>
      </c>
      <c r="O72" s="64">
        <v>0</v>
      </c>
      <c r="P72" s="64">
        <v>0.36</v>
      </c>
      <c r="Q72" s="64">
        <v>9.6</v>
      </c>
      <c r="R72" s="198"/>
      <c r="S72" s="198"/>
      <c r="T72" s="198"/>
      <c r="U72" s="198"/>
    </row>
    <row r="73" spans="1:21" s="12" customFormat="1" x14ac:dyDescent="0.25">
      <c r="A73" s="214" t="s">
        <v>406</v>
      </c>
      <c r="B73" s="64">
        <v>11.18</v>
      </c>
      <c r="C73" s="64">
        <v>33.89</v>
      </c>
      <c r="D73" s="64">
        <v>44.65</v>
      </c>
      <c r="E73" s="64">
        <v>9.82</v>
      </c>
      <c r="F73" s="64">
        <v>26.65</v>
      </c>
      <c r="G73" s="64">
        <v>20.51</v>
      </c>
      <c r="H73" s="64">
        <v>17.43</v>
      </c>
      <c r="I73" s="64">
        <v>3.83</v>
      </c>
      <c r="J73" s="64">
        <v>0.23</v>
      </c>
      <c r="K73" s="64">
        <v>246.71</v>
      </c>
      <c r="L73" s="64">
        <v>37.78</v>
      </c>
      <c r="M73" s="64">
        <v>32.450000000000003</v>
      </c>
      <c r="N73" s="64">
        <v>292.3</v>
      </c>
      <c r="O73" s="64">
        <v>0</v>
      </c>
      <c r="P73" s="64">
        <v>0.44</v>
      </c>
      <c r="Q73" s="64">
        <v>9.59</v>
      </c>
      <c r="R73" s="198"/>
      <c r="S73" s="198"/>
      <c r="T73" s="198"/>
      <c r="U73" s="198"/>
    </row>
    <row r="74" spans="1:21" s="12" customFormat="1" x14ac:dyDescent="0.25">
      <c r="A74" s="214" t="s">
        <v>407</v>
      </c>
      <c r="B74" s="64">
        <v>12.03</v>
      </c>
      <c r="C74" s="64">
        <v>42.8</v>
      </c>
      <c r="D74" s="64">
        <v>60.41</v>
      </c>
      <c r="E74" s="64">
        <v>10.59</v>
      </c>
      <c r="F74" s="64">
        <v>27.12</v>
      </c>
      <c r="G74" s="64">
        <v>20.51</v>
      </c>
      <c r="H74" s="64">
        <v>17.43</v>
      </c>
      <c r="I74" s="64">
        <v>4.05</v>
      </c>
      <c r="J74" s="64">
        <v>0.4</v>
      </c>
      <c r="K74" s="64">
        <v>299.48</v>
      </c>
      <c r="L74" s="64">
        <v>38.14</v>
      </c>
      <c r="M74" s="64">
        <v>32.9</v>
      </c>
      <c r="N74" s="64">
        <v>189.6</v>
      </c>
      <c r="O74" s="64">
        <v>0</v>
      </c>
      <c r="P74" s="64">
        <v>0.63</v>
      </c>
      <c r="Q74" s="64">
        <v>9.59</v>
      </c>
      <c r="R74" s="198"/>
      <c r="S74" s="198"/>
      <c r="T74" s="198"/>
      <c r="U74" s="198"/>
    </row>
    <row r="75" spans="1:21" s="12" customFormat="1" x14ac:dyDescent="0.25">
      <c r="A75" s="214" t="s">
        <v>408</v>
      </c>
      <c r="B75" s="64">
        <v>13.88</v>
      </c>
      <c r="C75" s="64">
        <v>45.13</v>
      </c>
      <c r="D75" s="64">
        <v>62.03</v>
      </c>
      <c r="E75" s="64">
        <v>11.05</v>
      </c>
      <c r="F75" s="64">
        <v>29.5</v>
      </c>
      <c r="G75" s="64">
        <v>20.51</v>
      </c>
      <c r="H75" s="64">
        <v>17.43</v>
      </c>
      <c r="I75" s="64">
        <v>4.01</v>
      </c>
      <c r="J75" s="64">
        <v>0.04</v>
      </c>
      <c r="K75" s="64">
        <v>13.52</v>
      </c>
      <c r="L75" s="64">
        <v>37.82</v>
      </c>
      <c r="M75" s="64">
        <v>32.44</v>
      </c>
      <c r="N75" s="64">
        <v>147.4</v>
      </c>
      <c r="O75" s="64">
        <v>0</v>
      </c>
      <c r="P75" s="64">
        <v>0.55000000000000004</v>
      </c>
      <c r="Q75" s="64">
        <v>9.6</v>
      </c>
      <c r="R75" s="198"/>
      <c r="S75" s="198"/>
      <c r="T75" s="198"/>
      <c r="U75" s="198"/>
    </row>
    <row r="76" spans="1:21" s="12" customFormat="1" x14ac:dyDescent="0.25">
      <c r="A76" s="214" t="s">
        <v>409</v>
      </c>
      <c r="B76" s="64">
        <v>8.5</v>
      </c>
      <c r="C76" s="64">
        <v>28.68</v>
      </c>
      <c r="D76" s="64">
        <v>38.799999999999997</v>
      </c>
      <c r="E76" s="64">
        <v>10.27</v>
      </c>
      <c r="F76" s="64">
        <v>33.299999999999997</v>
      </c>
      <c r="G76" s="64">
        <v>20.51</v>
      </c>
      <c r="H76" s="64">
        <v>17.43</v>
      </c>
      <c r="I76" s="64">
        <v>3.9</v>
      </c>
      <c r="J76" s="64">
        <v>0.27</v>
      </c>
      <c r="K76" s="64">
        <v>104.17</v>
      </c>
      <c r="L76" s="64">
        <v>37.08</v>
      </c>
      <c r="M76" s="64">
        <v>33.770000000000003</v>
      </c>
      <c r="N76" s="64">
        <v>133.19999999999999</v>
      </c>
      <c r="O76" s="64">
        <v>0</v>
      </c>
      <c r="P76" s="64">
        <v>0.35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4" t="s">
        <v>410</v>
      </c>
      <c r="B77" s="64">
        <v>14.38</v>
      </c>
      <c r="C77" s="64">
        <v>39.17</v>
      </c>
      <c r="D77" s="64">
        <v>49.86</v>
      </c>
      <c r="E77" s="64">
        <v>7.37</v>
      </c>
      <c r="F77" s="64">
        <v>16.149999999999999</v>
      </c>
      <c r="G77" s="64">
        <v>55.68</v>
      </c>
      <c r="H77" s="64">
        <v>16.760000000000002</v>
      </c>
      <c r="I77" s="64">
        <v>3.97</v>
      </c>
      <c r="J77" s="64">
        <v>0.72</v>
      </c>
      <c r="K77" s="64">
        <v>276.52</v>
      </c>
      <c r="L77" s="64">
        <v>37.43</v>
      </c>
      <c r="M77" s="64">
        <v>35.409999999999997</v>
      </c>
      <c r="N77" s="64">
        <v>120.5</v>
      </c>
      <c r="O77" s="64">
        <v>0</v>
      </c>
      <c r="P77" s="64">
        <v>0.55000000000000004</v>
      </c>
      <c r="Q77" s="64">
        <v>9.6</v>
      </c>
      <c r="R77" s="198"/>
      <c r="S77" s="198"/>
      <c r="T77" s="198"/>
      <c r="U77" s="198"/>
    </row>
    <row r="78" spans="1:21" s="12" customFormat="1" x14ac:dyDescent="0.25">
      <c r="A78" s="214" t="s">
        <v>411</v>
      </c>
      <c r="B78" s="64">
        <v>9.01</v>
      </c>
      <c r="C78" s="64">
        <v>37.54</v>
      </c>
      <c r="D78" s="64">
        <v>54.98</v>
      </c>
      <c r="E78" s="64">
        <v>9.7200000000000006</v>
      </c>
      <c r="F78" s="64">
        <v>31.5</v>
      </c>
      <c r="G78" s="64">
        <v>55.68</v>
      </c>
      <c r="H78" s="64">
        <v>16.760000000000002</v>
      </c>
      <c r="I78" s="64">
        <v>4.04</v>
      </c>
      <c r="J78" s="64">
        <v>0.28999999999999998</v>
      </c>
      <c r="K78" s="64">
        <v>161.61000000000001</v>
      </c>
      <c r="L78" s="64">
        <v>37.15</v>
      </c>
      <c r="M78" s="64">
        <v>34.61</v>
      </c>
      <c r="N78" s="64">
        <v>109.3</v>
      </c>
      <c r="O78" s="64">
        <v>0</v>
      </c>
      <c r="P78" s="64">
        <v>0.73</v>
      </c>
      <c r="Q78" s="64">
        <v>9.56</v>
      </c>
      <c r="R78" s="198"/>
      <c r="S78" s="198"/>
      <c r="T78" s="198"/>
      <c r="U78" s="198"/>
    </row>
    <row r="79" spans="1:21" s="12" customFormat="1" x14ac:dyDescent="0.25">
      <c r="A79" s="214" t="s">
        <v>412</v>
      </c>
      <c r="B79" s="64">
        <v>6.91</v>
      </c>
      <c r="C79" s="64">
        <v>33.53</v>
      </c>
      <c r="D79" s="64">
        <v>50.51</v>
      </c>
      <c r="E79" s="64">
        <v>11.52</v>
      </c>
      <c r="F79" s="64">
        <v>27.03</v>
      </c>
      <c r="G79" s="64">
        <v>55.68</v>
      </c>
      <c r="H79" s="64">
        <v>16.760000000000002</v>
      </c>
      <c r="I79" s="64">
        <v>4.18</v>
      </c>
      <c r="J79" s="64">
        <v>0.61</v>
      </c>
      <c r="K79" s="64">
        <v>179.26</v>
      </c>
      <c r="L79" s="64">
        <v>36.74</v>
      </c>
      <c r="M79" s="64">
        <v>35.340000000000003</v>
      </c>
      <c r="N79" s="64">
        <v>95.6</v>
      </c>
      <c r="O79" s="64">
        <v>0</v>
      </c>
      <c r="P79" s="64">
        <v>0.64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4" t="s">
        <v>413</v>
      </c>
      <c r="B80" s="64">
        <v>7.86</v>
      </c>
      <c r="C80" s="64">
        <v>32.56</v>
      </c>
      <c r="D80" s="64">
        <v>47.2</v>
      </c>
      <c r="E80" s="64">
        <v>7.42</v>
      </c>
      <c r="F80" s="64">
        <v>20.85</v>
      </c>
      <c r="G80" s="64">
        <v>55.68</v>
      </c>
      <c r="H80" s="64">
        <v>16.760000000000002</v>
      </c>
      <c r="I80" s="64">
        <v>4.2300000000000004</v>
      </c>
      <c r="J80" s="64">
        <v>0.62</v>
      </c>
      <c r="K80" s="64">
        <v>178.92</v>
      </c>
      <c r="L80" s="64">
        <v>36.25</v>
      </c>
      <c r="M80" s="64">
        <v>36.450000000000003</v>
      </c>
      <c r="N80" s="64">
        <v>79.900000000000006</v>
      </c>
      <c r="O80" s="64">
        <v>0</v>
      </c>
      <c r="P80" s="64">
        <v>0.65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4" t="s">
        <v>414</v>
      </c>
      <c r="B81" s="64">
        <v>6.71</v>
      </c>
      <c r="C81" s="64">
        <v>45.61</v>
      </c>
      <c r="D81" s="64">
        <v>73.95</v>
      </c>
      <c r="E81" s="64">
        <v>12.62</v>
      </c>
      <c r="F81" s="64">
        <v>29.02</v>
      </c>
      <c r="G81" s="64">
        <v>50.92</v>
      </c>
      <c r="H81" s="64">
        <v>18.07</v>
      </c>
      <c r="I81" s="64">
        <v>3.84</v>
      </c>
      <c r="J81" s="64">
        <v>0.45</v>
      </c>
      <c r="K81" s="64">
        <v>222.73</v>
      </c>
      <c r="L81" s="64">
        <v>35.909999999999997</v>
      </c>
      <c r="M81" s="64">
        <v>37.630000000000003</v>
      </c>
      <c r="N81" s="64">
        <v>67.599999999999994</v>
      </c>
      <c r="O81" s="64">
        <v>0</v>
      </c>
      <c r="P81" s="64">
        <v>0.97</v>
      </c>
      <c r="Q81" s="64">
        <v>9.59</v>
      </c>
      <c r="R81" s="198"/>
      <c r="S81" s="198"/>
      <c r="T81" s="198"/>
      <c r="U81" s="198"/>
    </row>
    <row r="82" spans="1:26" s="12" customFormat="1" x14ac:dyDescent="0.25">
      <c r="A82" s="214" t="s">
        <v>415</v>
      </c>
      <c r="B82" s="64">
        <v>6.71</v>
      </c>
      <c r="C82" s="64">
        <v>44.65</v>
      </c>
      <c r="D82" s="64">
        <v>72.11</v>
      </c>
      <c r="E82" s="64">
        <v>13.37</v>
      </c>
      <c r="F82" s="64">
        <v>27.05</v>
      </c>
      <c r="G82" s="64">
        <v>50.92</v>
      </c>
      <c r="H82" s="64">
        <v>18.07</v>
      </c>
      <c r="I82" s="64">
        <v>3.97</v>
      </c>
      <c r="J82" s="64">
        <v>0.32</v>
      </c>
      <c r="K82" s="64">
        <v>226.45</v>
      </c>
      <c r="L82" s="64">
        <v>35.409999999999997</v>
      </c>
      <c r="M82" s="64">
        <v>39.26</v>
      </c>
      <c r="N82" s="64">
        <v>60.2</v>
      </c>
      <c r="O82" s="64">
        <v>0</v>
      </c>
      <c r="P82" s="64">
        <v>1.02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4" t="s">
        <v>416</v>
      </c>
      <c r="B83" s="64">
        <v>8.32</v>
      </c>
      <c r="C83" s="64">
        <v>58.72</v>
      </c>
      <c r="D83" s="64">
        <v>96.56</v>
      </c>
      <c r="E83" s="64">
        <v>11.04</v>
      </c>
      <c r="F83" s="64">
        <v>20.329999999999998</v>
      </c>
      <c r="G83" s="64">
        <v>50.92</v>
      </c>
      <c r="H83" s="64">
        <v>18.07</v>
      </c>
      <c r="I83" s="64">
        <v>4.04</v>
      </c>
      <c r="J83" s="64">
        <v>0.33</v>
      </c>
      <c r="K83" s="64">
        <v>241.77</v>
      </c>
      <c r="L83" s="64">
        <v>34.96</v>
      </c>
      <c r="M83" s="64">
        <v>40.229999999999997</v>
      </c>
      <c r="N83" s="64">
        <v>57.9</v>
      </c>
      <c r="O83" s="64">
        <v>0</v>
      </c>
      <c r="P83" s="64">
        <v>1.1299999999999999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4" t="s">
        <v>417</v>
      </c>
      <c r="B84" s="64">
        <v>12.84</v>
      </c>
      <c r="C84" s="64">
        <v>79.900000000000006</v>
      </c>
      <c r="D84" s="64">
        <v>130.18</v>
      </c>
      <c r="E84" s="64">
        <v>12.47</v>
      </c>
      <c r="F84" s="64">
        <v>18.57</v>
      </c>
      <c r="G84" s="64">
        <v>50.92</v>
      </c>
      <c r="H84" s="64">
        <v>18.07</v>
      </c>
      <c r="I84" s="64">
        <v>4.03</v>
      </c>
      <c r="J84" s="64">
        <v>0.33</v>
      </c>
      <c r="K84" s="64">
        <v>219.97</v>
      </c>
      <c r="L84" s="64">
        <v>34.67</v>
      </c>
      <c r="M84" s="64">
        <v>41.7</v>
      </c>
      <c r="N84" s="64">
        <v>57.2</v>
      </c>
      <c r="O84" s="64">
        <v>0</v>
      </c>
      <c r="P84" s="64">
        <v>1.4</v>
      </c>
      <c r="Q84" s="64">
        <v>9.57</v>
      </c>
      <c r="R84" s="198"/>
      <c r="S84" s="198"/>
      <c r="T84" s="198"/>
      <c r="U84" s="198"/>
    </row>
    <row r="85" spans="1:26" s="12" customFormat="1" x14ac:dyDescent="0.25">
      <c r="A85" s="214" t="s">
        <v>418</v>
      </c>
      <c r="B85" s="64">
        <v>10.039999999999999</v>
      </c>
      <c r="C85" s="64">
        <v>61.19</v>
      </c>
      <c r="D85" s="64">
        <v>98.65</v>
      </c>
      <c r="E85" s="64">
        <v>10.89</v>
      </c>
      <c r="F85" s="64">
        <v>18.809999999999999</v>
      </c>
      <c r="G85" s="64">
        <v>60.48</v>
      </c>
      <c r="H85" s="64">
        <v>18.52</v>
      </c>
      <c r="I85" s="64">
        <v>4.1399999999999997</v>
      </c>
      <c r="J85" s="64">
        <v>0.32</v>
      </c>
      <c r="K85" s="64">
        <v>230.81</v>
      </c>
      <c r="L85" s="64">
        <v>34.39</v>
      </c>
      <c r="M85" s="64">
        <v>42.28</v>
      </c>
      <c r="N85" s="64">
        <v>57.5</v>
      </c>
      <c r="O85" s="64">
        <v>0</v>
      </c>
      <c r="P85" s="64">
        <v>1.1100000000000001</v>
      </c>
      <c r="Q85" s="64">
        <v>9.6</v>
      </c>
      <c r="R85" s="198"/>
      <c r="S85" s="198"/>
      <c r="T85" s="198"/>
      <c r="U85" s="198"/>
    </row>
    <row r="86" spans="1:26" s="12" customFormat="1" x14ac:dyDescent="0.25">
      <c r="A86" s="214" t="s">
        <v>419</v>
      </c>
      <c r="B86" s="64">
        <v>11.73</v>
      </c>
      <c r="C86" s="64">
        <v>83.87</v>
      </c>
      <c r="D86" s="64">
        <v>139.47</v>
      </c>
      <c r="E86" s="64">
        <v>11.09</v>
      </c>
      <c r="F86" s="64">
        <v>16.39</v>
      </c>
      <c r="G86" s="64">
        <v>60.48</v>
      </c>
      <c r="H86" s="64">
        <v>18.52</v>
      </c>
      <c r="I86" s="64">
        <v>4.1100000000000003</v>
      </c>
      <c r="J86" s="64">
        <v>0.26</v>
      </c>
      <c r="K86" s="64">
        <v>173.02</v>
      </c>
      <c r="L86" s="64">
        <v>34.1</v>
      </c>
      <c r="M86" s="64">
        <v>44.2</v>
      </c>
      <c r="N86" s="64">
        <v>57.4</v>
      </c>
      <c r="O86" s="64">
        <v>0</v>
      </c>
      <c r="P86" s="64">
        <v>1.44</v>
      </c>
      <c r="Q86" s="64">
        <v>9.56</v>
      </c>
      <c r="R86" s="198"/>
      <c r="S86" s="198"/>
      <c r="T86" s="198"/>
      <c r="U86" s="198"/>
    </row>
    <row r="87" spans="1:26" s="12" customFormat="1" x14ac:dyDescent="0.25">
      <c r="A87" s="214" t="s">
        <v>420</v>
      </c>
      <c r="B87" s="64">
        <v>13.56</v>
      </c>
      <c r="C87" s="64">
        <v>69.3</v>
      </c>
      <c r="D87" s="64">
        <v>108.77</v>
      </c>
      <c r="E87" s="64">
        <v>9.2100000000000009</v>
      </c>
      <c r="F87" s="64">
        <v>14.15</v>
      </c>
      <c r="G87" s="64">
        <v>60.48</v>
      </c>
      <c r="H87" s="64">
        <v>18.52</v>
      </c>
      <c r="I87" s="64">
        <v>4.01</v>
      </c>
      <c r="J87" s="64">
        <v>0.52</v>
      </c>
      <c r="K87" s="64">
        <v>189.02</v>
      </c>
      <c r="L87" s="64">
        <v>33.94</v>
      </c>
      <c r="M87" s="64">
        <v>46.41</v>
      </c>
      <c r="N87" s="64">
        <v>57.1</v>
      </c>
      <c r="O87" s="64">
        <v>0</v>
      </c>
      <c r="P87" s="64">
        <v>1.27</v>
      </c>
      <c r="Q87" s="64">
        <v>9.6</v>
      </c>
      <c r="R87" s="198"/>
      <c r="S87" s="198"/>
      <c r="T87" s="198"/>
      <c r="U87" s="198"/>
    </row>
    <row r="88" spans="1:26" s="12" customFormat="1" x14ac:dyDescent="0.25">
      <c r="A88" s="214" t="s">
        <v>421</v>
      </c>
      <c r="B88" s="64">
        <v>11.19</v>
      </c>
      <c r="C88" s="64">
        <v>38.47</v>
      </c>
      <c r="D88" s="64">
        <v>53.4</v>
      </c>
      <c r="E88" s="64">
        <v>5.69</v>
      </c>
      <c r="F88" s="64">
        <v>14</v>
      </c>
      <c r="G88" s="64">
        <v>60.48</v>
      </c>
      <c r="H88" s="64">
        <v>18.52</v>
      </c>
      <c r="I88" s="64">
        <v>4.05</v>
      </c>
      <c r="J88" s="64">
        <v>0.98</v>
      </c>
      <c r="K88" s="64">
        <v>162.62</v>
      </c>
      <c r="L88" s="64">
        <v>33.729999999999997</v>
      </c>
      <c r="M88" s="64">
        <v>49.74</v>
      </c>
      <c r="N88" s="64">
        <v>57</v>
      </c>
      <c r="O88" s="64">
        <v>0</v>
      </c>
      <c r="P88" s="64">
        <v>0.82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4" t="s">
        <v>422</v>
      </c>
      <c r="B89" s="64">
        <v>12.03</v>
      </c>
      <c r="C89" s="64">
        <v>42.75</v>
      </c>
      <c r="D89" s="64">
        <v>60.31</v>
      </c>
      <c r="E89" s="64">
        <v>4.67</v>
      </c>
      <c r="F89" s="64">
        <v>13.84</v>
      </c>
      <c r="G89" s="64">
        <v>69.31</v>
      </c>
      <c r="H89" s="64">
        <v>17.07</v>
      </c>
      <c r="I89" s="64">
        <v>3.85</v>
      </c>
      <c r="J89" s="64">
        <v>0.69</v>
      </c>
      <c r="K89" s="64">
        <v>156.26</v>
      </c>
      <c r="L89" s="64">
        <v>33.44</v>
      </c>
      <c r="M89" s="64">
        <v>52.11</v>
      </c>
      <c r="N89" s="64">
        <v>57.4</v>
      </c>
      <c r="O89" s="64">
        <v>0</v>
      </c>
      <c r="P89" s="64">
        <v>0.73</v>
      </c>
      <c r="Q89" s="64">
        <v>9.6</v>
      </c>
      <c r="R89" s="198"/>
      <c r="S89" s="198"/>
      <c r="T89" s="198"/>
      <c r="U89" s="198"/>
    </row>
    <row r="90" spans="1:26" s="12" customFormat="1" x14ac:dyDescent="0.25">
      <c r="A90" s="214" t="s">
        <v>423</v>
      </c>
      <c r="B90" s="64">
        <v>10.95</v>
      </c>
      <c r="C90" s="64">
        <v>38.61</v>
      </c>
      <c r="D90" s="64">
        <v>54.04</v>
      </c>
      <c r="E90" s="64">
        <v>4.3</v>
      </c>
      <c r="F90" s="64">
        <v>12.73</v>
      </c>
      <c r="G90" s="64">
        <v>69.31</v>
      </c>
      <c r="H90" s="64">
        <v>17.07</v>
      </c>
      <c r="I90" s="64">
        <v>4.0999999999999996</v>
      </c>
      <c r="J90" s="64">
        <v>0.89</v>
      </c>
      <c r="K90" s="64">
        <v>158.07</v>
      </c>
      <c r="L90" s="64">
        <v>33.15</v>
      </c>
      <c r="M90" s="64">
        <v>54.03</v>
      </c>
      <c r="N90" s="64">
        <v>57.3</v>
      </c>
      <c r="O90" s="64">
        <v>0</v>
      </c>
      <c r="P90" s="64">
        <v>0.72</v>
      </c>
      <c r="Q90" s="64">
        <v>9.59</v>
      </c>
      <c r="R90" s="198"/>
      <c r="S90" s="198"/>
      <c r="T90" s="198"/>
      <c r="U90" s="198"/>
    </row>
    <row r="91" spans="1:26" s="12" customFormat="1" x14ac:dyDescent="0.25">
      <c r="A91" s="214" t="s">
        <v>424</v>
      </c>
      <c r="B91" s="64">
        <v>11.22</v>
      </c>
      <c r="C91" s="64">
        <v>34.65</v>
      </c>
      <c r="D91" s="64">
        <v>46.06</v>
      </c>
      <c r="E91" s="64">
        <v>3.91</v>
      </c>
      <c r="F91" s="64">
        <v>10.84</v>
      </c>
      <c r="G91" s="64">
        <v>69.31</v>
      </c>
      <c r="H91" s="64">
        <v>17.07</v>
      </c>
      <c r="I91" s="64">
        <v>4.04</v>
      </c>
      <c r="J91" s="64">
        <v>1.1599999999999999</v>
      </c>
      <c r="K91" s="64">
        <v>163.32</v>
      </c>
      <c r="L91" s="64">
        <v>32.9</v>
      </c>
      <c r="M91" s="64">
        <v>55.35</v>
      </c>
      <c r="N91" s="64">
        <v>57.2</v>
      </c>
      <c r="O91" s="64">
        <v>0</v>
      </c>
      <c r="P91" s="64">
        <v>0.75</v>
      </c>
      <c r="Q91" s="64">
        <v>9.6</v>
      </c>
      <c r="R91" s="198"/>
      <c r="S91" s="198"/>
      <c r="T91" s="198"/>
      <c r="U91" s="198"/>
    </row>
    <row r="92" spans="1:26" s="12" customFormat="1" x14ac:dyDescent="0.25">
      <c r="A92" s="214" t="s">
        <v>425</v>
      </c>
      <c r="B92" s="64">
        <v>11.47</v>
      </c>
      <c r="C92" s="64">
        <v>31.84</v>
      </c>
      <c r="D92" s="64">
        <v>40.28</v>
      </c>
      <c r="E92" s="64">
        <v>3.54</v>
      </c>
      <c r="F92" s="64">
        <v>7.44</v>
      </c>
      <c r="G92" s="64">
        <v>69.31</v>
      </c>
      <c r="H92" s="64">
        <v>17.07</v>
      </c>
      <c r="I92" s="64">
        <v>3.97</v>
      </c>
      <c r="J92" s="64">
        <v>1.34</v>
      </c>
      <c r="K92" s="64">
        <v>156.34</v>
      </c>
      <c r="L92" s="64">
        <v>32.72</v>
      </c>
      <c r="M92" s="64">
        <v>55.09</v>
      </c>
      <c r="N92" s="64">
        <v>57.2</v>
      </c>
      <c r="O92" s="64">
        <v>0</v>
      </c>
      <c r="P92" s="64">
        <v>0.77</v>
      </c>
      <c r="Q92" s="64">
        <v>9.59</v>
      </c>
      <c r="R92" s="198"/>
      <c r="S92" s="198"/>
      <c r="T92" s="198"/>
      <c r="U92" s="198"/>
    </row>
    <row r="93" spans="1:26" s="12" customFormat="1" x14ac:dyDescent="0.25">
      <c r="A93" s="214" t="s">
        <v>426</v>
      </c>
      <c r="B93" s="64">
        <v>11.82</v>
      </c>
      <c r="C93" s="64">
        <v>36.97</v>
      </c>
      <c r="D93" s="64">
        <v>49.57</v>
      </c>
      <c r="E93" s="64">
        <v>3.52</v>
      </c>
      <c r="F93" s="64">
        <v>14.95</v>
      </c>
      <c r="G93" s="64">
        <v>40.700000000000003</v>
      </c>
      <c r="H93" s="64">
        <v>15.57</v>
      </c>
      <c r="I93" s="64">
        <v>4.03</v>
      </c>
      <c r="J93" s="64">
        <v>0.61</v>
      </c>
      <c r="K93" s="64">
        <v>161.13</v>
      </c>
      <c r="L93" s="64">
        <v>32.61</v>
      </c>
      <c r="M93" s="64">
        <v>53.93</v>
      </c>
      <c r="N93" s="64">
        <v>57.4</v>
      </c>
      <c r="O93" s="64">
        <v>0</v>
      </c>
      <c r="P93" s="64">
        <v>0.62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4" t="s">
        <v>427</v>
      </c>
      <c r="B94" s="64">
        <v>10.210000000000001</v>
      </c>
      <c r="C94" s="64">
        <v>46.83</v>
      </c>
      <c r="D94" s="64">
        <v>70.92</v>
      </c>
      <c r="E94" s="64">
        <v>4.04</v>
      </c>
      <c r="F94" s="64">
        <v>15.56</v>
      </c>
      <c r="G94" s="64">
        <v>40.380000000000003</v>
      </c>
      <c r="H94" s="64">
        <v>15.57</v>
      </c>
      <c r="I94" s="64">
        <v>4.07</v>
      </c>
      <c r="J94" s="64">
        <v>0.06</v>
      </c>
      <c r="K94" s="64">
        <v>68.7</v>
      </c>
      <c r="L94" s="64">
        <v>32.31</v>
      </c>
      <c r="M94" s="64">
        <v>54.94</v>
      </c>
      <c r="N94" s="64">
        <v>57.7</v>
      </c>
      <c r="O94" s="64">
        <v>0</v>
      </c>
      <c r="P94" s="64">
        <v>0.54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4" t="s">
        <v>428</v>
      </c>
      <c r="B95" s="64">
        <v>18.559999999999999</v>
      </c>
      <c r="C95" s="64">
        <v>57.12</v>
      </c>
      <c r="D95" s="64">
        <v>77.78</v>
      </c>
      <c r="E95" s="64">
        <v>3.6</v>
      </c>
      <c r="F95" s="64">
        <v>8.3699999999999992</v>
      </c>
      <c r="G95" s="64">
        <v>40.380000000000003</v>
      </c>
      <c r="H95" s="64">
        <v>15.57</v>
      </c>
      <c r="I95" s="64">
        <v>4.04</v>
      </c>
      <c r="J95" s="64">
        <v>0.27</v>
      </c>
      <c r="K95" s="64">
        <v>204.6</v>
      </c>
      <c r="L95" s="64">
        <v>32.119999999999997</v>
      </c>
      <c r="M95" s="64">
        <v>55.36</v>
      </c>
      <c r="N95" s="64">
        <v>57.3</v>
      </c>
      <c r="O95" s="64">
        <v>0</v>
      </c>
      <c r="P95" s="64">
        <v>0.67</v>
      </c>
      <c r="Q95" s="64">
        <v>9.6</v>
      </c>
      <c r="R95" s="198"/>
      <c r="S95" s="198"/>
      <c r="T95" s="198"/>
      <c r="U95" s="198"/>
    </row>
    <row r="96" spans="1:26" s="12" customFormat="1" x14ac:dyDescent="0.25">
      <c r="A96" s="214" t="s">
        <v>429</v>
      </c>
      <c r="B96" s="64">
        <v>25.36</v>
      </c>
      <c r="C96" s="64">
        <v>78.25</v>
      </c>
      <c r="D96" s="64">
        <v>107.79</v>
      </c>
      <c r="E96" s="64">
        <v>3.81</v>
      </c>
      <c r="F96" s="64">
        <v>8.0299999999999994</v>
      </c>
      <c r="G96" s="64">
        <v>40.380000000000003</v>
      </c>
      <c r="H96" s="64">
        <v>15.57</v>
      </c>
      <c r="I96" s="64">
        <v>3.84</v>
      </c>
      <c r="J96" s="64">
        <v>0.35</v>
      </c>
      <c r="K96" s="64">
        <v>224.42</v>
      </c>
      <c r="L96" s="64">
        <v>32.03</v>
      </c>
      <c r="M96" s="64">
        <v>56.2</v>
      </c>
      <c r="N96" s="64">
        <v>57.4</v>
      </c>
      <c r="O96" s="64">
        <v>0</v>
      </c>
      <c r="P96" s="64">
        <v>0.72</v>
      </c>
      <c r="Q96" s="64">
        <v>9.5399999999999991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430</v>
      </c>
      <c r="B97" s="64">
        <v>14.4</v>
      </c>
      <c r="C97" s="64">
        <v>39.25</v>
      </c>
      <c r="D97" s="64">
        <v>49.96</v>
      </c>
      <c r="E97" s="64">
        <v>3.69</v>
      </c>
      <c r="F97" s="64">
        <v>9.4</v>
      </c>
      <c r="G97" s="64">
        <v>28.79</v>
      </c>
      <c r="H97" s="64">
        <v>15.3</v>
      </c>
      <c r="I97" s="64">
        <v>4.17</v>
      </c>
      <c r="J97" s="64">
        <v>0.41</v>
      </c>
      <c r="K97" s="64">
        <v>199.41</v>
      </c>
      <c r="L97" s="64">
        <v>32.17</v>
      </c>
      <c r="M97" s="64">
        <v>54.34</v>
      </c>
      <c r="N97" s="64">
        <v>57.3</v>
      </c>
      <c r="O97" s="64">
        <v>0</v>
      </c>
      <c r="P97" s="64">
        <v>0.74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4" t="s">
        <v>431</v>
      </c>
      <c r="B98" s="64">
        <v>12.02</v>
      </c>
      <c r="C98" s="64">
        <v>49.06</v>
      </c>
      <c r="D98" s="64">
        <v>72.41</v>
      </c>
      <c r="E98" s="64">
        <v>3.39</v>
      </c>
      <c r="F98" s="64">
        <v>11.59</v>
      </c>
      <c r="G98" s="64">
        <v>28.79</v>
      </c>
      <c r="H98" s="64">
        <v>15.3</v>
      </c>
      <c r="I98" s="64">
        <v>4.01</v>
      </c>
      <c r="J98" s="64">
        <v>0.44</v>
      </c>
      <c r="K98" s="64">
        <v>187.6</v>
      </c>
      <c r="L98" s="64">
        <v>32.04</v>
      </c>
      <c r="M98" s="64">
        <v>54.12</v>
      </c>
      <c r="N98" s="64">
        <v>57.4</v>
      </c>
      <c r="O98" s="64">
        <v>0</v>
      </c>
      <c r="P98" s="64">
        <v>0.65</v>
      </c>
      <c r="Q98" s="64">
        <v>9.59</v>
      </c>
      <c r="R98" s="198"/>
      <c r="S98" s="198"/>
      <c r="T98" s="198"/>
      <c r="U98" s="198"/>
    </row>
    <row r="99" spans="1:33" s="12" customFormat="1" x14ac:dyDescent="0.25">
      <c r="A99" s="214" t="s">
        <v>432</v>
      </c>
      <c r="B99" s="64">
        <v>14.56</v>
      </c>
      <c r="C99" s="64">
        <v>36.57</v>
      </c>
      <c r="D99" s="64">
        <v>44.6</v>
      </c>
      <c r="E99" s="64">
        <v>3.49</v>
      </c>
      <c r="F99" s="64">
        <v>8.1999999999999993</v>
      </c>
      <c r="G99" s="64">
        <v>28.79</v>
      </c>
      <c r="H99" s="64">
        <v>15.3</v>
      </c>
      <c r="I99" s="64">
        <v>3.96</v>
      </c>
      <c r="J99" s="64">
        <v>0.56000000000000005</v>
      </c>
      <c r="K99" s="64">
        <v>160.83000000000001</v>
      </c>
      <c r="L99" s="64">
        <v>31.91</v>
      </c>
      <c r="M99" s="64">
        <v>54.03</v>
      </c>
      <c r="N99" s="64">
        <v>57.4</v>
      </c>
      <c r="O99" s="64">
        <v>0</v>
      </c>
      <c r="P99" s="64">
        <v>0.72</v>
      </c>
      <c r="Q99" s="64">
        <v>9.64</v>
      </c>
      <c r="R99" s="198"/>
      <c r="S99" s="198"/>
      <c r="T99" s="198"/>
      <c r="U99" s="198"/>
    </row>
    <row r="100" spans="1:33" s="12" customFormat="1" x14ac:dyDescent="0.25">
      <c r="A100" s="214" t="s">
        <v>433</v>
      </c>
      <c r="B100" s="64">
        <v>11.43</v>
      </c>
      <c r="C100" s="64">
        <v>36.119999999999997</v>
      </c>
      <c r="D100" s="64">
        <v>48.53</v>
      </c>
      <c r="E100" s="64">
        <v>3.57</v>
      </c>
      <c r="F100" s="64">
        <v>14.5</v>
      </c>
      <c r="G100" s="64">
        <v>28.79</v>
      </c>
      <c r="H100" s="64">
        <v>15.3</v>
      </c>
      <c r="I100" s="64">
        <v>3.81</v>
      </c>
      <c r="J100" s="64">
        <v>0.41</v>
      </c>
      <c r="K100" s="64">
        <v>176.05</v>
      </c>
      <c r="L100" s="64">
        <v>31.9</v>
      </c>
      <c r="M100" s="64">
        <v>52.41</v>
      </c>
      <c r="N100" s="64">
        <v>57.5</v>
      </c>
      <c r="O100" s="64">
        <v>0</v>
      </c>
      <c r="P100" s="64">
        <v>0.56000000000000005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434</v>
      </c>
      <c r="B101" s="64">
        <v>11.74</v>
      </c>
      <c r="C101" s="64">
        <v>34.4</v>
      </c>
      <c r="D101" s="64">
        <v>44.77</v>
      </c>
      <c r="E101" s="64">
        <v>3.11</v>
      </c>
      <c r="F101" s="64">
        <v>10.210000000000001</v>
      </c>
      <c r="G101" s="64">
        <v>28.17</v>
      </c>
      <c r="H101" s="64">
        <v>15.27</v>
      </c>
      <c r="I101" s="64">
        <v>4.08</v>
      </c>
      <c r="J101" s="64">
        <v>0.48</v>
      </c>
      <c r="K101" s="64">
        <v>179.21</v>
      </c>
      <c r="L101" s="64">
        <v>31.77</v>
      </c>
      <c r="M101" s="64">
        <v>52.09</v>
      </c>
      <c r="N101" s="64">
        <v>57.6</v>
      </c>
      <c r="O101" s="64">
        <v>0</v>
      </c>
      <c r="P101" s="64">
        <v>0.65</v>
      </c>
      <c r="Q101" s="64">
        <v>9.65</v>
      </c>
      <c r="R101" s="198"/>
      <c r="S101" s="198"/>
      <c r="T101" s="198"/>
      <c r="U101" s="198"/>
    </row>
    <row r="102" spans="1:33" s="12" customFormat="1" x14ac:dyDescent="0.25">
      <c r="A102" s="214" t="s">
        <v>435</v>
      </c>
      <c r="B102" s="64">
        <v>10.66</v>
      </c>
      <c r="C102" s="64">
        <v>42.38</v>
      </c>
      <c r="D102" s="64">
        <v>61.71</v>
      </c>
      <c r="E102" s="64">
        <v>3.48</v>
      </c>
      <c r="F102" s="64">
        <v>13.39</v>
      </c>
      <c r="G102" s="64">
        <v>28.17</v>
      </c>
      <c r="H102" s="64">
        <v>15.27</v>
      </c>
      <c r="I102" s="64">
        <v>3.92</v>
      </c>
      <c r="J102" s="64">
        <v>0.34</v>
      </c>
      <c r="K102" s="64">
        <v>185.42</v>
      </c>
      <c r="L102" s="64">
        <v>31.62</v>
      </c>
      <c r="M102" s="64">
        <v>52.18</v>
      </c>
      <c r="N102" s="64">
        <v>57.7</v>
      </c>
      <c r="O102" s="64">
        <v>0</v>
      </c>
      <c r="P102" s="64">
        <v>0.48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4" t="s">
        <v>436</v>
      </c>
      <c r="B103" s="64">
        <v>14.09</v>
      </c>
      <c r="C103" s="64">
        <v>33.020000000000003</v>
      </c>
      <c r="D103" s="64">
        <v>38.53</v>
      </c>
      <c r="E103" s="64">
        <v>3.28</v>
      </c>
      <c r="F103" s="64">
        <v>9.73</v>
      </c>
      <c r="G103" s="64">
        <v>28.17</v>
      </c>
      <c r="H103" s="64">
        <v>15.27</v>
      </c>
      <c r="I103" s="64">
        <v>4.12</v>
      </c>
      <c r="J103" s="64">
        <v>0.53</v>
      </c>
      <c r="K103" s="64">
        <v>175.03</v>
      </c>
      <c r="L103" s="64">
        <v>31.62</v>
      </c>
      <c r="M103" s="64">
        <v>50.26</v>
      </c>
      <c r="N103" s="64">
        <v>57.4</v>
      </c>
      <c r="O103" s="64">
        <v>0</v>
      </c>
      <c r="P103" s="64">
        <v>0.63</v>
      </c>
      <c r="Q103" s="64">
        <v>9.65</v>
      </c>
      <c r="R103" s="198"/>
      <c r="S103" s="198"/>
      <c r="T103" s="198"/>
      <c r="U103" s="198"/>
    </row>
    <row r="104" spans="1:33" s="12" customFormat="1" x14ac:dyDescent="0.25">
      <c r="A104" s="214" t="s">
        <v>437</v>
      </c>
      <c r="B104" s="64">
        <v>8.9499999999999993</v>
      </c>
      <c r="C104" s="64">
        <v>38.81</v>
      </c>
      <c r="D104" s="64">
        <v>57.48</v>
      </c>
      <c r="E104" s="64">
        <v>2.33</v>
      </c>
      <c r="F104" s="64">
        <v>16.45</v>
      </c>
      <c r="G104" s="64">
        <v>28.17</v>
      </c>
      <c r="H104" s="64">
        <v>15.27</v>
      </c>
      <c r="I104" s="64">
        <v>4.01</v>
      </c>
      <c r="J104" s="64">
        <v>0.23</v>
      </c>
      <c r="K104" s="64">
        <v>216.07</v>
      </c>
      <c r="L104" s="64">
        <v>31.49</v>
      </c>
      <c r="M104" s="64">
        <v>49.82</v>
      </c>
      <c r="N104" s="64">
        <v>57.8</v>
      </c>
      <c r="O104" s="64">
        <v>0</v>
      </c>
      <c r="P104" s="64">
        <v>0.41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-0.09</v>
      </c>
      <c r="C106" s="67">
        <f>MIN(C9:C104)</f>
        <v>4.04</v>
      </c>
      <c r="D106" s="67">
        <f t="shared" ref="D106:Q106" si="0">MIN(D9:D104)</f>
        <v>7.87</v>
      </c>
      <c r="E106" s="67">
        <f t="shared" si="0"/>
        <v>1.91</v>
      </c>
      <c r="F106" s="67">
        <f t="shared" si="0"/>
        <v>5.04</v>
      </c>
      <c r="G106" s="67">
        <f t="shared" si="0"/>
        <v>2.0699999999999998</v>
      </c>
      <c r="H106" s="67">
        <f t="shared" si="0"/>
        <v>4.49</v>
      </c>
      <c r="I106" s="67">
        <f t="shared" si="0"/>
        <v>3.81</v>
      </c>
      <c r="J106" s="67">
        <f t="shared" si="0"/>
        <v>0.04</v>
      </c>
      <c r="K106" s="67">
        <f t="shared" si="0"/>
        <v>13.52</v>
      </c>
      <c r="L106" s="67">
        <f t="shared" si="0"/>
        <v>23.33</v>
      </c>
      <c r="M106" s="67">
        <f t="shared" si="0"/>
        <v>28.99</v>
      </c>
      <c r="N106" s="67">
        <f t="shared" si="0"/>
        <v>44.9</v>
      </c>
      <c r="O106" s="67">
        <f t="shared" si="0"/>
        <v>0</v>
      </c>
      <c r="P106" s="67">
        <f t="shared" si="0"/>
        <v>0.13</v>
      </c>
      <c r="Q106" s="67">
        <f t="shared" si="0"/>
        <v>9.49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25.36</v>
      </c>
      <c r="C107" s="66">
        <f t="shared" ref="C107:Q107" si="1">MAX(C9:C104)</f>
        <v>83.87</v>
      </c>
      <c r="D107" s="66">
        <f t="shared" si="1"/>
        <v>139.47</v>
      </c>
      <c r="E107" s="66">
        <f t="shared" si="1"/>
        <v>35.89</v>
      </c>
      <c r="F107" s="66">
        <f t="shared" si="1"/>
        <v>33.299999999999997</v>
      </c>
      <c r="G107" s="66">
        <f t="shared" si="1"/>
        <v>97.6</v>
      </c>
      <c r="H107" s="66">
        <f t="shared" si="1"/>
        <v>30.96</v>
      </c>
      <c r="I107" s="66">
        <f t="shared" si="1"/>
        <v>4.2300000000000004</v>
      </c>
      <c r="J107" s="66">
        <f t="shared" si="1"/>
        <v>1.91</v>
      </c>
      <c r="K107" s="66">
        <f t="shared" si="1"/>
        <v>347.84</v>
      </c>
      <c r="L107" s="66">
        <f t="shared" si="1"/>
        <v>39.78</v>
      </c>
      <c r="M107" s="66">
        <f t="shared" si="1"/>
        <v>98.42</v>
      </c>
      <c r="N107" s="66">
        <f t="shared" si="1"/>
        <v>919.3</v>
      </c>
      <c r="O107" s="66">
        <f t="shared" si="1"/>
        <v>0</v>
      </c>
      <c r="P107" s="66">
        <f t="shared" si="1"/>
        <v>1.44</v>
      </c>
      <c r="Q107" s="66">
        <f t="shared" si="1"/>
        <v>9.67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8.5449999999999999</v>
      </c>
      <c r="C108" s="67">
        <f t="shared" ref="C108:Q108" si="2">AVERAGE(C9:C104)</f>
        <v>33.668958333333336</v>
      </c>
      <c r="D108" s="67">
        <f t="shared" si="2"/>
        <v>49.747187499999974</v>
      </c>
      <c r="E108" s="67">
        <f t="shared" si="2"/>
        <v>6.2531666666666679</v>
      </c>
      <c r="F108" s="67">
        <f t="shared" si="2"/>
        <v>12.824270833333332</v>
      </c>
      <c r="G108" s="67">
        <f t="shared" si="2"/>
        <v>37.006956521739127</v>
      </c>
      <c r="H108" s="67">
        <f t="shared" si="2"/>
        <v>13.477173913043474</v>
      </c>
      <c r="I108" s="67">
        <f t="shared" si="2"/>
        <v>4.0117708333333342</v>
      </c>
      <c r="J108" s="67">
        <f t="shared" si="2"/>
        <v>0.68479166666666691</v>
      </c>
      <c r="K108" s="67">
        <f t="shared" si="2"/>
        <v>171.89229166666669</v>
      </c>
      <c r="L108" s="67">
        <f t="shared" si="2"/>
        <v>31.576145833333328</v>
      </c>
      <c r="M108" s="67">
        <f t="shared" si="2"/>
        <v>61.280624999999958</v>
      </c>
      <c r="N108" s="67">
        <f t="shared" si="2"/>
        <v>284.765625</v>
      </c>
      <c r="O108" s="67">
        <f t="shared" si="2"/>
        <v>0</v>
      </c>
      <c r="P108" s="67">
        <f t="shared" si="2"/>
        <v>0.51595744680851052</v>
      </c>
      <c r="Q108" s="67">
        <f t="shared" si="2"/>
        <v>9.6077083333333366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4.4271827801007984</v>
      </c>
      <c r="C109" s="67">
        <f t="shared" ref="C109:Q109" si="3">STDEV(C9:C104)</f>
        <v>13.246368835441697</v>
      </c>
      <c r="D109" s="67">
        <f t="shared" si="3"/>
        <v>21.405046119431784</v>
      </c>
      <c r="E109" s="67">
        <f t="shared" si="3"/>
        <v>5.2108938989379441</v>
      </c>
      <c r="F109" s="67">
        <f t="shared" si="3"/>
        <v>7.9152461470242645</v>
      </c>
      <c r="G109" s="67">
        <f t="shared" si="3"/>
        <v>27.862342412320373</v>
      </c>
      <c r="H109" s="67">
        <f t="shared" si="3"/>
        <v>8.2120212508472719</v>
      </c>
      <c r="I109" s="67">
        <f t="shared" si="3"/>
        <v>9.7527267891888259E-2</v>
      </c>
      <c r="J109" s="67">
        <f t="shared" si="3"/>
        <v>0.41398697962405201</v>
      </c>
      <c r="K109" s="67">
        <f t="shared" si="3"/>
        <v>86.287585634858161</v>
      </c>
      <c r="L109" s="67">
        <f t="shared" si="3"/>
        <v>5.6567324341124943</v>
      </c>
      <c r="M109" s="67">
        <f t="shared" si="3"/>
        <v>24.811716664023763</v>
      </c>
      <c r="N109" s="67">
        <f t="shared" si="3"/>
        <v>308.87530130020036</v>
      </c>
      <c r="O109" s="67">
        <f t="shared" si="3"/>
        <v>0</v>
      </c>
      <c r="P109" s="67">
        <f t="shared" si="3"/>
        <v>0.27332803226803992</v>
      </c>
      <c r="Q109" s="67">
        <f t="shared" si="3"/>
        <v>3.8209372415035671E-2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COUNT(E9:E104)+36</f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COUNT(P9:P104)+2</f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438</v>
      </c>
      <c r="B9" s="64">
        <v>9.43</v>
      </c>
      <c r="C9" s="64">
        <v>32.83</v>
      </c>
      <c r="D9" s="64">
        <v>45.3</v>
      </c>
      <c r="E9" s="64">
        <v>3.05</v>
      </c>
      <c r="F9" s="64">
        <v>15.96</v>
      </c>
      <c r="G9" s="64">
        <v>23.18</v>
      </c>
      <c r="H9" s="64">
        <v>11.45</v>
      </c>
      <c r="I9" s="64">
        <v>3.99</v>
      </c>
      <c r="J9" s="64">
        <v>0.43</v>
      </c>
      <c r="K9" s="64">
        <v>213.52</v>
      </c>
      <c r="L9" s="64">
        <v>31.41</v>
      </c>
      <c r="M9" s="64">
        <v>50.08</v>
      </c>
      <c r="N9" s="64">
        <v>57.7</v>
      </c>
      <c r="O9" s="64">
        <v>0</v>
      </c>
      <c r="P9" s="64">
        <v>0.46</v>
      </c>
      <c r="Q9" s="64">
        <v>9.64</v>
      </c>
      <c r="R9" s="198"/>
      <c r="S9" s="198"/>
      <c r="T9" s="198"/>
      <c r="U9" s="198"/>
    </row>
    <row r="10" spans="1:21" s="12" customFormat="1" x14ac:dyDescent="0.25">
      <c r="A10" s="214" t="s">
        <v>439</v>
      </c>
      <c r="B10" s="64">
        <v>8.52</v>
      </c>
      <c r="C10" s="64">
        <v>30.41</v>
      </c>
      <c r="D10" s="64">
        <v>42.07</v>
      </c>
      <c r="E10" s="64">
        <v>3.31</v>
      </c>
      <c r="F10" s="64">
        <v>16.059999999999999</v>
      </c>
      <c r="G10" s="64">
        <v>23.18</v>
      </c>
      <c r="H10" s="64">
        <v>11.45</v>
      </c>
      <c r="I10" s="64">
        <v>4.16</v>
      </c>
      <c r="J10" s="64">
        <v>0.31</v>
      </c>
      <c r="K10" s="64">
        <v>210.18</v>
      </c>
      <c r="L10" s="64">
        <v>31.26</v>
      </c>
      <c r="M10" s="64">
        <v>51.83</v>
      </c>
      <c r="N10" s="64">
        <v>58.1</v>
      </c>
      <c r="O10" s="64">
        <v>0</v>
      </c>
      <c r="P10" s="64">
        <v>0.44</v>
      </c>
      <c r="Q10" s="64">
        <v>9.67</v>
      </c>
      <c r="R10" s="198"/>
      <c r="S10" s="198"/>
      <c r="T10" s="198"/>
      <c r="U10" s="198"/>
    </row>
    <row r="11" spans="1:21" s="12" customFormat="1" x14ac:dyDescent="0.25">
      <c r="A11" s="214" t="s">
        <v>440</v>
      </c>
      <c r="B11" s="64">
        <v>10.88</v>
      </c>
      <c r="C11" s="64">
        <v>36.47</v>
      </c>
      <c r="D11" s="64">
        <v>50.04</v>
      </c>
      <c r="E11" s="64">
        <v>3.19</v>
      </c>
      <c r="F11" s="64">
        <v>11.61</v>
      </c>
      <c r="G11" s="64">
        <v>23.18</v>
      </c>
      <c r="H11" s="64">
        <v>11.45</v>
      </c>
      <c r="I11" s="64">
        <v>4.1100000000000003</v>
      </c>
      <c r="J11" s="64">
        <v>0.26</v>
      </c>
      <c r="K11" s="64">
        <v>198.33</v>
      </c>
      <c r="L11" s="64">
        <v>30.76</v>
      </c>
      <c r="M11" s="64">
        <v>55.37</v>
      </c>
      <c r="N11" s="64">
        <v>58.3</v>
      </c>
      <c r="O11" s="64">
        <v>0</v>
      </c>
      <c r="P11" s="64">
        <v>0.47</v>
      </c>
      <c r="Q11" s="64">
        <v>9.66</v>
      </c>
      <c r="R11" s="198"/>
      <c r="S11" s="198"/>
      <c r="T11" s="198"/>
      <c r="U11" s="198"/>
    </row>
    <row r="12" spans="1:21" s="12" customFormat="1" x14ac:dyDescent="0.25">
      <c r="A12" s="214" t="s">
        <v>441</v>
      </c>
      <c r="B12" s="64">
        <v>9.5</v>
      </c>
      <c r="C12" s="64">
        <v>30.87</v>
      </c>
      <c r="D12" s="64">
        <v>41.45</v>
      </c>
      <c r="E12" s="64">
        <v>3.01</v>
      </c>
      <c r="F12" s="64">
        <v>15.77</v>
      </c>
      <c r="G12" s="64">
        <v>23.18</v>
      </c>
      <c r="H12" s="64">
        <v>11.45</v>
      </c>
      <c r="I12" s="64">
        <v>3.97</v>
      </c>
      <c r="J12" s="64">
        <v>0.43</v>
      </c>
      <c r="K12" s="64">
        <v>165.86</v>
      </c>
      <c r="L12" s="64">
        <v>30.72</v>
      </c>
      <c r="M12" s="64">
        <v>55.39</v>
      </c>
      <c r="N12" s="64">
        <v>57.7</v>
      </c>
      <c r="O12" s="64">
        <v>0</v>
      </c>
      <c r="P12" s="64">
        <v>0.43</v>
      </c>
      <c r="Q12" s="64">
        <v>9.65</v>
      </c>
      <c r="R12" s="198"/>
      <c r="S12" s="198"/>
      <c r="T12" s="198"/>
      <c r="U12" s="198"/>
    </row>
    <row r="13" spans="1:21" s="12" customFormat="1" x14ac:dyDescent="0.25">
      <c r="A13" s="214" t="s">
        <v>442</v>
      </c>
      <c r="B13" s="64">
        <v>8.9499999999999993</v>
      </c>
      <c r="C13" s="64">
        <v>27.46</v>
      </c>
      <c r="D13" s="64">
        <v>35.770000000000003</v>
      </c>
      <c r="E13" s="64">
        <v>2.81</v>
      </c>
      <c r="F13" s="64">
        <v>14.29</v>
      </c>
      <c r="G13" s="64">
        <v>30.6</v>
      </c>
      <c r="H13" s="64">
        <v>12.09</v>
      </c>
      <c r="I13" s="64">
        <v>4.04</v>
      </c>
      <c r="J13" s="64">
        <v>0.33</v>
      </c>
      <c r="K13" s="64">
        <v>185.7</v>
      </c>
      <c r="L13" s="64">
        <v>30.61</v>
      </c>
      <c r="M13" s="64">
        <v>57.01</v>
      </c>
      <c r="N13" s="64">
        <v>58</v>
      </c>
      <c r="O13" s="64">
        <v>0</v>
      </c>
      <c r="P13" s="64">
        <v>0.46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4" t="s">
        <v>443</v>
      </c>
      <c r="B14" s="64">
        <v>8.81</v>
      </c>
      <c r="C14" s="64">
        <v>26.83</v>
      </c>
      <c r="D14" s="64">
        <v>34.79</v>
      </c>
      <c r="E14" s="64">
        <v>2.68</v>
      </c>
      <c r="F14" s="64">
        <v>14.31</v>
      </c>
      <c r="G14" s="64">
        <v>30.6</v>
      </c>
      <c r="H14" s="64">
        <v>12.09</v>
      </c>
      <c r="I14" s="64">
        <v>4.0999999999999996</v>
      </c>
      <c r="J14" s="64">
        <v>0.28000000000000003</v>
      </c>
      <c r="K14" s="64">
        <v>184.6</v>
      </c>
      <c r="L14" s="64">
        <v>30.31</v>
      </c>
      <c r="M14" s="64">
        <v>59.64</v>
      </c>
      <c r="N14" s="64">
        <v>58.2</v>
      </c>
      <c r="O14" s="64">
        <v>0</v>
      </c>
      <c r="P14" s="64">
        <v>0.44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4" t="s">
        <v>444</v>
      </c>
      <c r="B15" s="64">
        <v>8.6199999999999992</v>
      </c>
      <c r="C15" s="64">
        <v>26.46</v>
      </c>
      <c r="D15" s="64">
        <v>34.36</v>
      </c>
      <c r="E15" s="64">
        <v>2.88</v>
      </c>
      <c r="F15" s="64">
        <v>12.85</v>
      </c>
      <c r="G15" s="64">
        <v>30.6</v>
      </c>
      <c r="H15" s="64">
        <v>12.09</v>
      </c>
      <c r="I15" s="64">
        <v>3.92</v>
      </c>
      <c r="J15" s="64">
        <v>0.28999999999999998</v>
      </c>
      <c r="K15" s="64">
        <v>196.43</v>
      </c>
      <c r="L15" s="64">
        <v>30.08</v>
      </c>
      <c r="M15" s="64">
        <v>61.37</v>
      </c>
      <c r="N15" s="64">
        <v>58.1</v>
      </c>
      <c r="O15" s="64">
        <v>0</v>
      </c>
      <c r="P15" s="64">
        <v>0.43</v>
      </c>
      <c r="Q15" s="64">
        <v>9.64</v>
      </c>
      <c r="R15" s="198"/>
      <c r="S15" s="198"/>
      <c r="T15" s="198"/>
      <c r="U15" s="198"/>
    </row>
    <row r="16" spans="1:21" s="12" customFormat="1" x14ac:dyDescent="0.25">
      <c r="A16" s="214" t="s">
        <v>445</v>
      </c>
      <c r="B16" s="64">
        <v>8.81</v>
      </c>
      <c r="C16" s="64">
        <v>28.54</v>
      </c>
      <c r="D16" s="64">
        <v>38.049999999999997</v>
      </c>
      <c r="E16" s="64">
        <v>2.82</v>
      </c>
      <c r="F16" s="64">
        <v>11.25</v>
      </c>
      <c r="G16" s="64">
        <v>30.6</v>
      </c>
      <c r="H16" s="64">
        <v>12.09</v>
      </c>
      <c r="I16" s="64">
        <v>3.89</v>
      </c>
      <c r="J16" s="64">
        <v>0.22</v>
      </c>
      <c r="K16" s="64">
        <v>243.26</v>
      </c>
      <c r="L16" s="64">
        <v>29.75</v>
      </c>
      <c r="M16" s="64">
        <v>64.23</v>
      </c>
      <c r="N16" s="64">
        <v>58.3</v>
      </c>
      <c r="O16" s="64">
        <v>0</v>
      </c>
      <c r="P16" s="64">
        <v>0.42</v>
      </c>
      <c r="Q16" s="64">
        <v>9.66</v>
      </c>
      <c r="R16" s="198"/>
      <c r="S16" s="198"/>
      <c r="T16" s="198"/>
      <c r="U16" s="198"/>
    </row>
    <row r="17" spans="1:21" s="12" customFormat="1" x14ac:dyDescent="0.25">
      <c r="A17" s="214" t="s">
        <v>446</v>
      </c>
      <c r="B17" s="64">
        <v>12.02</v>
      </c>
      <c r="C17" s="64">
        <v>30.69</v>
      </c>
      <c r="D17" s="64">
        <v>37.24</v>
      </c>
      <c r="E17" s="64">
        <v>2.8</v>
      </c>
      <c r="F17" s="64">
        <v>8.27</v>
      </c>
      <c r="G17" s="64">
        <v>32.130000000000003</v>
      </c>
      <c r="H17" s="64">
        <v>11.19</v>
      </c>
      <c r="I17" s="64">
        <v>4.0199999999999996</v>
      </c>
      <c r="J17" s="64">
        <v>0.26</v>
      </c>
      <c r="K17" s="64">
        <v>252.36</v>
      </c>
      <c r="L17" s="64">
        <v>29.47</v>
      </c>
      <c r="M17" s="64">
        <v>65.09</v>
      </c>
      <c r="N17" s="64">
        <v>58.4</v>
      </c>
      <c r="O17" s="64">
        <v>0</v>
      </c>
      <c r="P17" s="64">
        <v>0.52</v>
      </c>
      <c r="Q17" s="64">
        <v>9.65</v>
      </c>
      <c r="R17" s="198"/>
      <c r="S17" s="198"/>
      <c r="T17" s="198"/>
      <c r="U17" s="198"/>
    </row>
    <row r="18" spans="1:21" s="12" customFormat="1" x14ac:dyDescent="0.25">
      <c r="A18" s="214" t="s">
        <v>447</v>
      </c>
      <c r="B18" s="64">
        <v>11.15</v>
      </c>
      <c r="C18" s="64">
        <v>29.52</v>
      </c>
      <c r="D18" s="64">
        <v>36.33</v>
      </c>
      <c r="E18" s="64">
        <v>2.66</v>
      </c>
      <c r="F18" s="64">
        <v>9.3000000000000007</v>
      </c>
      <c r="G18" s="64">
        <v>32.130000000000003</v>
      </c>
      <c r="H18" s="64">
        <v>11.18</v>
      </c>
      <c r="I18" s="64">
        <v>3.95</v>
      </c>
      <c r="J18" s="64">
        <v>0.27</v>
      </c>
      <c r="K18" s="64">
        <v>261.04000000000002</v>
      </c>
      <c r="L18" s="64">
        <v>29.23</v>
      </c>
      <c r="M18" s="64">
        <v>66.849999999999994</v>
      </c>
      <c r="N18" s="64">
        <v>58.5</v>
      </c>
      <c r="O18" s="64">
        <v>0</v>
      </c>
      <c r="P18" s="64">
        <v>0.47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4" t="s">
        <v>448</v>
      </c>
      <c r="B19" s="64">
        <v>11.37</v>
      </c>
      <c r="C19" s="64">
        <v>28.73</v>
      </c>
      <c r="D19" s="64">
        <v>34.479999999999997</v>
      </c>
      <c r="E19" s="64">
        <v>2.77</v>
      </c>
      <c r="F19" s="64">
        <v>10.06</v>
      </c>
      <c r="G19" s="64">
        <v>32.130000000000003</v>
      </c>
      <c r="H19" s="64">
        <v>11.18</v>
      </c>
      <c r="I19" s="64">
        <v>4.0599999999999996</v>
      </c>
      <c r="J19" s="64">
        <v>0.28000000000000003</v>
      </c>
      <c r="K19" s="64">
        <v>255.49</v>
      </c>
      <c r="L19" s="64">
        <v>29.1</v>
      </c>
      <c r="M19" s="64">
        <v>68.55</v>
      </c>
      <c r="N19" s="64">
        <v>58.4</v>
      </c>
      <c r="O19" s="64">
        <v>0</v>
      </c>
      <c r="P19" s="64">
        <v>0.46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4" t="s">
        <v>449</v>
      </c>
      <c r="B20" s="64">
        <v>11.92</v>
      </c>
      <c r="C20" s="64">
        <v>28.67</v>
      </c>
      <c r="D20" s="64">
        <v>33.520000000000003</v>
      </c>
      <c r="E20" s="64">
        <v>2.4700000000000002</v>
      </c>
      <c r="F20" s="64">
        <v>7.9</v>
      </c>
      <c r="G20" s="64">
        <v>32.130000000000003</v>
      </c>
      <c r="H20" s="64">
        <v>11.18</v>
      </c>
      <c r="I20" s="64">
        <v>3.98</v>
      </c>
      <c r="J20" s="64">
        <v>0.22</v>
      </c>
      <c r="K20" s="64">
        <v>256.98</v>
      </c>
      <c r="L20" s="64">
        <v>28.96</v>
      </c>
      <c r="M20" s="64">
        <v>70.510000000000005</v>
      </c>
      <c r="N20" s="64">
        <v>58.4</v>
      </c>
      <c r="O20" s="64">
        <v>0</v>
      </c>
      <c r="P20" s="64">
        <v>0.5</v>
      </c>
      <c r="Q20" s="64">
        <v>9.65</v>
      </c>
      <c r="R20" s="198"/>
      <c r="S20" s="198"/>
      <c r="T20" s="198"/>
      <c r="U20" s="198"/>
    </row>
    <row r="21" spans="1:21" s="12" customFormat="1" x14ac:dyDescent="0.25">
      <c r="A21" s="214" t="s">
        <v>450</v>
      </c>
      <c r="B21" s="64">
        <v>11.56</v>
      </c>
      <c r="C21" s="64">
        <v>28.59</v>
      </c>
      <c r="D21" s="64">
        <v>33.93</v>
      </c>
      <c r="E21" s="64">
        <v>2.48</v>
      </c>
      <c r="F21" s="64">
        <v>8.3800000000000008</v>
      </c>
      <c r="G21" s="64">
        <v>22.18</v>
      </c>
      <c r="H21" s="64">
        <v>12.48</v>
      </c>
      <c r="I21" s="64">
        <v>4.1500000000000004</v>
      </c>
      <c r="J21" s="64">
        <v>0.3</v>
      </c>
      <c r="K21" s="64">
        <v>211.09</v>
      </c>
      <c r="L21" s="64">
        <v>29.04</v>
      </c>
      <c r="M21" s="64">
        <v>70.05</v>
      </c>
      <c r="N21" s="64">
        <v>58</v>
      </c>
      <c r="O21" s="64">
        <v>0</v>
      </c>
      <c r="P21" s="64">
        <v>0.51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14" t="s">
        <v>451</v>
      </c>
      <c r="B22" s="64">
        <v>12.69</v>
      </c>
      <c r="C22" s="64">
        <v>28.84</v>
      </c>
      <c r="D22" s="64">
        <v>32.67</v>
      </c>
      <c r="E22" s="64">
        <v>2.7</v>
      </c>
      <c r="F22" s="64">
        <v>7.54</v>
      </c>
      <c r="G22" s="64">
        <v>22.07</v>
      </c>
      <c r="H22" s="64">
        <v>12.48</v>
      </c>
      <c r="I22" s="64">
        <v>3.83</v>
      </c>
      <c r="J22" s="64">
        <v>0.57999999999999996</v>
      </c>
      <c r="K22" s="64">
        <v>153.76</v>
      </c>
      <c r="L22" s="64">
        <v>29.11</v>
      </c>
      <c r="M22" s="64">
        <v>70.650000000000006</v>
      </c>
      <c r="N22" s="64">
        <v>57.7</v>
      </c>
      <c r="O22" s="64">
        <v>0</v>
      </c>
      <c r="P22" s="64">
        <v>0.47</v>
      </c>
      <c r="Q22" s="64">
        <v>9.6300000000000008</v>
      </c>
      <c r="R22" s="198"/>
      <c r="S22" s="198"/>
      <c r="T22" s="198"/>
      <c r="U22" s="198"/>
    </row>
    <row r="23" spans="1:21" s="12" customFormat="1" x14ac:dyDescent="0.25">
      <c r="A23" s="214" t="s">
        <v>452</v>
      </c>
      <c r="B23" s="64">
        <v>13.92</v>
      </c>
      <c r="C23" s="64">
        <v>30.13</v>
      </c>
      <c r="D23" s="64">
        <v>33.25</v>
      </c>
      <c r="E23" s="64">
        <v>2.82</v>
      </c>
      <c r="F23" s="64">
        <v>6.84</v>
      </c>
      <c r="G23" s="64">
        <v>22.07</v>
      </c>
      <c r="H23" s="64">
        <v>12.48</v>
      </c>
      <c r="I23" s="64">
        <v>3.98</v>
      </c>
      <c r="J23" s="64">
        <v>0.56000000000000005</v>
      </c>
      <c r="K23" s="64">
        <v>168.34</v>
      </c>
      <c r="L23" s="64">
        <v>29.14</v>
      </c>
      <c r="M23" s="64">
        <v>70.84</v>
      </c>
      <c r="N23" s="64">
        <v>57.9</v>
      </c>
      <c r="O23" s="64">
        <v>0</v>
      </c>
      <c r="P23" s="64">
        <v>0.51</v>
      </c>
      <c r="Q23" s="64">
        <v>9.6300000000000008</v>
      </c>
      <c r="R23" s="198"/>
      <c r="S23" s="198"/>
      <c r="T23" s="198"/>
      <c r="U23" s="198"/>
    </row>
    <row r="24" spans="1:21" s="12" customFormat="1" x14ac:dyDescent="0.25">
      <c r="A24" s="214" t="s">
        <v>453</v>
      </c>
      <c r="B24" s="64">
        <v>13.61</v>
      </c>
      <c r="C24" s="64">
        <v>30.06</v>
      </c>
      <c r="D24" s="64">
        <v>33.58</v>
      </c>
      <c r="E24" s="64">
        <v>2.81</v>
      </c>
      <c r="F24" s="64">
        <v>6.7</v>
      </c>
      <c r="G24" s="64">
        <v>22.07</v>
      </c>
      <c r="H24" s="64">
        <v>12.48</v>
      </c>
      <c r="I24" s="64">
        <v>3.89</v>
      </c>
      <c r="J24" s="64">
        <v>0.44</v>
      </c>
      <c r="K24" s="64">
        <v>174.06</v>
      </c>
      <c r="L24" s="64">
        <v>29.07</v>
      </c>
      <c r="M24" s="64">
        <v>71.430000000000007</v>
      </c>
      <c r="N24" s="64">
        <v>58.1</v>
      </c>
      <c r="O24" s="64">
        <v>0</v>
      </c>
      <c r="P24" s="64">
        <v>0.48</v>
      </c>
      <c r="Q24" s="64">
        <v>9.64</v>
      </c>
      <c r="R24" s="198"/>
      <c r="S24" s="198"/>
      <c r="T24" s="198"/>
      <c r="U24" s="198"/>
    </row>
    <row r="25" spans="1:21" s="12" customFormat="1" x14ac:dyDescent="0.25">
      <c r="A25" s="214" t="s">
        <v>454</v>
      </c>
      <c r="B25" s="64">
        <v>12.75</v>
      </c>
      <c r="C25" s="64">
        <v>29.66</v>
      </c>
      <c r="D25" s="64">
        <v>34.159999999999997</v>
      </c>
      <c r="E25" s="64">
        <v>2.6</v>
      </c>
      <c r="F25" s="64">
        <v>7.15</v>
      </c>
      <c r="G25" s="64">
        <v>29.16</v>
      </c>
      <c r="H25" s="64">
        <v>12.38</v>
      </c>
      <c r="I25" s="64">
        <v>4.07</v>
      </c>
      <c r="J25" s="64">
        <v>0.26</v>
      </c>
      <c r="K25" s="64">
        <v>217.67</v>
      </c>
      <c r="L25" s="64">
        <v>28.98</v>
      </c>
      <c r="M25" s="64">
        <v>72.22</v>
      </c>
      <c r="N25" s="64">
        <v>58.4</v>
      </c>
      <c r="O25" s="64">
        <v>0</v>
      </c>
      <c r="P25" s="64">
        <v>0.45</v>
      </c>
      <c r="Q25" s="64">
        <v>9.64</v>
      </c>
      <c r="R25" s="198"/>
      <c r="S25" s="198"/>
      <c r="T25" s="198"/>
      <c r="U25" s="198"/>
    </row>
    <row r="26" spans="1:21" s="12" customFormat="1" x14ac:dyDescent="0.25">
      <c r="A26" s="214" t="s">
        <v>455</v>
      </c>
      <c r="B26" s="64">
        <v>12.88</v>
      </c>
      <c r="C26" s="64">
        <v>31.81</v>
      </c>
      <c r="D26" s="64">
        <v>38.07</v>
      </c>
      <c r="E26" s="64">
        <v>2.78</v>
      </c>
      <c r="F26" s="64">
        <v>6.68</v>
      </c>
      <c r="G26" s="64">
        <v>29.16</v>
      </c>
      <c r="H26" s="64">
        <v>12.38</v>
      </c>
      <c r="I26" s="64">
        <v>3.91</v>
      </c>
      <c r="J26" s="64">
        <v>0.37</v>
      </c>
      <c r="K26" s="64">
        <v>249.55</v>
      </c>
      <c r="L26" s="64">
        <v>28.79</v>
      </c>
      <c r="M26" s="64">
        <v>73.75</v>
      </c>
      <c r="N26" s="64">
        <v>58.6</v>
      </c>
      <c r="O26" s="64">
        <v>0</v>
      </c>
      <c r="P26" s="64">
        <v>0.45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4" t="s">
        <v>456</v>
      </c>
      <c r="B27" s="64">
        <v>12.13</v>
      </c>
      <c r="C27" s="64">
        <v>33</v>
      </c>
      <c r="D27" s="64">
        <v>41.5</v>
      </c>
      <c r="E27" s="64">
        <v>2.35</v>
      </c>
      <c r="F27" s="64">
        <v>7.82</v>
      </c>
      <c r="G27" s="64">
        <v>29.16</v>
      </c>
      <c r="H27" s="64">
        <v>12.38</v>
      </c>
      <c r="I27" s="64">
        <v>4.0199999999999996</v>
      </c>
      <c r="J27" s="64">
        <v>0.48</v>
      </c>
      <c r="K27" s="64">
        <v>229.11</v>
      </c>
      <c r="L27" s="64">
        <v>28.73</v>
      </c>
      <c r="M27" s="64">
        <v>73.25</v>
      </c>
      <c r="N27" s="64">
        <v>58.3</v>
      </c>
      <c r="O27" s="64">
        <v>0</v>
      </c>
      <c r="P27" s="64">
        <v>0.38</v>
      </c>
      <c r="Q27" s="64">
        <v>9.64</v>
      </c>
      <c r="R27" s="198"/>
      <c r="S27" s="198"/>
      <c r="T27" s="198"/>
      <c r="U27" s="198"/>
    </row>
    <row r="28" spans="1:21" s="12" customFormat="1" x14ac:dyDescent="0.25">
      <c r="A28" s="214" t="s">
        <v>457</v>
      </c>
      <c r="B28" s="64">
        <v>12.7</v>
      </c>
      <c r="C28" s="64">
        <v>31.12</v>
      </c>
      <c r="D28" s="64">
        <v>37.020000000000003</v>
      </c>
      <c r="E28" s="64">
        <v>2.37</v>
      </c>
      <c r="F28" s="64">
        <v>7.72</v>
      </c>
      <c r="G28" s="64">
        <v>29.16</v>
      </c>
      <c r="H28" s="64">
        <v>12.38</v>
      </c>
      <c r="I28" s="64">
        <v>4.12</v>
      </c>
      <c r="J28" s="64">
        <v>0.48</v>
      </c>
      <c r="K28" s="64">
        <v>267.67</v>
      </c>
      <c r="L28" s="64">
        <v>28.51</v>
      </c>
      <c r="M28" s="64">
        <v>76.239999999999995</v>
      </c>
      <c r="N28" s="64">
        <v>58.5</v>
      </c>
      <c r="O28" s="64">
        <v>0</v>
      </c>
      <c r="P28" s="64">
        <v>0.45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4" t="s">
        <v>458</v>
      </c>
      <c r="B29" s="64">
        <v>17.73</v>
      </c>
      <c r="C29" s="64">
        <v>33.79</v>
      </c>
      <c r="D29" s="64">
        <v>34.4</v>
      </c>
      <c r="E29" s="64">
        <v>2.64</v>
      </c>
      <c r="F29" s="64">
        <v>7.59</v>
      </c>
      <c r="G29" s="64">
        <v>29.86</v>
      </c>
      <c r="H29" s="64">
        <v>10.29</v>
      </c>
      <c r="I29" s="64">
        <v>4.1900000000000004</v>
      </c>
      <c r="J29" s="64">
        <v>0.56999999999999995</v>
      </c>
      <c r="K29" s="64">
        <v>282.23</v>
      </c>
      <c r="L29" s="64">
        <v>28.3</v>
      </c>
      <c r="M29" s="64">
        <v>79.53</v>
      </c>
      <c r="N29" s="64">
        <v>58.7</v>
      </c>
      <c r="O29" s="64">
        <v>0</v>
      </c>
      <c r="P29" s="64">
        <v>0.48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4" t="s">
        <v>459</v>
      </c>
      <c r="B30" s="64">
        <v>15.01</v>
      </c>
      <c r="C30" s="64">
        <v>32.630000000000003</v>
      </c>
      <c r="D30" s="64">
        <v>36.369999999999997</v>
      </c>
      <c r="E30" s="64">
        <v>2.2599999999999998</v>
      </c>
      <c r="F30" s="64">
        <v>7.24</v>
      </c>
      <c r="G30" s="64">
        <v>29.86</v>
      </c>
      <c r="H30" s="64">
        <v>10.26</v>
      </c>
      <c r="I30" s="64">
        <v>4.2</v>
      </c>
      <c r="J30" s="64">
        <v>0.38</v>
      </c>
      <c r="K30" s="64">
        <v>204.35</v>
      </c>
      <c r="L30" s="64">
        <v>28.37</v>
      </c>
      <c r="M30" s="64">
        <v>79.430000000000007</v>
      </c>
      <c r="N30" s="64">
        <v>59.9</v>
      </c>
      <c r="O30" s="64">
        <v>0</v>
      </c>
      <c r="P30" s="64">
        <v>0.47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4" t="s">
        <v>460</v>
      </c>
      <c r="B31" s="64">
        <v>15.89</v>
      </c>
      <c r="C31" s="64">
        <v>33.15</v>
      </c>
      <c r="D31" s="64">
        <v>36.01</v>
      </c>
      <c r="E31" s="64">
        <v>2.7</v>
      </c>
      <c r="F31" s="64">
        <v>6.53</v>
      </c>
      <c r="G31" s="64">
        <v>29.86</v>
      </c>
      <c r="H31" s="64">
        <v>10.26</v>
      </c>
      <c r="I31" s="64">
        <v>3.94</v>
      </c>
      <c r="J31" s="64">
        <v>0.62</v>
      </c>
      <c r="K31" s="64">
        <v>264.67</v>
      </c>
      <c r="L31" s="64">
        <v>28.7</v>
      </c>
      <c r="M31" s="64">
        <v>77.84</v>
      </c>
      <c r="N31" s="64">
        <v>64.900000000000006</v>
      </c>
      <c r="O31" s="64">
        <v>0</v>
      </c>
      <c r="P31" s="64">
        <v>0.52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4" t="s">
        <v>461</v>
      </c>
      <c r="B32" s="64">
        <v>18.77</v>
      </c>
      <c r="C32" s="64">
        <v>31.24</v>
      </c>
      <c r="D32" s="64">
        <v>27.94</v>
      </c>
      <c r="E32" s="64">
        <v>2.2799999999999998</v>
      </c>
      <c r="F32" s="64">
        <v>5.32</v>
      </c>
      <c r="G32" s="64">
        <v>29.86</v>
      </c>
      <c r="H32" s="64">
        <v>10.26</v>
      </c>
      <c r="I32" s="64">
        <v>4.1100000000000003</v>
      </c>
      <c r="J32" s="64">
        <v>1.39</v>
      </c>
      <c r="K32" s="64">
        <v>276.58999999999997</v>
      </c>
      <c r="L32" s="64">
        <v>28.94</v>
      </c>
      <c r="M32" s="64">
        <v>77.739999999999995</v>
      </c>
      <c r="N32" s="64">
        <v>84.7</v>
      </c>
      <c r="O32" s="64">
        <v>0</v>
      </c>
      <c r="P32" s="64">
        <v>0.49</v>
      </c>
      <c r="Q32" s="64">
        <v>9.65</v>
      </c>
      <c r="R32" s="198"/>
      <c r="S32" s="198"/>
      <c r="T32" s="198"/>
      <c r="U32" s="198"/>
    </row>
    <row r="33" spans="1:21" s="12" customFormat="1" x14ac:dyDescent="0.25">
      <c r="A33" s="214" t="s">
        <v>462</v>
      </c>
      <c r="B33" s="64">
        <v>19.72</v>
      </c>
      <c r="C33" s="64">
        <v>32.020000000000003</v>
      </c>
      <c r="D33" s="64">
        <v>27.97</v>
      </c>
      <c r="E33" s="64">
        <v>2.12</v>
      </c>
      <c r="F33" s="64">
        <v>5.71</v>
      </c>
      <c r="G33" s="64">
        <v>29.86</v>
      </c>
      <c r="H33" s="64">
        <v>10.31</v>
      </c>
      <c r="I33" s="64">
        <v>3.67</v>
      </c>
      <c r="J33" s="64">
        <v>1.1000000000000001</v>
      </c>
      <c r="K33" s="64">
        <v>271.04000000000002</v>
      </c>
      <c r="L33" s="64">
        <v>10.050000000000001</v>
      </c>
      <c r="M33" s="64">
        <v>76.73</v>
      </c>
      <c r="N33" s="64">
        <v>111.8</v>
      </c>
      <c r="O33" s="64">
        <v>0</v>
      </c>
      <c r="P33" s="64">
        <v>0.49</v>
      </c>
      <c r="Q33" s="64">
        <v>0</v>
      </c>
      <c r="R33" s="198"/>
      <c r="S33" s="198"/>
      <c r="T33" s="198"/>
      <c r="U33" s="198"/>
    </row>
    <row r="34" spans="1:21" s="12" customFormat="1" x14ac:dyDescent="0.25">
      <c r="A34" s="214" t="s">
        <v>463</v>
      </c>
      <c r="B34" s="64">
        <v>16.399999999999999</v>
      </c>
      <c r="C34" s="64">
        <v>31.62</v>
      </c>
      <c r="D34" s="64">
        <v>32.299999999999997</v>
      </c>
      <c r="E34" s="64">
        <v>2.5</v>
      </c>
      <c r="F34" s="64">
        <v>7.29</v>
      </c>
      <c r="G34" s="64">
        <v>33.19</v>
      </c>
      <c r="H34" s="64">
        <v>10.31</v>
      </c>
      <c r="I34" s="64">
        <v>3.88</v>
      </c>
      <c r="J34" s="64">
        <v>0.47</v>
      </c>
      <c r="K34" s="64">
        <v>245.42</v>
      </c>
      <c r="L34" s="64">
        <v>30.64</v>
      </c>
      <c r="M34" s="64">
        <v>71.53</v>
      </c>
      <c r="N34" s="64">
        <v>147.19999999999999</v>
      </c>
      <c r="O34" s="64">
        <v>0</v>
      </c>
      <c r="P34" s="64">
        <v>0.49</v>
      </c>
      <c r="Q34" s="64">
        <v>9.66</v>
      </c>
      <c r="R34" s="198"/>
      <c r="S34" s="198"/>
      <c r="T34" s="198"/>
      <c r="U34" s="198"/>
    </row>
    <row r="35" spans="1:21" s="12" customFormat="1" x14ac:dyDescent="0.25">
      <c r="A35" s="214" t="s">
        <v>464</v>
      </c>
      <c r="B35" s="64">
        <v>18.18</v>
      </c>
      <c r="C35" s="64">
        <v>34.57</v>
      </c>
      <c r="D35" s="64">
        <v>35.21</v>
      </c>
      <c r="E35" s="64">
        <v>2.61</v>
      </c>
      <c r="F35" s="64">
        <v>5.81</v>
      </c>
      <c r="G35" s="64">
        <v>33.19</v>
      </c>
      <c r="H35" s="64">
        <v>10.31</v>
      </c>
      <c r="I35" s="64">
        <v>3.96</v>
      </c>
      <c r="J35" s="64">
        <v>1.37</v>
      </c>
      <c r="K35" s="64">
        <v>157.52000000000001</v>
      </c>
      <c r="L35" s="64">
        <v>30.65</v>
      </c>
      <c r="M35" s="64">
        <v>70.989999999999995</v>
      </c>
      <c r="N35" s="64">
        <v>137.69999999999999</v>
      </c>
      <c r="O35" s="64">
        <v>0</v>
      </c>
      <c r="P35" s="64">
        <v>0.51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14" t="s">
        <v>465</v>
      </c>
      <c r="B36" s="64">
        <v>17.72</v>
      </c>
      <c r="C36" s="64">
        <v>34.81</v>
      </c>
      <c r="D36" s="64">
        <v>36.380000000000003</v>
      </c>
      <c r="E36" s="64">
        <v>2.78</v>
      </c>
      <c r="F36" s="64">
        <v>6.84</v>
      </c>
      <c r="G36" s="64">
        <v>33.19</v>
      </c>
      <c r="H36" s="64">
        <v>10.31</v>
      </c>
      <c r="I36" s="64">
        <v>3.87</v>
      </c>
      <c r="J36" s="64">
        <v>0.44</v>
      </c>
      <c r="K36" s="64">
        <v>226.25</v>
      </c>
      <c r="L36" s="64">
        <v>30.49</v>
      </c>
      <c r="M36" s="64">
        <v>72.62</v>
      </c>
      <c r="N36" s="64">
        <v>132.5</v>
      </c>
      <c r="O36" s="64">
        <v>0</v>
      </c>
      <c r="P36" s="64">
        <v>0.5</v>
      </c>
      <c r="Q36" s="64">
        <v>9.6300000000000008</v>
      </c>
      <c r="R36" s="198"/>
      <c r="S36" s="198"/>
      <c r="T36" s="198"/>
      <c r="U36" s="198"/>
    </row>
    <row r="37" spans="1:21" s="12" customFormat="1" x14ac:dyDescent="0.25">
      <c r="A37" s="214" t="s">
        <v>466</v>
      </c>
      <c r="B37" s="64">
        <v>14.81</v>
      </c>
      <c r="C37" s="64">
        <v>33.96</v>
      </c>
      <c r="D37" s="64">
        <v>39.21</v>
      </c>
      <c r="E37" s="64">
        <v>2.42</v>
      </c>
      <c r="F37" s="64">
        <v>6.28</v>
      </c>
      <c r="G37" s="64">
        <v>41.98</v>
      </c>
      <c r="H37" s="64">
        <v>15.62</v>
      </c>
      <c r="I37" s="64">
        <v>3.93</v>
      </c>
      <c r="J37" s="64">
        <v>0.47</v>
      </c>
      <c r="K37" s="64">
        <v>230.77</v>
      </c>
      <c r="L37" s="64">
        <v>30.98</v>
      </c>
      <c r="M37" s="64">
        <v>71.69</v>
      </c>
      <c r="N37" s="64">
        <v>238.3</v>
      </c>
      <c r="O37" s="64">
        <v>0</v>
      </c>
      <c r="P37" s="64">
        <v>0.46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4" t="s">
        <v>467</v>
      </c>
      <c r="B38" s="64">
        <v>16.940000000000001</v>
      </c>
      <c r="C38" s="64">
        <v>34.08</v>
      </c>
      <c r="D38" s="64">
        <v>36.17</v>
      </c>
      <c r="E38" s="64">
        <v>2.59</v>
      </c>
      <c r="F38" s="64">
        <v>5.59</v>
      </c>
      <c r="G38" s="64">
        <v>42.08</v>
      </c>
      <c r="H38" s="64">
        <v>15.68</v>
      </c>
      <c r="I38" s="64">
        <v>4.03</v>
      </c>
      <c r="J38" s="64">
        <v>0.53</v>
      </c>
      <c r="K38" s="64">
        <v>201.72</v>
      </c>
      <c r="L38" s="64">
        <v>31.09</v>
      </c>
      <c r="M38" s="64">
        <v>72.52</v>
      </c>
      <c r="N38" s="64">
        <v>256.8</v>
      </c>
      <c r="O38" s="64">
        <v>0</v>
      </c>
      <c r="P38" s="64">
        <v>0.51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4" t="s">
        <v>468</v>
      </c>
      <c r="B39" s="64">
        <v>16.84</v>
      </c>
      <c r="C39" s="64">
        <v>34.520000000000003</v>
      </c>
      <c r="D39" s="64">
        <v>37.159999999999997</v>
      </c>
      <c r="E39" s="64">
        <v>3.07</v>
      </c>
      <c r="F39" s="64">
        <v>8</v>
      </c>
      <c r="G39" s="64">
        <v>42.08</v>
      </c>
      <c r="H39" s="64">
        <v>15.68</v>
      </c>
      <c r="I39" s="64">
        <v>4.04</v>
      </c>
      <c r="J39" s="64">
        <v>0.56000000000000005</v>
      </c>
      <c r="K39" s="64">
        <v>234.09</v>
      </c>
      <c r="L39" s="64">
        <v>32.380000000000003</v>
      </c>
      <c r="M39" s="64">
        <v>68.22</v>
      </c>
      <c r="N39" s="64">
        <v>415.3</v>
      </c>
      <c r="O39" s="64">
        <v>0</v>
      </c>
      <c r="P39" s="64">
        <v>0.53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14" t="s">
        <v>469</v>
      </c>
      <c r="B40" s="64">
        <v>19.77</v>
      </c>
      <c r="C40" s="64">
        <v>39.159999999999997</v>
      </c>
      <c r="D40" s="64">
        <v>41.56</v>
      </c>
      <c r="E40" s="64">
        <v>2.15</v>
      </c>
      <c r="F40" s="64">
        <v>6.57</v>
      </c>
      <c r="G40" s="64">
        <v>42.08</v>
      </c>
      <c r="H40" s="64">
        <v>15.68</v>
      </c>
      <c r="I40" s="64">
        <v>3.92</v>
      </c>
      <c r="J40" s="64">
        <v>0.51</v>
      </c>
      <c r="K40" s="64">
        <v>258.86</v>
      </c>
      <c r="L40" s="64">
        <v>34.72</v>
      </c>
      <c r="M40" s="64">
        <v>59.84</v>
      </c>
      <c r="N40" s="64">
        <v>472.7</v>
      </c>
      <c r="O40" s="64">
        <v>0</v>
      </c>
      <c r="P40" s="64">
        <v>0.65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4" t="s">
        <v>470</v>
      </c>
      <c r="B41" s="64">
        <v>17.14</v>
      </c>
      <c r="C41" s="64">
        <v>36.229999999999997</v>
      </c>
      <c r="D41" s="64">
        <v>39.979999999999997</v>
      </c>
      <c r="E41" s="64">
        <v>2.63</v>
      </c>
      <c r="F41" s="64">
        <v>7.67</v>
      </c>
      <c r="G41" s="64">
        <v>45.16</v>
      </c>
      <c r="H41" s="64">
        <v>14.09</v>
      </c>
      <c r="I41" s="64">
        <v>4.1100000000000003</v>
      </c>
      <c r="J41" s="64">
        <v>0.6</v>
      </c>
      <c r="K41" s="64">
        <v>261.94</v>
      </c>
      <c r="L41" s="64">
        <v>36.32</v>
      </c>
      <c r="M41" s="64">
        <v>55.35</v>
      </c>
      <c r="N41" s="64">
        <v>563.20000000000005</v>
      </c>
      <c r="O41" s="64">
        <v>0</v>
      </c>
      <c r="P41" s="64">
        <v>0.65</v>
      </c>
      <c r="Q41" s="64">
        <v>9.65</v>
      </c>
      <c r="R41" s="198"/>
      <c r="S41" s="198"/>
      <c r="T41" s="198"/>
      <c r="U41" s="198"/>
    </row>
    <row r="42" spans="1:21" s="12" customFormat="1" x14ac:dyDescent="0.25">
      <c r="A42" s="214" t="s">
        <v>471</v>
      </c>
      <c r="B42" s="64">
        <v>16.03</v>
      </c>
      <c r="C42" s="64">
        <v>35.979999999999997</v>
      </c>
      <c r="D42" s="64">
        <v>41.21</v>
      </c>
      <c r="E42" s="64">
        <v>3.2</v>
      </c>
      <c r="F42" s="64">
        <v>5.31</v>
      </c>
      <c r="G42" s="64">
        <v>45.19</v>
      </c>
      <c r="H42" s="64">
        <v>14.07</v>
      </c>
      <c r="I42" s="64">
        <v>3.83</v>
      </c>
      <c r="J42" s="64">
        <v>0.94</v>
      </c>
      <c r="K42" s="64">
        <v>259.95</v>
      </c>
      <c r="L42" s="64">
        <v>36.549999999999997</v>
      </c>
      <c r="M42" s="64">
        <v>53.8</v>
      </c>
      <c r="N42" s="64">
        <v>633.29999999999995</v>
      </c>
      <c r="O42" s="64">
        <v>0</v>
      </c>
      <c r="P42" s="64">
        <v>0.61</v>
      </c>
      <c r="Q42" s="64">
        <v>9.65</v>
      </c>
      <c r="R42" s="198"/>
      <c r="S42" s="198"/>
      <c r="T42" s="198"/>
      <c r="U42" s="198"/>
    </row>
    <row r="43" spans="1:21" s="12" customFormat="1" x14ac:dyDescent="0.25">
      <c r="A43" s="214" t="s">
        <v>472</v>
      </c>
      <c r="B43" s="64">
        <v>14.38</v>
      </c>
      <c r="C43" s="64">
        <v>31.19</v>
      </c>
      <c r="D43" s="64">
        <v>34.58</v>
      </c>
      <c r="E43" s="64">
        <v>2.78</v>
      </c>
      <c r="F43" s="64">
        <v>6.37</v>
      </c>
      <c r="G43" s="64">
        <v>45.19</v>
      </c>
      <c r="H43" s="64">
        <v>14.07</v>
      </c>
      <c r="I43" s="64">
        <v>3.83</v>
      </c>
      <c r="J43" s="64">
        <v>0.88</v>
      </c>
      <c r="K43" s="64">
        <v>255.62</v>
      </c>
      <c r="L43" s="64">
        <v>36.14</v>
      </c>
      <c r="M43" s="64">
        <v>56</v>
      </c>
      <c r="N43" s="64">
        <v>642.6</v>
      </c>
      <c r="O43" s="64">
        <v>0</v>
      </c>
      <c r="P43" s="64">
        <v>0.57999999999999996</v>
      </c>
      <c r="Q43" s="64">
        <v>9.65</v>
      </c>
      <c r="R43" s="198"/>
      <c r="S43" s="198"/>
      <c r="T43" s="198"/>
      <c r="U43" s="198"/>
    </row>
    <row r="44" spans="1:21" s="12" customFormat="1" x14ac:dyDescent="0.25">
      <c r="A44" s="214" t="s">
        <v>473</v>
      </c>
      <c r="B44" s="64">
        <v>12.56</v>
      </c>
      <c r="C44" s="64">
        <v>31.11</v>
      </c>
      <c r="D44" s="64">
        <v>37.21</v>
      </c>
      <c r="E44" s="64">
        <v>3.04</v>
      </c>
      <c r="F44" s="64">
        <v>8.82</v>
      </c>
      <c r="G44" s="64">
        <v>45.19</v>
      </c>
      <c r="H44" s="64">
        <v>14.07</v>
      </c>
      <c r="I44" s="64">
        <v>4.03</v>
      </c>
      <c r="J44" s="64">
        <v>0.81</v>
      </c>
      <c r="K44" s="64">
        <v>243.9</v>
      </c>
      <c r="L44" s="64">
        <v>36.17</v>
      </c>
      <c r="M44" s="64">
        <v>56.87</v>
      </c>
      <c r="N44" s="64">
        <v>667.7</v>
      </c>
      <c r="O44" s="64">
        <v>0</v>
      </c>
      <c r="P44" s="64">
        <v>0.53</v>
      </c>
      <c r="Q44" s="64">
        <v>9.6300000000000008</v>
      </c>
      <c r="R44" s="198"/>
      <c r="S44" s="198"/>
      <c r="T44" s="198"/>
      <c r="U44" s="198"/>
    </row>
    <row r="45" spans="1:21" s="12" customFormat="1" x14ac:dyDescent="0.25">
      <c r="A45" s="214" t="s">
        <v>474</v>
      </c>
      <c r="B45" s="64">
        <v>11.16</v>
      </c>
      <c r="C45" s="64">
        <v>29.4</v>
      </c>
      <c r="D45" s="64">
        <v>36.090000000000003</v>
      </c>
      <c r="E45" s="64">
        <v>2.97</v>
      </c>
      <c r="F45" s="64">
        <v>6.89</v>
      </c>
      <c r="G45" s="64">
        <v>44.62</v>
      </c>
      <c r="H45" s="64">
        <v>13.61</v>
      </c>
      <c r="I45" s="64">
        <v>4.0199999999999996</v>
      </c>
      <c r="J45" s="64">
        <v>1.01</v>
      </c>
      <c r="K45" s="64">
        <v>245.08</v>
      </c>
      <c r="L45" s="64">
        <v>35.81</v>
      </c>
      <c r="M45" s="64">
        <v>57.49</v>
      </c>
      <c r="N45" s="64">
        <v>715.8</v>
      </c>
      <c r="O45" s="64">
        <v>0</v>
      </c>
      <c r="P45" s="64">
        <v>0.5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4" t="s">
        <v>475</v>
      </c>
      <c r="B46" s="64">
        <v>9.83</v>
      </c>
      <c r="C46" s="64">
        <v>26.65</v>
      </c>
      <c r="D46" s="64">
        <v>32.86</v>
      </c>
      <c r="E46" s="64">
        <v>3.01</v>
      </c>
      <c r="F46" s="64">
        <v>9.9</v>
      </c>
      <c r="G46" s="64">
        <v>44.62</v>
      </c>
      <c r="H46" s="64">
        <v>13.61</v>
      </c>
      <c r="I46" s="64">
        <v>4.12</v>
      </c>
      <c r="J46" s="64">
        <v>0.72</v>
      </c>
      <c r="K46" s="64">
        <v>242.1</v>
      </c>
      <c r="L46" s="64">
        <v>36.6</v>
      </c>
      <c r="M46" s="64">
        <v>55.39</v>
      </c>
      <c r="N46" s="64">
        <v>738.5</v>
      </c>
      <c r="O46" s="64">
        <v>0</v>
      </c>
      <c r="P46" s="64">
        <v>0.47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4" t="s">
        <v>476</v>
      </c>
      <c r="B47" s="64">
        <v>9.59</v>
      </c>
      <c r="C47" s="64">
        <v>27.43</v>
      </c>
      <c r="D47" s="64">
        <v>34.729999999999997</v>
      </c>
      <c r="E47" s="64">
        <v>2.9</v>
      </c>
      <c r="F47" s="64">
        <v>7.88</v>
      </c>
      <c r="G47" s="64">
        <v>44.62</v>
      </c>
      <c r="H47" s="64">
        <v>13.61</v>
      </c>
      <c r="I47" s="64">
        <v>4.1100000000000003</v>
      </c>
      <c r="J47" s="64">
        <v>1.08</v>
      </c>
      <c r="K47" s="64">
        <v>254.25</v>
      </c>
      <c r="L47" s="64">
        <v>37.840000000000003</v>
      </c>
      <c r="M47" s="64">
        <v>51.36</v>
      </c>
      <c r="N47" s="64">
        <v>780.7</v>
      </c>
      <c r="O47" s="64">
        <v>0</v>
      </c>
      <c r="P47" s="64">
        <v>0.47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4" t="s">
        <v>477</v>
      </c>
      <c r="B48" s="64">
        <v>10.26</v>
      </c>
      <c r="C48" s="64">
        <v>26.59</v>
      </c>
      <c r="D48" s="64">
        <v>32.08</v>
      </c>
      <c r="E48" s="64">
        <v>2.69</v>
      </c>
      <c r="F48" s="64">
        <v>12.44</v>
      </c>
      <c r="G48" s="64">
        <v>44.62</v>
      </c>
      <c r="H48" s="64">
        <v>13.61</v>
      </c>
      <c r="I48" s="64">
        <v>3.95</v>
      </c>
      <c r="J48" s="64">
        <v>0.81</v>
      </c>
      <c r="K48" s="64">
        <v>256.42</v>
      </c>
      <c r="L48" s="64">
        <v>38.770000000000003</v>
      </c>
      <c r="M48" s="64">
        <v>49.01</v>
      </c>
      <c r="N48" s="64">
        <v>817.9</v>
      </c>
      <c r="O48" s="64">
        <v>0</v>
      </c>
      <c r="P48" s="64">
        <v>0.44</v>
      </c>
      <c r="Q48" s="64">
        <v>9.59</v>
      </c>
      <c r="R48" s="198"/>
      <c r="S48" s="198"/>
      <c r="T48" s="198"/>
      <c r="U48" s="198"/>
    </row>
    <row r="49" spans="1:21" s="12" customFormat="1" x14ac:dyDescent="0.25">
      <c r="A49" s="214" t="s">
        <v>478</v>
      </c>
      <c r="B49" s="64">
        <v>8.35</v>
      </c>
      <c r="C49" s="64">
        <v>23.52</v>
      </c>
      <c r="D49" s="64">
        <v>29.14</v>
      </c>
      <c r="E49" s="64">
        <v>2.73</v>
      </c>
      <c r="F49" s="64">
        <v>10.67</v>
      </c>
      <c r="G49" s="64">
        <v>37.369999999999997</v>
      </c>
      <c r="H49" s="64">
        <v>13.77</v>
      </c>
      <c r="I49" s="64">
        <v>3.93</v>
      </c>
      <c r="J49" s="64">
        <v>0.96</v>
      </c>
      <c r="K49" s="64">
        <v>252.78</v>
      </c>
      <c r="L49" s="64">
        <v>38.92</v>
      </c>
      <c r="M49" s="64">
        <v>47.77</v>
      </c>
      <c r="N49" s="64">
        <v>877.8</v>
      </c>
      <c r="O49" s="64">
        <v>0</v>
      </c>
      <c r="P49" s="64">
        <v>0.45</v>
      </c>
      <c r="Q49" s="64">
        <v>9.58</v>
      </c>
      <c r="R49" s="198"/>
      <c r="S49" s="198"/>
      <c r="T49" s="198"/>
      <c r="U49" s="198"/>
    </row>
    <row r="50" spans="1:21" s="12" customFormat="1" x14ac:dyDescent="0.25">
      <c r="A50" s="214" t="s">
        <v>479</v>
      </c>
      <c r="B50" s="64">
        <v>8.02</v>
      </c>
      <c r="C50" s="64">
        <v>24.06</v>
      </c>
      <c r="D50" s="64">
        <v>30.69</v>
      </c>
      <c r="E50" s="64">
        <v>3.04</v>
      </c>
      <c r="F50" s="64">
        <v>13.34</v>
      </c>
      <c r="G50" s="64">
        <v>37.29</v>
      </c>
      <c r="H50" s="64">
        <v>13.77</v>
      </c>
      <c r="I50" s="64">
        <v>4</v>
      </c>
      <c r="J50" s="64">
        <v>0.76</v>
      </c>
      <c r="K50" s="64">
        <v>226</v>
      </c>
      <c r="L50" s="64">
        <v>38.08</v>
      </c>
      <c r="M50" s="64">
        <v>49.24</v>
      </c>
      <c r="N50" s="64">
        <v>1014.8</v>
      </c>
      <c r="O50" s="64">
        <v>0</v>
      </c>
      <c r="P50" s="64">
        <v>0.4</v>
      </c>
      <c r="Q50" s="64">
        <v>9.56</v>
      </c>
      <c r="R50" s="198"/>
      <c r="S50" s="198"/>
      <c r="T50" s="198"/>
      <c r="U50" s="198"/>
    </row>
    <row r="51" spans="1:21" s="12" customFormat="1" x14ac:dyDescent="0.25">
      <c r="A51" s="214" t="s">
        <v>480</v>
      </c>
      <c r="B51" s="64">
        <v>8.6300000000000008</v>
      </c>
      <c r="C51" s="64">
        <v>25.63</v>
      </c>
      <c r="D51" s="64">
        <v>32.76</v>
      </c>
      <c r="E51" s="64">
        <v>3.25</v>
      </c>
      <c r="F51" s="64">
        <v>18.09</v>
      </c>
      <c r="G51" s="64">
        <v>37.29</v>
      </c>
      <c r="H51" s="64">
        <v>13.77</v>
      </c>
      <c r="I51" s="64">
        <v>4.03</v>
      </c>
      <c r="J51" s="64">
        <v>0.59</v>
      </c>
      <c r="K51" s="64">
        <v>229.73</v>
      </c>
      <c r="L51" s="64">
        <v>38.89</v>
      </c>
      <c r="M51" s="64">
        <v>47.12</v>
      </c>
      <c r="N51" s="64">
        <v>999.6</v>
      </c>
      <c r="O51" s="64">
        <v>0</v>
      </c>
      <c r="P51" s="64">
        <v>0.39</v>
      </c>
      <c r="Q51" s="64">
        <v>9.5399999999999991</v>
      </c>
      <c r="R51" s="198"/>
      <c r="S51" s="198"/>
      <c r="T51" s="198"/>
      <c r="U51" s="198"/>
    </row>
    <row r="52" spans="1:21" s="12" customFormat="1" x14ac:dyDescent="0.25">
      <c r="A52" s="214" t="s">
        <v>481</v>
      </c>
      <c r="B52" s="64">
        <v>8.51</v>
      </c>
      <c r="C52" s="64">
        <v>26.32</v>
      </c>
      <c r="D52" s="64">
        <v>34.270000000000003</v>
      </c>
      <c r="E52" s="64">
        <v>3.2</v>
      </c>
      <c r="F52" s="64">
        <v>10.17</v>
      </c>
      <c r="G52" s="64">
        <v>37.29</v>
      </c>
      <c r="H52" s="64">
        <v>13.77</v>
      </c>
      <c r="I52" s="64">
        <v>3.85</v>
      </c>
      <c r="J52" s="64">
        <v>0.95</v>
      </c>
      <c r="K52" s="64">
        <v>240.48</v>
      </c>
      <c r="L52" s="64">
        <v>39.85</v>
      </c>
      <c r="M52" s="64">
        <v>44.45</v>
      </c>
      <c r="N52" s="64">
        <v>994</v>
      </c>
      <c r="O52" s="64">
        <v>0</v>
      </c>
      <c r="P52" s="64">
        <v>0.43</v>
      </c>
      <c r="Q52" s="64">
        <v>9.5299999999999994</v>
      </c>
      <c r="R52" s="198"/>
      <c r="S52" s="198"/>
      <c r="T52" s="198"/>
      <c r="U52" s="198"/>
    </row>
    <row r="53" spans="1:21" s="12" customFormat="1" x14ac:dyDescent="0.25">
      <c r="A53" s="214" t="s">
        <v>482</v>
      </c>
      <c r="B53" s="64">
        <v>8.36</v>
      </c>
      <c r="C53" s="64">
        <v>27</v>
      </c>
      <c r="D53" s="64">
        <v>35.799999999999997</v>
      </c>
      <c r="E53" s="64">
        <v>3.27</v>
      </c>
      <c r="F53" s="64">
        <v>11.34</v>
      </c>
      <c r="G53" s="64">
        <v>31.1</v>
      </c>
      <c r="H53" s="64">
        <v>17.63</v>
      </c>
      <c r="I53" s="64">
        <v>3.85</v>
      </c>
      <c r="J53" s="64">
        <v>0.73</v>
      </c>
      <c r="K53" s="64">
        <v>219.28</v>
      </c>
      <c r="L53" s="64">
        <v>39.5</v>
      </c>
      <c r="M53" s="64">
        <v>45.11</v>
      </c>
      <c r="N53" s="64">
        <v>1005.7</v>
      </c>
      <c r="O53" s="64">
        <v>0</v>
      </c>
      <c r="P53" s="64">
        <v>0.41</v>
      </c>
      <c r="Q53" s="64">
        <v>9.5500000000000007</v>
      </c>
      <c r="R53" s="198"/>
      <c r="S53" s="198"/>
      <c r="T53" s="198"/>
      <c r="U53" s="198"/>
    </row>
    <row r="54" spans="1:21" s="12" customFormat="1" x14ac:dyDescent="0.25">
      <c r="A54" s="214" t="s">
        <v>483</v>
      </c>
      <c r="B54" s="64">
        <v>10.14</v>
      </c>
      <c r="C54" s="64">
        <v>27.32</v>
      </c>
      <c r="D54" s="64">
        <v>33.67</v>
      </c>
      <c r="E54" s="64">
        <v>2.91</v>
      </c>
      <c r="F54" s="64">
        <v>13.33</v>
      </c>
      <c r="G54" s="64">
        <v>31.03</v>
      </c>
      <c r="H54" s="64">
        <v>17.670000000000002</v>
      </c>
      <c r="I54" s="64">
        <v>4.3</v>
      </c>
      <c r="J54" s="64">
        <v>0.79</v>
      </c>
      <c r="K54" s="64">
        <v>228.83</v>
      </c>
      <c r="L54" s="64">
        <v>40.07</v>
      </c>
      <c r="M54" s="64">
        <v>43.1</v>
      </c>
      <c r="N54" s="64">
        <v>1016.3</v>
      </c>
      <c r="O54" s="64">
        <v>0</v>
      </c>
      <c r="P54" s="64">
        <v>0.41</v>
      </c>
      <c r="Q54" s="64">
        <v>9.5500000000000007</v>
      </c>
      <c r="R54" s="198"/>
      <c r="S54" s="198"/>
      <c r="T54" s="198"/>
      <c r="U54" s="198"/>
    </row>
    <row r="55" spans="1:21" s="12" customFormat="1" x14ac:dyDescent="0.25">
      <c r="A55" s="214" t="s">
        <v>484</v>
      </c>
      <c r="B55" s="64">
        <v>8.16</v>
      </c>
      <c r="C55" s="64">
        <v>24.29</v>
      </c>
      <c r="D55" s="64">
        <v>30.92</v>
      </c>
      <c r="E55" s="64">
        <v>3.16</v>
      </c>
      <c r="F55" s="64">
        <v>10.86</v>
      </c>
      <c r="G55" s="64">
        <v>31.03</v>
      </c>
      <c r="H55" s="64">
        <v>17.670000000000002</v>
      </c>
      <c r="I55" s="64">
        <v>3.86</v>
      </c>
      <c r="J55" s="64">
        <v>0.86</v>
      </c>
      <c r="K55" s="64">
        <v>220.3</v>
      </c>
      <c r="L55" s="64">
        <v>39.51</v>
      </c>
      <c r="M55" s="64">
        <v>42.66</v>
      </c>
      <c r="N55" s="64">
        <v>1021.5</v>
      </c>
      <c r="O55" s="64">
        <v>0</v>
      </c>
      <c r="P55" s="64">
        <v>0.39</v>
      </c>
      <c r="Q55" s="64">
        <v>9.5299999999999994</v>
      </c>
      <c r="R55" s="198"/>
      <c r="S55" s="198"/>
      <c r="T55" s="198"/>
      <c r="U55" s="198"/>
    </row>
    <row r="56" spans="1:21" s="12" customFormat="1" x14ac:dyDescent="0.25">
      <c r="A56" s="214" t="s">
        <v>485</v>
      </c>
      <c r="B56" s="64">
        <v>7.91</v>
      </c>
      <c r="C56" s="64">
        <v>22.88</v>
      </c>
      <c r="D56" s="64">
        <v>28.6</v>
      </c>
      <c r="E56" s="64">
        <v>2.82</v>
      </c>
      <c r="F56" s="64">
        <v>12.72</v>
      </c>
      <c r="G56" s="64">
        <v>31.03</v>
      </c>
      <c r="H56" s="64">
        <v>17.670000000000002</v>
      </c>
      <c r="I56" s="64">
        <v>3.89</v>
      </c>
      <c r="J56" s="64">
        <v>0.9</v>
      </c>
      <c r="K56" s="64">
        <v>208.25</v>
      </c>
      <c r="L56" s="64">
        <v>39.58</v>
      </c>
      <c r="M56" s="64">
        <v>42.64</v>
      </c>
      <c r="N56" s="64">
        <v>1024.0999999999999</v>
      </c>
      <c r="O56" s="64">
        <v>0</v>
      </c>
      <c r="P56" s="64">
        <v>0.38</v>
      </c>
      <c r="Q56" s="64">
        <v>9.52</v>
      </c>
      <c r="R56" s="198"/>
      <c r="S56" s="198"/>
      <c r="T56" s="198"/>
      <c r="U56" s="198"/>
    </row>
    <row r="57" spans="1:21" s="12" customFormat="1" x14ac:dyDescent="0.25">
      <c r="A57" s="214" t="s">
        <v>486</v>
      </c>
      <c r="B57" s="64">
        <v>7.47</v>
      </c>
      <c r="C57" s="64">
        <v>21.88</v>
      </c>
      <c r="D57" s="64">
        <v>27.37</v>
      </c>
      <c r="E57" s="64">
        <v>2.95</v>
      </c>
      <c r="F57" s="64">
        <v>10.210000000000001</v>
      </c>
      <c r="G57" s="64">
        <v>31.43</v>
      </c>
      <c r="H57" s="64">
        <v>14.5</v>
      </c>
      <c r="I57" s="64">
        <v>4.01</v>
      </c>
      <c r="J57" s="64">
        <v>0.71</v>
      </c>
      <c r="K57" s="64">
        <v>222.22</v>
      </c>
      <c r="L57" s="64">
        <v>40.200000000000003</v>
      </c>
      <c r="M57" s="64">
        <v>40.01</v>
      </c>
      <c r="N57" s="64">
        <v>983.3</v>
      </c>
      <c r="O57" s="64">
        <v>0</v>
      </c>
      <c r="P57" s="64">
        <v>0.37</v>
      </c>
      <c r="Q57" s="64">
        <v>9.51</v>
      </c>
      <c r="R57" s="198"/>
      <c r="S57" s="198"/>
      <c r="T57" s="198"/>
      <c r="U57" s="198"/>
    </row>
    <row r="58" spans="1:21" s="12" customFormat="1" x14ac:dyDescent="0.25">
      <c r="A58" s="214" t="s">
        <v>487</v>
      </c>
      <c r="B58" s="64">
        <v>7.22</v>
      </c>
      <c r="C58" s="64">
        <v>23.32</v>
      </c>
      <c r="D58" s="64">
        <v>30.51</v>
      </c>
      <c r="E58" s="64">
        <v>2.76</v>
      </c>
      <c r="F58" s="64">
        <v>11.89</v>
      </c>
      <c r="G58" s="64">
        <v>31.43</v>
      </c>
      <c r="H58" s="64">
        <v>14.5</v>
      </c>
      <c r="I58" s="64">
        <v>4.09</v>
      </c>
      <c r="J58" s="64">
        <v>0.79</v>
      </c>
      <c r="K58" s="64">
        <v>249.67</v>
      </c>
      <c r="L58" s="64">
        <v>41.57</v>
      </c>
      <c r="M58" s="64">
        <v>37.26</v>
      </c>
      <c r="N58" s="64">
        <v>858.5</v>
      </c>
      <c r="O58" s="64">
        <v>0</v>
      </c>
      <c r="P58" s="64">
        <v>0.39</v>
      </c>
      <c r="Q58" s="64">
        <v>9.5399999999999991</v>
      </c>
      <c r="R58" s="198"/>
      <c r="S58" s="198"/>
      <c r="T58" s="198"/>
      <c r="U58" s="198"/>
    </row>
    <row r="59" spans="1:21" s="12" customFormat="1" x14ac:dyDescent="0.25">
      <c r="A59" s="214" t="s">
        <v>488</v>
      </c>
      <c r="B59" s="64">
        <v>9.7100000000000009</v>
      </c>
      <c r="C59" s="64">
        <v>24.83</v>
      </c>
      <c r="D59" s="64">
        <v>29.56</v>
      </c>
      <c r="E59" s="64">
        <v>3.04</v>
      </c>
      <c r="F59" s="64">
        <v>13.09</v>
      </c>
      <c r="G59" s="64">
        <v>31.43</v>
      </c>
      <c r="H59" s="64">
        <v>14.5</v>
      </c>
      <c r="I59" s="64">
        <v>3.95</v>
      </c>
      <c r="J59" s="64">
        <v>0.75</v>
      </c>
      <c r="K59" s="64">
        <v>215.32</v>
      </c>
      <c r="L59" s="64">
        <v>41.04</v>
      </c>
      <c r="M59" s="64">
        <v>36.33</v>
      </c>
      <c r="N59" s="64">
        <v>968.3</v>
      </c>
      <c r="O59" s="64">
        <v>0</v>
      </c>
      <c r="P59" s="64">
        <v>0.38</v>
      </c>
      <c r="Q59" s="64">
        <v>9.5399999999999991</v>
      </c>
      <c r="R59" s="198"/>
      <c r="S59" s="198"/>
      <c r="T59" s="198"/>
      <c r="U59" s="198"/>
    </row>
    <row r="60" spans="1:21" s="12" customFormat="1" x14ac:dyDescent="0.25">
      <c r="A60" s="214" t="s">
        <v>489</v>
      </c>
      <c r="B60" s="64">
        <v>7.8</v>
      </c>
      <c r="C60" s="64">
        <v>22.6</v>
      </c>
      <c r="D60" s="64">
        <v>28.23</v>
      </c>
      <c r="E60" s="64">
        <v>3.01</v>
      </c>
      <c r="F60" s="64">
        <v>15.23</v>
      </c>
      <c r="G60" s="64">
        <v>31.43</v>
      </c>
      <c r="H60" s="64">
        <v>14.5</v>
      </c>
      <c r="I60" s="64">
        <v>3.98</v>
      </c>
      <c r="J60" s="64">
        <v>0.73</v>
      </c>
      <c r="K60" s="64">
        <v>242.42</v>
      </c>
      <c r="L60" s="64">
        <v>41.27</v>
      </c>
      <c r="M60" s="64">
        <v>35.43</v>
      </c>
      <c r="N60" s="64">
        <v>785.2</v>
      </c>
      <c r="O60" s="64">
        <v>0</v>
      </c>
      <c r="P60" s="64">
        <v>0.36</v>
      </c>
      <c r="Q60" s="64">
        <v>9.5299999999999994</v>
      </c>
      <c r="R60" s="198"/>
      <c r="S60" s="198"/>
      <c r="T60" s="198"/>
      <c r="U60" s="198"/>
    </row>
    <row r="61" spans="1:21" s="12" customFormat="1" x14ac:dyDescent="0.25">
      <c r="A61" s="214" t="s">
        <v>490</v>
      </c>
      <c r="B61" s="64">
        <v>7.32</v>
      </c>
      <c r="C61" s="64">
        <v>21.1</v>
      </c>
      <c r="D61" s="64">
        <v>26.1</v>
      </c>
      <c r="E61" s="64">
        <v>3.21</v>
      </c>
      <c r="F61" s="64">
        <v>13.15</v>
      </c>
      <c r="G61" s="64">
        <v>33.71</v>
      </c>
      <c r="H61" s="64">
        <v>13.13</v>
      </c>
      <c r="I61" s="64">
        <v>4.1399999999999997</v>
      </c>
      <c r="J61" s="64">
        <v>0.86</v>
      </c>
      <c r="K61" s="64">
        <v>218.84</v>
      </c>
      <c r="L61" s="64">
        <v>41.17</v>
      </c>
      <c r="M61" s="64">
        <v>35.9</v>
      </c>
      <c r="N61" s="64">
        <v>907.8</v>
      </c>
      <c r="O61" s="64">
        <v>0</v>
      </c>
      <c r="P61" s="64">
        <v>0.4</v>
      </c>
      <c r="Q61" s="64">
        <v>9.52</v>
      </c>
      <c r="R61" s="198"/>
      <c r="S61" s="198"/>
      <c r="T61" s="198"/>
      <c r="U61" s="198"/>
    </row>
    <row r="62" spans="1:21" s="12" customFormat="1" x14ac:dyDescent="0.25">
      <c r="A62" s="214" t="s">
        <v>491</v>
      </c>
      <c r="B62" s="64">
        <v>6.91</v>
      </c>
      <c r="C62" s="64">
        <v>19.79</v>
      </c>
      <c r="D62" s="64">
        <v>24.22</v>
      </c>
      <c r="E62" s="64">
        <v>3.27</v>
      </c>
      <c r="F62" s="64">
        <v>19.57</v>
      </c>
      <c r="G62" s="64">
        <v>33.74</v>
      </c>
      <c r="H62" s="64">
        <v>13.12</v>
      </c>
      <c r="I62" s="64">
        <v>3.93</v>
      </c>
      <c r="J62" s="64">
        <v>0.79</v>
      </c>
      <c r="K62" s="64">
        <v>197.01</v>
      </c>
      <c r="L62" s="64">
        <v>40.630000000000003</v>
      </c>
      <c r="M62" s="64">
        <v>35.28</v>
      </c>
      <c r="N62" s="64">
        <v>836.7</v>
      </c>
      <c r="O62" s="64">
        <v>0</v>
      </c>
      <c r="P62" s="64">
        <v>0.39</v>
      </c>
      <c r="Q62" s="64">
        <v>9.5</v>
      </c>
      <c r="R62" s="198"/>
      <c r="S62" s="198"/>
      <c r="T62" s="198"/>
      <c r="U62" s="198"/>
    </row>
    <row r="63" spans="1:21" s="12" customFormat="1" x14ac:dyDescent="0.25">
      <c r="A63" s="214" t="s">
        <v>492</v>
      </c>
      <c r="B63" s="64">
        <v>7.04</v>
      </c>
      <c r="C63" s="64">
        <v>20.91</v>
      </c>
      <c r="D63" s="64">
        <v>26.17</v>
      </c>
      <c r="E63" s="64">
        <v>3.42</v>
      </c>
      <c r="F63" s="64">
        <v>21.04</v>
      </c>
      <c r="G63" s="64">
        <v>33.74</v>
      </c>
      <c r="H63" s="64">
        <v>13.12</v>
      </c>
      <c r="I63" s="64">
        <v>3.97</v>
      </c>
      <c r="J63" s="64">
        <v>0.79</v>
      </c>
      <c r="K63" s="64">
        <v>217.54</v>
      </c>
      <c r="L63" s="64">
        <v>41.05</v>
      </c>
      <c r="M63" s="64">
        <v>33</v>
      </c>
      <c r="N63" s="64">
        <v>681.2</v>
      </c>
      <c r="O63" s="64">
        <v>0</v>
      </c>
      <c r="P63" s="64">
        <v>0.36</v>
      </c>
      <c r="Q63" s="64">
        <v>9.48</v>
      </c>
      <c r="R63" s="198"/>
      <c r="S63" s="198"/>
      <c r="T63" s="198"/>
      <c r="U63" s="198"/>
    </row>
    <row r="64" spans="1:21" s="12" customFormat="1" x14ac:dyDescent="0.25">
      <c r="A64" s="214" t="s">
        <v>493</v>
      </c>
      <c r="B64" s="64">
        <v>6.85</v>
      </c>
      <c r="C64" s="64">
        <v>19.43</v>
      </c>
      <c r="D64" s="64">
        <v>23.64</v>
      </c>
      <c r="E64" s="64">
        <v>2.82</v>
      </c>
      <c r="F64" s="64">
        <v>18.5</v>
      </c>
      <c r="G64" s="64">
        <v>33.74</v>
      </c>
      <c r="H64" s="64">
        <v>13.12</v>
      </c>
      <c r="I64" s="64">
        <v>4.04</v>
      </c>
      <c r="J64" s="64">
        <v>1.1599999999999999</v>
      </c>
      <c r="K64" s="64">
        <v>172.47</v>
      </c>
      <c r="L64" s="64">
        <v>40.81</v>
      </c>
      <c r="M64" s="64">
        <v>32.590000000000003</v>
      </c>
      <c r="N64" s="64">
        <v>610.5</v>
      </c>
      <c r="O64" s="64">
        <v>0</v>
      </c>
      <c r="P64" s="64">
        <v>0.37</v>
      </c>
      <c r="Q64" s="64">
        <v>9.48</v>
      </c>
      <c r="R64" s="198"/>
      <c r="S64" s="198"/>
      <c r="T64" s="198"/>
      <c r="U64" s="198"/>
    </row>
    <row r="65" spans="1:21" s="12" customFormat="1" x14ac:dyDescent="0.25">
      <c r="A65" s="214" t="s">
        <v>494</v>
      </c>
      <c r="B65" s="64">
        <v>7.14</v>
      </c>
      <c r="C65" s="64">
        <v>20.85</v>
      </c>
      <c r="D65" s="64">
        <v>25.9</v>
      </c>
      <c r="E65" s="64">
        <v>3.1</v>
      </c>
      <c r="F65" s="64">
        <v>19.809999999999999</v>
      </c>
      <c r="G65" s="64">
        <v>28.62</v>
      </c>
      <c r="H65" s="64">
        <v>12.9</v>
      </c>
      <c r="I65" s="64">
        <v>3.94</v>
      </c>
      <c r="J65" s="64">
        <v>1.36</v>
      </c>
      <c r="K65" s="64">
        <v>162.88999999999999</v>
      </c>
      <c r="L65" s="64">
        <v>40.36</v>
      </c>
      <c r="M65" s="64">
        <v>34.229999999999997</v>
      </c>
      <c r="N65" s="64">
        <v>374.9</v>
      </c>
      <c r="O65" s="64">
        <v>0</v>
      </c>
      <c r="P65" s="64">
        <v>0.36</v>
      </c>
      <c r="Q65" s="64">
        <v>9.4700000000000006</v>
      </c>
      <c r="R65" s="198"/>
      <c r="S65" s="198"/>
      <c r="T65" s="198"/>
      <c r="U65" s="198"/>
    </row>
    <row r="66" spans="1:21" s="12" customFormat="1" x14ac:dyDescent="0.25">
      <c r="A66" s="214" t="s">
        <v>495</v>
      </c>
      <c r="B66" s="64">
        <v>7.43</v>
      </c>
      <c r="C66" s="64">
        <v>22.18</v>
      </c>
      <c r="D66" s="64">
        <v>27.99</v>
      </c>
      <c r="E66" s="64">
        <v>2.98</v>
      </c>
      <c r="F66" s="64">
        <v>17.27</v>
      </c>
      <c r="G66" s="64">
        <v>28.62</v>
      </c>
      <c r="H66" s="64">
        <v>12.89</v>
      </c>
      <c r="I66" s="64">
        <v>3.9</v>
      </c>
      <c r="J66" s="64">
        <v>1.1000000000000001</v>
      </c>
      <c r="K66" s="64">
        <v>184.86</v>
      </c>
      <c r="L66" s="64">
        <v>39.9</v>
      </c>
      <c r="M66" s="64">
        <v>32.79</v>
      </c>
      <c r="N66" s="64">
        <v>281.2</v>
      </c>
      <c r="O66" s="64">
        <v>0</v>
      </c>
      <c r="P66" s="64">
        <v>0.37</v>
      </c>
      <c r="Q66" s="64">
        <v>9.4600000000000009</v>
      </c>
      <c r="R66" s="198"/>
      <c r="S66" s="198"/>
      <c r="T66" s="198"/>
      <c r="U66" s="198"/>
    </row>
    <row r="67" spans="1:21" s="12" customFormat="1" x14ac:dyDescent="0.25">
      <c r="A67" s="214" t="s">
        <v>496</v>
      </c>
      <c r="B67" s="64">
        <v>8.25</v>
      </c>
      <c r="C67" s="64">
        <v>24.07</v>
      </c>
      <c r="D67" s="64">
        <v>30.36</v>
      </c>
      <c r="E67" s="64">
        <v>4.49</v>
      </c>
      <c r="F67" s="64">
        <v>26.67</v>
      </c>
      <c r="G67" s="64">
        <v>28.62</v>
      </c>
      <c r="H67" s="64">
        <v>12.89</v>
      </c>
      <c r="I67" s="64">
        <v>4.04</v>
      </c>
      <c r="J67" s="64">
        <v>0.47</v>
      </c>
      <c r="K67" s="64">
        <v>224.48</v>
      </c>
      <c r="L67" s="64">
        <v>40.130000000000003</v>
      </c>
      <c r="M67" s="64">
        <v>32.31</v>
      </c>
      <c r="N67" s="64">
        <v>221.9</v>
      </c>
      <c r="O67" s="64">
        <v>0</v>
      </c>
      <c r="P67" s="64">
        <v>0.34</v>
      </c>
      <c r="Q67" s="64">
        <v>9.4600000000000009</v>
      </c>
      <c r="R67" s="198"/>
      <c r="S67" s="198"/>
      <c r="T67" s="198"/>
      <c r="U67" s="198"/>
    </row>
    <row r="68" spans="1:21" s="12" customFormat="1" x14ac:dyDescent="0.25">
      <c r="A68" s="214" t="s">
        <v>497</v>
      </c>
      <c r="B68" s="64">
        <v>12.59</v>
      </c>
      <c r="C68" s="64">
        <v>34.46</v>
      </c>
      <c r="D68" s="64">
        <v>43.58</v>
      </c>
      <c r="E68" s="64">
        <v>4.47</v>
      </c>
      <c r="F68" s="64">
        <v>18.05</v>
      </c>
      <c r="G68" s="64">
        <v>28.62</v>
      </c>
      <c r="H68" s="64">
        <v>12.89</v>
      </c>
      <c r="I68" s="64">
        <v>4.04</v>
      </c>
      <c r="J68" s="64">
        <v>0.65</v>
      </c>
      <c r="K68" s="64">
        <v>254.62</v>
      </c>
      <c r="L68" s="64">
        <v>39.869999999999997</v>
      </c>
      <c r="M68" s="64">
        <v>32.450000000000003</v>
      </c>
      <c r="N68" s="64">
        <v>117.3</v>
      </c>
      <c r="O68" s="64">
        <v>0</v>
      </c>
      <c r="P68" s="64">
        <v>0.48</v>
      </c>
      <c r="Q68" s="64">
        <v>9.4499999999999993</v>
      </c>
      <c r="R68" s="198"/>
      <c r="S68" s="198"/>
      <c r="T68" s="198"/>
      <c r="U68" s="198"/>
    </row>
    <row r="69" spans="1:21" s="12" customFormat="1" x14ac:dyDescent="0.25">
      <c r="A69" s="214" t="s">
        <v>498</v>
      </c>
      <c r="B69" s="64">
        <v>13.8</v>
      </c>
      <c r="C69" s="64">
        <v>31.99</v>
      </c>
      <c r="D69" s="64">
        <v>37</v>
      </c>
      <c r="E69" s="64">
        <v>3.99</v>
      </c>
      <c r="F69" s="64">
        <v>18.12</v>
      </c>
      <c r="G69" s="64">
        <v>29.87</v>
      </c>
      <c r="H69" s="64">
        <v>13.82</v>
      </c>
      <c r="I69" s="64">
        <v>3.97</v>
      </c>
      <c r="J69" s="64">
        <v>1.38</v>
      </c>
      <c r="K69" s="64">
        <v>259.32</v>
      </c>
      <c r="L69" s="64">
        <v>38.78</v>
      </c>
      <c r="M69" s="64">
        <v>42</v>
      </c>
      <c r="N69" s="64">
        <v>84.9</v>
      </c>
      <c r="O69" s="64">
        <v>0</v>
      </c>
      <c r="P69" s="64">
        <v>0.52</v>
      </c>
      <c r="Q69" s="64">
        <v>9.4600000000000009</v>
      </c>
      <c r="R69" s="198"/>
      <c r="S69" s="198"/>
      <c r="T69" s="198"/>
      <c r="U69" s="198"/>
    </row>
    <row r="70" spans="1:21" s="12" customFormat="1" x14ac:dyDescent="0.25">
      <c r="A70" s="214" t="s">
        <v>499</v>
      </c>
      <c r="B70" s="64">
        <v>8.2799999999999994</v>
      </c>
      <c r="C70" s="64">
        <v>23.06</v>
      </c>
      <c r="D70" s="64">
        <v>28.37</v>
      </c>
      <c r="E70" s="64">
        <v>2.93</v>
      </c>
      <c r="F70" s="64">
        <v>8.5399999999999991</v>
      </c>
      <c r="G70" s="64">
        <v>29.88</v>
      </c>
      <c r="H70" s="64">
        <v>13.82</v>
      </c>
      <c r="I70" s="64">
        <v>4.13</v>
      </c>
      <c r="J70" s="64">
        <v>3.09</v>
      </c>
      <c r="K70" s="64">
        <v>255.37</v>
      </c>
      <c r="L70" s="64">
        <v>29.12</v>
      </c>
      <c r="M70" s="64">
        <v>84.69</v>
      </c>
      <c r="N70" s="64">
        <v>91.9</v>
      </c>
      <c r="O70" s="64">
        <v>5.6</v>
      </c>
      <c r="P70" s="64">
        <v>0.4</v>
      </c>
      <c r="Q70" s="64">
        <v>9.49</v>
      </c>
      <c r="R70" s="198"/>
      <c r="S70" s="198"/>
      <c r="T70" s="198"/>
      <c r="U70" s="198"/>
    </row>
    <row r="71" spans="1:21" s="12" customFormat="1" x14ac:dyDescent="0.25">
      <c r="A71" s="214" t="s">
        <v>500</v>
      </c>
      <c r="B71" s="64">
        <v>7.06</v>
      </c>
      <c r="C71" s="64">
        <v>22.08</v>
      </c>
      <c r="D71" s="64">
        <v>28.38</v>
      </c>
      <c r="E71" s="64">
        <v>2.6</v>
      </c>
      <c r="F71" s="64">
        <v>9.68</v>
      </c>
      <c r="G71" s="64">
        <v>29.88</v>
      </c>
      <c r="H71" s="64">
        <v>13.82</v>
      </c>
      <c r="I71" s="64">
        <v>4.1100000000000003</v>
      </c>
      <c r="J71" s="64">
        <v>4.93</v>
      </c>
      <c r="K71" s="64">
        <v>253.09</v>
      </c>
      <c r="L71" s="64">
        <v>23.97</v>
      </c>
      <c r="M71" s="64">
        <v>100.78</v>
      </c>
      <c r="N71" s="64">
        <v>72.400000000000006</v>
      </c>
      <c r="O71" s="64">
        <v>4</v>
      </c>
      <c r="P71" s="64">
        <v>0.33</v>
      </c>
      <c r="Q71" s="64">
        <v>9.5</v>
      </c>
      <c r="R71" s="198"/>
      <c r="S71" s="198"/>
      <c r="T71" s="198"/>
      <c r="U71" s="198"/>
    </row>
    <row r="72" spans="1:21" s="12" customFormat="1" x14ac:dyDescent="0.25">
      <c r="A72" s="214" t="s">
        <v>501</v>
      </c>
      <c r="B72" s="64">
        <v>6.53</v>
      </c>
      <c r="C72" s="64">
        <v>22.66</v>
      </c>
      <c r="D72" s="64">
        <v>30.29</v>
      </c>
      <c r="E72" s="64">
        <v>2.41</v>
      </c>
      <c r="F72" s="64">
        <v>8.73</v>
      </c>
      <c r="G72" s="64">
        <v>29.88</v>
      </c>
      <c r="H72" s="64">
        <v>13.82</v>
      </c>
      <c r="I72" s="64">
        <v>4.05</v>
      </c>
      <c r="J72" s="64">
        <v>1.04</v>
      </c>
      <c r="K72" s="64">
        <v>275.20999999999998</v>
      </c>
      <c r="L72" s="64">
        <v>22.72</v>
      </c>
      <c r="M72" s="64">
        <v>102.43</v>
      </c>
      <c r="N72" s="64">
        <v>75.099999999999994</v>
      </c>
      <c r="O72" s="64">
        <v>4.4000000000000004</v>
      </c>
      <c r="P72" s="64">
        <v>0.28999999999999998</v>
      </c>
      <c r="Q72" s="64">
        <v>9.51</v>
      </c>
      <c r="R72" s="198"/>
      <c r="S72" s="198"/>
      <c r="T72" s="198"/>
      <c r="U72" s="198"/>
    </row>
    <row r="73" spans="1:21" s="12" customFormat="1" x14ac:dyDescent="0.25">
      <c r="A73" s="214" t="s">
        <v>502</v>
      </c>
      <c r="B73" s="64">
        <v>6.58</v>
      </c>
      <c r="C73" s="64">
        <v>20.12</v>
      </c>
      <c r="D73" s="64">
        <v>25.36</v>
      </c>
      <c r="E73" s="64">
        <v>2</v>
      </c>
      <c r="F73" s="64">
        <v>7.04</v>
      </c>
      <c r="G73" s="64">
        <v>30.46</v>
      </c>
      <c r="H73" s="64">
        <v>9.7200000000000006</v>
      </c>
      <c r="I73" s="64">
        <v>3.98</v>
      </c>
      <c r="J73" s="64">
        <v>0.65</v>
      </c>
      <c r="K73" s="64">
        <v>322.04000000000002</v>
      </c>
      <c r="L73" s="64">
        <v>22.18</v>
      </c>
      <c r="M73" s="64">
        <v>102.55</v>
      </c>
      <c r="N73" s="64">
        <v>72.900000000000006</v>
      </c>
      <c r="O73" s="64">
        <v>3.2</v>
      </c>
      <c r="P73" s="64">
        <v>0.28999999999999998</v>
      </c>
      <c r="Q73" s="64">
        <v>9.52</v>
      </c>
      <c r="R73" s="198"/>
      <c r="S73" s="198"/>
      <c r="T73" s="198"/>
      <c r="U73" s="198"/>
    </row>
    <row r="74" spans="1:21" s="12" customFormat="1" x14ac:dyDescent="0.25">
      <c r="A74" s="214" t="s">
        <v>503</v>
      </c>
      <c r="B74" s="64">
        <v>7.06</v>
      </c>
      <c r="C74" s="64">
        <v>19.920000000000002</v>
      </c>
      <c r="D74" s="64">
        <v>24.24</v>
      </c>
      <c r="E74" s="64">
        <v>2.04</v>
      </c>
      <c r="F74" s="64">
        <v>7.01</v>
      </c>
      <c r="G74" s="64">
        <v>30.46</v>
      </c>
      <c r="H74" s="64">
        <v>9.67</v>
      </c>
      <c r="I74" s="64">
        <v>3.87</v>
      </c>
      <c r="J74" s="64">
        <v>4.55</v>
      </c>
      <c r="K74" s="64">
        <v>261.51</v>
      </c>
      <c r="L74" s="64">
        <v>23.34</v>
      </c>
      <c r="M74" s="64">
        <v>102.16</v>
      </c>
      <c r="N74" s="64">
        <v>70.900000000000006</v>
      </c>
      <c r="O74" s="64">
        <v>2.4</v>
      </c>
      <c r="P74" s="64">
        <v>0.28999999999999998</v>
      </c>
      <c r="Q74" s="64">
        <v>9.5399999999999991</v>
      </c>
      <c r="R74" s="198"/>
      <c r="S74" s="198"/>
      <c r="T74" s="198"/>
      <c r="U74" s="198"/>
    </row>
    <row r="75" spans="1:21" s="12" customFormat="1" x14ac:dyDescent="0.25">
      <c r="A75" s="214" t="s">
        <v>504</v>
      </c>
      <c r="B75" s="64">
        <v>6.78</v>
      </c>
      <c r="C75" s="64">
        <v>23.8</v>
      </c>
      <c r="D75" s="64">
        <v>32.11</v>
      </c>
      <c r="E75" s="64">
        <v>2.21</v>
      </c>
      <c r="F75" s="64">
        <v>7.28</v>
      </c>
      <c r="G75" s="64">
        <v>30.46</v>
      </c>
      <c r="H75" s="64">
        <v>9.67</v>
      </c>
      <c r="I75" s="64">
        <v>4.0199999999999996</v>
      </c>
      <c r="J75" s="64">
        <v>3.87</v>
      </c>
      <c r="K75" s="64">
        <v>252.77</v>
      </c>
      <c r="L75" s="64">
        <v>22.86</v>
      </c>
      <c r="M75" s="64">
        <v>102.5</v>
      </c>
      <c r="N75" s="64">
        <v>71</v>
      </c>
      <c r="O75" s="64">
        <v>4.8</v>
      </c>
      <c r="P75" s="64">
        <v>0.26</v>
      </c>
      <c r="Q75" s="64">
        <v>9.5500000000000007</v>
      </c>
      <c r="R75" s="198"/>
      <c r="S75" s="198"/>
      <c r="T75" s="198"/>
      <c r="U75" s="198"/>
    </row>
    <row r="76" spans="1:21" s="12" customFormat="1" x14ac:dyDescent="0.25">
      <c r="A76" s="214" t="s">
        <v>505</v>
      </c>
      <c r="B76" s="64">
        <v>6.71</v>
      </c>
      <c r="C76" s="64">
        <v>19.8</v>
      </c>
      <c r="D76" s="64">
        <v>24.54</v>
      </c>
      <c r="E76" s="64">
        <v>1.99</v>
      </c>
      <c r="F76" s="64">
        <v>7.1</v>
      </c>
      <c r="G76" s="64">
        <v>30.46</v>
      </c>
      <c r="H76" s="64">
        <v>9.67</v>
      </c>
      <c r="I76" s="64">
        <v>4</v>
      </c>
      <c r="J76" s="64">
        <v>1.33</v>
      </c>
      <c r="K76" s="64">
        <v>313.73</v>
      </c>
      <c r="L76" s="64">
        <v>22.98</v>
      </c>
      <c r="M76" s="64">
        <v>102.41</v>
      </c>
      <c r="N76" s="64">
        <v>73</v>
      </c>
      <c r="O76" s="64">
        <v>0</v>
      </c>
      <c r="P76" s="64">
        <v>0.27</v>
      </c>
      <c r="Q76" s="64">
        <v>9.5500000000000007</v>
      </c>
      <c r="R76" s="198"/>
      <c r="S76" s="198"/>
      <c r="T76" s="198"/>
      <c r="U76" s="198"/>
    </row>
    <row r="77" spans="1:21" s="12" customFormat="1" x14ac:dyDescent="0.25">
      <c r="A77" s="214" t="s">
        <v>506</v>
      </c>
      <c r="B77" s="64">
        <v>7.4</v>
      </c>
      <c r="C77" s="64">
        <v>22.67</v>
      </c>
      <c r="D77" s="64">
        <v>28.98</v>
      </c>
      <c r="E77" s="64">
        <v>1.79</v>
      </c>
      <c r="F77" s="64">
        <v>5.87</v>
      </c>
      <c r="G77" s="64">
        <v>21.3</v>
      </c>
      <c r="H77" s="64">
        <v>6.77</v>
      </c>
      <c r="I77" s="64">
        <v>4.12</v>
      </c>
      <c r="J77" s="64">
        <v>0.22</v>
      </c>
      <c r="K77" s="64">
        <v>0.01</v>
      </c>
      <c r="L77" s="64">
        <v>23.41</v>
      </c>
      <c r="M77" s="64">
        <v>102.08</v>
      </c>
      <c r="N77" s="64">
        <v>77.900000000000006</v>
      </c>
      <c r="O77" s="64">
        <v>0.4</v>
      </c>
      <c r="P77" s="64">
        <v>0.28999999999999998</v>
      </c>
      <c r="Q77" s="64">
        <v>9.57</v>
      </c>
      <c r="R77" s="198"/>
      <c r="S77" s="198"/>
      <c r="T77" s="198"/>
      <c r="U77" s="198"/>
    </row>
    <row r="78" spans="1:21" s="12" customFormat="1" x14ac:dyDescent="0.25">
      <c r="A78" s="214" t="s">
        <v>507</v>
      </c>
      <c r="B78" s="64">
        <v>8.1</v>
      </c>
      <c r="C78" s="64">
        <v>19.829999999999998</v>
      </c>
      <c r="D78" s="64">
        <v>22.46</v>
      </c>
      <c r="E78" s="64">
        <v>2.2400000000000002</v>
      </c>
      <c r="F78" s="64">
        <v>5.6</v>
      </c>
      <c r="G78" s="64">
        <v>21.3</v>
      </c>
      <c r="H78" s="64">
        <v>6.77</v>
      </c>
      <c r="I78" s="64">
        <v>4.12</v>
      </c>
      <c r="J78" s="64">
        <v>0.24</v>
      </c>
      <c r="K78" s="64">
        <v>85.8</v>
      </c>
      <c r="L78" s="64">
        <v>22.74</v>
      </c>
      <c r="M78" s="64">
        <v>101.8</v>
      </c>
      <c r="N78" s="64">
        <v>81.2</v>
      </c>
      <c r="O78" s="64">
        <v>0.4</v>
      </c>
      <c r="P78" s="64">
        <v>0.31</v>
      </c>
      <c r="Q78" s="64">
        <v>9.6</v>
      </c>
      <c r="R78" s="198"/>
      <c r="S78" s="198"/>
      <c r="T78" s="198"/>
      <c r="U78" s="198"/>
    </row>
    <row r="79" spans="1:21" s="12" customFormat="1" x14ac:dyDescent="0.25">
      <c r="A79" s="214" t="s">
        <v>508</v>
      </c>
      <c r="B79" s="64">
        <v>8.9</v>
      </c>
      <c r="C79" s="64">
        <v>20.9</v>
      </c>
      <c r="D79" s="64">
        <v>23.29</v>
      </c>
      <c r="E79" s="64">
        <v>2.02</v>
      </c>
      <c r="F79" s="64">
        <v>5.7</v>
      </c>
      <c r="G79" s="64">
        <v>21.3</v>
      </c>
      <c r="H79" s="64">
        <v>6.77</v>
      </c>
      <c r="I79" s="64">
        <v>3.96</v>
      </c>
      <c r="J79" s="64">
        <v>1.2</v>
      </c>
      <c r="K79" s="64">
        <v>105.42</v>
      </c>
      <c r="L79" s="64">
        <v>22.89</v>
      </c>
      <c r="M79" s="64">
        <v>101.87</v>
      </c>
      <c r="N79" s="64">
        <v>76.3</v>
      </c>
      <c r="O79" s="64">
        <v>0</v>
      </c>
      <c r="P79" s="64">
        <v>0.32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4" t="s">
        <v>509</v>
      </c>
      <c r="B80" s="64">
        <v>10.24</v>
      </c>
      <c r="C80" s="64">
        <v>21.11</v>
      </c>
      <c r="D80" s="64">
        <v>21.63</v>
      </c>
      <c r="E80" s="64">
        <v>2.21</v>
      </c>
      <c r="F80" s="64">
        <v>5.81</v>
      </c>
      <c r="G80" s="64">
        <v>21.3</v>
      </c>
      <c r="H80" s="64">
        <v>6.77</v>
      </c>
      <c r="I80" s="64">
        <v>3.93</v>
      </c>
      <c r="J80" s="64">
        <v>0.5</v>
      </c>
      <c r="K80" s="64">
        <v>85.36</v>
      </c>
      <c r="L80" s="64">
        <v>23.3</v>
      </c>
      <c r="M80" s="64">
        <v>101.7</v>
      </c>
      <c r="N80" s="64">
        <v>73.400000000000006</v>
      </c>
      <c r="O80" s="64">
        <v>0</v>
      </c>
      <c r="P80" s="64">
        <v>0.32</v>
      </c>
      <c r="Q80" s="64">
        <v>9.64</v>
      </c>
      <c r="R80" s="198"/>
      <c r="S80" s="198"/>
      <c r="T80" s="198"/>
      <c r="U80" s="198"/>
    </row>
    <row r="81" spans="1:26" s="12" customFormat="1" x14ac:dyDescent="0.25">
      <c r="A81" s="214" t="s">
        <v>510</v>
      </c>
      <c r="B81" s="64">
        <v>11.33</v>
      </c>
      <c r="C81" s="64">
        <v>25.24</v>
      </c>
      <c r="D81" s="64">
        <v>27.87</v>
      </c>
      <c r="E81" s="64">
        <v>2.0699999999999998</v>
      </c>
      <c r="F81" s="64">
        <v>5.77</v>
      </c>
      <c r="G81" s="64">
        <v>16.43</v>
      </c>
      <c r="H81" s="64">
        <v>8.0299999999999994</v>
      </c>
      <c r="I81" s="64">
        <v>3.99</v>
      </c>
      <c r="J81" s="64">
        <v>0.75</v>
      </c>
      <c r="K81" s="64">
        <v>115.56</v>
      </c>
      <c r="L81" s="64">
        <v>23.38</v>
      </c>
      <c r="M81" s="64">
        <v>101.74</v>
      </c>
      <c r="N81" s="64">
        <v>72.7</v>
      </c>
      <c r="O81" s="64">
        <v>0</v>
      </c>
      <c r="P81" s="64">
        <v>0.33</v>
      </c>
      <c r="Q81" s="64">
        <v>9.65</v>
      </c>
      <c r="R81" s="198"/>
      <c r="S81" s="198"/>
      <c r="T81" s="198"/>
      <c r="U81" s="198"/>
    </row>
    <row r="82" spans="1:26" s="12" customFormat="1" x14ac:dyDescent="0.25">
      <c r="A82" s="214" t="s">
        <v>511</v>
      </c>
      <c r="B82" s="64">
        <v>11.17</v>
      </c>
      <c r="C82" s="64">
        <v>22.44</v>
      </c>
      <c r="D82" s="64">
        <v>22.74</v>
      </c>
      <c r="E82" s="64">
        <v>1.45</v>
      </c>
      <c r="F82" s="64">
        <v>5.74</v>
      </c>
      <c r="G82" s="64">
        <v>16.43</v>
      </c>
      <c r="H82" s="64">
        <v>8.0399999999999991</v>
      </c>
      <c r="I82" s="64">
        <v>3.93</v>
      </c>
      <c r="J82" s="64">
        <v>2.12</v>
      </c>
      <c r="K82" s="64">
        <v>104.57</v>
      </c>
      <c r="L82" s="64">
        <v>23.86</v>
      </c>
      <c r="M82" s="64">
        <v>101.26</v>
      </c>
      <c r="N82" s="64">
        <v>71</v>
      </c>
      <c r="O82" s="64">
        <v>0</v>
      </c>
      <c r="P82" s="64">
        <v>0.34</v>
      </c>
      <c r="Q82" s="64">
        <v>9.64</v>
      </c>
      <c r="R82" s="198"/>
      <c r="S82" s="198"/>
      <c r="T82" s="198"/>
      <c r="U82" s="198"/>
    </row>
    <row r="83" spans="1:26" s="12" customFormat="1" x14ac:dyDescent="0.25">
      <c r="A83" s="214" t="s">
        <v>512</v>
      </c>
      <c r="B83" s="64">
        <v>11.15</v>
      </c>
      <c r="C83" s="64">
        <v>21.93</v>
      </c>
      <c r="D83" s="64">
        <v>21.81</v>
      </c>
      <c r="E83" s="64">
        <v>1.57</v>
      </c>
      <c r="F83" s="64">
        <v>5.44</v>
      </c>
      <c r="G83" s="64">
        <v>16.43</v>
      </c>
      <c r="H83" s="64">
        <v>8.0399999999999991</v>
      </c>
      <c r="I83" s="64">
        <v>4.0199999999999996</v>
      </c>
      <c r="J83" s="64">
        <v>0.94</v>
      </c>
      <c r="K83" s="64">
        <v>58.31</v>
      </c>
      <c r="L83" s="64">
        <v>24.22</v>
      </c>
      <c r="M83" s="64">
        <v>99.53</v>
      </c>
      <c r="N83" s="64">
        <v>70.7</v>
      </c>
      <c r="O83" s="64">
        <v>0</v>
      </c>
      <c r="P83" s="64">
        <v>0.35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4" t="s">
        <v>513</v>
      </c>
      <c r="B84" s="64">
        <v>11.51</v>
      </c>
      <c r="C84" s="64">
        <v>22.43</v>
      </c>
      <c r="D84" s="64">
        <v>22.21</v>
      </c>
      <c r="E84" s="64">
        <v>1.63</v>
      </c>
      <c r="F84" s="64">
        <v>5.56</v>
      </c>
      <c r="G84" s="64">
        <v>16.43</v>
      </c>
      <c r="H84" s="64">
        <v>8.0399999999999991</v>
      </c>
      <c r="I84" s="64">
        <v>4</v>
      </c>
      <c r="J84" s="64">
        <v>0.11</v>
      </c>
      <c r="K84" s="64">
        <v>48.56</v>
      </c>
      <c r="L84" s="64">
        <v>24.2</v>
      </c>
      <c r="M84" s="64">
        <v>100.94</v>
      </c>
      <c r="N84" s="64">
        <v>70.400000000000006</v>
      </c>
      <c r="O84" s="64">
        <v>0</v>
      </c>
      <c r="P84" s="64">
        <v>0.36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4" t="s">
        <v>514</v>
      </c>
      <c r="B85" s="64">
        <v>12.92</v>
      </c>
      <c r="C85" s="64">
        <v>24.48</v>
      </c>
      <c r="D85" s="64">
        <v>23.96</v>
      </c>
      <c r="E85" s="64">
        <v>1.83</v>
      </c>
      <c r="F85" s="64">
        <v>5.95</v>
      </c>
      <c r="G85" s="64">
        <v>17.22</v>
      </c>
      <c r="H85" s="64">
        <v>6.57</v>
      </c>
      <c r="I85" s="64">
        <v>4.0599999999999996</v>
      </c>
      <c r="J85" s="64">
        <v>0.72</v>
      </c>
      <c r="K85" s="64">
        <v>100.9</v>
      </c>
      <c r="L85" s="64">
        <v>24.38</v>
      </c>
      <c r="M85" s="64">
        <v>98.7</v>
      </c>
      <c r="N85" s="64">
        <v>70.8</v>
      </c>
      <c r="O85" s="64">
        <v>0</v>
      </c>
      <c r="P85" s="64">
        <v>0.41</v>
      </c>
      <c r="Q85" s="64">
        <v>9.6300000000000008</v>
      </c>
      <c r="R85" s="198"/>
      <c r="S85" s="198"/>
      <c r="T85" s="198"/>
      <c r="U85" s="198"/>
    </row>
    <row r="86" spans="1:26" s="12" customFormat="1" x14ac:dyDescent="0.25">
      <c r="A86" s="214" t="s">
        <v>515</v>
      </c>
      <c r="B86" s="64">
        <v>12.23</v>
      </c>
      <c r="C86" s="64">
        <v>23.2</v>
      </c>
      <c r="D86" s="64">
        <v>22.6</v>
      </c>
      <c r="E86" s="64">
        <v>1.8</v>
      </c>
      <c r="F86" s="64">
        <v>4.9400000000000004</v>
      </c>
      <c r="G86" s="64">
        <v>17.22</v>
      </c>
      <c r="H86" s="64">
        <v>6.56</v>
      </c>
      <c r="I86" s="64">
        <v>4.0199999999999996</v>
      </c>
      <c r="J86" s="64">
        <v>0.79</v>
      </c>
      <c r="K86" s="64">
        <v>146.97999999999999</v>
      </c>
      <c r="L86" s="64">
        <v>24.87</v>
      </c>
      <c r="M86" s="64">
        <v>92.11</v>
      </c>
      <c r="N86" s="64">
        <v>70</v>
      </c>
      <c r="O86" s="64">
        <v>0</v>
      </c>
      <c r="P86" s="64">
        <v>0.4</v>
      </c>
      <c r="Q86" s="64">
        <v>9.64</v>
      </c>
      <c r="R86" s="198"/>
      <c r="S86" s="198"/>
      <c r="T86" s="198"/>
      <c r="U86" s="198"/>
    </row>
    <row r="87" spans="1:26" s="12" customFormat="1" x14ac:dyDescent="0.25">
      <c r="A87" s="214" t="s">
        <v>516</v>
      </c>
      <c r="B87" s="64">
        <v>12.54</v>
      </c>
      <c r="C87" s="64">
        <v>23</v>
      </c>
      <c r="D87" s="64">
        <v>21.73</v>
      </c>
      <c r="E87" s="64">
        <v>2.2400000000000002</v>
      </c>
      <c r="F87" s="64">
        <v>5.69</v>
      </c>
      <c r="G87" s="64">
        <v>17.22</v>
      </c>
      <c r="H87" s="64">
        <v>6.56</v>
      </c>
      <c r="I87" s="64">
        <v>4.2</v>
      </c>
      <c r="J87" s="64">
        <v>0.45</v>
      </c>
      <c r="K87" s="64">
        <v>180.37</v>
      </c>
      <c r="L87" s="64">
        <v>24.9</v>
      </c>
      <c r="M87" s="64">
        <v>91.94</v>
      </c>
      <c r="N87" s="64">
        <v>69.5</v>
      </c>
      <c r="O87" s="64">
        <v>0</v>
      </c>
      <c r="P87" s="64">
        <v>0.4</v>
      </c>
      <c r="Q87" s="64">
        <v>9.64</v>
      </c>
      <c r="R87" s="198"/>
      <c r="S87" s="198"/>
      <c r="T87" s="198"/>
      <c r="U87" s="198"/>
    </row>
    <row r="88" spans="1:26" s="12" customFormat="1" x14ac:dyDescent="0.25">
      <c r="A88" s="214" t="s">
        <v>517</v>
      </c>
      <c r="B88" s="64">
        <v>12.86</v>
      </c>
      <c r="C88" s="64">
        <v>23.19</v>
      </c>
      <c r="D88" s="64">
        <v>21.59</v>
      </c>
      <c r="E88" s="64">
        <v>1.99</v>
      </c>
      <c r="F88" s="64">
        <v>5.44</v>
      </c>
      <c r="G88" s="64">
        <v>17.22</v>
      </c>
      <c r="H88" s="64">
        <v>6.56</v>
      </c>
      <c r="I88" s="64">
        <v>3.95</v>
      </c>
      <c r="J88" s="64">
        <v>0.45</v>
      </c>
      <c r="K88" s="64">
        <v>200.2</v>
      </c>
      <c r="L88" s="64">
        <v>24.84</v>
      </c>
      <c r="M88" s="64">
        <v>95.39</v>
      </c>
      <c r="N88" s="64">
        <v>69.400000000000006</v>
      </c>
      <c r="O88" s="64">
        <v>0</v>
      </c>
      <c r="P88" s="64">
        <v>0.42</v>
      </c>
      <c r="Q88" s="64">
        <v>9.65</v>
      </c>
      <c r="R88" s="198"/>
      <c r="S88" s="198"/>
      <c r="T88" s="198"/>
      <c r="U88" s="198"/>
    </row>
    <row r="89" spans="1:26" s="12" customFormat="1" x14ac:dyDescent="0.25">
      <c r="A89" s="214" t="s">
        <v>518</v>
      </c>
      <c r="B89" s="64">
        <v>13.15</v>
      </c>
      <c r="C89" s="64">
        <v>25.93</v>
      </c>
      <c r="D89" s="64">
        <v>26.4</v>
      </c>
      <c r="E89" s="64">
        <v>1.82</v>
      </c>
      <c r="F89" s="64">
        <v>4.88</v>
      </c>
      <c r="G89" s="64">
        <v>18.68</v>
      </c>
      <c r="H89" s="64">
        <v>4.75</v>
      </c>
      <c r="I89" s="64">
        <v>3.98</v>
      </c>
      <c r="J89" s="64">
        <v>0.9</v>
      </c>
      <c r="K89" s="64">
        <v>159.58000000000001</v>
      </c>
      <c r="L89" s="64">
        <v>24.87</v>
      </c>
      <c r="M89" s="64">
        <v>95.38</v>
      </c>
      <c r="N89" s="64">
        <v>69</v>
      </c>
      <c r="O89" s="64">
        <v>0</v>
      </c>
      <c r="P89" s="64">
        <v>0.42</v>
      </c>
      <c r="Q89" s="64">
        <v>9.65</v>
      </c>
      <c r="R89" s="198"/>
      <c r="S89" s="198"/>
      <c r="T89" s="198"/>
      <c r="U89" s="198"/>
    </row>
    <row r="90" spans="1:26" s="12" customFormat="1" x14ac:dyDescent="0.25">
      <c r="A90" s="214" t="s">
        <v>519</v>
      </c>
      <c r="B90" s="64">
        <v>13.25</v>
      </c>
      <c r="C90" s="64">
        <v>25.24</v>
      </c>
      <c r="D90" s="64">
        <v>24.92</v>
      </c>
      <c r="E90" s="64">
        <v>1.99</v>
      </c>
      <c r="F90" s="64">
        <v>5</v>
      </c>
      <c r="G90" s="64">
        <v>18.68</v>
      </c>
      <c r="H90" s="64">
        <v>4.75</v>
      </c>
      <c r="I90" s="64">
        <v>4.03</v>
      </c>
      <c r="J90" s="64">
        <v>0.45</v>
      </c>
      <c r="K90" s="64">
        <v>211.04</v>
      </c>
      <c r="L90" s="64">
        <v>24.6</v>
      </c>
      <c r="M90" s="64">
        <v>98.22</v>
      </c>
      <c r="N90" s="64">
        <v>69.599999999999994</v>
      </c>
      <c r="O90" s="64">
        <v>0</v>
      </c>
      <c r="P90" s="64">
        <v>0.43</v>
      </c>
      <c r="Q90" s="64">
        <v>9.67</v>
      </c>
      <c r="R90" s="198"/>
      <c r="S90" s="198"/>
      <c r="T90" s="198"/>
      <c r="U90" s="198"/>
    </row>
    <row r="91" spans="1:26" s="12" customFormat="1" x14ac:dyDescent="0.25">
      <c r="A91" s="214" t="s">
        <v>520</v>
      </c>
      <c r="B91" s="64">
        <v>13.54</v>
      </c>
      <c r="C91" s="64">
        <v>26.36</v>
      </c>
      <c r="D91" s="64">
        <v>26.62</v>
      </c>
      <c r="E91" s="64">
        <v>1.5</v>
      </c>
      <c r="F91" s="64">
        <v>5.1100000000000003</v>
      </c>
      <c r="G91" s="64">
        <v>18.68</v>
      </c>
      <c r="H91" s="64">
        <v>4.75</v>
      </c>
      <c r="I91" s="64">
        <v>3.83</v>
      </c>
      <c r="J91" s="64">
        <v>0.47</v>
      </c>
      <c r="K91" s="64">
        <v>176.75</v>
      </c>
      <c r="L91" s="64">
        <v>24.52</v>
      </c>
      <c r="M91" s="64">
        <v>98.94</v>
      </c>
      <c r="N91" s="64">
        <v>69.099999999999994</v>
      </c>
      <c r="O91" s="64">
        <v>0</v>
      </c>
      <c r="P91" s="64">
        <v>0.42</v>
      </c>
      <c r="Q91" s="64">
        <v>9.69</v>
      </c>
      <c r="R91" s="198"/>
      <c r="S91" s="198"/>
      <c r="T91" s="198"/>
      <c r="U91" s="198"/>
    </row>
    <row r="92" spans="1:26" s="12" customFormat="1" x14ac:dyDescent="0.25">
      <c r="A92" s="214" t="s">
        <v>521</v>
      </c>
      <c r="B92" s="64">
        <v>13.87</v>
      </c>
      <c r="C92" s="64">
        <v>25.66</v>
      </c>
      <c r="D92" s="64">
        <v>24.78</v>
      </c>
      <c r="E92" s="64">
        <v>1.96</v>
      </c>
      <c r="F92" s="64">
        <v>5.16</v>
      </c>
      <c r="G92" s="64">
        <v>18.68</v>
      </c>
      <c r="H92" s="64">
        <v>4.75</v>
      </c>
      <c r="I92" s="64">
        <v>4.0599999999999996</v>
      </c>
      <c r="J92" s="64">
        <v>0.52</v>
      </c>
      <c r="K92" s="64">
        <v>102.41</v>
      </c>
      <c r="L92" s="64">
        <v>24.72</v>
      </c>
      <c r="M92" s="64">
        <v>96.01</v>
      </c>
      <c r="N92" s="64">
        <v>69</v>
      </c>
      <c r="O92" s="64">
        <v>0</v>
      </c>
      <c r="P92" s="64">
        <v>0.44</v>
      </c>
      <c r="Q92" s="64">
        <v>9.67</v>
      </c>
      <c r="R92" s="198"/>
      <c r="S92" s="198"/>
      <c r="T92" s="198"/>
      <c r="U92" s="198"/>
    </row>
    <row r="93" spans="1:26" s="12" customFormat="1" x14ac:dyDescent="0.25">
      <c r="A93" s="214" t="s">
        <v>522</v>
      </c>
      <c r="B93" s="64">
        <v>14.54</v>
      </c>
      <c r="C93" s="64">
        <v>26.32</v>
      </c>
      <c r="D93" s="64">
        <v>25</v>
      </c>
      <c r="E93" s="64">
        <v>1.81</v>
      </c>
      <c r="F93" s="64">
        <v>5.62</v>
      </c>
      <c r="G93" s="64">
        <v>18.37</v>
      </c>
      <c r="H93" s="64">
        <v>5.97</v>
      </c>
      <c r="I93" s="64">
        <v>4.04</v>
      </c>
      <c r="J93" s="64">
        <v>0.3</v>
      </c>
      <c r="K93" s="64">
        <v>206.16</v>
      </c>
      <c r="L93" s="64">
        <v>24.86</v>
      </c>
      <c r="M93" s="64">
        <v>96.45</v>
      </c>
      <c r="N93" s="64">
        <v>69.5</v>
      </c>
      <c r="O93" s="64">
        <v>0</v>
      </c>
      <c r="P93" s="64">
        <v>0.44</v>
      </c>
      <c r="Q93" s="64">
        <v>9.69</v>
      </c>
      <c r="R93" s="198"/>
      <c r="S93" s="198"/>
      <c r="T93" s="198"/>
      <c r="U93" s="198"/>
    </row>
    <row r="94" spans="1:26" s="12" customFormat="1" x14ac:dyDescent="0.25">
      <c r="A94" s="214" t="s">
        <v>523</v>
      </c>
      <c r="B94" s="64">
        <v>15.32</v>
      </c>
      <c r="C94" s="64">
        <v>27.46</v>
      </c>
      <c r="D94" s="64">
        <v>25.99</v>
      </c>
      <c r="E94" s="64">
        <v>1.61</v>
      </c>
      <c r="F94" s="64">
        <v>4.8899999999999997</v>
      </c>
      <c r="G94" s="64">
        <v>18.37</v>
      </c>
      <c r="H94" s="64">
        <v>5.97</v>
      </c>
      <c r="I94" s="64">
        <v>3.87</v>
      </c>
      <c r="J94" s="64">
        <v>0.15</v>
      </c>
      <c r="K94" s="64">
        <v>332.06</v>
      </c>
      <c r="L94" s="64">
        <v>24.79</v>
      </c>
      <c r="M94" s="64">
        <v>97.96</v>
      </c>
      <c r="N94" s="64">
        <v>69.599999999999994</v>
      </c>
      <c r="O94" s="64">
        <v>0</v>
      </c>
      <c r="P94" s="64">
        <v>0.46</v>
      </c>
      <c r="Q94" s="64">
        <v>9.67</v>
      </c>
      <c r="R94" s="198"/>
      <c r="S94" s="198"/>
      <c r="T94" s="198"/>
      <c r="U94" s="198"/>
    </row>
    <row r="95" spans="1:26" s="12" customFormat="1" x14ac:dyDescent="0.25">
      <c r="A95" s="214" t="s">
        <v>524</v>
      </c>
      <c r="B95" s="64">
        <v>16.87</v>
      </c>
      <c r="C95" s="64">
        <v>27.65</v>
      </c>
      <c r="D95" s="64">
        <v>23.98</v>
      </c>
      <c r="E95" s="64">
        <v>1.74</v>
      </c>
      <c r="F95" s="64">
        <v>5.5</v>
      </c>
      <c r="G95" s="64">
        <v>18.37</v>
      </c>
      <c r="H95" s="64">
        <v>5.97</v>
      </c>
      <c r="I95" s="64">
        <v>3.96</v>
      </c>
      <c r="J95" s="64">
        <v>0.11</v>
      </c>
      <c r="K95" s="64">
        <v>349.8</v>
      </c>
      <c r="L95" s="64">
        <v>24.78</v>
      </c>
      <c r="M95" s="64">
        <v>99.87</v>
      </c>
      <c r="N95" s="64">
        <v>69.400000000000006</v>
      </c>
      <c r="O95" s="64">
        <v>0</v>
      </c>
      <c r="P95" s="64">
        <v>0.49</v>
      </c>
      <c r="Q95" s="64">
        <v>9.68</v>
      </c>
      <c r="R95" s="198"/>
      <c r="S95" s="198"/>
      <c r="T95" s="198"/>
      <c r="U95" s="198"/>
    </row>
    <row r="96" spans="1:26" s="12" customFormat="1" x14ac:dyDescent="0.25">
      <c r="A96" s="214" t="s">
        <v>525</v>
      </c>
      <c r="B96" s="64">
        <v>18.86</v>
      </c>
      <c r="C96" s="64">
        <v>30.68</v>
      </c>
      <c r="D96" s="64">
        <v>26.72</v>
      </c>
      <c r="E96" s="64">
        <v>1.88</v>
      </c>
      <c r="F96" s="64">
        <v>5.7</v>
      </c>
      <c r="G96" s="64">
        <v>18.37</v>
      </c>
      <c r="H96" s="64">
        <v>5.97</v>
      </c>
      <c r="I96" s="64">
        <v>4.05</v>
      </c>
      <c r="J96" s="64">
        <v>1.02</v>
      </c>
      <c r="K96" s="64">
        <v>332.73</v>
      </c>
      <c r="L96" s="64">
        <v>24.88</v>
      </c>
      <c r="M96" s="64">
        <v>100.43</v>
      </c>
      <c r="N96" s="64">
        <v>69</v>
      </c>
      <c r="O96" s="64">
        <v>0</v>
      </c>
      <c r="P96" s="64">
        <v>0.54</v>
      </c>
      <c r="Q96" s="64">
        <v>9.68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526</v>
      </c>
      <c r="B97" s="64">
        <v>19.89</v>
      </c>
      <c r="C97" s="64">
        <v>31.12</v>
      </c>
      <c r="D97" s="64">
        <v>25.98</v>
      </c>
      <c r="E97" s="64">
        <v>1.88</v>
      </c>
      <c r="F97" s="64">
        <v>5.28</v>
      </c>
      <c r="G97" s="64">
        <v>25.14</v>
      </c>
      <c r="H97" s="64">
        <v>7.33</v>
      </c>
      <c r="I97" s="64">
        <v>4.01</v>
      </c>
      <c r="J97" s="64">
        <v>0.76</v>
      </c>
      <c r="K97" s="64">
        <v>284.95999999999998</v>
      </c>
      <c r="L97" s="64">
        <v>24.7</v>
      </c>
      <c r="M97" s="64">
        <v>100.91</v>
      </c>
      <c r="N97" s="64">
        <v>69.900000000000006</v>
      </c>
      <c r="O97" s="64">
        <v>0</v>
      </c>
      <c r="P97" s="64">
        <v>0.56999999999999995</v>
      </c>
      <c r="Q97" s="64">
        <v>9.67</v>
      </c>
      <c r="R97" s="198"/>
      <c r="S97" s="198"/>
      <c r="T97" s="198"/>
      <c r="U97" s="198"/>
    </row>
    <row r="98" spans="1:33" s="12" customFormat="1" x14ac:dyDescent="0.25">
      <c r="A98" s="214" t="s">
        <v>527</v>
      </c>
      <c r="B98" s="64">
        <v>21.4</v>
      </c>
      <c r="C98" s="64">
        <v>33.61</v>
      </c>
      <c r="D98" s="64">
        <v>28.44</v>
      </c>
      <c r="E98" s="64">
        <v>2.0099999999999998</v>
      </c>
      <c r="F98" s="64">
        <v>5.0599999999999996</v>
      </c>
      <c r="G98" s="64">
        <v>25.14</v>
      </c>
      <c r="H98" s="64">
        <v>7.33</v>
      </c>
      <c r="I98" s="64">
        <v>3.98</v>
      </c>
      <c r="J98" s="64">
        <v>1.04</v>
      </c>
      <c r="K98" s="64">
        <v>263.74</v>
      </c>
      <c r="L98" s="64">
        <v>24.52</v>
      </c>
      <c r="M98" s="64">
        <v>101.26</v>
      </c>
      <c r="N98" s="64">
        <v>69.7</v>
      </c>
      <c r="O98" s="64">
        <v>0</v>
      </c>
      <c r="P98" s="64">
        <v>0.6</v>
      </c>
      <c r="Q98" s="64">
        <v>9.7100000000000009</v>
      </c>
      <c r="R98" s="198"/>
      <c r="S98" s="198"/>
      <c r="T98" s="198"/>
      <c r="U98" s="198"/>
    </row>
    <row r="99" spans="1:33" s="12" customFormat="1" x14ac:dyDescent="0.25">
      <c r="A99" s="214" t="s">
        <v>528</v>
      </c>
      <c r="B99" s="64">
        <v>22.61</v>
      </c>
      <c r="C99" s="64">
        <v>32.64</v>
      </c>
      <c r="D99" s="64">
        <v>24.72</v>
      </c>
      <c r="E99" s="64">
        <v>1.76</v>
      </c>
      <c r="F99" s="64">
        <v>5.22</v>
      </c>
      <c r="G99" s="64">
        <v>25.14</v>
      </c>
      <c r="H99" s="64">
        <v>7.33</v>
      </c>
      <c r="I99" s="64">
        <v>3.96</v>
      </c>
      <c r="J99" s="64">
        <v>0.87</v>
      </c>
      <c r="K99" s="64">
        <v>254.47</v>
      </c>
      <c r="L99" s="64">
        <v>24.35</v>
      </c>
      <c r="M99" s="64">
        <v>101.35</v>
      </c>
      <c r="N99" s="64">
        <v>70</v>
      </c>
      <c r="O99" s="64">
        <v>0</v>
      </c>
      <c r="P99" s="64">
        <v>0.61</v>
      </c>
      <c r="Q99" s="64">
        <v>9.7100000000000009</v>
      </c>
      <c r="R99" s="198"/>
      <c r="S99" s="198"/>
      <c r="T99" s="198"/>
      <c r="U99" s="198"/>
    </row>
    <row r="100" spans="1:33" s="12" customFormat="1" x14ac:dyDescent="0.25">
      <c r="A100" s="214" t="s">
        <v>529</v>
      </c>
      <c r="B100" s="64">
        <v>21.31</v>
      </c>
      <c r="C100" s="64">
        <v>32.72</v>
      </c>
      <c r="D100" s="64">
        <v>26.87</v>
      </c>
      <c r="E100" s="64">
        <v>1.79</v>
      </c>
      <c r="F100" s="64">
        <v>5.17</v>
      </c>
      <c r="G100" s="64">
        <v>25.14</v>
      </c>
      <c r="H100" s="64">
        <v>7.33</v>
      </c>
      <c r="I100" s="64">
        <v>3.92</v>
      </c>
      <c r="J100" s="64">
        <v>0.49</v>
      </c>
      <c r="K100" s="64">
        <v>268.66000000000003</v>
      </c>
      <c r="L100" s="64">
        <v>24.16</v>
      </c>
      <c r="M100" s="64">
        <v>102.13</v>
      </c>
      <c r="N100" s="64">
        <v>69.900000000000006</v>
      </c>
      <c r="O100" s="64">
        <v>0</v>
      </c>
      <c r="P100" s="64">
        <v>0.62</v>
      </c>
      <c r="Q100" s="64">
        <v>9.69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530</v>
      </c>
      <c r="B101" s="64">
        <v>22.21</v>
      </c>
      <c r="C101" s="64">
        <v>33.47</v>
      </c>
      <c r="D101" s="64">
        <v>26.92</v>
      </c>
      <c r="E101" s="64">
        <v>1.45</v>
      </c>
      <c r="F101" s="64">
        <v>4.9800000000000004</v>
      </c>
      <c r="G101" s="64">
        <v>47.97</v>
      </c>
      <c r="H101" s="64">
        <v>9.7100000000000009</v>
      </c>
      <c r="I101" s="64">
        <v>4.12</v>
      </c>
      <c r="J101" s="64">
        <v>0.33</v>
      </c>
      <c r="K101" s="64">
        <v>276.57</v>
      </c>
      <c r="L101" s="64">
        <v>24.08</v>
      </c>
      <c r="M101" s="64">
        <v>101.02</v>
      </c>
      <c r="N101" s="64">
        <v>69.7</v>
      </c>
      <c r="O101" s="64">
        <v>0</v>
      </c>
      <c r="P101" s="64">
        <v>0.62</v>
      </c>
      <c r="Q101" s="64">
        <v>9.67</v>
      </c>
      <c r="R101" s="198"/>
      <c r="S101" s="198"/>
      <c r="T101" s="198"/>
      <c r="U101" s="198"/>
    </row>
    <row r="102" spans="1:33" s="12" customFormat="1" x14ac:dyDescent="0.25">
      <c r="A102" s="214" t="s">
        <v>531</v>
      </c>
      <c r="B102" s="64">
        <v>23.51</v>
      </c>
      <c r="C102" s="64">
        <v>33.5</v>
      </c>
      <c r="D102" s="64">
        <v>24.99</v>
      </c>
      <c r="E102" s="64">
        <v>1.74</v>
      </c>
      <c r="F102" s="64">
        <v>4.99</v>
      </c>
      <c r="G102" s="64">
        <v>47.97</v>
      </c>
      <c r="H102" s="64">
        <v>9.7100000000000009</v>
      </c>
      <c r="I102" s="64">
        <v>3.94</v>
      </c>
      <c r="J102" s="64">
        <v>0.54</v>
      </c>
      <c r="K102" s="64">
        <v>308.8</v>
      </c>
      <c r="L102" s="64">
        <v>24.16</v>
      </c>
      <c r="M102" s="64">
        <v>101.19</v>
      </c>
      <c r="N102" s="64">
        <v>69.5</v>
      </c>
      <c r="O102" s="64">
        <v>0</v>
      </c>
      <c r="P102" s="64">
        <v>0.63</v>
      </c>
      <c r="Q102" s="64">
        <v>9.66</v>
      </c>
      <c r="R102" s="198"/>
      <c r="S102" s="198"/>
      <c r="T102" s="198"/>
      <c r="U102" s="198"/>
    </row>
    <row r="103" spans="1:33" s="12" customFormat="1" x14ac:dyDescent="0.25">
      <c r="A103" s="214" t="s">
        <v>532</v>
      </c>
      <c r="B103" s="64">
        <v>24.45</v>
      </c>
      <c r="C103" s="64">
        <v>33.94</v>
      </c>
      <c r="D103" s="64">
        <v>24.39</v>
      </c>
      <c r="E103" s="64">
        <v>1.38</v>
      </c>
      <c r="F103" s="64">
        <v>5.12</v>
      </c>
      <c r="G103" s="64">
        <v>47.97</v>
      </c>
      <c r="H103" s="64">
        <v>9.7100000000000009</v>
      </c>
      <c r="I103" s="64">
        <v>4.07</v>
      </c>
      <c r="J103" s="64">
        <v>0.73</v>
      </c>
      <c r="K103" s="64">
        <v>267.35000000000002</v>
      </c>
      <c r="L103" s="64">
        <v>24.18</v>
      </c>
      <c r="M103" s="64">
        <v>100.68</v>
      </c>
      <c r="N103" s="64">
        <v>69.7</v>
      </c>
      <c r="O103" s="64">
        <v>0</v>
      </c>
      <c r="P103" s="64">
        <v>0.63</v>
      </c>
      <c r="Q103" s="64">
        <v>9.68</v>
      </c>
      <c r="R103" s="198"/>
      <c r="S103" s="198"/>
      <c r="T103" s="198"/>
      <c r="U103" s="198"/>
    </row>
    <row r="104" spans="1:33" s="12" customFormat="1" x14ac:dyDescent="0.25">
      <c r="A104" s="214" t="s">
        <v>533</v>
      </c>
      <c r="B104" s="64">
        <v>20.04</v>
      </c>
      <c r="C104" s="64">
        <v>31.41</v>
      </c>
      <c r="D104" s="64">
        <v>26.3</v>
      </c>
      <c r="E104" s="64">
        <v>3.11</v>
      </c>
      <c r="F104" s="64">
        <v>5.5</v>
      </c>
      <c r="G104" s="64">
        <v>47.97</v>
      </c>
      <c r="H104" s="64">
        <v>9.7100000000000009</v>
      </c>
      <c r="I104" s="64">
        <v>4.03</v>
      </c>
      <c r="J104" s="64">
        <v>0.48</v>
      </c>
      <c r="K104" s="64">
        <v>188.37</v>
      </c>
      <c r="L104" s="64">
        <v>24.28</v>
      </c>
      <c r="M104" s="64">
        <v>98.04</v>
      </c>
      <c r="N104" s="64">
        <v>69.8</v>
      </c>
      <c r="O104" s="64">
        <v>0</v>
      </c>
      <c r="P104" s="64">
        <v>0.59</v>
      </c>
      <c r="Q104" s="64">
        <v>9.68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6.53</v>
      </c>
      <c r="C106" s="67">
        <f>MIN(C9:C104)</f>
        <v>19.43</v>
      </c>
      <c r="D106" s="67">
        <f t="shared" ref="D106:Q106" si="0">MIN(D9:D104)</f>
        <v>21.59</v>
      </c>
      <c r="E106" s="67">
        <f t="shared" si="0"/>
        <v>1.38</v>
      </c>
      <c r="F106" s="67">
        <f t="shared" si="0"/>
        <v>4.88</v>
      </c>
      <c r="G106" s="67">
        <f t="shared" si="0"/>
        <v>16.43</v>
      </c>
      <c r="H106" s="67">
        <f t="shared" si="0"/>
        <v>4.75</v>
      </c>
      <c r="I106" s="67">
        <f t="shared" si="0"/>
        <v>3.67</v>
      </c>
      <c r="J106" s="67">
        <f t="shared" si="0"/>
        <v>0.11</v>
      </c>
      <c r="K106" s="67">
        <f t="shared" si="0"/>
        <v>0.01</v>
      </c>
      <c r="L106" s="67">
        <f t="shared" si="0"/>
        <v>10.050000000000001</v>
      </c>
      <c r="M106" s="67">
        <f t="shared" si="0"/>
        <v>32.31</v>
      </c>
      <c r="N106" s="67">
        <f t="shared" si="0"/>
        <v>57.7</v>
      </c>
      <c r="O106" s="67">
        <f t="shared" si="0"/>
        <v>0</v>
      </c>
      <c r="P106" s="67">
        <f t="shared" si="0"/>
        <v>0.26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24.45</v>
      </c>
      <c r="C107" s="66">
        <f t="shared" ref="C107:Q107" si="1">MAX(C9:C104)</f>
        <v>39.159999999999997</v>
      </c>
      <c r="D107" s="66">
        <f t="shared" si="1"/>
        <v>50.04</v>
      </c>
      <c r="E107" s="66">
        <f t="shared" si="1"/>
        <v>4.49</v>
      </c>
      <c r="F107" s="66">
        <f t="shared" si="1"/>
        <v>26.67</v>
      </c>
      <c r="G107" s="66">
        <f t="shared" si="1"/>
        <v>47.97</v>
      </c>
      <c r="H107" s="66">
        <f t="shared" si="1"/>
        <v>17.670000000000002</v>
      </c>
      <c r="I107" s="66">
        <f t="shared" si="1"/>
        <v>4.3</v>
      </c>
      <c r="J107" s="66">
        <f t="shared" si="1"/>
        <v>4.93</v>
      </c>
      <c r="K107" s="66">
        <f t="shared" si="1"/>
        <v>349.8</v>
      </c>
      <c r="L107" s="66">
        <f t="shared" si="1"/>
        <v>41.57</v>
      </c>
      <c r="M107" s="66">
        <f t="shared" si="1"/>
        <v>102.55</v>
      </c>
      <c r="N107" s="66">
        <f t="shared" si="1"/>
        <v>1024.0999999999999</v>
      </c>
      <c r="O107" s="66">
        <f t="shared" si="1"/>
        <v>5.6</v>
      </c>
      <c r="P107" s="66">
        <f t="shared" si="1"/>
        <v>0.65</v>
      </c>
      <c r="Q107" s="66">
        <f t="shared" si="1"/>
        <v>9.7100000000000009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12.320104166666662</v>
      </c>
      <c r="C108" s="67">
        <f t="shared" ref="C108:Q108" si="2">AVERAGE(C9:C104)</f>
        <v>27.696041666666655</v>
      </c>
      <c r="D108" s="67">
        <f t="shared" si="2"/>
        <v>31.048541666666662</v>
      </c>
      <c r="E108" s="67">
        <f t="shared" si="2"/>
        <v>2.5525000000000007</v>
      </c>
      <c r="F108" s="67">
        <f t="shared" si="2"/>
        <v>9.1635416666666636</v>
      </c>
      <c r="G108" s="67">
        <f t="shared" si="2"/>
        <v>29.951249999999963</v>
      </c>
      <c r="H108" s="67">
        <f t="shared" si="2"/>
        <v>11.170312499999996</v>
      </c>
      <c r="I108" s="67">
        <f t="shared" si="2"/>
        <v>3.9991666666666656</v>
      </c>
      <c r="J108" s="67">
        <f t="shared" si="2"/>
        <v>0.80729166666666685</v>
      </c>
      <c r="K108" s="67">
        <f t="shared" si="2"/>
        <v>218.37802083333335</v>
      </c>
      <c r="L108" s="67">
        <f t="shared" si="2"/>
        <v>30.420104166666651</v>
      </c>
      <c r="M108" s="67">
        <f t="shared" si="2"/>
        <v>72.045729166666661</v>
      </c>
      <c r="N108" s="67">
        <f t="shared" si="2"/>
        <v>282.10625000000016</v>
      </c>
      <c r="O108" s="67">
        <f t="shared" si="2"/>
        <v>0.26249999999999996</v>
      </c>
      <c r="P108" s="67">
        <f t="shared" si="2"/>
        <v>0.44572916666666657</v>
      </c>
      <c r="Q108" s="67">
        <f t="shared" si="2"/>
        <v>9.5077083333333281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4.543169191745414</v>
      </c>
      <c r="C109" s="67">
        <f t="shared" ref="C109:Q109" si="3">STDEV(C9:C104)</f>
        <v>4.8896254251472966</v>
      </c>
      <c r="D109" s="67">
        <f t="shared" si="3"/>
        <v>6.2130741571670312</v>
      </c>
      <c r="E109" s="67">
        <f t="shared" si="3"/>
        <v>0.61807000114532951</v>
      </c>
      <c r="F109" s="67">
        <f t="shared" si="3"/>
        <v>4.5831930903583835</v>
      </c>
      <c r="G109" s="67">
        <f t="shared" si="3"/>
        <v>8.7479085319985224</v>
      </c>
      <c r="H109" s="67">
        <f t="shared" si="3"/>
        <v>3.255940789945623</v>
      </c>
      <c r="I109" s="67">
        <f t="shared" si="3"/>
        <v>0.10096030138693303</v>
      </c>
      <c r="J109" s="67">
        <f t="shared" si="3"/>
        <v>0.78648649624257982</v>
      </c>
      <c r="K109" s="67">
        <f t="shared" si="3"/>
        <v>63.036049512536216</v>
      </c>
      <c r="L109" s="67">
        <f t="shared" si="3"/>
        <v>6.6333910506724072</v>
      </c>
      <c r="M109" s="67">
        <f t="shared" si="3"/>
        <v>24.054660244175572</v>
      </c>
      <c r="N109" s="67">
        <f t="shared" si="3"/>
        <v>339.70005463411547</v>
      </c>
      <c r="O109" s="67">
        <f t="shared" si="3"/>
        <v>1.0232301793829188</v>
      </c>
      <c r="P109" s="67">
        <f t="shared" si="3"/>
        <v>9.0956841028174792E-2</v>
      </c>
      <c r="Q109" s="67">
        <f t="shared" si="3"/>
        <v>0.98283101204923196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534</v>
      </c>
      <c r="B9" s="64">
        <v>22.06</v>
      </c>
      <c r="C9" s="64">
        <v>31.66</v>
      </c>
      <c r="D9" s="64">
        <v>23.68</v>
      </c>
      <c r="E9" s="64">
        <v>3.42</v>
      </c>
      <c r="F9" s="64">
        <v>5.62</v>
      </c>
      <c r="G9" s="64">
        <v>59.94</v>
      </c>
      <c r="H9" s="64">
        <v>6.8</v>
      </c>
      <c r="I9" s="64">
        <v>4.25</v>
      </c>
      <c r="J9" s="64">
        <v>0.78</v>
      </c>
      <c r="K9" s="64">
        <v>157.80000000000001</v>
      </c>
      <c r="L9" s="64">
        <v>24.23</v>
      </c>
      <c r="M9" s="64">
        <v>99.89</v>
      </c>
      <c r="N9" s="64">
        <v>69.900000000000006</v>
      </c>
      <c r="O9" s="64">
        <v>0</v>
      </c>
      <c r="P9" s="64">
        <v>0.63</v>
      </c>
      <c r="Q9" s="64">
        <v>9.69</v>
      </c>
      <c r="R9" s="198"/>
      <c r="S9" s="198"/>
      <c r="T9" s="198"/>
      <c r="U9" s="198"/>
    </row>
    <row r="10" spans="1:21" s="12" customFormat="1" x14ac:dyDescent="0.25">
      <c r="A10" s="214" t="s">
        <v>535</v>
      </c>
      <c r="B10" s="64">
        <v>24.03</v>
      </c>
      <c r="C10" s="64">
        <v>31.82</v>
      </c>
      <c r="D10" s="64">
        <v>20.98</v>
      </c>
      <c r="E10" s="64">
        <v>3.3</v>
      </c>
      <c r="F10" s="64">
        <v>6.01</v>
      </c>
      <c r="G10" s="64">
        <v>59.94</v>
      </c>
      <c r="H10" s="64">
        <v>6.8</v>
      </c>
      <c r="I10" s="64">
        <v>3.97</v>
      </c>
      <c r="J10" s="64">
        <v>1.29</v>
      </c>
      <c r="K10" s="64">
        <v>152.13999999999999</v>
      </c>
      <c r="L10" s="64">
        <v>24</v>
      </c>
      <c r="M10" s="64">
        <v>100.77</v>
      </c>
      <c r="N10" s="64">
        <v>70.099999999999994</v>
      </c>
      <c r="O10" s="64">
        <v>0</v>
      </c>
      <c r="P10" s="64">
        <v>0.65</v>
      </c>
      <c r="Q10" s="64">
        <v>9.66</v>
      </c>
      <c r="R10" s="198"/>
      <c r="S10" s="198"/>
      <c r="T10" s="198"/>
      <c r="U10" s="198"/>
    </row>
    <row r="11" spans="1:21" s="12" customFormat="1" x14ac:dyDescent="0.25">
      <c r="A11" s="214" t="s">
        <v>536</v>
      </c>
      <c r="B11" s="64">
        <v>24.56</v>
      </c>
      <c r="C11" s="64">
        <v>34.92</v>
      </c>
      <c r="D11" s="64">
        <v>26.08</v>
      </c>
      <c r="E11" s="64">
        <v>3.31</v>
      </c>
      <c r="F11" s="64">
        <v>5.27</v>
      </c>
      <c r="G11" s="64">
        <v>59.94</v>
      </c>
      <c r="H11" s="64">
        <v>6.8</v>
      </c>
      <c r="I11" s="64">
        <v>4.01</v>
      </c>
      <c r="J11" s="64">
        <v>1.02</v>
      </c>
      <c r="K11" s="64">
        <v>159.93</v>
      </c>
      <c r="L11" s="64">
        <v>23.86</v>
      </c>
      <c r="M11" s="64">
        <v>101.35</v>
      </c>
      <c r="N11" s="64">
        <v>70</v>
      </c>
      <c r="O11" s="64">
        <v>0</v>
      </c>
      <c r="P11" s="64">
        <v>0.64</v>
      </c>
      <c r="Q11" s="64">
        <v>9.66</v>
      </c>
      <c r="R11" s="198"/>
      <c r="S11" s="198"/>
      <c r="T11" s="198"/>
      <c r="U11" s="198"/>
    </row>
    <row r="12" spans="1:21" s="12" customFormat="1" x14ac:dyDescent="0.25">
      <c r="A12" s="214" t="s">
        <v>537</v>
      </c>
      <c r="B12" s="64">
        <v>24.42</v>
      </c>
      <c r="C12" s="64">
        <v>33.99</v>
      </c>
      <c r="D12" s="64">
        <v>24.53</v>
      </c>
      <c r="E12" s="64">
        <v>3.63</v>
      </c>
      <c r="F12" s="64">
        <v>5.15</v>
      </c>
      <c r="G12" s="64">
        <v>59.94</v>
      </c>
      <c r="H12" s="64">
        <v>6.8</v>
      </c>
      <c r="I12" s="64">
        <v>3.95</v>
      </c>
      <c r="J12" s="64">
        <v>1.53</v>
      </c>
      <c r="K12" s="64">
        <v>157.78</v>
      </c>
      <c r="L12" s="64">
        <v>23.83</v>
      </c>
      <c r="M12" s="64">
        <v>101.01</v>
      </c>
      <c r="N12" s="64">
        <v>70</v>
      </c>
      <c r="O12" s="64">
        <v>0</v>
      </c>
      <c r="P12" s="64">
        <v>0.65</v>
      </c>
      <c r="Q12" s="64">
        <v>9.68</v>
      </c>
      <c r="R12" s="198"/>
      <c r="S12" s="198"/>
      <c r="T12" s="198"/>
      <c r="U12" s="198"/>
    </row>
    <row r="13" spans="1:21" s="12" customFormat="1" x14ac:dyDescent="0.25">
      <c r="A13" s="214" t="s">
        <v>538</v>
      </c>
      <c r="B13" s="64">
        <v>24.22</v>
      </c>
      <c r="C13" s="64">
        <v>33.5</v>
      </c>
      <c r="D13" s="64">
        <v>23.9</v>
      </c>
      <c r="E13" s="64">
        <v>3.37</v>
      </c>
      <c r="F13" s="64">
        <v>5.84</v>
      </c>
      <c r="G13" s="64">
        <v>63.14</v>
      </c>
      <c r="H13" s="64">
        <v>17.22</v>
      </c>
      <c r="I13" s="64">
        <v>4.1500000000000004</v>
      </c>
      <c r="J13" s="64">
        <v>1.6</v>
      </c>
      <c r="K13" s="64">
        <v>155.25</v>
      </c>
      <c r="L13" s="64">
        <v>23.82</v>
      </c>
      <c r="M13" s="64">
        <v>101.01</v>
      </c>
      <c r="N13" s="64">
        <v>70.2</v>
      </c>
      <c r="O13" s="64">
        <v>0</v>
      </c>
      <c r="P13" s="64">
        <v>0.63</v>
      </c>
      <c r="Q13" s="64">
        <v>9.6999999999999993</v>
      </c>
      <c r="R13" s="198"/>
      <c r="S13" s="198"/>
      <c r="T13" s="198"/>
      <c r="U13" s="198"/>
    </row>
    <row r="14" spans="1:21" s="12" customFormat="1" x14ac:dyDescent="0.25">
      <c r="A14" s="214" t="s">
        <v>539</v>
      </c>
      <c r="B14" s="64">
        <v>23.8</v>
      </c>
      <c r="C14" s="64">
        <v>33.6</v>
      </c>
      <c r="D14" s="64">
        <v>24.73</v>
      </c>
      <c r="E14" s="64">
        <v>3.64</v>
      </c>
      <c r="F14" s="64">
        <v>5.54</v>
      </c>
      <c r="G14" s="64">
        <v>63.14</v>
      </c>
      <c r="H14" s="64">
        <v>17.22</v>
      </c>
      <c r="I14" s="64">
        <v>3.98</v>
      </c>
      <c r="J14" s="64">
        <v>1.52</v>
      </c>
      <c r="K14" s="64">
        <v>157.41999999999999</v>
      </c>
      <c r="L14" s="64">
        <v>23.77</v>
      </c>
      <c r="M14" s="64">
        <v>101.61</v>
      </c>
      <c r="N14" s="64">
        <v>70.400000000000006</v>
      </c>
      <c r="O14" s="64">
        <v>0</v>
      </c>
      <c r="P14" s="64">
        <v>0.64</v>
      </c>
      <c r="Q14" s="64">
        <v>9.69</v>
      </c>
      <c r="R14" s="198"/>
      <c r="S14" s="198"/>
      <c r="T14" s="198"/>
      <c r="U14" s="198"/>
    </row>
    <row r="15" spans="1:21" s="12" customFormat="1" x14ac:dyDescent="0.25">
      <c r="A15" s="214" t="s">
        <v>540</v>
      </c>
      <c r="B15" s="64">
        <v>23.15</v>
      </c>
      <c r="C15" s="64">
        <v>31.96</v>
      </c>
      <c r="D15" s="64">
        <v>22.58</v>
      </c>
      <c r="E15" s="64">
        <v>3.56</v>
      </c>
      <c r="F15" s="64">
        <v>5.63</v>
      </c>
      <c r="G15" s="64">
        <v>63.14</v>
      </c>
      <c r="H15" s="64">
        <v>17.22</v>
      </c>
      <c r="I15" s="64">
        <v>4.04</v>
      </c>
      <c r="J15" s="64">
        <v>1.28</v>
      </c>
      <c r="K15" s="64">
        <v>161.44999999999999</v>
      </c>
      <c r="L15" s="64">
        <v>23.72</v>
      </c>
      <c r="M15" s="64">
        <v>101.44</v>
      </c>
      <c r="N15" s="64">
        <v>70.400000000000006</v>
      </c>
      <c r="O15" s="64">
        <v>0</v>
      </c>
      <c r="P15" s="64">
        <v>0.63</v>
      </c>
      <c r="Q15" s="64">
        <v>9.6999999999999993</v>
      </c>
      <c r="R15" s="198"/>
      <c r="S15" s="198"/>
      <c r="T15" s="198"/>
      <c r="U15" s="198"/>
    </row>
    <row r="16" spans="1:21" s="12" customFormat="1" x14ac:dyDescent="0.25">
      <c r="A16" s="214" t="s">
        <v>541</v>
      </c>
      <c r="B16" s="64">
        <v>22.6</v>
      </c>
      <c r="C16" s="64">
        <v>31.87</v>
      </c>
      <c r="D16" s="64">
        <v>23.26</v>
      </c>
      <c r="E16" s="64">
        <v>3.47</v>
      </c>
      <c r="F16" s="64">
        <v>5.93</v>
      </c>
      <c r="G16" s="64">
        <v>63.14</v>
      </c>
      <c r="H16" s="64">
        <v>17.22</v>
      </c>
      <c r="I16" s="64">
        <v>3.86</v>
      </c>
      <c r="J16" s="64">
        <v>0.9</v>
      </c>
      <c r="K16" s="64">
        <v>169.09</v>
      </c>
      <c r="L16" s="64">
        <v>23.72</v>
      </c>
      <c r="M16" s="64">
        <v>100.89</v>
      </c>
      <c r="N16" s="64">
        <v>70.599999999999994</v>
      </c>
      <c r="O16" s="64">
        <v>0</v>
      </c>
      <c r="P16" s="64">
        <v>0.6</v>
      </c>
      <c r="Q16" s="64">
        <v>9.7100000000000009</v>
      </c>
      <c r="R16" s="198"/>
      <c r="S16" s="198"/>
      <c r="T16" s="198"/>
      <c r="U16" s="198"/>
    </row>
    <row r="17" spans="1:21" s="12" customFormat="1" x14ac:dyDescent="0.25">
      <c r="A17" s="214" t="s">
        <v>542</v>
      </c>
      <c r="B17" s="64">
        <v>22.23</v>
      </c>
      <c r="C17" s="64">
        <v>31.42</v>
      </c>
      <c r="D17" s="64">
        <v>22.98</v>
      </c>
      <c r="E17" s="64">
        <v>3.68</v>
      </c>
      <c r="F17" s="64">
        <v>5.29</v>
      </c>
      <c r="G17" s="64">
        <v>51.83</v>
      </c>
      <c r="H17" s="64">
        <v>13.61</v>
      </c>
      <c r="I17" s="64">
        <v>3.96</v>
      </c>
      <c r="J17" s="64">
        <v>0.97</v>
      </c>
      <c r="K17" s="64">
        <v>169.52</v>
      </c>
      <c r="L17" s="64">
        <v>23.55</v>
      </c>
      <c r="M17" s="64">
        <v>100.34</v>
      </c>
      <c r="N17" s="64">
        <v>70.7</v>
      </c>
      <c r="O17" s="64">
        <v>0</v>
      </c>
      <c r="P17" s="64">
        <v>0.57999999999999996</v>
      </c>
      <c r="Q17" s="64">
        <v>9.7100000000000009</v>
      </c>
      <c r="R17" s="198"/>
      <c r="S17" s="198"/>
      <c r="T17" s="198"/>
      <c r="U17" s="198"/>
    </row>
    <row r="18" spans="1:21" s="12" customFormat="1" x14ac:dyDescent="0.25">
      <c r="A18" s="214" t="s">
        <v>543</v>
      </c>
      <c r="B18" s="64">
        <v>21.71</v>
      </c>
      <c r="C18" s="64">
        <v>29.62</v>
      </c>
      <c r="D18" s="64">
        <v>20.309999999999999</v>
      </c>
      <c r="E18" s="64">
        <v>3.1</v>
      </c>
      <c r="F18" s="64">
        <v>5.54</v>
      </c>
      <c r="G18" s="64">
        <v>51.7</v>
      </c>
      <c r="H18" s="64">
        <v>13.57</v>
      </c>
      <c r="I18" s="64">
        <v>4.09</v>
      </c>
      <c r="J18" s="64">
        <v>0.78</v>
      </c>
      <c r="K18" s="64">
        <v>206.3</v>
      </c>
      <c r="L18" s="64">
        <v>23.41</v>
      </c>
      <c r="M18" s="64">
        <v>99.95</v>
      </c>
      <c r="N18" s="64">
        <v>70.900000000000006</v>
      </c>
      <c r="O18" s="64">
        <v>0</v>
      </c>
      <c r="P18" s="64">
        <v>0.57999999999999996</v>
      </c>
      <c r="Q18" s="64">
        <v>9.7100000000000009</v>
      </c>
      <c r="R18" s="198"/>
      <c r="S18" s="198"/>
      <c r="T18" s="198"/>
      <c r="U18" s="198"/>
    </row>
    <row r="19" spans="1:21" s="12" customFormat="1" x14ac:dyDescent="0.25">
      <c r="A19" s="214" t="s">
        <v>544</v>
      </c>
      <c r="B19" s="64">
        <v>21.21</v>
      </c>
      <c r="C19" s="64">
        <v>32.01</v>
      </c>
      <c r="D19" s="64">
        <v>25.67</v>
      </c>
      <c r="E19" s="64">
        <v>3.28</v>
      </c>
      <c r="F19" s="64">
        <v>5.29</v>
      </c>
      <c r="G19" s="64">
        <v>51.7</v>
      </c>
      <c r="H19" s="64">
        <v>13.57</v>
      </c>
      <c r="I19" s="64">
        <v>4.05</v>
      </c>
      <c r="J19" s="64">
        <v>0.86</v>
      </c>
      <c r="K19" s="64">
        <v>192.83</v>
      </c>
      <c r="L19" s="64">
        <v>23.36</v>
      </c>
      <c r="M19" s="64">
        <v>100.09</v>
      </c>
      <c r="N19" s="64">
        <v>70.8</v>
      </c>
      <c r="O19" s="64">
        <v>0</v>
      </c>
      <c r="P19" s="64">
        <v>0.55000000000000004</v>
      </c>
      <c r="Q19" s="64">
        <v>9.7100000000000009</v>
      </c>
      <c r="R19" s="198"/>
      <c r="S19" s="198"/>
      <c r="T19" s="198"/>
      <c r="U19" s="198"/>
    </row>
    <row r="20" spans="1:21" s="12" customFormat="1" x14ac:dyDescent="0.25">
      <c r="A20" s="214" t="s">
        <v>545</v>
      </c>
      <c r="B20" s="64">
        <v>20.23</v>
      </c>
      <c r="C20" s="64">
        <v>29.29</v>
      </c>
      <c r="D20" s="64">
        <v>21.96</v>
      </c>
      <c r="E20" s="64">
        <v>2.81</v>
      </c>
      <c r="F20" s="64">
        <v>5.86</v>
      </c>
      <c r="G20" s="64">
        <v>51.7</v>
      </c>
      <c r="H20" s="64">
        <v>13.57</v>
      </c>
      <c r="I20" s="64">
        <v>3.96</v>
      </c>
      <c r="J20" s="64">
        <v>0.9</v>
      </c>
      <c r="K20" s="64">
        <v>179.48</v>
      </c>
      <c r="L20" s="64">
        <v>23.34</v>
      </c>
      <c r="M20" s="64">
        <v>99.39</v>
      </c>
      <c r="N20" s="64">
        <v>70.900000000000006</v>
      </c>
      <c r="O20" s="64">
        <v>0</v>
      </c>
      <c r="P20" s="64">
        <v>0.53</v>
      </c>
      <c r="Q20" s="64">
        <v>9.74</v>
      </c>
      <c r="R20" s="198"/>
      <c r="S20" s="198"/>
      <c r="T20" s="198"/>
      <c r="U20" s="198"/>
    </row>
    <row r="21" spans="1:21" s="12" customFormat="1" x14ac:dyDescent="0.25">
      <c r="A21" s="214" t="s">
        <v>546</v>
      </c>
      <c r="B21" s="64">
        <v>19.22</v>
      </c>
      <c r="C21" s="64">
        <v>27.55</v>
      </c>
      <c r="D21" s="64">
        <v>20.18</v>
      </c>
      <c r="E21" s="64">
        <v>3.1</v>
      </c>
      <c r="F21" s="64">
        <v>5.3</v>
      </c>
      <c r="G21" s="64">
        <v>34.24</v>
      </c>
      <c r="H21" s="64">
        <v>19.170000000000002</v>
      </c>
      <c r="I21" s="64">
        <v>3.95</v>
      </c>
      <c r="J21" s="64">
        <v>1.68</v>
      </c>
      <c r="K21" s="64">
        <v>157.43</v>
      </c>
      <c r="L21" s="64">
        <v>23.47</v>
      </c>
      <c r="M21" s="64">
        <v>99.42</v>
      </c>
      <c r="N21" s="64">
        <v>70.900000000000006</v>
      </c>
      <c r="O21" s="64">
        <v>0</v>
      </c>
      <c r="P21" s="64">
        <v>0.52</v>
      </c>
      <c r="Q21" s="64">
        <v>9.6999999999999993</v>
      </c>
      <c r="R21" s="198"/>
      <c r="S21" s="198"/>
      <c r="T21" s="198"/>
      <c r="U21" s="198"/>
    </row>
    <row r="22" spans="1:21" s="12" customFormat="1" x14ac:dyDescent="0.25">
      <c r="A22" s="214" t="s">
        <v>547</v>
      </c>
      <c r="B22" s="64">
        <v>19.04</v>
      </c>
      <c r="C22" s="64">
        <v>26.97</v>
      </c>
      <c r="D22" s="64">
        <v>19.350000000000001</v>
      </c>
      <c r="E22" s="64">
        <v>3.36</v>
      </c>
      <c r="F22" s="64">
        <v>5.44</v>
      </c>
      <c r="G22" s="64">
        <v>34.24</v>
      </c>
      <c r="H22" s="64">
        <v>19.170000000000002</v>
      </c>
      <c r="I22" s="64">
        <v>4.0199999999999996</v>
      </c>
      <c r="J22" s="64">
        <v>0.86</v>
      </c>
      <c r="K22" s="64">
        <v>164.52</v>
      </c>
      <c r="L22" s="64">
        <v>23.57</v>
      </c>
      <c r="M22" s="64">
        <v>98.91</v>
      </c>
      <c r="N22" s="64">
        <v>71.3</v>
      </c>
      <c r="O22" s="64">
        <v>0</v>
      </c>
      <c r="P22" s="64">
        <v>0.5</v>
      </c>
      <c r="Q22" s="64">
        <v>9.67</v>
      </c>
      <c r="R22" s="198"/>
      <c r="S22" s="198"/>
      <c r="T22" s="198"/>
      <c r="U22" s="198"/>
    </row>
    <row r="23" spans="1:21" s="12" customFormat="1" x14ac:dyDescent="0.25">
      <c r="A23" s="214" t="s">
        <v>548</v>
      </c>
      <c r="B23" s="64">
        <v>17.37</v>
      </c>
      <c r="C23" s="64">
        <v>25.42</v>
      </c>
      <c r="D23" s="64">
        <v>18.93</v>
      </c>
      <c r="E23" s="64">
        <v>3.24</v>
      </c>
      <c r="F23" s="64">
        <v>5.38</v>
      </c>
      <c r="G23" s="64">
        <v>34.24</v>
      </c>
      <c r="H23" s="64">
        <v>19.170000000000002</v>
      </c>
      <c r="I23" s="64">
        <v>4.0999999999999996</v>
      </c>
      <c r="J23" s="64">
        <v>0.65</v>
      </c>
      <c r="K23" s="64">
        <v>239.85</v>
      </c>
      <c r="L23" s="64">
        <v>23.58</v>
      </c>
      <c r="M23" s="64">
        <v>98.73</v>
      </c>
      <c r="N23" s="64">
        <v>71.400000000000006</v>
      </c>
      <c r="O23" s="64">
        <v>0</v>
      </c>
      <c r="P23" s="64">
        <v>0.48</v>
      </c>
      <c r="Q23" s="64">
        <v>9.67</v>
      </c>
      <c r="R23" s="198"/>
      <c r="S23" s="198"/>
      <c r="T23" s="198"/>
      <c r="U23" s="198"/>
    </row>
    <row r="24" spans="1:21" s="12" customFormat="1" x14ac:dyDescent="0.25">
      <c r="A24" s="214" t="s">
        <v>549</v>
      </c>
      <c r="B24" s="64">
        <v>17.64</v>
      </c>
      <c r="C24" s="64">
        <v>25.66</v>
      </c>
      <c r="D24" s="64">
        <v>18.98</v>
      </c>
      <c r="E24" s="64">
        <v>3.12</v>
      </c>
      <c r="F24" s="64">
        <v>4.92</v>
      </c>
      <c r="G24" s="64">
        <v>34.24</v>
      </c>
      <c r="H24" s="64">
        <v>19.170000000000002</v>
      </c>
      <c r="I24" s="64">
        <v>3.87</v>
      </c>
      <c r="J24" s="64">
        <v>0.82</v>
      </c>
      <c r="K24" s="64">
        <v>254.46</v>
      </c>
      <c r="L24" s="64">
        <v>23.64</v>
      </c>
      <c r="M24" s="64">
        <v>98.66</v>
      </c>
      <c r="N24" s="64">
        <v>71.599999999999994</v>
      </c>
      <c r="O24" s="64">
        <v>0</v>
      </c>
      <c r="P24" s="64">
        <v>0.46</v>
      </c>
      <c r="Q24" s="64">
        <v>9.67</v>
      </c>
      <c r="R24" s="198"/>
      <c r="S24" s="198"/>
      <c r="T24" s="198"/>
      <c r="U24" s="198"/>
    </row>
    <row r="25" spans="1:21" s="12" customFormat="1" x14ac:dyDescent="0.25">
      <c r="A25" s="214" t="s">
        <v>550</v>
      </c>
      <c r="B25" s="64">
        <v>17.14</v>
      </c>
      <c r="C25" s="64">
        <v>25.17</v>
      </c>
      <c r="D25" s="64">
        <v>18.8</v>
      </c>
      <c r="E25" s="64">
        <v>3.27</v>
      </c>
      <c r="F25" s="64">
        <v>5.22</v>
      </c>
      <c r="G25" s="64">
        <v>28.38</v>
      </c>
      <c r="H25" s="64">
        <v>12.24</v>
      </c>
      <c r="I25" s="64">
        <v>4.01</v>
      </c>
      <c r="J25" s="64">
        <v>0.4</v>
      </c>
      <c r="K25" s="64">
        <v>240.99</v>
      </c>
      <c r="L25" s="64">
        <v>23.69</v>
      </c>
      <c r="M25" s="64">
        <v>98.64</v>
      </c>
      <c r="N25" s="64">
        <v>72.5</v>
      </c>
      <c r="O25" s="64">
        <v>0</v>
      </c>
      <c r="P25" s="64">
        <v>0.44</v>
      </c>
      <c r="Q25" s="64">
        <v>9.66</v>
      </c>
      <c r="R25" s="198"/>
      <c r="S25" s="198"/>
      <c r="T25" s="198"/>
      <c r="U25" s="198"/>
    </row>
    <row r="26" spans="1:21" s="12" customFormat="1" x14ac:dyDescent="0.25">
      <c r="A26" s="214" t="s">
        <v>551</v>
      </c>
      <c r="B26" s="64">
        <v>14.89</v>
      </c>
      <c r="C26" s="64">
        <v>22.96</v>
      </c>
      <c r="D26" s="64">
        <v>18.05</v>
      </c>
      <c r="E26" s="64">
        <v>3.21</v>
      </c>
      <c r="F26" s="64">
        <v>5.35</v>
      </c>
      <c r="G26" s="64">
        <v>28.31</v>
      </c>
      <c r="H26" s="64">
        <v>12.24</v>
      </c>
      <c r="I26" s="64">
        <v>4.1100000000000003</v>
      </c>
      <c r="J26" s="64">
        <v>0.38</v>
      </c>
      <c r="K26" s="64">
        <v>95.91</v>
      </c>
      <c r="L26" s="64">
        <v>23.82</v>
      </c>
      <c r="M26" s="64">
        <v>98.41</v>
      </c>
      <c r="N26" s="64">
        <v>71.900000000000006</v>
      </c>
      <c r="O26" s="64">
        <v>0</v>
      </c>
      <c r="P26" s="64">
        <v>0.4</v>
      </c>
      <c r="Q26" s="64">
        <v>9.67</v>
      </c>
      <c r="R26" s="198"/>
      <c r="S26" s="198"/>
      <c r="T26" s="198"/>
      <c r="U26" s="198"/>
    </row>
    <row r="27" spans="1:21" s="12" customFormat="1" x14ac:dyDescent="0.25">
      <c r="A27" s="214" t="s">
        <v>552</v>
      </c>
      <c r="B27" s="64">
        <v>16.77</v>
      </c>
      <c r="C27" s="64">
        <v>24.35</v>
      </c>
      <c r="D27" s="64">
        <v>17.809999999999999</v>
      </c>
      <c r="E27" s="64">
        <v>3.06</v>
      </c>
      <c r="F27" s="64">
        <v>5.16</v>
      </c>
      <c r="G27" s="64">
        <v>28.31</v>
      </c>
      <c r="H27" s="64">
        <v>12.24</v>
      </c>
      <c r="I27" s="64">
        <v>4.03</v>
      </c>
      <c r="J27" s="64">
        <v>0.9</v>
      </c>
      <c r="K27" s="64">
        <v>105.21</v>
      </c>
      <c r="L27" s="64">
        <v>24.17</v>
      </c>
      <c r="M27" s="64">
        <v>98.14</v>
      </c>
      <c r="N27" s="64">
        <v>71.400000000000006</v>
      </c>
      <c r="O27" s="64">
        <v>0</v>
      </c>
      <c r="P27" s="64">
        <v>0.44</v>
      </c>
      <c r="Q27" s="64">
        <v>9.68</v>
      </c>
      <c r="R27" s="198"/>
      <c r="S27" s="198"/>
      <c r="T27" s="198"/>
      <c r="U27" s="198"/>
    </row>
    <row r="28" spans="1:21" s="12" customFormat="1" x14ac:dyDescent="0.25">
      <c r="A28" s="214" t="s">
        <v>553</v>
      </c>
      <c r="B28" s="64">
        <v>17.309999999999999</v>
      </c>
      <c r="C28" s="64">
        <v>24.69</v>
      </c>
      <c r="D28" s="64">
        <v>17.64</v>
      </c>
      <c r="E28" s="64">
        <v>3.38</v>
      </c>
      <c r="F28" s="64">
        <v>5.69</v>
      </c>
      <c r="G28" s="64">
        <v>28.31</v>
      </c>
      <c r="H28" s="64">
        <v>12.24</v>
      </c>
      <c r="I28" s="64">
        <v>4.05</v>
      </c>
      <c r="J28" s="64">
        <v>0.95</v>
      </c>
      <c r="K28" s="64">
        <v>94.42</v>
      </c>
      <c r="L28" s="64">
        <v>24.43</v>
      </c>
      <c r="M28" s="64">
        <v>97.8</v>
      </c>
      <c r="N28" s="64">
        <v>71.900000000000006</v>
      </c>
      <c r="O28" s="64">
        <v>0</v>
      </c>
      <c r="P28" s="64">
        <v>0.44</v>
      </c>
      <c r="Q28" s="64">
        <v>9.66</v>
      </c>
      <c r="R28" s="198"/>
      <c r="S28" s="198"/>
      <c r="T28" s="198"/>
      <c r="U28" s="198"/>
    </row>
    <row r="29" spans="1:21" s="12" customFormat="1" x14ac:dyDescent="0.25">
      <c r="A29" s="214" t="s">
        <v>554</v>
      </c>
      <c r="B29" s="64">
        <v>17.52</v>
      </c>
      <c r="C29" s="64">
        <v>27.23</v>
      </c>
      <c r="D29" s="64">
        <v>22.19</v>
      </c>
      <c r="E29" s="64">
        <v>3.05</v>
      </c>
      <c r="F29" s="64">
        <v>5.64</v>
      </c>
      <c r="G29" s="64">
        <v>23.06</v>
      </c>
      <c r="H29" s="64">
        <v>11.67</v>
      </c>
      <c r="I29" s="64">
        <v>4.04</v>
      </c>
      <c r="J29" s="64">
        <v>0.84</v>
      </c>
      <c r="K29" s="64">
        <v>99.34</v>
      </c>
      <c r="L29" s="64">
        <v>24.44</v>
      </c>
      <c r="M29" s="64">
        <v>97.87</v>
      </c>
      <c r="N29" s="64">
        <v>72.2</v>
      </c>
      <c r="O29" s="64">
        <v>0</v>
      </c>
      <c r="P29" s="64">
        <v>0.43</v>
      </c>
      <c r="Q29" s="64">
        <v>9.64</v>
      </c>
      <c r="R29" s="198"/>
      <c r="S29" s="198"/>
      <c r="T29" s="198"/>
      <c r="U29" s="198"/>
    </row>
    <row r="30" spans="1:21" s="12" customFormat="1" x14ac:dyDescent="0.25">
      <c r="A30" s="214" t="s">
        <v>555</v>
      </c>
      <c r="B30" s="64">
        <v>17.57</v>
      </c>
      <c r="C30" s="64">
        <v>27.5</v>
      </c>
      <c r="D30" s="64">
        <v>22.62</v>
      </c>
      <c r="E30" s="64">
        <v>3.29</v>
      </c>
      <c r="F30" s="64">
        <v>5.44</v>
      </c>
      <c r="G30" s="64">
        <v>23.06</v>
      </c>
      <c r="H30" s="64">
        <v>11.66</v>
      </c>
      <c r="I30" s="64">
        <v>3.96</v>
      </c>
      <c r="J30" s="64">
        <v>0.56000000000000005</v>
      </c>
      <c r="K30" s="64">
        <v>182.17</v>
      </c>
      <c r="L30" s="64">
        <v>24.4</v>
      </c>
      <c r="M30" s="64">
        <v>98.16</v>
      </c>
      <c r="N30" s="64">
        <v>77.2</v>
      </c>
      <c r="O30" s="64">
        <v>0</v>
      </c>
      <c r="P30" s="64">
        <v>0.42</v>
      </c>
      <c r="Q30" s="64">
        <v>9.65</v>
      </c>
      <c r="R30" s="198"/>
      <c r="S30" s="198"/>
      <c r="T30" s="198"/>
      <c r="U30" s="198"/>
    </row>
    <row r="31" spans="1:21" s="12" customFormat="1" x14ac:dyDescent="0.25">
      <c r="A31" s="214" t="s">
        <v>556</v>
      </c>
      <c r="B31" s="64">
        <v>17.72</v>
      </c>
      <c r="C31" s="64">
        <v>26.56</v>
      </c>
      <c r="D31" s="64">
        <v>20.59</v>
      </c>
      <c r="E31" s="64">
        <v>3.04</v>
      </c>
      <c r="F31" s="64">
        <v>5.59</v>
      </c>
      <c r="G31" s="64">
        <v>23.06</v>
      </c>
      <c r="H31" s="64">
        <v>11.66</v>
      </c>
      <c r="I31" s="64">
        <v>4.03</v>
      </c>
      <c r="J31" s="64">
        <v>0.53</v>
      </c>
      <c r="K31" s="64">
        <v>186.49</v>
      </c>
      <c r="L31" s="64">
        <v>24.2</v>
      </c>
      <c r="M31" s="64">
        <v>98.11</v>
      </c>
      <c r="N31" s="64">
        <v>88.9</v>
      </c>
      <c r="O31" s="64">
        <v>0</v>
      </c>
      <c r="P31" s="64">
        <v>0.42</v>
      </c>
      <c r="Q31" s="64">
        <v>9.68</v>
      </c>
      <c r="R31" s="198"/>
      <c r="S31" s="198"/>
      <c r="T31" s="198"/>
      <c r="U31" s="198"/>
    </row>
    <row r="32" spans="1:21" s="12" customFormat="1" x14ac:dyDescent="0.25">
      <c r="A32" s="214" t="s">
        <v>557</v>
      </c>
      <c r="B32" s="64">
        <v>17.91</v>
      </c>
      <c r="C32" s="64">
        <v>28.16</v>
      </c>
      <c r="D32" s="64">
        <v>23.37</v>
      </c>
      <c r="E32" s="64">
        <v>3.02</v>
      </c>
      <c r="F32" s="64">
        <v>5.71</v>
      </c>
      <c r="G32" s="64">
        <v>23.06</v>
      </c>
      <c r="H32" s="64">
        <v>11.66</v>
      </c>
      <c r="I32" s="64">
        <v>4</v>
      </c>
      <c r="J32" s="64">
        <v>0.75</v>
      </c>
      <c r="K32" s="64">
        <v>148</v>
      </c>
      <c r="L32" s="64">
        <v>23.92</v>
      </c>
      <c r="M32" s="64">
        <v>98.3</v>
      </c>
      <c r="N32" s="64">
        <v>108.9</v>
      </c>
      <c r="O32" s="64">
        <v>0</v>
      </c>
      <c r="P32" s="64">
        <v>0.4</v>
      </c>
      <c r="Q32" s="64">
        <v>9.7200000000000006</v>
      </c>
      <c r="R32" s="198"/>
      <c r="S32" s="198"/>
      <c r="T32" s="198"/>
      <c r="U32" s="198"/>
    </row>
    <row r="33" spans="1:21" s="12" customFormat="1" x14ac:dyDescent="0.25">
      <c r="A33" s="214" t="s">
        <v>558</v>
      </c>
      <c r="B33" s="64">
        <v>18.16</v>
      </c>
      <c r="C33" s="64">
        <v>26.97</v>
      </c>
      <c r="D33" s="64">
        <v>20.71</v>
      </c>
      <c r="E33" s="64">
        <v>3</v>
      </c>
      <c r="F33" s="64">
        <v>5.19</v>
      </c>
      <c r="G33" s="64">
        <v>21.92</v>
      </c>
      <c r="H33" s="64">
        <v>10.61</v>
      </c>
      <c r="I33" s="64">
        <v>3.94</v>
      </c>
      <c r="J33" s="64">
        <v>0.02</v>
      </c>
      <c r="K33" s="64">
        <v>174.35</v>
      </c>
      <c r="L33" s="64">
        <v>24.43</v>
      </c>
      <c r="M33" s="64">
        <v>97.93</v>
      </c>
      <c r="N33" s="64">
        <v>176</v>
      </c>
      <c r="O33" s="64">
        <v>0</v>
      </c>
      <c r="P33" s="64">
        <v>0.41</v>
      </c>
      <c r="Q33" s="64">
        <v>9.69</v>
      </c>
      <c r="R33" s="198"/>
      <c r="S33" s="198"/>
      <c r="T33" s="198"/>
      <c r="U33" s="198"/>
    </row>
    <row r="34" spans="1:21" s="12" customFormat="1" x14ac:dyDescent="0.25">
      <c r="A34" s="214" t="s">
        <v>559</v>
      </c>
      <c r="B34" s="64">
        <v>18.86</v>
      </c>
      <c r="C34" s="64">
        <v>29.21</v>
      </c>
      <c r="D34" s="64">
        <v>23.91</v>
      </c>
      <c r="E34" s="64">
        <v>3.08</v>
      </c>
      <c r="F34" s="64">
        <v>5.66</v>
      </c>
      <c r="G34" s="64">
        <v>21.92</v>
      </c>
      <c r="H34" s="64">
        <v>10.61</v>
      </c>
      <c r="I34" s="64">
        <v>3.98</v>
      </c>
      <c r="J34" s="64">
        <v>0.69</v>
      </c>
      <c r="K34" s="64">
        <v>112.68</v>
      </c>
      <c r="L34" s="64">
        <v>25.57</v>
      </c>
      <c r="M34" s="64">
        <v>95.22</v>
      </c>
      <c r="N34" s="64">
        <v>170</v>
      </c>
      <c r="O34" s="64">
        <v>0</v>
      </c>
      <c r="P34" s="64">
        <v>0.4</v>
      </c>
      <c r="Q34" s="64">
        <v>9.69</v>
      </c>
      <c r="R34" s="198"/>
      <c r="S34" s="198"/>
      <c r="T34" s="198"/>
      <c r="U34" s="198"/>
    </row>
    <row r="35" spans="1:21" s="12" customFormat="1" x14ac:dyDescent="0.25">
      <c r="A35" s="214" t="s">
        <v>560</v>
      </c>
      <c r="B35" s="64">
        <v>19.29</v>
      </c>
      <c r="C35" s="64">
        <v>29.69</v>
      </c>
      <c r="D35" s="64">
        <v>24.17</v>
      </c>
      <c r="E35" s="64">
        <v>2.94</v>
      </c>
      <c r="F35" s="64">
        <v>4.8899999999999997</v>
      </c>
      <c r="G35" s="64">
        <v>21.92</v>
      </c>
      <c r="H35" s="64">
        <v>10.61</v>
      </c>
      <c r="I35" s="64">
        <v>4.03</v>
      </c>
      <c r="J35" s="64">
        <v>1.03</v>
      </c>
      <c r="K35" s="64">
        <v>87.16</v>
      </c>
      <c r="L35" s="64">
        <v>25.12</v>
      </c>
      <c r="M35" s="64">
        <v>96.07</v>
      </c>
      <c r="N35" s="64">
        <v>142.5</v>
      </c>
      <c r="O35" s="64">
        <v>0</v>
      </c>
      <c r="P35" s="64">
        <v>0.39</v>
      </c>
      <c r="Q35" s="64">
        <v>9.68</v>
      </c>
      <c r="R35" s="198"/>
      <c r="S35" s="198"/>
      <c r="T35" s="198"/>
      <c r="U35" s="198"/>
    </row>
    <row r="36" spans="1:21" s="12" customFormat="1" x14ac:dyDescent="0.25">
      <c r="A36" s="214" t="s">
        <v>561</v>
      </c>
      <c r="B36" s="64">
        <v>19.22</v>
      </c>
      <c r="C36" s="64">
        <v>28.45</v>
      </c>
      <c r="D36" s="64">
        <v>21.89</v>
      </c>
      <c r="E36" s="64">
        <v>3.37</v>
      </c>
      <c r="F36" s="64">
        <v>5.67</v>
      </c>
      <c r="G36" s="64">
        <v>21.92</v>
      </c>
      <c r="H36" s="64">
        <v>10.61</v>
      </c>
      <c r="I36" s="64">
        <v>3.95</v>
      </c>
      <c r="J36" s="64">
        <v>1.18</v>
      </c>
      <c r="K36" s="64">
        <v>102.53</v>
      </c>
      <c r="L36" s="64">
        <v>25.19</v>
      </c>
      <c r="M36" s="64">
        <v>95.65</v>
      </c>
      <c r="N36" s="64">
        <v>174</v>
      </c>
      <c r="O36" s="64">
        <v>0</v>
      </c>
      <c r="P36" s="64">
        <v>0.39</v>
      </c>
      <c r="Q36" s="64">
        <v>9.69</v>
      </c>
      <c r="R36" s="198"/>
      <c r="S36" s="198"/>
      <c r="T36" s="198"/>
      <c r="U36" s="198"/>
    </row>
    <row r="37" spans="1:21" s="12" customFormat="1" x14ac:dyDescent="0.25">
      <c r="A37" s="214" t="s">
        <v>562</v>
      </c>
      <c r="B37" s="64">
        <v>18.77</v>
      </c>
      <c r="C37" s="64">
        <v>30.06</v>
      </c>
      <c r="D37" s="64">
        <v>25.67</v>
      </c>
      <c r="E37" s="64">
        <v>3.52</v>
      </c>
      <c r="F37" s="64">
        <v>5.45</v>
      </c>
      <c r="G37" s="64">
        <v>22.6</v>
      </c>
      <c r="H37" s="64">
        <v>8.94</v>
      </c>
      <c r="I37" s="64">
        <v>3.93</v>
      </c>
      <c r="J37" s="64">
        <v>0.85</v>
      </c>
      <c r="K37" s="64">
        <v>98.87</v>
      </c>
      <c r="L37" s="64">
        <v>25.55</v>
      </c>
      <c r="M37" s="64">
        <v>94.95</v>
      </c>
      <c r="N37" s="64">
        <v>180.3</v>
      </c>
      <c r="O37" s="64">
        <v>0</v>
      </c>
      <c r="P37" s="64">
        <v>0.35</v>
      </c>
      <c r="Q37" s="64">
        <v>9.69</v>
      </c>
      <c r="R37" s="198"/>
      <c r="S37" s="198"/>
      <c r="T37" s="198"/>
      <c r="U37" s="198"/>
    </row>
    <row r="38" spans="1:21" s="12" customFormat="1" x14ac:dyDescent="0.25">
      <c r="A38" s="214" t="s">
        <v>563</v>
      </c>
      <c r="B38" s="64">
        <v>21.26</v>
      </c>
      <c r="C38" s="64">
        <v>32.619999999999997</v>
      </c>
      <c r="D38" s="64">
        <v>26.75</v>
      </c>
      <c r="E38" s="64">
        <v>2.92</v>
      </c>
      <c r="F38" s="64">
        <v>6.09</v>
      </c>
      <c r="G38" s="64">
        <v>22.6</v>
      </c>
      <c r="H38" s="64">
        <v>8.94</v>
      </c>
      <c r="I38" s="64">
        <v>3.95</v>
      </c>
      <c r="J38" s="64">
        <v>0.45</v>
      </c>
      <c r="K38" s="64">
        <v>108.57</v>
      </c>
      <c r="L38" s="64">
        <v>25.82</v>
      </c>
      <c r="M38" s="64">
        <v>94.71</v>
      </c>
      <c r="N38" s="64">
        <v>227.3</v>
      </c>
      <c r="O38" s="64">
        <v>0</v>
      </c>
      <c r="P38" s="64">
        <v>0.38</v>
      </c>
      <c r="Q38" s="64">
        <v>9.7200000000000006</v>
      </c>
      <c r="R38" s="198"/>
      <c r="S38" s="198"/>
      <c r="T38" s="198"/>
      <c r="U38" s="198"/>
    </row>
    <row r="39" spans="1:21" s="12" customFormat="1" x14ac:dyDescent="0.25">
      <c r="A39" s="214" t="s">
        <v>564</v>
      </c>
      <c r="B39" s="64">
        <v>20.079999999999998</v>
      </c>
      <c r="C39" s="64">
        <v>30.1</v>
      </c>
      <c r="D39" s="64">
        <v>23.75</v>
      </c>
      <c r="E39" s="64">
        <v>2.91</v>
      </c>
      <c r="F39" s="64">
        <v>6.05</v>
      </c>
      <c r="G39" s="64">
        <v>22.6</v>
      </c>
      <c r="H39" s="64">
        <v>8.94</v>
      </c>
      <c r="I39" s="64">
        <v>4.05</v>
      </c>
      <c r="J39" s="64">
        <v>0.8</v>
      </c>
      <c r="K39" s="64">
        <v>107.79</v>
      </c>
      <c r="L39" s="64">
        <v>27.22</v>
      </c>
      <c r="M39" s="64">
        <v>88.22</v>
      </c>
      <c r="N39" s="64">
        <v>506</v>
      </c>
      <c r="O39" s="64">
        <v>0</v>
      </c>
      <c r="P39" s="64">
        <v>0.38</v>
      </c>
      <c r="Q39" s="64">
        <v>9.69</v>
      </c>
      <c r="R39" s="198"/>
      <c r="S39" s="198"/>
      <c r="T39" s="198"/>
      <c r="U39" s="198"/>
    </row>
    <row r="40" spans="1:21" s="12" customFormat="1" x14ac:dyDescent="0.25">
      <c r="A40" s="214" t="s">
        <v>565</v>
      </c>
      <c r="B40" s="64">
        <v>20.3</v>
      </c>
      <c r="C40" s="64">
        <v>31</v>
      </c>
      <c r="D40" s="64">
        <v>25.13</v>
      </c>
      <c r="E40" s="64">
        <v>3.04</v>
      </c>
      <c r="F40" s="64">
        <v>6.34</v>
      </c>
      <c r="G40" s="64">
        <v>22.6</v>
      </c>
      <c r="H40" s="64">
        <v>8.94</v>
      </c>
      <c r="I40" s="64">
        <v>4.09</v>
      </c>
      <c r="J40" s="64">
        <v>0.44</v>
      </c>
      <c r="K40" s="64">
        <v>126.15</v>
      </c>
      <c r="L40" s="64">
        <v>28.07</v>
      </c>
      <c r="M40" s="64">
        <v>84.52</v>
      </c>
      <c r="N40" s="64">
        <v>410.2</v>
      </c>
      <c r="O40" s="64">
        <v>0</v>
      </c>
      <c r="P40" s="64">
        <v>0.39</v>
      </c>
      <c r="Q40" s="64">
        <v>9.67</v>
      </c>
      <c r="R40" s="198"/>
      <c r="S40" s="198"/>
      <c r="T40" s="198"/>
      <c r="U40" s="198"/>
    </row>
    <row r="41" spans="1:21" s="12" customFormat="1" x14ac:dyDescent="0.25">
      <c r="A41" s="214" t="s">
        <v>566</v>
      </c>
      <c r="B41" s="64">
        <v>19.27</v>
      </c>
      <c r="C41" s="64">
        <v>30.49</v>
      </c>
      <c r="D41" s="64">
        <v>25.73</v>
      </c>
      <c r="E41" s="64">
        <v>2.61</v>
      </c>
      <c r="F41" s="64">
        <v>5.93</v>
      </c>
      <c r="G41" s="64">
        <v>25.34</v>
      </c>
      <c r="H41" s="64">
        <v>8.24</v>
      </c>
      <c r="I41" s="64">
        <v>4.03</v>
      </c>
      <c r="J41" s="64">
        <v>0.56000000000000005</v>
      </c>
      <c r="K41" s="64">
        <v>113.5</v>
      </c>
      <c r="L41" s="64">
        <v>28.59</v>
      </c>
      <c r="M41" s="64">
        <v>80.41</v>
      </c>
      <c r="N41" s="64">
        <v>481.4</v>
      </c>
      <c r="O41" s="64">
        <v>0</v>
      </c>
      <c r="P41" s="64">
        <v>0.38</v>
      </c>
      <c r="Q41" s="64">
        <v>9.66</v>
      </c>
      <c r="R41" s="198"/>
      <c r="S41" s="198"/>
      <c r="T41" s="198"/>
      <c r="U41" s="198"/>
    </row>
    <row r="42" spans="1:21" s="12" customFormat="1" x14ac:dyDescent="0.25">
      <c r="A42" s="214" t="s">
        <v>567</v>
      </c>
      <c r="B42" s="64">
        <v>18.920000000000002</v>
      </c>
      <c r="C42" s="64">
        <v>29.58</v>
      </c>
      <c r="D42" s="64">
        <v>24.53</v>
      </c>
      <c r="E42" s="64">
        <v>2.77</v>
      </c>
      <c r="F42" s="64">
        <v>6.65</v>
      </c>
      <c r="G42" s="64">
        <v>25.37</v>
      </c>
      <c r="H42" s="64">
        <v>8.24</v>
      </c>
      <c r="I42" s="64">
        <v>4.05</v>
      </c>
      <c r="J42" s="64">
        <v>0.63</v>
      </c>
      <c r="K42" s="64">
        <v>114.5</v>
      </c>
      <c r="L42" s="64">
        <v>29.41</v>
      </c>
      <c r="M42" s="64">
        <v>75.06</v>
      </c>
      <c r="N42" s="64">
        <v>650.29999999999995</v>
      </c>
      <c r="O42" s="64">
        <v>0</v>
      </c>
      <c r="P42" s="64">
        <v>0.37</v>
      </c>
      <c r="Q42" s="64">
        <v>9.67</v>
      </c>
      <c r="R42" s="198"/>
      <c r="S42" s="198"/>
      <c r="T42" s="198"/>
      <c r="U42" s="198"/>
    </row>
    <row r="43" spans="1:21" s="12" customFormat="1" x14ac:dyDescent="0.25">
      <c r="A43" s="214" t="s">
        <v>568</v>
      </c>
      <c r="B43" s="64">
        <v>18.41</v>
      </c>
      <c r="C43" s="64">
        <v>29.64</v>
      </c>
      <c r="D43" s="64">
        <v>25.42</v>
      </c>
      <c r="E43" s="64">
        <v>2.85</v>
      </c>
      <c r="F43" s="64">
        <v>7.18</v>
      </c>
      <c r="G43" s="64">
        <v>25.37</v>
      </c>
      <c r="H43" s="64">
        <v>8.24</v>
      </c>
      <c r="I43" s="64">
        <v>3.97</v>
      </c>
      <c r="J43" s="64">
        <v>0.49</v>
      </c>
      <c r="K43" s="64">
        <v>140.87</v>
      </c>
      <c r="L43" s="64">
        <v>30.05</v>
      </c>
      <c r="M43" s="64">
        <v>70.92</v>
      </c>
      <c r="N43" s="64">
        <v>759.8</v>
      </c>
      <c r="O43" s="64">
        <v>0</v>
      </c>
      <c r="P43" s="64">
        <v>0.36</v>
      </c>
      <c r="Q43" s="64">
        <v>9.68</v>
      </c>
      <c r="R43" s="198"/>
      <c r="S43" s="198"/>
      <c r="T43" s="198"/>
      <c r="U43" s="198"/>
    </row>
    <row r="44" spans="1:21" s="12" customFormat="1" x14ac:dyDescent="0.25">
      <c r="A44" s="214" t="s">
        <v>569</v>
      </c>
      <c r="B44" s="64">
        <v>20.149999999999999</v>
      </c>
      <c r="C44" s="64">
        <v>31.66</v>
      </c>
      <c r="D44" s="64">
        <v>26.61</v>
      </c>
      <c r="E44" s="64">
        <v>2.63</v>
      </c>
      <c r="F44" s="64">
        <v>5.98</v>
      </c>
      <c r="G44" s="64">
        <v>25.37</v>
      </c>
      <c r="H44" s="64">
        <v>8.24</v>
      </c>
      <c r="I44" s="64">
        <v>4.04</v>
      </c>
      <c r="J44" s="64">
        <v>0.35</v>
      </c>
      <c r="K44" s="64">
        <v>170.47</v>
      </c>
      <c r="L44" s="64">
        <v>31.81</v>
      </c>
      <c r="M44" s="64">
        <v>64.77</v>
      </c>
      <c r="N44" s="64">
        <v>827.8</v>
      </c>
      <c r="O44" s="64">
        <v>0</v>
      </c>
      <c r="P44" s="64">
        <v>0.4</v>
      </c>
      <c r="Q44" s="64">
        <v>9.67</v>
      </c>
      <c r="R44" s="198"/>
      <c r="S44" s="198"/>
      <c r="T44" s="198"/>
      <c r="U44" s="198"/>
    </row>
    <row r="45" spans="1:21" s="12" customFormat="1" x14ac:dyDescent="0.25">
      <c r="A45" s="214" t="s">
        <v>570</v>
      </c>
      <c r="B45" s="64">
        <v>19.739999999999998</v>
      </c>
      <c r="C45" s="64">
        <v>30.31</v>
      </c>
      <c r="D45" s="64">
        <v>24.66</v>
      </c>
      <c r="E45" s="64">
        <v>2.98</v>
      </c>
      <c r="F45" s="64">
        <v>6.22</v>
      </c>
      <c r="G45" s="64">
        <v>27.27</v>
      </c>
      <c r="H45" s="64">
        <v>6.5</v>
      </c>
      <c r="I45" s="64">
        <v>4.0199999999999996</v>
      </c>
      <c r="J45" s="64">
        <v>0.48</v>
      </c>
      <c r="K45" s="64">
        <v>149.09</v>
      </c>
      <c r="L45" s="64">
        <v>31.33</v>
      </c>
      <c r="M45" s="64">
        <v>65.849999999999994</v>
      </c>
      <c r="N45" s="64">
        <v>872.7</v>
      </c>
      <c r="O45" s="64">
        <v>0</v>
      </c>
      <c r="P45" s="64">
        <v>0.38</v>
      </c>
      <c r="Q45" s="64">
        <v>9.67</v>
      </c>
      <c r="R45" s="198"/>
      <c r="S45" s="198"/>
      <c r="T45" s="198"/>
      <c r="U45" s="198"/>
    </row>
    <row r="46" spans="1:21" s="12" customFormat="1" x14ac:dyDescent="0.25">
      <c r="A46" s="214" t="s">
        <v>571</v>
      </c>
      <c r="B46" s="64">
        <v>18.850000000000001</v>
      </c>
      <c r="C46" s="64">
        <v>30.3</v>
      </c>
      <c r="D46" s="64">
        <v>26</v>
      </c>
      <c r="E46" s="64">
        <v>2.5</v>
      </c>
      <c r="F46" s="64">
        <v>5.3</v>
      </c>
      <c r="G46" s="64">
        <v>27.27</v>
      </c>
      <c r="H46" s="64">
        <v>6.5</v>
      </c>
      <c r="I46" s="64">
        <v>3.98</v>
      </c>
      <c r="J46" s="64">
        <v>0.42</v>
      </c>
      <c r="K46" s="64">
        <v>123.82</v>
      </c>
      <c r="L46" s="64">
        <v>31.67</v>
      </c>
      <c r="M46" s="64">
        <v>66.09</v>
      </c>
      <c r="N46" s="64">
        <v>925.7</v>
      </c>
      <c r="O46" s="64">
        <v>0</v>
      </c>
      <c r="P46" s="64">
        <v>0.37</v>
      </c>
      <c r="Q46" s="64">
        <v>9.65</v>
      </c>
      <c r="R46" s="198"/>
      <c r="S46" s="198"/>
      <c r="T46" s="198"/>
      <c r="U46" s="198"/>
    </row>
    <row r="47" spans="1:21" s="12" customFormat="1" x14ac:dyDescent="0.25">
      <c r="A47" s="214" t="s">
        <v>572</v>
      </c>
      <c r="B47" s="64">
        <v>18.04</v>
      </c>
      <c r="C47" s="64">
        <v>29.58</v>
      </c>
      <c r="D47" s="64">
        <v>25.87</v>
      </c>
      <c r="E47" s="64">
        <v>2.66</v>
      </c>
      <c r="F47" s="64">
        <v>6.02</v>
      </c>
      <c r="G47" s="64">
        <v>27.27</v>
      </c>
      <c r="H47" s="64">
        <v>6.5</v>
      </c>
      <c r="I47" s="64">
        <v>4.21</v>
      </c>
      <c r="J47" s="64">
        <v>0.54</v>
      </c>
      <c r="K47" s="64">
        <v>199.59</v>
      </c>
      <c r="L47" s="64">
        <v>32.11</v>
      </c>
      <c r="M47" s="64">
        <v>64.81</v>
      </c>
      <c r="N47" s="64">
        <v>946.7</v>
      </c>
      <c r="O47" s="64">
        <v>0</v>
      </c>
      <c r="P47" s="64">
        <v>0.39</v>
      </c>
      <c r="Q47" s="64">
        <v>9.67</v>
      </c>
      <c r="R47" s="198"/>
      <c r="S47" s="198"/>
      <c r="T47" s="198"/>
      <c r="U47" s="198"/>
    </row>
    <row r="48" spans="1:21" s="12" customFormat="1" x14ac:dyDescent="0.25">
      <c r="A48" s="214" t="s">
        <v>573</v>
      </c>
      <c r="B48" s="64">
        <v>17.23</v>
      </c>
      <c r="C48" s="64">
        <v>28.67</v>
      </c>
      <c r="D48" s="64">
        <v>25.38</v>
      </c>
      <c r="E48" s="64">
        <v>2.7</v>
      </c>
      <c r="F48" s="64">
        <v>6.13</v>
      </c>
      <c r="G48" s="64">
        <v>27.27</v>
      </c>
      <c r="H48" s="64">
        <v>6.5</v>
      </c>
      <c r="I48" s="64">
        <v>4.01</v>
      </c>
      <c r="J48" s="64">
        <v>0.48</v>
      </c>
      <c r="K48" s="64">
        <v>254.7</v>
      </c>
      <c r="L48" s="64">
        <v>34.72</v>
      </c>
      <c r="M48" s="64">
        <v>56.97</v>
      </c>
      <c r="N48" s="64">
        <v>980.1</v>
      </c>
      <c r="O48" s="64">
        <v>0</v>
      </c>
      <c r="P48" s="64">
        <v>0.37</v>
      </c>
      <c r="Q48" s="64">
        <v>9.67</v>
      </c>
      <c r="R48" s="198"/>
      <c r="S48" s="198"/>
      <c r="T48" s="198"/>
      <c r="U48" s="198"/>
    </row>
    <row r="49" spans="1:21" s="12" customFormat="1" x14ac:dyDescent="0.25">
      <c r="A49" s="214" t="s">
        <v>574</v>
      </c>
      <c r="B49" s="64">
        <v>16.489999999999998</v>
      </c>
      <c r="C49" s="64">
        <v>28.41</v>
      </c>
      <c r="D49" s="64">
        <v>26.02</v>
      </c>
      <c r="E49" s="64">
        <v>2.59</v>
      </c>
      <c r="F49" s="64">
        <v>5.55</v>
      </c>
      <c r="G49" s="64">
        <v>22.16</v>
      </c>
      <c r="H49" s="64">
        <v>4.55</v>
      </c>
      <c r="I49" s="64">
        <v>3.99</v>
      </c>
      <c r="J49" s="64">
        <v>0.44</v>
      </c>
      <c r="K49" s="64">
        <v>232.83</v>
      </c>
      <c r="L49" s="64">
        <v>34.89</v>
      </c>
      <c r="M49" s="64">
        <v>54.69</v>
      </c>
      <c r="N49" s="64">
        <v>1022.7</v>
      </c>
      <c r="O49" s="64">
        <v>0</v>
      </c>
      <c r="P49" s="64">
        <v>0.4</v>
      </c>
      <c r="Q49" s="64">
        <v>9.67</v>
      </c>
      <c r="R49" s="198"/>
      <c r="S49" s="198"/>
      <c r="T49" s="198"/>
      <c r="U49" s="198"/>
    </row>
    <row r="50" spans="1:21" s="12" customFormat="1" x14ac:dyDescent="0.25">
      <c r="A50" s="214" t="s">
        <v>575</v>
      </c>
      <c r="B50" s="64">
        <v>15.79</v>
      </c>
      <c r="C50" s="64">
        <v>27.95</v>
      </c>
      <c r="D50" s="64">
        <v>26.22</v>
      </c>
      <c r="E50" s="64">
        <v>2.75</v>
      </c>
      <c r="F50" s="64">
        <v>5.85</v>
      </c>
      <c r="G50" s="64">
        <v>22.11</v>
      </c>
      <c r="H50" s="64">
        <v>4.55</v>
      </c>
      <c r="I50" s="64">
        <v>3.93</v>
      </c>
      <c r="J50" s="64">
        <v>0.64</v>
      </c>
      <c r="K50" s="64">
        <v>262.35000000000002</v>
      </c>
      <c r="L50" s="64">
        <v>35.270000000000003</v>
      </c>
      <c r="M50" s="64">
        <v>54.52</v>
      </c>
      <c r="N50" s="64">
        <v>1037.2</v>
      </c>
      <c r="O50" s="64">
        <v>0</v>
      </c>
      <c r="P50" s="64">
        <v>0.39</v>
      </c>
      <c r="Q50" s="64">
        <v>9.67</v>
      </c>
      <c r="R50" s="198"/>
      <c r="S50" s="198"/>
      <c r="T50" s="198"/>
      <c r="U50" s="198"/>
    </row>
    <row r="51" spans="1:21" s="12" customFormat="1" x14ac:dyDescent="0.25">
      <c r="A51" s="214" t="s">
        <v>576</v>
      </c>
      <c r="B51" s="64">
        <v>14.75</v>
      </c>
      <c r="C51" s="64">
        <v>28.11</v>
      </c>
      <c r="D51" s="64">
        <v>28.1</v>
      </c>
      <c r="E51" s="64">
        <v>2.69</v>
      </c>
      <c r="F51" s="64">
        <v>5.25</v>
      </c>
      <c r="G51" s="64">
        <v>22.11</v>
      </c>
      <c r="H51" s="64">
        <v>4.55</v>
      </c>
      <c r="I51" s="64">
        <v>4.13</v>
      </c>
      <c r="J51" s="64">
        <v>0.85</v>
      </c>
      <c r="K51" s="64">
        <v>258.89999999999998</v>
      </c>
      <c r="L51" s="64">
        <v>36.78</v>
      </c>
      <c r="M51" s="64">
        <v>50.36</v>
      </c>
      <c r="N51" s="64">
        <v>1074.5999999999999</v>
      </c>
      <c r="O51" s="64">
        <v>0</v>
      </c>
      <c r="P51" s="64">
        <v>0.41</v>
      </c>
      <c r="Q51" s="64">
        <v>9.64</v>
      </c>
      <c r="R51" s="198"/>
      <c r="S51" s="198"/>
      <c r="T51" s="198"/>
      <c r="U51" s="198"/>
    </row>
    <row r="52" spans="1:21" s="12" customFormat="1" x14ac:dyDescent="0.25">
      <c r="A52" s="214" t="s">
        <v>577</v>
      </c>
      <c r="B52" s="64">
        <v>13.86</v>
      </c>
      <c r="C52" s="64">
        <v>26.96</v>
      </c>
      <c r="D52" s="64">
        <v>27.29</v>
      </c>
      <c r="E52" s="64">
        <v>2.33</v>
      </c>
      <c r="F52" s="64">
        <v>5.99</v>
      </c>
      <c r="G52" s="64">
        <v>22.11</v>
      </c>
      <c r="H52" s="64">
        <v>4.55</v>
      </c>
      <c r="I52" s="64">
        <v>3.87</v>
      </c>
      <c r="J52" s="64">
        <v>0.63</v>
      </c>
      <c r="K52" s="64">
        <v>264.52999999999997</v>
      </c>
      <c r="L52" s="64">
        <v>36.840000000000003</v>
      </c>
      <c r="M52" s="64">
        <v>48.12</v>
      </c>
      <c r="N52" s="64">
        <v>1093</v>
      </c>
      <c r="O52" s="64">
        <v>0</v>
      </c>
      <c r="P52" s="64">
        <v>0.41</v>
      </c>
      <c r="Q52" s="64">
        <v>9.64</v>
      </c>
      <c r="R52" s="198"/>
      <c r="S52" s="198"/>
      <c r="T52" s="198"/>
      <c r="U52" s="198"/>
    </row>
    <row r="53" spans="1:21" s="12" customFormat="1" x14ac:dyDescent="0.25">
      <c r="A53" s="214" t="s">
        <v>578</v>
      </c>
      <c r="B53" s="64">
        <v>13.33</v>
      </c>
      <c r="C53" s="64">
        <v>28.01</v>
      </c>
      <c r="D53" s="64">
        <v>30.09</v>
      </c>
      <c r="E53" s="64">
        <v>2.73</v>
      </c>
      <c r="F53" s="64">
        <v>5.98</v>
      </c>
      <c r="G53" s="64">
        <v>23.65</v>
      </c>
      <c r="H53" s="64">
        <v>13.21</v>
      </c>
      <c r="I53" s="64">
        <v>4.08</v>
      </c>
      <c r="J53" s="64">
        <v>0.63</v>
      </c>
      <c r="K53" s="64">
        <v>261.64999999999998</v>
      </c>
      <c r="L53" s="64">
        <v>37.200000000000003</v>
      </c>
      <c r="M53" s="64">
        <v>48.25</v>
      </c>
      <c r="N53" s="64">
        <v>1093.2</v>
      </c>
      <c r="O53" s="64">
        <v>0</v>
      </c>
      <c r="P53" s="64">
        <v>0.45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4" t="s">
        <v>579</v>
      </c>
      <c r="B54" s="64">
        <v>13.3</v>
      </c>
      <c r="C54" s="64">
        <v>27.8</v>
      </c>
      <c r="D54" s="64">
        <v>29.75</v>
      </c>
      <c r="E54" s="64">
        <v>2.8</v>
      </c>
      <c r="F54" s="64">
        <v>6.36</v>
      </c>
      <c r="G54" s="64">
        <v>23.65</v>
      </c>
      <c r="H54" s="64">
        <v>13.21</v>
      </c>
      <c r="I54" s="64">
        <v>4.09</v>
      </c>
      <c r="J54" s="64">
        <v>1.07</v>
      </c>
      <c r="K54" s="64">
        <v>260.89</v>
      </c>
      <c r="L54" s="64">
        <v>38.1</v>
      </c>
      <c r="M54" s="64">
        <v>48.01</v>
      </c>
      <c r="N54" s="64">
        <v>1082.0999999999999</v>
      </c>
      <c r="O54" s="64">
        <v>0</v>
      </c>
      <c r="P54" s="64">
        <v>0.46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4" t="s">
        <v>580</v>
      </c>
      <c r="B55" s="64">
        <v>13.14</v>
      </c>
      <c r="C55" s="64">
        <v>33.729999999999997</v>
      </c>
      <c r="D55" s="64">
        <v>41.34</v>
      </c>
      <c r="E55" s="64">
        <v>3.17</v>
      </c>
      <c r="F55" s="64">
        <v>7.68</v>
      </c>
      <c r="G55" s="64">
        <v>23.65</v>
      </c>
      <c r="H55" s="64">
        <v>13.21</v>
      </c>
      <c r="I55" s="64">
        <v>4.04</v>
      </c>
      <c r="J55" s="64">
        <v>1.05</v>
      </c>
      <c r="K55" s="64">
        <v>268.62</v>
      </c>
      <c r="L55" s="64">
        <v>38.24</v>
      </c>
      <c r="M55" s="64">
        <v>46.54</v>
      </c>
      <c r="N55" s="64">
        <v>1041.7</v>
      </c>
      <c r="O55" s="64">
        <v>0</v>
      </c>
      <c r="P55" s="64">
        <v>0.68</v>
      </c>
      <c r="Q55" s="64">
        <v>9.6300000000000008</v>
      </c>
      <c r="R55" s="198"/>
      <c r="S55" s="198"/>
      <c r="T55" s="198"/>
      <c r="U55" s="198"/>
    </row>
    <row r="56" spans="1:21" s="12" customFormat="1" x14ac:dyDescent="0.25">
      <c r="A56" s="214" t="s">
        <v>581</v>
      </c>
      <c r="B56" s="64">
        <v>13.17</v>
      </c>
      <c r="C56" s="64">
        <v>29.58</v>
      </c>
      <c r="D56" s="64">
        <v>33.340000000000003</v>
      </c>
      <c r="E56" s="64">
        <v>3.8</v>
      </c>
      <c r="F56" s="64">
        <v>11.42</v>
      </c>
      <c r="G56" s="64">
        <v>23.65</v>
      </c>
      <c r="H56" s="64">
        <v>13.21</v>
      </c>
      <c r="I56" s="64">
        <v>4.07</v>
      </c>
      <c r="J56" s="64">
        <v>0.7</v>
      </c>
      <c r="K56" s="64">
        <v>279.92</v>
      </c>
      <c r="L56" s="64">
        <v>38.270000000000003</v>
      </c>
      <c r="M56" s="64">
        <v>46.07</v>
      </c>
      <c r="N56" s="64">
        <v>1046.0999999999999</v>
      </c>
      <c r="O56" s="64">
        <v>0</v>
      </c>
      <c r="P56" s="64">
        <v>0.7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4" t="s">
        <v>582</v>
      </c>
      <c r="B57" s="64">
        <v>12.95</v>
      </c>
      <c r="C57" s="64">
        <v>29.59</v>
      </c>
      <c r="D57" s="64">
        <v>33.71</v>
      </c>
      <c r="E57" s="64">
        <v>4</v>
      </c>
      <c r="F57" s="64">
        <v>8.57</v>
      </c>
      <c r="G57" s="64">
        <v>44.27</v>
      </c>
      <c r="H57" s="64">
        <v>8.85</v>
      </c>
      <c r="I57" s="64">
        <v>4.04</v>
      </c>
      <c r="J57" s="64">
        <v>1.0900000000000001</v>
      </c>
      <c r="K57" s="64">
        <v>264.55</v>
      </c>
      <c r="L57" s="64">
        <v>38.630000000000003</v>
      </c>
      <c r="M57" s="64">
        <v>44.14</v>
      </c>
      <c r="N57" s="64">
        <v>1036.2</v>
      </c>
      <c r="O57" s="64">
        <v>0</v>
      </c>
      <c r="P57" s="64">
        <v>0.66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4" t="s">
        <v>583</v>
      </c>
      <c r="B58" s="64">
        <v>13.1</v>
      </c>
      <c r="C58" s="64">
        <v>30.75</v>
      </c>
      <c r="D58" s="64">
        <v>35.700000000000003</v>
      </c>
      <c r="E58" s="64">
        <v>3.71</v>
      </c>
      <c r="F58" s="64">
        <v>15.57</v>
      </c>
      <c r="G58" s="64">
        <v>44.27</v>
      </c>
      <c r="H58" s="64">
        <v>8.85</v>
      </c>
      <c r="I58" s="64">
        <v>3.9</v>
      </c>
      <c r="J58" s="64">
        <v>0.44</v>
      </c>
      <c r="K58" s="64">
        <v>307.7</v>
      </c>
      <c r="L58" s="64">
        <v>38.26</v>
      </c>
      <c r="M58" s="64">
        <v>42.96</v>
      </c>
      <c r="N58" s="64">
        <v>1043</v>
      </c>
      <c r="O58" s="64">
        <v>0</v>
      </c>
      <c r="P58" s="64">
        <v>0.64</v>
      </c>
      <c r="Q58" s="64">
        <v>9.59</v>
      </c>
      <c r="R58" s="198"/>
      <c r="S58" s="198"/>
      <c r="T58" s="198"/>
      <c r="U58" s="198"/>
    </row>
    <row r="59" spans="1:21" s="12" customFormat="1" x14ac:dyDescent="0.25">
      <c r="A59" s="214" t="s">
        <v>584</v>
      </c>
      <c r="B59" s="64">
        <v>12.43</v>
      </c>
      <c r="C59" s="64">
        <v>27.83</v>
      </c>
      <c r="D59" s="64">
        <v>31.13</v>
      </c>
      <c r="E59" s="64">
        <v>3.11</v>
      </c>
      <c r="F59" s="64">
        <v>5.96</v>
      </c>
      <c r="G59" s="64">
        <v>44.27</v>
      </c>
      <c r="H59" s="64">
        <v>8.85</v>
      </c>
      <c r="I59" s="64">
        <v>3.84</v>
      </c>
      <c r="J59" s="64">
        <v>1.21</v>
      </c>
      <c r="K59" s="64">
        <v>265.14</v>
      </c>
      <c r="L59" s="64">
        <v>38.909999999999997</v>
      </c>
      <c r="M59" s="64">
        <v>40.630000000000003</v>
      </c>
      <c r="N59" s="64">
        <v>1065.3</v>
      </c>
      <c r="O59" s="64">
        <v>0</v>
      </c>
      <c r="P59" s="64">
        <v>0.65</v>
      </c>
      <c r="Q59" s="64">
        <v>9.57</v>
      </c>
      <c r="R59" s="198"/>
      <c r="S59" s="198"/>
      <c r="T59" s="198"/>
      <c r="U59" s="198"/>
    </row>
    <row r="60" spans="1:21" s="12" customFormat="1" x14ac:dyDescent="0.25">
      <c r="A60" s="214" t="s">
        <v>585</v>
      </c>
      <c r="B60" s="64">
        <v>13.89</v>
      </c>
      <c r="C60" s="64">
        <v>29.95</v>
      </c>
      <c r="D60" s="64">
        <v>32.96</v>
      </c>
      <c r="E60" s="64">
        <v>3.35</v>
      </c>
      <c r="F60" s="64">
        <v>13.89</v>
      </c>
      <c r="G60" s="64">
        <v>44.27</v>
      </c>
      <c r="H60" s="64">
        <v>8.85</v>
      </c>
      <c r="I60" s="64">
        <v>3.8</v>
      </c>
      <c r="J60" s="64">
        <v>0.76</v>
      </c>
      <c r="K60" s="64">
        <v>272.62</v>
      </c>
      <c r="L60" s="64">
        <v>39.42</v>
      </c>
      <c r="M60" s="64">
        <v>38.299999999999997</v>
      </c>
      <c r="N60" s="64">
        <v>1055.8</v>
      </c>
      <c r="O60" s="64">
        <v>0</v>
      </c>
      <c r="P60" s="64">
        <v>0.63</v>
      </c>
      <c r="Q60" s="64">
        <v>9.58</v>
      </c>
      <c r="R60" s="198"/>
      <c r="S60" s="198"/>
      <c r="T60" s="198"/>
      <c r="U60" s="198"/>
    </row>
    <row r="61" spans="1:21" s="12" customFormat="1" x14ac:dyDescent="0.25">
      <c r="A61" s="214" t="s">
        <v>586</v>
      </c>
      <c r="B61" s="64">
        <v>11.18</v>
      </c>
      <c r="C61" s="64">
        <v>26.23</v>
      </c>
      <c r="D61" s="64">
        <v>30</v>
      </c>
      <c r="E61" s="64">
        <v>3.14</v>
      </c>
      <c r="F61" s="64">
        <v>14.06</v>
      </c>
      <c r="G61" s="64">
        <v>43.16</v>
      </c>
      <c r="H61" s="64">
        <v>6.11</v>
      </c>
      <c r="I61" s="64">
        <v>4.09</v>
      </c>
      <c r="J61" s="64">
        <v>0.65</v>
      </c>
      <c r="K61" s="64">
        <v>252.73</v>
      </c>
      <c r="L61" s="64">
        <v>39.14</v>
      </c>
      <c r="M61" s="64">
        <v>38.83</v>
      </c>
      <c r="N61" s="64">
        <v>1010.6</v>
      </c>
      <c r="O61" s="64">
        <v>0</v>
      </c>
      <c r="P61" s="64">
        <v>0.59</v>
      </c>
      <c r="Q61" s="64">
        <v>9.56</v>
      </c>
      <c r="R61" s="198"/>
      <c r="S61" s="198"/>
      <c r="T61" s="198"/>
      <c r="U61" s="198"/>
    </row>
    <row r="62" spans="1:21" s="12" customFormat="1" x14ac:dyDescent="0.25">
      <c r="A62" s="214" t="s">
        <v>587</v>
      </c>
      <c r="B62" s="64">
        <v>10.11</v>
      </c>
      <c r="C62" s="64">
        <v>25.3</v>
      </c>
      <c r="D62" s="64">
        <v>29.85</v>
      </c>
      <c r="E62" s="64">
        <v>2.97</v>
      </c>
      <c r="F62" s="64">
        <v>15.07</v>
      </c>
      <c r="G62" s="64">
        <v>43.16</v>
      </c>
      <c r="H62" s="64">
        <v>6.11</v>
      </c>
      <c r="I62" s="64">
        <v>4.05</v>
      </c>
      <c r="J62" s="64">
        <v>0.68</v>
      </c>
      <c r="K62" s="64">
        <v>261.82</v>
      </c>
      <c r="L62" s="64">
        <v>39.119999999999997</v>
      </c>
      <c r="M62" s="64">
        <v>38.21</v>
      </c>
      <c r="N62" s="64">
        <v>1014.5</v>
      </c>
      <c r="O62" s="64">
        <v>0</v>
      </c>
      <c r="P62" s="64">
        <v>0.56999999999999995</v>
      </c>
      <c r="Q62" s="64">
        <v>9.5399999999999991</v>
      </c>
      <c r="R62" s="198"/>
      <c r="S62" s="198"/>
      <c r="T62" s="198"/>
      <c r="U62" s="198"/>
    </row>
    <row r="63" spans="1:21" s="12" customFormat="1" x14ac:dyDescent="0.25">
      <c r="A63" s="214" t="s">
        <v>588</v>
      </c>
      <c r="B63" s="64">
        <v>11.25</v>
      </c>
      <c r="C63" s="64">
        <v>31.08</v>
      </c>
      <c r="D63" s="64">
        <v>39.17</v>
      </c>
      <c r="E63" s="64">
        <v>4.1100000000000003</v>
      </c>
      <c r="F63" s="64">
        <v>13.97</v>
      </c>
      <c r="G63" s="64">
        <v>43.16</v>
      </c>
      <c r="H63" s="64">
        <v>6.11</v>
      </c>
      <c r="I63" s="64">
        <v>4.07</v>
      </c>
      <c r="J63" s="64">
        <v>0.54</v>
      </c>
      <c r="K63" s="64">
        <v>274.54000000000002</v>
      </c>
      <c r="L63" s="64">
        <v>39.5</v>
      </c>
      <c r="M63" s="64">
        <v>36.049999999999997</v>
      </c>
      <c r="N63" s="64">
        <v>808.1</v>
      </c>
      <c r="O63" s="64">
        <v>0</v>
      </c>
      <c r="P63" s="64">
        <v>0.6</v>
      </c>
      <c r="Q63" s="64">
        <v>9.5399999999999991</v>
      </c>
      <c r="R63" s="198"/>
      <c r="S63" s="198"/>
      <c r="T63" s="198"/>
      <c r="U63" s="198"/>
    </row>
    <row r="64" spans="1:21" s="12" customFormat="1" x14ac:dyDescent="0.25">
      <c r="A64" s="214" t="s">
        <v>589</v>
      </c>
      <c r="B64" s="64">
        <v>9.66</v>
      </c>
      <c r="C64" s="64">
        <v>26.63</v>
      </c>
      <c r="D64" s="64">
        <v>33.08</v>
      </c>
      <c r="E64" s="64">
        <v>3.6</v>
      </c>
      <c r="F64" s="64">
        <v>16.3</v>
      </c>
      <c r="G64" s="64">
        <v>43.16</v>
      </c>
      <c r="H64" s="64">
        <v>6.11</v>
      </c>
      <c r="I64" s="64">
        <v>4.12</v>
      </c>
      <c r="J64" s="64">
        <v>0.17</v>
      </c>
      <c r="K64" s="64">
        <v>260.02</v>
      </c>
      <c r="L64" s="64">
        <v>38.83</v>
      </c>
      <c r="M64" s="64">
        <v>34.549999999999997</v>
      </c>
      <c r="N64" s="64">
        <v>617.4</v>
      </c>
      <c r="O64" s="64">
        <v>0</v>
      </c>
      <c r="P64" s="64">
        <v>0.54</v>
      </c>
      <c r="Q64" s="64">
        <v>9.51</v>
      </c>
      <c r="R64" s="198"/>
      <c r="S64" s="198"/>
      <c r="T64" s="198"/>
      <c r="U64" s="198"/>
    </row>
    <row r="65" spans="1:21" s="12" customFormat="1" x14ac:dyDescent="0.25">
      <c r="A65" s="214" t="s">
        <v>590</v>
      </c>
      <c r="B65" s="64">
        <v>8.98</v>
      </c>
      <c r="C65" s="64">
        <v>24.81</v>
      </c>
      <c r="D65" s="64">
        <v>30.65</v>
      </c>
      <c r="E65" s="64">
        <v>3.87</v>
      </c>
      <c r="F65" s="64">
        <v>14.82</v>
      </c>
      <c r="G65" s="64">
        <v>39.71</v>
      </c>
      <c r="H65" s="64">
        <v>14.64</v>
      </c>
      <c r="I65" s="64">
        <v>4.0999999999999996</v>
      </c>
      <c r="J65" s="64">
        <v>0.47</v>
      </c>
      <c r="K65" s="64">
        <v>179.67</v>
      </c>
      <c r="L65" s="64">
        <v>37.96</v>
      </c>
      <c r="M65" s="64">
        <v>34.549999999999997</v>
      </c>
      <c r="N65" s="64">
        <v>633.29999999999995</v>
      </c>
      <c r="O65" s="64">
        <v>0</v>
      </c>
      <c r="P65" s="64">
        <v>0.49</v>
      </c>
      <c r="Q65" s="64">
        <v>9.52</v>
      </c>
      <c r="R65" s="198"/>
      <c r="S65" s="198"/>
      <c r="T65" s="198"/>
      <c r="U65" s="198"/>
    </row>
    <row r="66" spans="1:21" s="12" customFormat="1" x14ac:dyDescent="0.25">
      <c r="A66" s="214" t="s">
        <v>591</v>
      </c>
      <c r="B66" s="64">
        <v>10.74</v>
      </c>
      <c r="C66" s="64">
        <v>28.77</v>
      </c>
      <c r="D66" s="64">
        <v>35.520000000000003</v>
      </c>
      <c r="E66" s="64">
        <v>2.8</v>
      </c>
      <c r="F66" s="64">
        <v>10.61</v>
      </c>
      <c r="G66" s="64">
        <v>39.71</v>
      </c>
      <c r="H66" s="64">
        <v>14.64</v>
      </c>
      <c r="I66" s="64">
        <v>4.04</v>
      </c>
      <c r="J66" s="64">
        <v>0.33</v>
      </c>
      <c r="K66" s="64">
        <v>239.26</v>
      </c>
      <c r="L66" s="64">
        <v>38.979999999999997</v>
      </c>
      <c r="M66" s="64">
        <v>32.950000000000003</v>
      </c>
      <c r="N66" s="64">
        <v>454</v>
      </c>
      <c r="O66" s="64">
        <v>0</v>
      </c>
      <c r="P66" s="64">
        <v>0.56000000000000005</v>
      </c>
      <c r="Q66" s="64">
        <v>9.51</v>
      </c>
      <c r="R66" s="198"/>
      <c r="S66" s="198"/>
      <c r="T66" s="198"/>
      <c r="U66" s="198"/>
    </row>
    <row r="67" spans="1:21" s="12" customFormat="1" x14ac:dyDescent="0.25">
      <c r="A67" s="214" t="s">
        <v>592</v>
      </c>
      <c r="B67" s="64">
        <v>8.99</v>
      </c>
      <c r="C67" s="64">
        <v>27.16</v>
      </c>
      <c r="D67" s="64">
        <v>35.14</v>
      </c>
      <c r="E67" s="64">
        <v>3.37</v>
      </c>
      <c r="F67" s="64">
        <v>13.11</v>
      </c>
      <c r="G67" s="64">
        <v>39.71</v>
      </c>
      <c r="H67" s="64">
        <v>14.64</v>
      </c>
      <c r="I67" s="64">
        <v>4.0599999999999996</v>
      </c>
      <c r="J67" s="64">
        <v>0.3</v>
      </c>
      <c r="K67" s="64">
        <v>224.44</v>
      </c>
      <c r="L67" s="64">
        <v>38.47</v>
      </c>
      <c r="M67" s="64">
        <v>33.89</v>
      </c>
      <c r="N67" s="64">
        <v>358.5</v>
      </c>
      <c r="O67" s="64">
        <v>0</v>
      </c>
      <c r="P67" s="64">
        <v>0.52</v>
      </c>
      <c r="Q67" s="64">
        <v>9.51</v>
      </c>
      <c r="R67" s="198"/>
      <c r="S67" s="198"/>
      <c r="T67" s="198"/>
      <c r="U67" s="198"/>
    </row>
    <row r="68" spans="1:21" s="12" customFormat="1" x14ac:dyDescent="0.25">
      <c r="A68" s="214" t="s">
        <v>593</v>
      </c>
      <c r="B68" s="64">
        <v>9.34</v>
      </c>
      <c r="C68" s="64">
        <v>25.78</v>
      </c>
      <c r="D68" s="64">
        <v>31.96</v>
      </c>
      <c r="E68" s="64">
        <v>3.47</v>
      </c>
      <c r="F68" s="64">
        <v>20.58</v>
      </c>
      <c r="G68" s="64">
        <v>39.71</v>
      </c>
      <c r="H68" s="64">
        <v>14.64</v>
      </c>
      <c r="I68" s="64">
        <v>3.94</v>
      </c>
      <c r="J68" s="64">
        <v>0.49</v>
      </c>
      <c r="K68" s="64">
        <v>262.37</v>
      </c>
      <c r="L68" s="64">
        <v>39.450000000000003</v>
      </c>
      <c r="M68" s="64">
        <v>31.27</v>
      </c>
      <c r="N68" s="64">
        <v>375.5</v>
      </c>
      <c r="O68" s="64">
        <v>0</v>
      </c>
      <c r="P68" s="64">
        <v>0.46</v>
      </c>
      <c r="Q68" s="64">
        <v>9.51</v>
      </c>
      <c r="R68" s="198"/>
      <c r="S68" s="198"/>
      <c r="T68" s="198"/>
      <c r="U68" s="198"/>
    </row>
    <row r="69" spans="1:21" s="12" customFormat="1" x14ac:dyDescent="0.25">
      <c r="A69" s="214" t="s">
        <v>594</v>
      </c>
      <c r="B69" s="64">
        <v>7.97</v>
      </c>
      <c r="C69" s="64">
        <v>24.31</v>
      </c>
      <c r="D69" s="64">
        <v>31.24</v>
      </c>
      <c r="E69" s="64">
        <v>3</v>
      </c>
      <c r="F69" s="64">
        <v>12.46</v>
      </c>
      <c r="G69" s="64">
        <v>34.15</v>
      </c>
      <c r="H69" s="64">
        <v>17.55</v>
      </c>
      <c r="I69" s="64">
        <v>4.03</v>
      </c>
      <c r="J69" s="64">
        <v>0.38</v>
      </c>
      <c r="K69" s="64">
        <v>244.03</v>
      </c>
      <c r="L69" s="64">
        <v>38.53</v>
      </c>
      <c r="M69" s="64">
        <v>32.520000000000003</v>
      </c>
      <c r="N69" s="64">
        <v>386.2</v>
      </c>
      <c r="O69" s="64">
        <v>0</v>
      </c>
      <c r="P69" s="64">
        <v>0.51</v>
      </c>
      <c r="Q69" s="64">
        <v>9.5</v>
      </c>
      <c r="R69" s="198"/>
      <c r="S69" s="198"/>
      <c r="T69" s="198"/>
      <c r="U69" s="198"/>
    </row>
    <row r="70" spans="1:21" s="12" customFormat="1" x14ac:dyDescent="0.25">
      <c r="A70" s="214" t="s">
        <v>595</v>
      </c>
      <c r="B70" s="64">
        <v>9.23</v>
      </c>
      <c r="C70" s="64">
        <v>26.68</v>
      </c>
      <c r="D70" s="64">
        <v>33.85</v>
      </c>
      <c r="E70" s="64">
        <v>3.21</v>
      </c>
      <c r="F70" s="64">
        <v>13.77</v>
      </c>
      <c r="G70" s="64">
        <v>34.15</v>
      </c>
      <c r="H70" s="64">
        <v>17.55</v>
      </c>
      <c r="I70" s="64">
        <v>4.1500000000000004</v>
      </c>
      <c r="J70" s="64">
        <v>0.28000000000000003</v>
      </c>
      <c r="K70" s="64">
        <v>263.63</v>
      </c>
      <c r="L70" s="64">
        <v>38.4</v>
      </c>
      <c r="M70" s="64">
        <v>31.54</v>
      </c>
      <c r="N70" s="64">
        <v>410.4</v>
      </c>
      <c r="O70" s="64">
        <v>0</v>
      </c>
      <c r="P70" s="64">
        <v>0.47</v>
      </c>
      <c r="Q70" s="64">
        <v>9.5</v>
      </c>
      <c r="R70" s="198"/>
      <c r="S70" s="198"/>
      <c r="T70" s="198"/>
      <c r="U70" s="198"/>
    </row>
    <row r="71" spans="1:21" s="12" customFormat="1" x14ac:dyDescent="0.25">
      <c r="A71" s="214" t="s">
        <v>596</v>
      </c>
      <c r="B71" s="64">
        <v>10.029999999999999</v>
      </c>
      <c r="C71" s="64">
        <v>27.01</v>
      </c>
      <c r="D71" s="64">
        <v>33.26</v>
      </c>
      <c r="E71" s="64">
        <v>3.19</v>
      </c>
      <c r="F71" s="64">
        <v>15.1</v>
      </c>
      <c r="G71" s="64">
        <v>34.15</v>
      </c>
      <c r="H71" s="64">
        <v>17.55</v>
      </c>
      <c r="I71" s="64">
        <v>4.09</v>
      </c>
      <c r="J71" s="64">
        <v>0.62</v>
      </c>
      <c r="K71" s="64">
        <v>144.93</v>
      </c>
      <c r="L71" s="64">
        <v>38.090000000000003</v>
      </c>
      <c r="M71" s="64">
        <v>30.32</v>
      </c>
      <c r="N71" s="64">
        <v>575.70000000000005</v>
      </c>
      <c r="O71" s="64">
        <v>0</v>
      </c>
      <c r="P71" s="64">
        <v>0.47</v>
      </c>
      <c r="Q71" s="64">
        <v>9.5</v>
      </c>
      <c r="R71" s="198"/>
      <c r="S71" s="198"/>
      <c r="T71" s="198"/>
      <c r="U71" s="198"/>
    </row>
    <row r="72" spans="1:21" s="12" customFormat="1" x14ac:dyDescent="0.25">
      <c r="A72" s="214" t="s">
        <v>597</v>
      </c>
      <c r="B72" s="64">
        <v>8.1300000000000008</v>
      </c>
      <c r="C72" s="64">
        <v>24.54</v>
      </c>
      <c r="D72" s="64">
        <v>31.43</v>
      </c>
      <c r="E72" s="64">
        <v>1.5</v>
      </c>
      <c r="F72" s="64">
        <v>16.11</v>
      </c>
      <c r="G72" s="64">
        <v>34.15</v>
      </c>
      <c r="H72" s="64">
        <v>17.55</v>
      </c>
      <c r="I72" s="64">
        <v>3.9</v>
      </c>
      <c r="J72" s="64">
        <v>0.95</v>
      </c>
      <c r="K72" s="64">
        <v>145</v>
      </c>
      <c r="L72" s="64">
        <v>37.159999999999997</v>
      </c>
      <c r="M72" s="64">
        <v>29.78</v>
      </c>
      <c r="N72" s="64">
        <v>505.5</v>
      </c>
      <c r="O72" s="64">
        <v>0</v>
      </c>
      <c r="P72" s="64">
        <v>0.44</v>
      </c>
      <c r="Q72" s="64">
        <v>9.51</v>
      </c>
      <c r="R72" s="198"/>
      <c r="S72" s="198"/>
      <c r="T72" s="198"/>
      <c r="U72" s="198"/>
    </row>
    <row r="73" spans="1:21" s="12" customFormat="1" x14ac:dyDescent="0.25">
      <c r="A73" s="214" t="s">
        <v>598</v>
      </c>
      <c r="B73" s="64">
        <v>7.35</v>
      </c>
      <c r="C73" s="64">
        <v>21.17</v>
      </c>
      <c r="D73" s="64">
        <v>26.19</v>
      </c>
      <c r="E73" s="64">
        <v>2.52</v>
      </c>
      <c r="F73" s="64">
        <v>23.54</v>
      </c>
      <c r="G73" s="64">
        <v>24.79</v>
      </c>
      <c r="H73" s="64">
        <v>11.69</v>
      </c>
      <c r="I73" s="64">
        <v>3.99</v>
      </c>
      <c r="J73" s="64">
        <v>0.86</v>
      </c>
      <c r="K73" s="64">
        <v>103.45</v>
      </c>
      <c r="L73" s="64">
        <v>36.880000000000003</v>
      </c>
      <c r="M73" s="64">
        <v>29.4</v>
      </c>
      <c r="N73" s="64">
        <v>427.1</v>
      </c>
      <c r="O73" s="64">
        <v>0</v>
      </c>
      <c r="P73" s="64">
        <v>0.28000000000000003</v>
      </c>
      <c r="Q73" s="64">
        <v>9.5299999999999994</v>
      </c>
      <c r="R73" s="198"/>
      <c r="S73" s="198"/>
      <c r="T73" s="198"/>
      <c r="U73" s="198"/>
    </row>
    <row r="74" spans="1:21" s="12" customFormat="1" x14ac:dyDescent="0.25">
      <c r="A74" s="214" t="s">
        <v>599</v>
      </c>
      <c r="B74" s="64">
        <v>9.69</v>
      </c>
      <c r="C74" s="64">
        <v>27.21</v>
      </c>
      <c r="D74" s="64">
        <v>34.15</v>
      </c>
      <c r="E74" s="64">
        <v>2.35</v>
      </c>
      <c r="F74" s="64">
        <v>23.86</v>
      </c>
      <c r="G74" s="64">
        <v>24.79</v>
      </c>
      <c r="H74" s="64">
        <v>11.69</v>
      </c>
      <c r="I74" s="64">
        <v>3.94</v>
      </c>
      <c r="J74" s="64">
        <v>0.23</v>
      </c>
      <c r="K74" s="64">
        <v>114.73</v>
      </c>
      <c r="L74" s="64">
        <v>36.909999999999997</v>
      </c>
      <c r="M74" s="64">
        <v>30.75</v>
      </c>
      <c r="N74" s="64">
        <v>310.5</v>
      </c>
      <c r="O74" s="64">
        <v>0</v>
      </c>
      <c r="P74" s="64">
        <v>0.31</v>
      </c>
      <c r="Q74" s="64">
        <v>9.52</v>
      </c>
      <c r="R74" s="198"/>
      <c r="S74" s="198"/>
      <c r="T74" s="198"/>
      <c r="U74" s="198"/>
    </row>
    <row r="75" spans="1:21" s="12" customFormat="1" x14ac:dyDescent="0.25">
      <c r="A75" s="214" t="s">
        <v>600</v>
      </c>
      <c r="B75" s="64">
        <v>7.95</v>
      </c>
      <c r="C75" s="64">
        <v>25.74</v>
      </c>
      <c r="D75" s="64">
        <v>34.01</v>
      </c>
      <c r="E75" s="64">
        <v>2.34</v>
      </c>
      <c r="F75" s="64">
        <v>23.39</v>
      </c>
      <c r="G75" s="64">
        <v>24.79</v>
      </c>
      <c r="H75" s="64">
        <v>11.69</v>
      </c>
      <c r="I75" s="64">
        <v>3.99</v>
      </c>
      <c r="J75" s="64">
        <v>0.67</v>
      </c>
      <c r="K75" s="64">
        <v>147.80000000000001</v>
      </c>
      <c r="L75" s="64">
        <v>36.96</v>
      </c>
      <c r="M75" s="64">
        <v>29.54</v>
      </c>
      <c r="N75" s="64">
        <v>208</v>
      </c>
      <c r="O75" s="64">
        <v>0</v>
      </c>
      <c r="P75" s="64">
        <v>0.34</v>
      </c>
      <c r="Q75" s="64">
        <v>9.49</v>
      </c>
      <c r="R75" s="198"/>
      <c r="S75" s="198"/>
      <c r="T75" s="198"/>
      <c r="U75" s="198"/>
    </row>
    <row r="76" spans="1:21" s="12" customFormat="1" x14ac:dyDescent="0.25">
      <c r="A76" s="214" t="s">
        <v>601</v>
      </c>
      <c r="B76" s="64">
        <v>7.98</v>
      </c>
      <c r="C76" s="64">
        <v>26.3</v>
      </c>
      <c r="D76" s="64">
        <v>35.049999999999997</v>
      </c>
      <c r="E76" s="64">
        <v>2.87</v>
      </c>
      <c r="F76" s="64">
        <v>23.41</v>
      </c>
      <c r="G76" s="64">
        <v>24.79</v>
      </c>
      <c r="H76" s="64">
        <v>11.69</v>
      </c>
      <c r="I76" s="64">
        <v>4.09</v>
      </c>
      <c r="J76" s="64">
        <v>1.04</v>
      </c>
      <c r="K76" s="64">
        <v>156.41</v>
      </c>
      <c r="L76" s="64">
        <v>36.96</v>
      </c>
      <c r="M76" s="64">
        <v>28.83</v>
      </c>
      <c r="N76" s="64">
        <v>192.6</v>
      </c>
      <c r="O76" s="64">
        <v>0</v>
      </c>
      <c r="P76" s="64">
        <v>0.4</v>
      </c>
      <c r="Q76" s="64">
        <v>9.48</v>
      </c>
      <c r="R76" s="198"/>
      <c r="S76" s="198"/>
      <c r="T76" s="198"/>
      <c r="U76" s="198"/>
    </row>
    <row r="77" spans="1:21" s="12" customFormat="1" x14ac:dyDescent="0.25">
      <c r="A77" s="214" t="s">
        <v>602</v>
      </c>
      <c r="B77" s="64">
        <v>7.88</v>
      </c>
      <c r="C77" s="64">
        <v>24.67</v>
      </c>
      <c r="D77" s="64">
        <v>32.090000000000003</v>
      </c>
      <c r="E77" s="64">
        <v>3.33</v>
      </c>
      <c r="F77" s="64">
        <v>21.52</v>
      </c>
      <c r="G77" s="64">
        <v>23.56</v>
      </c>
      <c r="H77" s="64">
        <v>12.33</v>
      </c>
      <c r="I77" s="64">
        <v>3.99</v>
      </c>
      <c r="J77" s="64">
        <v>1.1499999999999999</v>
      </c>
      <c r="K77" s="64">
        <v>146.34</v>
      </c>
      <c r="L77" s="64">
        <v>36.75</v>
      </c>
      <c r="M77" s="64">
        <v>29.71</v>
      </c>
      <c r="N77" s="64">
        <v>180.9</v>
      </c>
      <c r="O77" s="64">
        <v>0</v>
      </c>
      <c r="P77" s="64">
        <v>0.39</v>
      </c>
      <c r="Q77" s="64">
        <v>9.48</v>
      </c>
      <c r="R77" s="198"/>
      <c r="S77" s="198"/>
      <c r="T77" s="198"/>
      <c r="U77" s="198"/>
    </row>
    <row r="78" spans="1:21" s="12" customFormat="1" x14ac:dyDescent="0.25">
      <c r="A78" s="214" t="s">
        <v>603</v>
      </c>
      <c r="B78" s="64">
        <v>8.5399999999999991</v>
      </c>
      <c r="C78" s="64">
        <v>30.99</v>
      </c>
      <c r="D78" s="64">
        <v>43.16</v>
      </c>
      <c r="E78" s="64">
        <v>2.69</v>
      </c>
      <c r="F78" s="64">
        <v>19.47</v>
      </c>
      <c r="G78" s="64">
        <v>23.56</v>
      </c>
      <c r="H78" s="64">
        <v>12.33</v>
      </c>
      <c r="I78" s="64">
        <v>4.05</v>
      </c>
      <c r="J78" s="64">
        <v>0.97</v>
      </c>
      <c r="K78" s="64">
        <v>147.63</v>
      </c>
      <c r="L78" s="64">
        <v>36.590000000000003</v>
      </c>
      <c r="M78" s="64">
        <v>30.77</v>
      </c>
      <c r="N78" s="64">
        <v>170.7</v>
      </c>
      <c r="O78" s="64">
        <v>0</v>
      </c>
      <c r="P78" s="64">
        <v>0.42</v>
      </c>
      <c r="Q78" s="64">
        <v>9.4700000000000006</v>
      </c>
      <c r="R78" s="198"/>
      <c r="S78" s="198"/>
      <c r="T78" s="198"/>
      <c r="U78" s="198"/>
    </row>
    <row r="79" spans="1:21" s="12" customFormat="1" x14ac:dyDescent="0.25">
      <c r="A79" s="214" t="s">
        <v>604</v>
      </c>
      <c r="B79" s="64">
        <v>8.08</v>
      </c>
      <c r="C79" s="64">
        <v>37.31</v>
      </c>
      <c r="D79" s="64">
        <v>55.96</v>
      </c>
      <c r="E79" s="64">
        <v>3.97</v>
      </c>
      <c r="F79" s="64">
        <v>24.1</v>
      </c>
      <c r="G79" s="64">
        <v>23.56</v>
      </c>
      <c r="H79" s="64">
        <v>12.33</v>
      </c>
      <c r="I79" s="64">
        <v>4.05</v>
      </c>
      <c r="J79" s="64">
        <v>0.32</v>
      </c>
      <c r="K79" s="64">
        <v>96.91</v>
      </c>
      <c r="L79" s="64">
        <v>36.19</v>
      </c>
      <c r="M79" s="64">
        <v>32.659999999999997</v>
      </c>
      <c r="N79" s="64">
        <v>147.6</v>
      </c>
      <c r="O79" s="64">
        <v>0</v>
      </c>
      <c r="P79" s="64">
        <v>0.41</v>
      </c>
      <c r="Q79" s="64">
        <v>9.4700000000000006</v>
      </c>
      <c r="R79" s="198"/>
      <c r="S79" s="198"/>
      <c r="T79" s="198"/>
      <c r="U79" s="198"/>
    </row>
    <row r="80" spans="1:21" s="12" customFormat="1" x14ac:dyDescent="0.25">
      <c r="A80" s="214" t="s">
        <v>605</v>
      </c>
      <c r="B80" s="64">
        <v>7.96</v>
      </c>
      <c r="C80" s="64">
        <v>37.57</v>
      </c>
      <c r="D80" s="64">
        <v>56.65</v>
      </c>
      <c r="E80" s="64">
        <v>3.65</v>
      </c>
      <c r="F80" s="64">
        <v>20.21</v>
      </c>
      <c r="G80" s="64">
        <v>23.56</v>
      </c>
      <c r="H80" s="64">
        <v>12.33</v>
      </c>
      <c r="I80" s="64">
        <v>3.86</v>
      </c>
      <c r="J80" s="64">
        <v>0.24</v>
      </c>
      <c r="K80" s="64">
        <v>174.29</v>
      </c>
      <c r="L80" s="64">
        <v>35.799999999999997</v>
      </c>
      <c r="M80" s="64">
        <v>33.33</v>
      </c>
      <c r="N80" s="64">
        <v>133.19999999999999</v>
      </c>
      <c r="O80" s="64">
        <v>0</v>
      </c>
      <c r="P80" s="64">
        <v>0.52</v>
      </c>
      <c r="Q80" s="64">
        <v>9.48</v>
      </c>
      <c r="R80" s="198"/>
      <c r="S80" s="198"/>
      <c r="T80" s="198"/>
      <c r="U80" s="198"/>
    </row>
    <row r="81" spans="1:26" s="12" customFormat="1" x14ac:dyDescent="0.25">
      <c r="A81" s="214" t="s">
        <v>606</v>
      </c>
      <c r="B81" s="64">
        <v>7.48</v>
      </c>
      <c r="C81" s="64">
        <v>55.74</v>
      </c>
      <c r="D81" s="64">
        <v>92.15</v>
      </c>
      <c r="E81" s="64">
        <v>4.71</v>
      </c>
      <c r="F81" s="64">
        <v>22.24</v>
      </c>
      <c r="G81" s="64">
        <v>27.74</v>
      </c>
      <c r="H81" s="64">
        <v>8.68</v>
      </c>
      <c r="I81" s="64">
        <v>3.81</v>
      </c>
      <c r="J81" s="64">
        <v>0.23</v>
      </c>
      <c r="K81" s="64">
        <v>247.48</v>
      </c>
      <c r="L81" s="64">
        <v>35.15</v>
      </c>
      <c r="M81" s="64">
        <v>35.270000000000003</v>
      </c>
      <c r="N81" s="64">
        <v>122.4</v>
      </c>
      <c r="O81" s="64">
        <v>0</v>
      </c>
      <c r="P81" s="64">
        <v>0.64</v>
      </c>
      <c r="Q81" s="64">
        <v>9.49</v>
      </c>
      <c r="R81" s="198"/>
      <c r="S81" s="198"/>
      <c r="T81" s="198"/>
      <c r="U81" s="198"/>
    </row>
    <row r="82" spans="1:26" s="12" customFormat="1" x14ac:dyDescent="0.25">
      <c r="A82" s="214" t="s">
        <v>607</v>
      </c>
      <c r="B82" s="64">
        <v>8.51</v>
      </c>
      <c r="C82" s="64">
        <v>46.42</v>
      </c>
      <c r="D82" s="64">
        <v>72.75</v>
      </c>
      <c r="E82" s="64">
        <v>3.42</v>
      </c>
      <c r="F82" s="64">
        <v>16.09</v>
      </c>
      <c r="G82" s="64">
        <v>27.74</v>
      </c>
      <c r="H82" s="64">
        <v>8.68</v>
      </c>
      <c r="I82" s="64">
        <v>4.1399999999999997</v>
      </c>
      <c r="J82" s="64">
        <v>0.08</v>
      </c>
      <c r="K82" s="64">
        <v>74.510000000000005</v>
      </c>
      <c r="L82" s="64">
        <v>34.69</v>
      </c>
      <c r="M82" s="64">
        <v>36.880000000000003</v>
      </c>
      <c r="N82" s="64">
        <v>113.3</v>
      </c>
      <c r="O82" s="64">
        <v>0</v>
      </c>
      <c r="P82" s="64">
        <v>0.71</v>
      </c>
      <c r="Q82" s="64">
        <v>9.5</v>
      </c>
      <c r="R82" s="198"/>
      <c r="S82" s="198"/>
      <c r="T82" s="198"/>
      <c r="U82" s="198"/>
    </row>
    <row r="83" spans="1:26" s="12" customFormat="1" x14ac:dyDescent="0.25">
      <c r="A83" s="214" t="s">
        <v>608</v>
      </c>
      <c r="B83" s="64">
        <v>8.58</v>
      </c>
      <c r="C83" s="64">
        <v>62.95</v>
      </c>
      <c r="D83" s="64">
        <v>104.28</v>
      </c>
      <c r="E83" s="64">
        <v>3.59</v>
      </c>
      <c r="F83" s="64">
        <v>17.100000000000001</v>
      </c>
      <c r="G83" s="64">
        <v>27.74</v>
      </c>
      <c r="H83" s="64">
        <v>8.68</v>
      </c>
      <c r="I83" s="64">
        <v>4.0599999999999996</v>
      </c>
      <c r="J83" s="64">
        <v>0.13</v>
      </c>
      <c r="K83" s="64">
        <v>48.67</v>
      </c>
      <c r="L83" s="64">
        <v>34.409999999999997</v>
      </c>
      <c r="M83" s="64">
        <v>38.26</v>
      </c>
      <c r="N83" s="64">
        <v>110.1</v>
      </c>
      <c r="O83" s="64">
        <v>0</v>
      </c>
      <c r="P83" s="64">
        <v>0.96</v>
      </c>
      <c r="Q83" s="64">
        <v>9.5299999999999994</v>
      </c>
      <c r="R83" s="198"/>
      <c r="S83" s="198"/>
      <c r="T83" s="198"/>
      <c r="U83" s="198"/>
    </row>
    <row r="84" spans="1:26" s="12" customFormat="1" x14ac:dyDescent="0.25">
      <c r="A84" s="214" t="s">
        <v>609</v>
      </c>
      <c r="B84" s="64">
        <v>26.29</v>
      </c>
      <c r="C84" s="64">
        <v>82.05</v>
      </c>
      <c r="D84" s="64">
        <v>113.64</v>
      </c>
      <c r="E84" s="64">
        <v>2.73</v>
      </c>
      <c r="F84" s="64">
        <v>7.81</v>
      </c>
      <c r="G84" s="64">
        <v>27.74</v>
      </c>
      <c r="H84" s="64">
        <v>8.68</v>
      </c>
      <c r="I84" s="64">
        <v>4.08</v>
      </c>
      <c r="J84" s="64">
        <v>0.24</v>
      </c>
      <c r="K84" s="64">
        <v>99.26</v>
      </c>
      <c r="L84" s="64">
        <v>33.85</v>
      </c>
      <c r="M84" s="64">
        <v>41.46</v>
      </c>
      <c r="N84" s="64">
        <v>109.4</v>
      </c>
      <c r="O84" s="64">
        <v>0</v>
      </c>
      <c r="P84" s="64">
        <v>1.08</v>
      </c>
      <c r="Q84" s="64">
        <v>9.5500000000000007</v>
      </c>
      <c r="R84" s="198"/>
      <c r="S84" s="198"/>
      <c r="T84" s="198"/>
      <c r="U84" s="198"/>
    </row>
    <row r="85" spans="1:26" s="12" customFormat="1" x14ac:dyDescent="0.25">
      <c r="A85" s="214" t="s">
        <v>610</v>
      </c>
      <c r="B85" s="64">
        <v>16.96</v>
      </c>
      <c r="C85" s="64">
        <v>62.19</v>
      </c>
      <c r="D85" s="64">
        <v>89.95</v>
      </c>
      <c r="E85" s="64">
        <v>2.82</v>
      </c>
      <c r="F85" s="64">
        <v>8.6</v>
      </c>
      <c r="G85" s="64">
        <v>35.53</v>
      </c>
      <c r="H85" s="64">
        <v>10.96</v>
      </c>
      <c r="I85" s="64">
        <v>3.98</v>
      </c>
      <c r="J85" s="64">
        <v>0.28000000000000003</v>
      </c>
      <c r="K85" s="64">
        <v>196.68</v>
      </c>
      <c r="L85" s="64">
        <v>33.799999999999997</v>
      </c>
      <c r="M85" s="64">
        <v>40.450000000000003</v>
      </c>
      <c r="N85" s="64">
        <v>110.1</v>
      </c>
      <c r="O85" s="64">
        <v>0</v>
      </c>
      <c r="P85" s="64">
        <v>0.77</v>
      </c>
      <c r="Q85" s="64">
        <v>9.5299999999999994</v>
      </c>
      <c r="R85" s="198"/>
      <c r="S85" s="198"/>
      <c r="T85" s="198"/>
      <c r="U85" s="198"/>
    </row>
    <row r="86" spans="1:26" s="12" customFormat="1" x14ac:dyDescent="0.25">
      <c r="A86" s="214" t="s">
        <v>611</v>
      </c>
      <c r="B86" s="64">
        <v>14.69</v>
      </c>
      <c r="C86" s="64">
        <v>47.01</v>
      </c>
      <c r="D86" s="64">
        <v>64.39</v>
      </c>
      <c r="E86" s="64">
        <v>2.5499999999999998</v>
      </c>
      <c r="F86" s="64">
        <v>9.2100000000000009</v>
      </c>
      <c r="G86" s="64">
        <v>35.53</v>
      </c>
      <c r="H86" s="64">
        <v>10.96</v>
      </c>
      <c r="I86" s="64">
        <v>3.93</v>
      </c>
      <c r="J86" s="64">
        <v>0.6</v>
      </c>
      <c r="K86" s="64">
        <v>188.41</v>
      </c>
      <c r="L86" s="64">
        <v>33.79</v>
      </c>
      <c r="M86" s="64">
        <v>43.07</v>
      </c>
      <c r="N86" s="64">
        <v>110</v>
      </c>
      <c r="O86" s="64">
        <v>0</v>
      </c>
      <c r="P86" s="64">
        <v>0.68</v>
      </c>
      <c r="Q86" s="64">
        <v>9.5299999999999994</v>
      </c>
      <c r="R86" s="198"/>
      <c r="S86" s="198"/>
      <c r="T86" s="198"/>
      <c r="U86" s="198"/>
    </row>
    <row r="87" spans="1:26" s="12" customFormat="1" x14ac:dyDescent="0.25">
      <c r="A87" s="214" t="s">
        <v>612</v>
      </c>
      <c r="B87" s="64">
        <v>12.55</v>
      </c>
      <c r="C87" s="64">
        <v>42.81</v>
      </c>
      <c r="D87" s="64">
        <v>59.62</v>
      </c>
      <c r="E87" s="64">
        <v>2.08</v>
      </c>
      <c r="F87" s="64">
        <v>10.48</v>
      </c>
      <c r="G87" s="64">
        <v>35.53</v>
      </c>
      <c r="H87" s="64">
        <v>10.96</v>
      </c>
      <c r="I87" s="64">
        <v>4.0199999999999996</v>
      </c>
      <c r="J87" s="64">
        <v>0.19</v>
      </c>
      <c r="K87" s="64">
        <v>195.9</v>
      </c>
      <c r="L87" s="64">
        <v>33.26</v>
      </c>
      <c r="M87" s="64">
        <v>49.04</v>
      </c>
      <c r="N87" s="64">
        <v>111.4</v>
      </c>
      <c r="O87" s="64">
        <v>0</v>
      </c>
      <c r="P87" s="64">
        <v>0.69</v>
      </c>
      <c r="Q87" s="64">
        <v>9.5299999999999994</v>
      </c>
      <c r="R87" s="198"/>
      <c r="S87" s="198"/>
      <c r="T87" s="198"/>
      <c r="U87" s="198"/>
    </row>
    <row r="88" spans="1:26" s="12" customFormat="1" x14ac:dyDescent="0.25">
      <c r="A88" s="214" t="s">
        <v>613</v>
      </c>
      <c r="B88" s="64">
        <v>11.05</v>
      </c>
      <c r="C88" s="64">
        <v>47.99</v>
      </c>
      <c r="D88" s="64">
        <v>71.84</v>
      </c>
      <c r="E88" s="64">
        <v>2.73</v>
      </c>
      <c r="F88" s="64">
        <v>13.34</v>
      </c>
      <c r="G88" s="64">
        <v>35.53</v>
      </c>
      <c r="H88" s="64">
        <v>10.96</v>
      </c>
      <c r="I88" s="64">
        <v>4.18</v>
      </c>
      <c r="J88" s="64">
        <v>0.11</v>
      </c>
      <c r="K88" s="64">
        <v>253.09</v>
      </c>
      <c r="L88" s="64">
        <v>32.659999999999997</v>
      </c>
      <c r="M88" s="64">
        <v>52.79</v>
      </c>
      <c r="N88" s="64">
        <v>111.5</v>
      </c>
      <c r="O88" s="64">
        <v>0</v>
      </c>
      <c r="P88" s="64">
        <v>0.75</v>
      </c>
      <c r="Q88" s="64">
        <v>9.5500000000000007</v>
      </c>
      <c r="R88" s="198"/>
      <c r="S88" s="198"/>
      <c r="T88" s="198"/>
      <c r="U88" s="198"/>
    </row>
    <row r="89" spans="1:26" s="12" customFormat="1" x14ac:dyDescent="0.25">
      <c r="A89" s="214" t="s">
        <v>614</v>
      </c>
      <c r="B89" s="64">
        <v>13.9</v>
      </c>
      <c r="C89" s="64">
        <v>49.37</v>
      </c>
      <c r="D89" s="64">
        <v>70.11</v>
      </c>
      <c r="E89" s="64">
        <v>2.34</v>
      </c>
      <c r="F89" s="64">
        <v>10.130000000000001</v>
      </c>
      <c r="G89" s="64">
        <v>35.729999999999997</v>
      </c>
      <c r="H89" s="64">
        <v>9.66</v>
      </c>
      <c r="I89" s="64">
        <v>4.05</v>
      </c>
      <c r="J89" s="64">
        <v>0.2</v>
      </c>
      <c r="K89" s="64">
        <v>83.81</v>
      </c>
      <c r="L89" s="64">
        <v>32.4</v>
      </c>
      <c r="M89" s="64">
        <v>53.71</v>
      </c>
      <c r="N89" s="64">
        <v>111.1</v>
      </c>
      <c r="O89" s="64">
        <v>0</v>
      </c>
      <c r="P89" s="64">
        <v>0.73</v>
      </c>
      <c r="Q89" s="64">
        <v>9.5500000000000007</v>
      </c>
      <c r="R89" s="198"/>
      <c r="S89" s="198"/>
      <c r="T89" s="198"/>
      <c r="U89" s="198"/>
    </row>
    <row r="90" spans="1:26" s="12" customFormat="1" x14ac:dyDescent="0.25">
      <c r="A90" s="214" t="s">
        <v>615</v>
      </c>
      <c r="B90" s="64">
        <v>13.17</v>
      </c>
      <c r="C90" s="64">
        <v>48.81</v>
      </c>
      <c r="D90" s="64">
        <v>70.16</v>
      </c>
      <c r="E90" s="64">
        <v>2.08</v>
      </c>
      <c r="F90" s="64">
        <v>13.02</v>
      </c>
      <c r="G90" s="64">
        <v>35.729999999999997</v>
      </c>
      <c r="H90" s="64">
        <v>9.65</v>
      </c>
      <c r="I90" s="64">
        <v>3.98</v>
      </c>
      <c r="J90" s="64">
        <v>0.67</v>
      </c>
      <c r="K90" s="64">
        <v>89.2</v>
      </c>
      <c r="L90" s="64">
        <v>32.979999999999997</v>
      </c>
      <c r="M90" s="64">
        <v>52.1</v>
      </c>
      <c r="N90" s="64">
        <v>110.7</v>
      </c>
      <c r="O90" s="64">
        <v>0</v>
      </c>
      <c r="P90" s="64">
        <v>0.74</v>
      </c>
      <c r="Q90" s="64">
        <v>9.5399999999999991</v>
      </c>
      <c r="R90" s="198"/>
      <c r="S90" s="198"/>
      <c r="T90" s="198"/>
      <c r="U90" s="198"/>
    </row>
    <row r="91" spans="1:26" s="12" customFormat="1" x14ac:dyDescent="0.25">
      <c r="A91" s="214" t="s">
        <v>616</v>
      </c>
      <c r="B91" s="64">
        <v>10.23</v>
      </c>
      <c r="C91" s="64">
        <v>51.17</v>
      </c>
      <c r="D91" s="64">
        <v>79.180000000000007</v>
      </c>
      <c r="E91" s="64">
        <v>2.21</v>
      </c>
      <c r="F91" s="64">
        <v>14.62</v>
      </c>
      <c r="G91" s="64">
        <v>35.729999999999997</v>
      </c>
      <c r="H91" s="64">
        <v>9.65</v>
      </c>
      <c r="I91" s="64">
        <v>4.0199999999999996</v>
      </c>
      <c r="J91" s="64">
        <v>0.11</v>
      </c>
      <c r="K91" s="64">
        <v>115.39</v>
      </c>
      <c r="L91" s="64">
        <v>32.61</v>
      </c>
      <c r="M91" s="64">
        <v>53.32</v>
      </c>
      <c r="N91" s="64">
        <v>111.8</v>
      </c>
      <c r="O91" s="64">
        <v>0</v>
      </c>
      <c r="P91" s="64">
        <v>0.72</v>
      </c>
      <c r="Q91" s="64">
        <v>9.58</v>
      </c>
      <c r="R91" s="198"/>
      <c r="S91" s="198"/>
      <c r="T91" s="198"/>
      <c r="U91" s="198"/>
    </row>
    <row r="92" spans="1:26" s="12" customFormat="1" x14ac:dyDescent="0.25">
      <c r="A92" s="214" t="s">
        <v>617</v>
      </c>
      <c r="B92" s="64">
        <v>15.01</v>
      </c>
      <c r="C92" s="64">
        <v>62.22</v>
      </c>
      <c r="D92" s="64">
        <v>93</v>
      </c>
      <c r="E92" s="64">
        <v>2.16</v>
      </c>
      <c r="F92" s="64">
        <v>11.87</v>
      </c>
      <c r="G92" s="64">
        <v>35.729999999999997</v>
      </c>
      <c r="H92" s="64">
        <v>9.65</v>
      </c>
      <c r="I92" s="64">
        <v>3.98</v>
      </c>
      <c r="J92" s="64">
        <v>0.08</v>
      </c>
      <c r="K92" s="64">
        <v>235.82</v>
      </c>
      <c r="L92" s="64">
        <v>32.229999999999997</v>
      </c>
      <c r="M92" s="64">
        <v>55.25</v>
      </c>
      <c r="N92" s="64">
        <v>112.2</v>
      </c>
      <c r="O92" s="64">
        <v>0</v>
      </c>
      <c r="P92" s="64">
        <v>0.95</v>
      </c>
      <c r="Q92" s="64">
        <v>9.59</v>
      </c>
      <c r="R92" s="198"/>
      <c r="S92" s="198"/>
      <c r="T92" s="198"/>
      <c r="U92" s="198"/>
    </row>
    <row r="93" spans="1:26" s="12" customFormat="1" x14ac:dyDescent="0.25">
      <c r="A93" s="214" t="s">
        <v>618</v>
      </c>
      <c r="B93" s="64">
        <v>16</v>
      </c>
      <c r="C93" s="64">
        <v>59.95</v>
      </c>
      <c r="D93" s="64">
        <v>87.13</v>
      </c>
      <c r="E93" s="64">
        <v>2.23</v>
      </c>
      <c r="F93" s="64">
        <v>10.86</v>
      </c>
      <c r="G93" s="64">
        <v>38.700000000000003</v>
      </c>
      <c r="H93" s="64">
        <v>6.79</v>
      </c>
      <c r="I93" s="64">
        <v>3.96</v>
      </c>
      <c r="J93" s="64">
        <v>0.3</v>
      </c>
      <c r="K93" s="64">
        <v>205.35</v>
      </c>
      <c r="L93" s="64">
        <v>31.81</v>
      </c>
      <c r="M93" s="64">
        <v>59.94</v>
      </c>
      <c r="N93" s="64">
        <v>112.7</v>
      </c>
      <c r="O93" s="64">
        <v>0</v>
      </c>
      <c r="P93" s="64">
        <v>1.03</v>
      </c>
      <c r="Q93" s="64">
        <v>9.57</v>
      </c>
      <c r="R93" s="198"/>
      <c r="S93" s="198"/>
      <c r="T93" s="198"/>
      <c r="U93" s="198"/>
    </row>
    <row r="94" spans="1:26" s="12" customFormat="1" x14ac:dyDescent="0.25">
      <c r="A94" s="214" t="s">
        <v>619</v>
      </c>
      <c r="B94" s="64">
        <v>37.46</v>
      </c>
      <c r="C94" s="64">
        <v>79.89</v>
      </c>
      <c r="D94" s="64">
        <v>92.36</v>
      </c>
      <c r="E94" s="64">
        <v>2.13</v>
      </c>
      <c r="F94" s="64">
        <v>7.78</v>
      </c>
      <c r="G94" s="64">
        <v>38.700000000000003</v>
      </c>
      <c r="H94" s="64">
        <v>6.79</v>
      </c>
      <c r="I94" s="64">
        <v>4.03</v>
      </c>
      <c r="J94" s="64">
        <v>0.48</v>
      </c>
      <c r="K94" s="64">
        <v>158.77000000000001</v>
      </c>
      <c r="L94" s="64">
        <v>31.62</v>
      </c>
      <c r="M94" s="64">
        <v>62.89</v>
      </c>
      <c r="N94" s="64">
        <v>112.9</v>
      </c>
      <c r="O94" s="64">
        <v>0</v>
      </c>
      <c r="P94" s="64">
        <v>0.92</v>
      </c>
      <c r="Q94" s="64">
        <v>9.57</v>
      </c>
      <c r="R94" s="198"/>
      <c r="S94" s="198"/>
      <c r="T94" s="198"/>
      <c r="U94" s="198"/>
    </row>
    <row r="95" spans="1:26" s="12" customFormat="1" x14ac:dyDescent="0.25">
      <c r="A95" s="214" t="s">
        <v>620</v>
      </c>
      <c r="B95" s="64">
        <v>28.26</v>
      </c>
      <c r="C95" s="64">
        <v>66.25</v>
      </c>
      <c r="D95" s="64">
        <v>80.36</v>
      </c>
      <c r="E95" s="64">
        <v>2.37</v>
      </c>
      <c r="F95" s="64">
        <v>7.95</v>
      </c>
      <c r="G95" s="64">
        <v>38.700000000000003</v>
      </c>
      <c r="H95" s="64">
        <v>6.79</v>
      </c>
      <c r="I95" s="64">
        <v>4.2300000000000004</v>
      </c>
      <c r="J95" s="64">
        <v>0.43</v>
      </c>
      <c r="K95" s="64">
        <v>191.33</v>
      </c>
      <c r="L95" s="64">
        <v>31.46</v>
      </c>
      <c r="M95" s="64">
        <v>63.71</v>
      </c>
      <c r="N95" s="64">
        <v>113.8</v>
      </c>
      <c r="O95" s="64">
        <v>0</v>
      </c>
      <c r="P95" s="64">
        <v>0.81</v>
      </c>
      <c r="Q95" s="64">
        <v>9.57</v>
      </c>
      <c r="R95" s="198"/>
      <c r="S95" s="198"/>
      <c r="T95" s="198"/>
      <c r="U95" s="198"/>
    </row>
    <row r="96" spans="1:26" s="12" customFormat="1" x14ac:dyDescent="0.25">
      <c r="A96" s="214" t="s">
        <v>621</v>
      </c>
      <c r="B96" s="64">
        <v>15.4</v>
      </c>
      <c r="C96" s="64">
        <v>36.21</v>
      </c>
      <c r="D96" s="64">
        <v>42.62</v>
      </c>
      <c r="E96" s="64">
        <v>2.13</v>
      </c>
      <c r="F96" s="64">
        <v>10.85</v>
      </c>
      <c r="G96" s="64">
        <v>38.700000000000003</v>
      </c>
      <c r="H96" s="64">
        <v>6.79</v>
      </c>
      <c r="I96" s="64">
        <v>3.97</v>
      </c>
      <c r="J96" s="64">
        <v>0.76</v>
      </c>
      <c r="K96" s="64">
        <v>170.93</v>
      </c>
      <c r="L96" s="64">
        <v>31.12</v>
      </c>
      <c r="M96" s="64">
        <v>64.58</v>
      </c>
      <c r="N96" s="64">
        <v>114.7</v>
      </c>
      <c r="O96" s="64">
        <v>0</v>
      </c>
      <c r="P96" s="64">
        <v>0.66</v>
      </c>
      <c r="Q96" s="64">
        <v>9.58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622</v>
      </c>
      <c r="B97" s="64">
        <v>13.48</v>
      </c>
      <c r="C97" s="64">
        <v>33.36</v>
      </c>
      <c r="D97" s="64">
        <v>40.119999999999997</v>
      </c>
      <c r="E97" s="64">
        <v>1.94</v>
      </c>
      <c r="F97" s="64">
        <v>9.9600000000000009</v>
      </c>
      <c r="G97" s="64">
        <v>51.47</v>
      </c>
      <c r="H97" s="64">
        <v>8.44</v>
      </c>
      <c r="I97" s="64">
        <v>3.84</v>
      </c>
      <c r="J97" s="64">
        <v>0.81</v>
      </c>
      <c r="K97" s="64">
        <v>156.24</v>
      </c>
      <c r="L97" s="64">
        <v>30.82</v>
      </c>
      <c r="M97" s="64">
        <v>65.97</v>
      </c>
      <c r="N97" s="64">
        <v>115.3</v>
      </c>
      <c r="O97" s="64">
        <v>0</v>
      </c>
      <c r="P97" s="64">
        <v>0.63</v>
      </c>
      <c r="Q97" s="64">
        <v>9.59</v>
      </c>
      <c r="R97" s="198"/>
      <c r="S97" s="198"/>
      <c r="T97" s="198"/>
      <c r="U97" s="198"/>
    </row>
    <row r="98" spans="1:33" s="12" customFormat="1" x14ac:dyDescent="0.25">
      <c r="A98" s="214" t="s">
        <v>623</v>
      </c>
      <c r="B98" s="64">
        <v>16.010000000000002</v>
      </c>
      <c r="C98" s="64">
        <v>33.97</v>
      </c>
      <c r="D98" s="64">
        <v>37.4</v>
      </c>
      <c r="E98" s="64">
        <v>2.44</v>
      </c>
      <c r="F98" s="64">
        <v>7.1</v>
      </c>
      <c r="G98" s="64">
        <v>51.47</v>
      </c>
      <c r="H98" s="64">
        <v>8.44</v>
      </c>
      <c r="I98" s="64">
        <v>4.16</v>
      </c>
      <c r="J98" s="64">
        <v>0.64</v>
      </c>
      <c r="K98" s="64">
        <v>157.04</v>
      </c>
      <c r="L98" s="64">
        <v>30.83</v>
      </c>
      <c r="M98" s="64">
        <v>65.28</v>
      </c>
      <c r="N98" s="64">
        <v>115.5</v>
      </c>
      <c r="O98" s="64">
        <v>0</v>
      </c>
      <c r="P98" s="64">
        <v>0.71</v>
      </c>
      <c r="Q98" s="64">
        <v>9.59</v>
      </c>
      <c r="R98" s="198"/>
      <c r="S98" s="198"/>
      <c r="T98" s="198"/>
      <c r="U98" s="198"/>
    </row>
    <row r="99" spans="1:33" s="12" customFormat="1" x14ac:dyDescent="0.25">
      <c r="A99" s="214" t="s">
        <v>624</v>
      </c>
      <c r="B99" s="64">
        <v>16.04</v>
      </c>
      <c r="C99" s="64">
        <v>34.58</v>
      </c>
      <c r="D99" s="64">
        <v>38.51</v>
      </c>
      <c r="E99" s="64">
        <v>2.11</v>
      </c>
      <c r="F99" s="64">
        <v>7.63</v>
      </c>
      <c r="G99" s="64">
        <v>51.47</v>
      </c>
      <c r="H99" s="64">
        <v>8.44</v>
      </c>
      <c r="I99" s="64">
        <v>4.0199999999999996</v>
      </c>
      <c r="J99" s="64">
        <v>0.7</v>
      </c>
      <c r="K99" s="64">
        <v>165.46</v>
      </c>
      <c r="L99" s="64">
        <v>30.48</v>
      </c>
      <c r="M99" s="64">
        <v>64.14</v>
      </c>
      <c r="N99" s="64">
        <v>116.4</v>
      </c>
      <c r="O99" s="64">
        <v>0</v>
      </c>
      <c r="P99" s="64">
        <v>0.66</v>
      </c>
      <c r="Q99" s="64">
        <v>9.58</v>
      </c>
      <c r="R99" s="198"/>
      <c r="S99" s="198"/>
      <c r="T99" s="198"/>
      <c r="U99" s="198"/>
    </row>
    <row r="100" spans="1:33" s="12" customFormat="1" x14ac:dyDescent="0.25">
      <c r="A100" s="214" t="s">
        <v>625</v>
      </c>
      <c r="B100" s="64">
        <v>14.85</v>
      </c>
      <c r="C100" s="64">
        <v>33.82</v>
      </c>
      <c r="D100" s="64">
        <v>38.89</v>
      </c>
      <c r="E100" s="64">
        <v>1.82</v>
      </c>
      <c r="F100" s="64">
        <v>8.43</v>
      </c>
      <c r="G100" s="64">
        <v>51.47</v>
      </c>
      <c r="H100" s="64">
        <v>8.44</v>
      </c>
      <c r="I100" s="64">
        <v>3.98</v>
      </c>
      <c r="J100" s="64">
        <v>0.42</v>
      </c>
      <c r="K100" s="64">
        <v>237.79</v>
      </c>
      <c r="L100" s="64">
        <v>30.29</v>
      </c>
      <c r="M100" s="64">
        <v>65.459999999999994</v>
      </c>
      <c r="N100" s="64">
        <v>118.8</v>
      </c>
      <c r="O100" s="64">
        <v>0</v>
      </c>
      <c r="P100" s="64">
        <v>0.63</v>
      </c>
      <c r="Q100" s="64">
        <v>9.59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626</v>
      </c>
      <c r="B101" s="64">
        <v>15.37</v>
      </c>
      <c r="C101" s="64">
        <v>33.840000000000003</v>
      </c>
      <c r="D101" s="64">
        <v>38.130000000000003</v>
      </c>
      <c r="E101" s="64">
        <v>1.87</v>
      </c>
      <c r="F101" s="64">
        <v>7.68</v>
      </c>
      <c r="G101" s="64">
        <v>47.76</v>
      </c>
      <c r="H101" s="64">
        <v>15.8</v>
      </c>
      <c r="I101" s="64">
        <v>3.93</v>
      </c>
      <c r="J101" s="64">
        <v>0.39</v>
      </c>
      <c r="K101" s="64">
        <v>246.33</v>
      </c>
      <c r="L101" s="64">
        <v>30.63</v>
      </c>
      <c r="M101" s="64">
        <v>64.89</v>
      </c>
      <c r="N101" s="64">
        <v>120.7</v>
      </c>
      <c r="O101" s="64">
        <v>0</v>
      </c>
      <c r="P101" s="64">
        <v>0.67</v>
      </c>
      <c r="Q101" s="64">
        <v>9.6</v>
      </c>
      <c r="R101" s="198"/>
      <c r="S101" s="198"/>
      <c r="T101" s="198"/>
      <c r="U101" s="198"/>
    </row>
    <row r="102" spans="1:33" s="12" customFormat="1" x14ac:dyDescent="0.25">
      <c r="A102" s="214" t="s">
        <v>627</v>
      </c>
      <c r="B102" s="64">
        <v>14.92</v>
      </c>
      <c r="C102" s="64">
        <v>36.26</v>
      </c>
      <c r="D102" s="64">
        <v>43.44</v>
      </c>
      <c r="E102" s="64">
        <v>1.71</v>
      </c>
      <c r="F102" s="64">
        <v>7.93</v>
      </c>
      <c r="G102" s="64">
        <v>47.76</v>
      </c>
      <c r="H102" s="64">
        <v>15.8</v>
      </c>
      <c r="I102" s="64">
        <v>4.1100000000000003</v>
      </c>
      <c r="J102" s="64">
        <v>0.71</v>
      </c>
      <c r="K102" s="64">
        <v>244.93</v>
      </c>
      <c r="L102" s="64">
        <v>30.34</v>
      </c>
      <c r="M102" s="64">
        <v>64.239999999999995</v>
      </c>
      <c r="N102" s="64">
        <v>120</v>
      </c>
      <c r="O102" s="64">
        <v>0</v>
      </c>
      <c r="P102" s="64">
        <v>0.64</v>
      </c>
      <c r="Q102" s="64">
        <v>9.6</v>
      </c>
      <c r="R102" s="198"/>
      <c r="S102" s="198"/>
      <c r="T102" s="198"/>
      <c r="U102" s="198"/>
    </row>
    <row r="103" spans="1:33" s="12" customFormat="1" x14ac:dyDescent="0.25">
      <c r="A103" s="214" t="s">
        <v>628</v>
      </c>
      <c r="B103" s="64">
        <v>15</v>
      </c>
      <c r="C103" s="64">
        <v>32.35</v>
      </c>
      <c r="D103" s="64">
        <v>35.840000000000003</v>
      </c>
      <c r="E103" s="64">
        <v>1.68</v>
      </c>
      <c r="F103" s="64">
        <v>6.55</v>
      </c>
      <c r="G103" s="64">
        <v>47.76</v>
      </c>
      <c r="H103" s="64">
        <v>15.8</v>
      </c>
      <c r="I103" s="64">
        <v>4.1399999999999997</v>
      </c>
      <c r="J103" s="64">
        <v>1.89</v>
      </c>
      <c r="K103" s="64">
        <v>256.39999999999998</v>
      </c>
      <c r="L103" s="64">
        <v>30.77</v>
      </c>
      <c r="M103" s="64">
        <v>54.39</v>
      </c>
      <c r="N103" s="64">
        <v>128.69999999999999</v>
      </c>
      <c r="O103" s="64">
        <v>0</v>
      </c>
      <c r="P103" s="64">
        <v>0.67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4" t="s">
        <v>629</v>
      </c>
      <c r="B104" s="64">
        <v>12.59</v>
      </c>
      <c r="C104" s="64">
        <v>30.24</v>
      </c>
      <c r="D104" s="64">
        <v>35.5</v>
      </c>
      <c r="E104" s="64">
        <v>2.38</v>
      </c>
      <c r="F104" s="64">
        <v>6.27</v>
      </c>
      <c r="G104" s="64">
        <v>47.76</v>
      </c>
      <c r="H104" s="64">
        <v>15.8</v>
      </c>
      <c r="I104" s="64">
        <v>4.0199999999999996</v>
      </c>
      <c r="J104" s="64">
        <v>1.9</v>
      </c>
      <c r="K104" s="64">
        <v>258.14999999999998</v>
      </c>
      <c r="L104" s="64">
        <v>29.85</v>
      </c>
      <c r="M104" s="64">
        <v>52.57</v>
      </c>
      <c r="N104" s="64">
        <v>148.19999999999999</v>
      </c>
      <c r="O104" s="64">
        <v>0</v>
      </c>
      <c r="P104" s="64">
        <v>0.6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7.35</v>
      </c>
      <c r="C106" s="67">
        <f>MIN(C9:C104)</f>
        <v>21.17</v>
      </c>
      <c r="D106" s="67">
        <f t="shared" ref="D106:Q106" si="0">MIN(D9:D104)</f>
        <v>17.64</v>
      </c>
      <c r="E106" s="67">
        <f t="shared" si="0"/>
        <v>1.5</v>
      </c>
      <c r="F106" s="67">
        <f t="shared" si="0"/>
        <v>4.8899999999999997</v>
      </c>
      <c r="G106" s="67">
        <f t="shared" si="0"/>
        <v>21.92</v>
      </c>
      <c r="H106" s="67">
        <f t="shared" si="0"/>
        <v>4.55</v>
      </c>
      <c r="I106" s="67">
        <f t="shared" si="0"/>
        <v>3.8</v>
      </c>
      <c r="J106" s="67">
        <f t="shared" si="0"/>
        <v>0.02</v>
      </c>
      <c r="K106" s="67">
        <f t="shared" si="0"/>
        <v>48.67</v>
      </c>
      <c r="L106" s="67">
        <f t="shared" si="0"/>
        <v>23.34</v>
      </c>
      <c r="M106" s="67">
        <f t="shared" si="0"/>
        <v>28.83</v>
      </c>
      <c r="N106" s="67">
        <f t="shared" si="0"/>
        <v>69.900000000000006</v>
      </c>
      <c r="O106" s="67">
        <f t="shared" si="0"/>
        <v>0</v>
      </c>
      <c r="P106" s="67">
        <f t="shared" si="0"/>
        <v>0.28000000000000003</v>
      </c>
      <c r="Q106" s="67">
        <f t="shared" si="0"/>
        <v>9.4700000000000006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37.46</v>
      </c>
      <c r="C107" s="66">
        <f t="shared" ref="C107:Q107" si="1">MAX(C9:C104)</f>
        <v>82.05</v>
      </c>
      <c r="D107" s="66">
        <f t="shared" si="1"/>
        <v>113.64</v>
      </c>
      <c r="E107" s="66">
        <f t="shared" si="1"/>
        <v>4.71</v>
      </c>
      <c r="F107" s="66">
        <f t="shared" si="1"/>
        <v>24.1</v>
      </c>
      <c r="G107" s="66">
        <f t="shared" si="1"/>
        <v>63.14</v>
      </c>
      <c r="H107" s="66">
        <f t="shared" si="1"/>
        <v>19.170000000000002</v>
      </c>
      <c r="I107" s="66">
        <f t="shared" si="1"/>
        <v>4.25</v>
      </c>
      <c r="J107" s="66">
        <f t="shared" si="1"/>
        <v>1.9</v>
      </c>
      <c r="K107" s="66">
        <f t="shared" si="1"/>
        <v>307.7</v>
      </c>
      <c r="L107" s="66">
        <f t="shared" si="1"/>
        <v>39.5</v>
      </c>
      <c r="M107" s="66">
        <f t="shared" si="1"/>
        <v>101.61</v>
      </c>
      <c r="N107" s="66">
        <f t="shared" si="1"/>
        <v>1093.2</v>
      </c>
      <c r="O107" s="66">
        <f t="shared" si="1"/>
        <v>0</v>
      </c>
      <c r="P107" s="66">
        <f t="shared" si="1"/>
        <v>1.08</v>
      </c>
      <c r="Q107" s="66">
        <f t="shared" si="1"/>
        <v>9.74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15.749062499999999</v>
      </c>
      <c r="C108" s="67">
        <f t="shared" ref="C108:Q108" si="2">AVERAGE(C9:C104)</f>
        <v>33.787395833333328</v>
      </c>
      <c r="D108" s="67">
        <f t="shared" si="2"/>
        <v>37.445625</v>
      </c>
      <c r="E108" s="67">
        <f t="shared" si="2"/>
        <v>2.9416666666666678</v>
      </c>
      <c r="F108" s="67">
        <f t="shared" si="2"/>
        <v>9.7248958333333331</v>
      </c>
      <c r="G108" s="67">
        <f t="shared" si="2"/>
        <v>35.413958333333319</v>
      </c>
      <c r="H108" s="67">
        <f t="shared" si="2"/>
        <v>11.008958333333338</v>
      </c>
      <c r="I108" s="67">
        <f t="shared" si="2"/>
        <v>4.0173958333333344</v>
      </c>
      <c r="J108" s="67">
        <f t="shared" si="2"/>
        <v>0.68083333333333329</v>
      </c>
      <c r="K108" s="67">
        <f t="shared" si="2"/>
        <v>182.17770833333338</v>
      </c>
      <c r="L108" s="67">
        <f t="shared" si="2"/>
        <v>31.33260416666668</v>
      </c>
      <c r="M108" s="67">
        <f t="shared" si="2"/>
        <v>64.507708333333355</v>
      </c>
      <c r="N108" s="67">
        <f t="shared" si="2"/>
        <v>360.2989583333333</v>
      </c>
      <c r="O108" s="67">
        <f t="shared" si="2"/>
        <v>0</v>
      </c>
      <c r="P108" s="67">
        <f t="shared" si="2"/>
        <v>0.54781250000000015</v>
      </c>
      <c r="Q108" s="67">
        <f t="shared" si="2"/>
        <v>9.6085416666666692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5.4925114719713539</v>
      </c>
      <c r="C109" s="67">
        <f t="shared" ref="C109:Q109" si="3">STDEV(C9:C104)</f>
        <v>11.724230980934246</v>
      </c>
      <c r="D109" s="67">
        <f t="shared" si="3"/>
        <v>21.698367380374137</v>
      </c>
      <c r="E109" s="67">
        <f t="shared" si="3"/>
        <v>0.59265267482940831</v>
      </c>
      <c r="F109" s="67">
        <f t="shared" si="3"/>
        <v>5.4956037922749346</v>
      </c>
      <c r="G109" s="67">
        <f t="shared" si="3"/>
        <v>12.245490983616198</v>
      </c>
      <c r="H109" s="67">
        <f t="shared" si="3"/>
        <v>3.8493071089870408</v>
      </c>
      <c r="I109" s="67">
        <f t="shared" si="3"/>
        <v>8.8093787243353247E-2</v>
      </c>
      <c r="J109" s="67">
        <f t="shared" si="3"/>
        <v>0.39711768550437415</v>
      </c>
      <c r="K109" s="67">
        <f t="shared" si="3"/>
        <v>62.302515391969791</v>
      </c>
      <c r="L109" s="67">
        <f t="shared" si="3"/>
        <v>5.6740135696906924</v>
      </c>
      <c r="M109" s="67">
        <f t="shared" si="3"/>
        <v>26.451742096809774</v>
      </c>
      <c r="N109" s="67">
        <f t="shared" si="3"/>
        <v>366.47623301835631</v>
      </c>
      <c r="O109" s="67">
        <f t="shared" si="3"/>
        <v>0</v>
      </c>
      <c r="P109" s="67">
        <f t="shared" si="3"/>
        <v>0.16379192914375079</v>
      </c>
      <c r="Q109" s="67">
        <f t="shared" si="3"/>
        <v>7.5560769083972454E-2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630</v>
      </c>
      <c r="B9" s="64">
        <v>10.42</v>
      </c>
      <c r="C9" s="64">
        <v>28.23</v>
      </c>
      <c r="D9" s="64">
        <v>34.99</v>
      </c>
      <c r="E9" s="64">
        <v>2.76</v>
      </c>
      <c r="F9" s="64">
        <v>6.15</v>
      </c>
      <c r="G9" s="64">
        <v>47.23</v>
      </c>
      <c r="H9" s="64">
        <v>15.55</v>
      </c>
      <c r="I9" s="64">
        <v>3.87</v>
      </c>
      <c r="J9" s="64">
        <v>1.52</v>
      </c>
      <c r="K9" s="64">
        <v>256.83</v>
      </c>
      <c r="L9" s="64">
        <v>29.63</v>
      </c>
      <c r="M9" s="64">
        <v>55.47</v>
      </c>
      <c r="N9" s="64">
        <v>134.4</v>
      </c>
      <c r="O9" s="64">
        <v>0</v>
      </c>
      <c r="P9" s="64">
        <v>0.55000000000000004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4" t="s">
        <v>631</v>
      </c>
      <c r="B10" s="64">
        <v>9.49</v>
      </c>
      <c r="C10" s="64">
        <v>27.18</v>
      </c>
      <c r="D10" s="64">
        <v>34.39</v>
      </c>
      <c r="E10" s="64">
        <v>2.9</v>
      </c>
      <c r="F10" s="64">
        <v>5.98</v>
      </c>
      <c r="G10" s="64">
        <v>47.23</v>
      </c>
      <c r="H10" s="64">
        <v>15.55</v>
      </c>
      <c r="I10" s="64">
        <v>4.1399999999999997</v>
      </c>
      <c r="J10" s="64">
        <v>1.38</v>
      </c>
      <c r="K10" s="64">
        <v>260.95999999999998</v>
      </c>
      <c r="L10" s="64">
        <v>29.08</v>
      </c>
      <c r="M10" s="64">
        <v>54.25</v>
      </c>
      <c r="N10" s="64">
        <v>136.30000000000001</v>
      </c>
      <c r="O10" s="64">
        <v>0</v>
      </c>
      <c r="P10" s="64">
        <v>0.53</v>
      </c>
      <c r="Q10" s="64">
        <v>9.6</v>
      </c>
      <c r="R10" s="198"/>
      <c r="S10" s="198"/>
      <c r="T10" s="198"/>
      <c r="U10" s="198"/>
    </row>
    <row r="11" spans="1:21" s="12" customFormat="1" x14ac:dyDescent="0.25">
      <c r="A11" s="214" t="s">
        <v>632</v>
      </c>
      <c r="B11" s="64">
        <v>9.0500000000000007</v>
      </c>
      <c r="C11" s="64">
        <v>26.04</v>
      </c>
      <c r="D11" s="64">
        <v>32.909999999999997</v>
      </c>
      <c r="E11" s="64">
        <v>2.68</v>
      </c>
      <c r="F11" s="64">
        <v>6.96</v>
      </c>
      <c r="G11" s="64">
        <v>47.23</v>
      </c>
      <c r="H11" s="64">
        <v>15.55</v>
      </c>
      <c r="I11" s="64">
        <v>3.85</v>
      </c>
      <c r="J11" s="64">
        <v>0.47</v>
      </c>
      <c r="K11" s="64">
        <v>289.24</v>
      </c>
      <c r="L11" s="64">
        <v>29.15</v>
      </c>
      <c r="M11" s="64">
        <v>51.84</v>
      </c>
      <c r="N11" s="64">
        <v>155.30000000000001</v>
      </c>
      <c r="O11" s="64">
        <v>0</v>
      </c>
      <c r="P11" s="64">
        <v>0.5</v>
      </c>
      <c r="Q11" s="64">
        <v>9.58</v>
      </c>
      <c r="R11" s="198"/>
      <c r="S11" s="198"/>
      <c r="T11" s="198"/>
      <c r="U11" s="198"/>
    </row>
    <row r="12" spans="1:21" s="12" customFormat="1" x14ac:dyDescent="0.25">
      <c r="A12" s="214" t="s">
        <v>633</v>
      </c>
      <c r="B12" s="64">
        <v>8.7799999999999994</v>
      </c>
      <c r="C12" s="64">
        <v>25.49</v>
      </c>
      <c r="D12" s="64">
        <v>32.25</v>
      </c>
      <c r="E12" s="64">
        <v>3.05</v>
      </c>
      <c r="F12" s="64">
        <v>10.7</v>
      </c>
      <c r="G12" s="64">
        <v>47.23</v>
      </c>
      <c r="H12" s="64">
        <v>15.55</v>
      </c>
      <c r="I12" s="64">
        <v>3.94</v>
      </c>
      <c r="J12" s="64">
        <v>0.44</v>
      </c>
      <c r="K12" s="64">
        <v>355.55</v>
      </c>
      <c r="L12" s="64">
        <v>29.45</v>
      </c>
      <c r="M12" s="64">
        <v>47.01</v>
      </c>
      <c r="N12" s="64">
        <v>152.6</v>
      </c>
      <c r="O12" s="64">
        <v>0</v>
      </c>
      <c r="P12" s="64">
        <v>0.41</v>
      </c>
      <c r="Q12" s="64">
        <v>9.58</v>
      </c>
      <c r="R12" s="198"/>
      <c r="S12" s="198"/>
      <c r="T12" s="198"/>
      <c r="U12" s="198"/>
    </row>
    <row r="13" spans="1:21" s="12" customFormat="1" x14ac:dyDescent="0.25">
      <c r="A13" s="214" t="s">
        <v>634</v>
      </c>
      <c r="B13" s="64">
        <v>9.31</v>
      </c>
      <c r="C13" s="64">
        <v>26.1</v>
      </c>
      <c r="D13" s="64">
        <v>32.61</v>
      </c>
      <c r="E13" s="64">
        <v>3.42</v>
      </c>
      <c r="F13" s="64">
        <v>13.18</v>
      </c>
      <c r="G13" s="64">
        <v>35.049999999999997</v>
      </c>
      <c r="H13" s="64">
        <v>10.17</v>
      </c>
      <c r="I13" s="64">
        <v>4.1500000000000004</v>
      </c>
      <c r="J13" s="64">
        <v>0.1</v>
      </c>
      <c r="K13" s="64">
        <v>124.64</v>
      </c>
      <c r="L13" s="64">
        <v>30.06</v>
      </c>
      <c r="M13" s="64">
        <v>44.64</v>
      </c>
      <c r="N13" s="64">
        <v>161.30000000000001</v>
      </c>
      <c r="O13" s="64">
        <v>0</v>
      </c>
      <c r="P13" s="64">
        <v>0.4</v>
      </c>
      <c r="Q13" s="64">
        <v>9.58</v>
      </c>
      <c r="R13" s="198"/>
      <c r="S13" s="198"/>
      <c r="T13" s="198"/>
      <c r="U13" s="198"/>
    </row>
    <row r="14" spans="1:21" s="12" customFormat="1" x14ac:dyDescent="0.25">
      <c r="A14" s="214" t="s">
        <v>635</v>
      </c>
      <c r="B14" s="64">
        <v>8.6999999999999993</v>
      </c>
      <c r="C14" s="64">
        <v>24.72</v>
      </c>
      <c r="D14" s="64">
        <v>30.9</v>
      </c>
      <c r="E14" s="64">
        <v>2.96</v>
      </c>
      <c r="F14" s="64">
        <v>14.79</v>
      </c>
      <c r="G14" s="64">
        <v>35.049999999999997</v>
      </c>
      <c r="H14" s="64">
        <v>10.11</v>
      </c>
      <c r="I14" s="64">
        <v>3.88</v>
      </c>
      <c r="J14" s="64">
        <v>0.6</v>
      </c>
      <c r="K14" s="64">
        <v>121.02</v>
      </c>
      <c r="L14" s="64">
        <v>29.79</v>
      </c>
      <c r="M14" s="64">
        <v>44.04</v>
      </c>
      <c r="N14" s="64">
        <v>156.9</v>
      </c>
      <c r="O14" s="64">
        <v>0</v>
      </c>
      <c r="P14" s="64">
        <v>0.36</v>
      </c>
      <c r="Q14" s="64">
        <v>9.56</v>
      </c>
      <c r="R14" s="198"/>
      <c r="S14" s="198"/>
      <c r="T14" s="198"/>
      <c r="U14" s="198"/>
    </row>
    <row r="15" spans="1:21" s="12" customFormat="1" x14ac:dyDescent="0.25">
      <c r="A15" s="214" t="s">
        <v>636</v>
      </c>
      <c r="B15" s="64">
        <v>8.93</v>
      </c>
      <c r="C15" s="64">
        <v>24.09</v>
      </c>
      <c r="D15" s="64">
        <v>29.34</v>
      </c>
      <c r="E15" s="64">
        <v>3.13</v>
      </c>
      <c r="F15" s="64">
        <v>9.24</v>
      </c>
      <c r="G15" s="64">
        <v>35.049999999999997</v>
      </c>
      <c r="H15" s="64">
        <v>10.11</v>
      </c>
      <c r="I15" s="64">
        <v>3.87</v>
      </c>
      <c r="J15" s="64">
        <v>0.77</v>
      </c>
      <c r="K15" s="64">
        <v>140.25</v>
      </c>
      <c r="L15" s="64">
        <v>29.63</v>
      </c>
      <c r="M15" s="64">
        <v>45.67</v>
      </c>
      <c r="N15" s="64">
        <v>164.6</v>
      </c>
      <c r="O15" s="64">
        <v>0</v>
      </c>
      <c r="P15" s="64">
        <v>0.42</v>
      </c>
      <c r="Q15" s="64">
        <v>9.56</v>
      </c>
      <c r="R15" s="198"/>
      <c r="S15" s="198"/>
      <c r="T15" s="198"/>
      <c r="U15" s="198"/>
    </row>
    <row r="16" spans="1:21" s="12" customFormat="1" x14ac:dyDescent="0.25">
      <c r="A16" s="214" t="s">
        <v>637</v>
      </c>
      <c r="B16" s="64">
        <v>9.6</v>
      </c>
      <c r="C16" s="64">
        <v>24.56</v>
      </c>
      <c r="D16" s="64">
        <v>29.23</v>
      </c>
      <c r="E16" s="64">
        <v>3</v>
      </c>
      <c r="F16" s="64">
        <v>9.14</v>
      </c>
      <c r="G16" s="64">
        <v>35.049999999999997</v>
      </c>
      <c r="H16" s="64">
        <v>10.11</v>
      </c>
      <c r="I16" s="64">
        <v>3.91</v>
      </c>
      <c r="J16" s="64">
        <v>0.79</v>
      </c>
      <c r="K16" s="64">
        <v>116.27</v>
      </c>
      <c r="L16" s="64">
        <v>29.53</v>
      </c>
      <c r="M16" s="64">
        <v>46.63</v>
      </c>
      <c r="N16" s="64">
        <v>175</v>
      </c>
      <c r="O16" s="64">
        <v>0</v>
      </c>
      <c r="P16" s="64">
        <v>0.41</v>
      </c>
      <c r="Q16" s="64">
        <v>9.56</v>
      </c>
      <c r="R16" s="198"/>
      <c r="S16" s="198"/>
      <c r="T16" s="198"/>
      <c r="U16" s="198"/>
    </row>
    <row r="17" spans="1:21" s="12" customFormat="1" x14ac:dyDescent="0.25">
      <c r="A17" s="214" t="s">
        <v>638</v>
      </c>
      <c r="B17" s="64">
        <v>9.2200000000000006</v>
      </c>
      <c r="C17" s="64">
        <v>24.69</v>
      </c>
      <c r="D17" s="64">
        <v>30.04</v>
      </c>
      <c r="E17" s="64">
        <v>3.27</v>
      </c>
      <c r="F17" s="64">
        <v>10.54</v>
      </c>
      <c r="G17" s="64">
        <v>38.1</v>
      </c>
      <c r="H17" s="64">
        <v>13.67</v>
      </c>
      <c r="I17" s="64">
        <v>3.94</v>
      </c>
      <c r="J17" s="64">
        <v>0.17</v>
      </c>
      <c r="K17" s="64">
        <v>201.65</v>
      </c>
      <c r="L17" s="64">
        <v>29.34</v>
      </c>
      <c r="M17" s="64">
        <v>50.17</v>
      </c>
      <c r="N17" s="64">
        <v>177.4</v>
      </c>
      <c r="O17" s="64">
        <v>0</v>
      </c>
      <c r="P17" s="64">
        <v>0.34</v>
      </c>
      <c r="Q17" s="64">
        <v>9.56</v>
      </c>
      <c r="R17" s="198"/>
      <c r="S17" s="198"/>
      <c r="T17" s="198"/>
      <c r="U17" s="198"/>
    </row>
    <row r="18" spans="1:21" s="12" customFormat="1" x14ac:dyDescent="0.25">
      <c r="A18" s="214" t="s">
        <v>639</v>
      </c>
      <c r="B18" s="64">
        <v>9.3699999999999992</v>
      </c>
      <c r="C18" s="64">
        <v>26.76</v>
      </c>
      <c r="D18" s="64">
        <v>33.78</v>
      </c>
      <c r="E18" s="64">
        <v>2.99</v>
      </c>
      <c r="F18" s="64">
        <v>9.68</v>
      </c>
      <c r="G18" s="64">
        <v>38.1</v>
      </c>
      <c r="H18" s="64">
        <v>13.71</v>
      </c>
      <c r="I18" s="64">
        <v>4.13</v>
      </c>
      <c r="J18" s="64">
        <v>0.64</v>
      </c>
      <c r="K18" s="64">
        <v>140.99</v>
      </c>
      <c r="L18" s="64">
        <v>28.83</v>
      </c>
      <c r="M18" s="64">
        <v>51.15</v>
      </c>
      <c r="N18" s="64">
        <v>180.3</v>
      </c>
      <c r="O18" s="64">
        <v>0</v>
      </c>
      <c r="P18" s="64">
        <v>0.36</v>
      </c>
      <c r="Q18" s="64">
        <v>9.57</v>
      </c>
      <c r="R18" s="198"/>
      <c r="S18" s="198"/>
      <c r="T18" s="198"/>
      <c r="U18" s="198"/>
    </row>
    <row r="19" spans="1:21" s="12" customFormat="1" x14ac:dyDescent="0.25">
      <c r="A19" s="214" t="s">
        <v>640</v>
      </c>
      <c r="B19" s="64">
        <v>10.06</v>
      </c>
      <c r="C19" s="64">
        <v>24.73</v>
      </c>
      <c r="D19" s="64">
        <v>28.85</v>
      </c>
      <c r="E19" s="64">
        <v>2.68</v>
      </c>
      <c r="F19" s="64">
        <v>8.35</v>
      </c>
      <c r="G19" s="64">
        <v>38.1</v>
      </c>
      <c r="H19" s="64">
        <v>13.71</v>
      </c>
      <c r="I19" s="64">
        <v>4.04</v>
      </c>
      <c r="J19" s="64">
        <v>0.52</v>
      </c>
      <c r="K19" s="64">
        <v>169.98</v>
      </c>
      <c r="L19" s="64">
        <v>28.54</v>
      </c>
      <c r="M19" s="64">
        <v>53.76</v>
      </c>
      <c r="N19" s="64">
        <v>157.19999999999999</v>
      </c>
      <c r="O19" s="64">
        <v>0</v>
      </c>
      <c r="P19" s="64">
        <v>0.38</v>
      </c>
      <c r="Q19" s="64">
        <v>9.57</v>
      </c>
      <c r="R19" s="198"/>
      <c r="S19" s="198"/>
      <c r="T19" s="198"/>
      <c r="U19" s="198"/>
    </row>
    <row r="20" spans="1:21" s="12" customFormat="1" x14ac:dyDescent="0.25">
      <c r="A20" s="214" t="s">
        <v>641</v>
      </c>
      <c r="B20" s="64">
        <v>11.14</v>
      </c>
      <c r="C20" s="64">
        <v>25.96</v>
      </c>
      <c r="D20" s="64">
        <v>29.55</v>
      </c>
      <c r="E20" s="64">
        <v>3.15</v>
      </c>
      <c r="F20" s="64">
        <v>6.46</v>
      </c>
      <c r="G20" s="64">
        <v>38.1</v>
      </c>
      <c r="H20" s="64">
        <v>13.71</v>
      </c>
      <c r="I20" s="64">
        <v>3.95</v>
      </c>
      <c r="J20" s="64">
        <v>0.31</v>
      </c>
      <c r="K20" s="64">
        <v>345.68</v>
      </c>
      <c r="L20" s="64">
        <v>28.11</v>
      </c>
      <c r="M20" s="64">
        <v>58.17</v>
      </c>
      <c r="N20" s="64">
        <v>126.7</v>
      </c>
      <c r="O20" s="64">
        <v>0</v>
      </c>
      <c r="P20" s="64">
        <v>0.42</v>
      </c>
      <c r="Q20" s="64">
        <v>9.58</v>
      </c>
      <c r="R20" s="198"/>
      <c r="S20" s="198"/>
      <c r="T20" s="198"/>
      <c r="U20" s="198"/>
    </row>
    <row r="21" spans="1:21" s="12" customFormat="1" x14ac:dyDescent="0.25">
      <c r="A21" s="214" t="s">
        <v>642</v>
      </c>
      <c r="B21" s="64">
        <v>11.58</v>
      </c>
      <c r="C21" s="64">
        <v>26.67</v>
      </c>
      <c r="D21" s="64">
        <v>30.22</v>
      </c>
      <c r="E21" s="64">
        <v>2.82</v>
      </c>
      <c r="F21" s="64">
        <v>6.25</v>
      </c>
      <c r="G21" s="64">
        <v>35.42</v>
      </c>
      <c r="H21" s="64">
        <v>12.68</v>
      </c>
      <c r="I21" s="64">
        <v>4.13</v>
      </c>
      <c r="J21" s="64">
        <v>0.67</v>
      </c>
      <c r="K21" s="64">
        <v>256.06</v>
      </c>
      <c r="L21" s="64">
        <v>27.94</v>
      </c>
      <c r="M21" s="64">
        <v>63.12</v>
      </c>
      <c r="N21" s="64">
        <v>115.2</v>
      </c>
      <c r="O21" s="64">
        <v>0</v>
      </c>
      <c r="P21" s="64">
        <v>0.42</v>
      </c>
      <c r="Q21" s="64">
        <v>9.58</v>
      </c>
      <c r="R21" s="198"/>
      <c r="S21" s="198"/>
      <c r="T21" s="198"/>
      <c r="U21" s="198"/>
    </row>
    <row r="22" spans="1:21" s="12" customFormat="1" x14ac:dyDescent="0.25">
      <c r="A22" s="214" t="s">
        <v>643</v>
      </c>
      <c r="B22" s="64">
        <v>11.73</v>
      </c>
      <c r="C22" s="64">
        <v>25.86</v>
      </c>
      <c r="D22" s="64">
        <v>28.45</v>
      </c>
      <c r="E22" s="64">
        <v>2.77</v>
      </c>
      <c r="F22" s="64">
        <v>5.54</v>
      </c>
      <c r="G22" s="64">
        <v>35.39</v>
      </c>
      <c r="H22" s="64">
        <v>12.68</v>
      </c>
      <c r="I22" s="64">
        <v>3.92</v>
      </c>
      <c r="J22" s="64">
        <v>0.57999999999999996</v>
      </c>
      <c r="K22" s="64">
        <v>256.26</v>
      </c>
      <c r="L22" s="64">
        <v>27.77</v>
      </c>
      <c r="M22" s="64">
        <v>66.040000000000006</v>
      </c>
      <c r="N22" s="64">
        <v>112.8</v>
      </c>
      <c r="O22" s="64">
        <v>0</v>
      </c>
      <c r="P22" s="64">
        <v>0.4</v>
      </c>
      <c r="Q22" s="64">
        <v>9.59</v>
      </c>
      <c r="R22" s="198"/>
      <c r="S22" s="198"/>
      <c r="T22" s="198"/>
      <c r="U22" s="198"/>
    </row>
    <row r="23" spans="1:21" s="12" customFormat="1" x14ac:dyDescent="0.25">
      <c r="A23" s="214" t="s">
        <v>644</v>
      </c>
      <c r="B23" s="64">
        <v>11.55</v>
      </c>
      <c r="C23" s="64">
        <v>25.26</v>
      </c>
      <c r="D23" s="64">
        <v>27.58</v>
      </c>
      <c r="E23" s="64">
        <v>2.86</v>
      </c>
      <c r="F23" s="64">
        <v>5.66</v>
      </c>
      <c r="G23" s="64">
        <v>35.39</v>
      </c>
      <c r="H23" s="64">
        <v>12.68</v>
      </c>
      <c r="I23" s="64">
        <v>4.05</v>
      </c>
      <c r="J23" s="64">
        <v>0.22</v>
      </c>
      <c r="K23" s="64">
        <v>262.20999999999998</v>
      </c>
      <c r="L23" s="64">
        <v>27.29</v>
      </c>
      <c r="M23" s="64">
        <v>71.59</v>
      </c>
      <c r="N23" s="64">
        <v>112</v>
      </c>
      <c r="O23" s="64">
        <v>0</v>
      </c>
      <c r="P23" s="64">
        <v>0.38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4" t="s">
        <v>645</v>
      </c>
      <c r="B24" s="64">
        <v>11.74</v>
      </c>
      <c r="C24" s="64">
        <v>24.76</v>
      </c>
      <c r="D24" s="64">
        <v>26.32</v>
      </c>
      <c r="E24" s="64">
        <v>2.64</v>
      </c>
      <c r="F24" s="64">
        <v>6.14</v>
      </c>
      <c r="G24" s="64">
        <v>35.39</v>
      </c>
      <c r="H24" s="64">
        <v>12.68</v>
      </c>
      <c r="I24" s="64">
        <v>3.84</v>
      </c>
      <c r="J24" s="64">
        <v>0.18</v>
      </c>
      <c r="K24" s="64">
        <v>302.02</v>
      </c>
      <c r="L24" s="64">
        <v>27.03</v>
      </c>
      <c r="M24" s="64">
        <v>73.959999999999994</v>
      </c>
      <c r="N24" s="64">
        <v>111.4</v>
      </c>
      <c r="O24" s="64">
        <v>0</v>
      </c>
      <c r="P24" s="64">
        <v>0.38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4" t="s">
        <v>646</v>
      </c>
      <c r="B25" s="64">
        <v>12.36</v>
      </c>
      <c r="C25" s="64">
        <v>25.97</v>
      </c>
      <c r="D25" s="64">
        <v>27.68</v>
      </c>
      <c r="E25" s="64">
        <v>2.77</v>
      </c>
      <c r="F25" s="64">
        <v>5.53</v>
      </c>
      <c r="G25" s="64">
        <v>30.87</v>
      </c>
      <c r="H25" s="64">
        <v>11.97</v>
      </c>
      <c r="I25" s="64">
        <v>4.01</v>
      </c>
      <c r="J25" s="64">
        <v>0.77</v>
      </c>
      <c r="K25" s="64">
        <v>255.07</v>
      </c>
      <c r="L25" s="64">
        <v>27.05</v>
      </c>
      <c r="M25" s="64">
        <v>73.11</v>
      </c>
      <c r="N25" s="64">
        <v>110.1</v>
      </c>
      <c r="O25" s="64">
        <v>0</v>
      </c>
      <c r="P25" s="64">
        <v>0.38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4" t="s">
        <v>647</v>
      </c>
      <c r="B26" s="64">
        <v>12.31</v>
      </c>
      <c r="C26" s="64">
        <v>26.53</v>
      </c>
      <c r="D26" s="64">
        <v>28.84</v>
      </c>
      <c r="E26" s="64">
        <v>3</v>
      </c>
      <c r="F26" s="64">
        <v>5.74</v>
      </c>
      <c r="G26" s="64">
        <v>30.82</v>
      </c>
      <c r="H26" s="64">
        <v>11.96</v>
      </c>
      <c r="I26" s="64">
        <v>4.12</v>
      </c>
      <c r="J26" s="64">
        <v>0.66</v>
      </c>
      <c r="K26" s="64">
        <v>251.8</v>
      </c>
      <c r="L26" s="64">
        <v>27.78</v>
      </c>
      <c r="M26" s="64">
        <v>62.24</v>
      </c>
      <c r="N26" s="64">
        <v>110.7</v>
      </c>
      <c r="O26" s="64">
        <v>0</v>
      </c>
      <c r="P26" s="64">
        <v>0.37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4" t="s">
        <v>648</v>
      </c>
      <c r="B27" s="64">
        <v>11.57</v>
      </c>
      <c r="C27" s="64">
        <v>26.15</v>
      </c>
      <c r="D27" s="64">
        <v>29.24</v>
      </c>
      <c r="E27" s="64">
        <v>2.66</v>
      </c>
      <c r="F27" s="64">
        <v>5.79</v>
      </c>
      <c r="G27" s="64">
        <v>30.82</v>
      </c>
      <c r="H27" s="64">
        <v>11.96</v>
      </c>
      <c r="I27" s="64">
        <v>3.98</v>
      </c>
      <c r="J27" s="64">
        <v>0.43</v>
      </c>
      <c r="K27" s="64">
        <v>249.61</v>
      </c>
      <c r="L27" s="64">
        <v>27.69</v>
      </c>
      <c r="M27" s="64">
        <v>61.67</v>
      </c>
      <c r="N27" s="64">
        <v>110.6</v>
      </c>
      <c r="O27" s="64">
        <v>0</v>
      </c>
      <c r="P27" s="64">
        <v>0.36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4" t="s">
        <v>649</v>
      </c>
      <c r="B28" s="64">
        <v>11.42</v>
      </c>
      <c r="C28" s="64">
        <v>25.86</v>
      </c>
      <c r="D28" s="64">
        <v>28.92</v>
      </c>
      <c r="E28" s="64">
        <v>2.75</v>
      </c>
      <c r="F28" s="64">
        <v>5.64</v>
      </c>
      <c r="G28" s="64">
        <v>30.82</v>
      </c>
      <c r="H28" s="64">
        <v>11.96</v>
      </c>
      <c r="I28" s="64">
        <v>3.92</v>
      </c>
      <c r="J28" s="64">
        <v>0.54</v>
      </c>
      <c r="K28" s="64">
        <v>256.77999999999997</v>
      </c>
      <c r="L28" s="64">
        <v>27.38</v>
      </c>
      <c r="M28" s="64">
        <v>64.42</v>
      </c>
      <c r="N28" s="64">
        <v>110.5</v>
      </c>
      <c r="O28" s="64">
        <v>0</v>
      </c>
      <c r="P28" s="64">
        <v>0.36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4" t="s">
        <v>650</v>
      </c>
      <c r="B29" s="64">
        <v>11.64</v>
      </c>
      <c r="C29" s="64">
        <v>26.24</v>
      </c>
      <c r="D29" s="64">
        <v>29.31</v>
      </c>
      <c r="E29" s="64">
        <v>2.4700000000000002</v>
      </c>
      <c r="F29" s="64">
        <v>5.73</v>
      </c>
      <c r="G29" s="64">
        <v>27.43</v>
      </c>
      <c r="H29" s="64">
        <v>8.44</v>
      </c>
      <c r="I29" s="64">
        <v>4.0599999999999996</v>
      </c>
      <c r="J29" s="64">
        <v>0.41</v>
      </c>
      <c r="K29" s="64">
        <v>251.16</v>
      </c>
      <c r="L29" s="64">
        <v>27.2</v>
      </c>
      <c r="M29" s="64">
        <v>65.150000000000006</v>
      </c>
      <c r="N29" s="64">
        <v>110.9</v>
      </c>
      <c r="O29" s="64">
        <v>0</v>
      </c>
      <c r="P29" s="64">
        <v>0.36</v>
      </c>
      <c r="Q29" s="64">
        <v>9.59</v>
      </c>
      <c r="R29" s="198"/>
      <c r="S29" s="198"/>
      <c r="T29" s="198"/>
      <c r="U29" s="198"/>
    </row>
    <row r="30" spans="1:21" s="12" customFormat="1" x14ac:dyDescent="0.25">
      <c r="A30" s="214" t="s">
        <v>651</v>
      </c>
      <c r="B30" s="64">
        <v>13.4</v>
      </c>
      <c r="C30" s="64">
        <v>28.3</v>
      </c>
      <c r="D30" s="64">
        <v>30.54</v>
      </c>
      <c r="E30" s="64">
        <v>2.71</v>
      </c>
      <c r="F30" s="64">
        <v>5.83</v>
      </c>
      <c r="G30" s="64">
        <v>27.39</v>
      </c>
      <c r="H30" s="64">
        <v>8.4</v>
      </c>
      <c r="I30" s="64">
        <v>3.98</v>
      </c>
      <c r="J30" s="64">
        <v>0.76</v>
      </c>
      <c r="K30" s="64">
        <v>256.52999999999997</v>
      </c>
      <c r="L30" s="64">
        <v>27.21</v>
      </c>
      <c r="M30" s="64">
        <v>65.06</v>
      </c>
      <c r="N30" s="64">
        <v>113.6</v>
      </c>
      <c r="O30" s="64">
        <v>0</v>
      </c>
      <c r="P30" s="64">
        <v>0.36</v>
      </c>
      <c r="Q30" s="64">
        <v>9.6</v>
      </c>
      <c r="R30" s="198"/>
      <c r="S30" s="198"/>
      <c r="T30" s="198"/>
      <c r="U30" s="198"/>
    </row>
    <row r="31" spans="1:21" s="12" customFormat="1" x14ac:dyDescent="0.25">
      <c r="A31" s="214" t="s">
        <v>652</v>
      </c>
      <c r="B31" s="64">
        <v>13.76</v>
      </c>
      <c r="C31" s="64">
        <v>27.45</v>
      </c>
      <c r="D31" s="64">
        <v>28.36</v>
      </c>
      <c r="E31" s="64">
        <v>2.79</v>
      </c>
      <c r="F31" s="64">
        <v>5.9</v>
      </c>
      <c r="G31" s="64">
        <v>27.39</v>
      </c>
      <c r="H31" s="64">
        <v>8.4</v>
      </c>
      <c r="I31" s="64">
        <v>4</v>
      </c>
      <c r="J31" s="64">
        <v>0.85</v>
      </c>
      <c r="K31" s="64">
        <v>257.29000000000002</v>
      </c>
      <c r="L31" s="64">
        <v>27.25</v>
      </c>
      <c r="M31" s="64">
        <v>64.62</v>
      </c>
      <c r="N31" s="64">
        <v>130.19999999999999</v>
      </c>
      <c r="O31" s="64">
        <v>0</v>
      </c>
      <c r="P31" s="64">
        <v>0.36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4" t="s">
        <v>653</v>
      </c>
      <c r="B32" s="64">
        <v>14.5</v>
      </c>
      <c r="C32" s="64">
        <v>28.15</v>
      </c>
      <c r="D32" s="64">
        <v>28.57</v>
      </c>
      <c r="E32" s="64">
        <v>2.54</v>
      </c>
      <c r="F32" s="64">
        <v>6.35</v>
      </c>
      <c r="G32" s="64">
        <v>27.39</v>
      </c>
      <c r="H32" s="64">
        <v>8.4</v>
      </c>
      <c r="I32" s="64">
        <v>4.0199999999999996</v>
      </c>
      <c r="J32" s="64">
        <v>0.64</v>
      </c>
      <c r="K32" s="64">
        <v>286.39</v>
      </c>
      <c r="L32" s="64">
        <v>27.48</v>
      </c>
      <c r="M32" s="64">
        <v>64.5</v>
      </c>
      <c r="N32" s="64">
        <v>157.69999999999999</v>
      </c>
      <c r="O32" s="64">
        <v>0</v>
      </c>
      <c r="P32" s="64">
        <v>0.36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4" t="s">
        <v>654</v>
      </c>
      <c r="B33" s="64">
        <v>15.41</v>
      </c>
      <c r="C33" s="64">
        <v>30.74</v>
      </c>
      <c r="D33" s="64">
        <v>32.119999999999997</v>
      </c>
      <c r="E33" s="64">
        <v>2.27</v>
      </c>
      <c r="F33" s="64">
        <v>7.71</v>
      </c>
      <c r="G33" s="64">
        <v>28.99</v>
      </c>
      <c r="H33" s="64">
        <v>8.34</v>
      </c>
      <c r="I33" s="64">
        <v>3.86</v>
      </c>
      <c r="J33" s="64">
        <v>0.39</v>
      </c>
      <c r="K33" s="64">
        <v>295.72000000000003</v>
      </c>
      <c r="L33" s="64">
        <v>28.06</v>
      </c>
      <c r="M33" s="64">
        <v>61.96</v>
      </c>
      <c r="N33" s="64">
        <v>208.8</v>
      </c>
      <c r="O33" s="64">
        <v>0</v>
      </c>
      <c r="P33" s="64">
        <v>0.38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4" t="s">
        <v>655</v>
      </c>
      <c r="B34" s="64">
        <v>16.510000000000002</v>
      </c>
      <c r="C34" s="64">
        <v>34.03</v>
      </c>
      <c r="D34" s="64">
        <v>36.729999999999997</v>
      </c>
      <c r="E34" s="64">
        <v>2.44</v>
      </c>
      <c r="F34" s="64">
        <v>8.4600000000000009</v>
      </c>
      <c r="G34" s="64">
        <v>29.01</v>
      </c>
      <c r="H34" s="64">
        <v>8.34</v>
      </c>
      <c r="I34" s="64">
        <v>4.09</v>
      </c>
      <c r="J34" s="64">
        <v>0.1</v>
      </c>
      <c r="K34" s="64">
        <v>346.16</v>
      </c>
      <c r="L34" s="64">
        <v>29.23</v>
      </c>
      <c r="M34" s="64">
        <v>57.7</v>
      </c>
      <c r="N34" s="64">
        <v>265.5</v>
      </c>
      <c r="O34" s="64">
        <v>0</v>
      </c>
      <c r="P34" s="64">
        <v>0.41</v>
      </c>
      <c r="Q34" s="64">
        <v>9.6</v>
      </c>
      <c r="R34" s="198"/>
      <c r="S34" s="198"/>
      <c r="T34" s="198"/>
      <c r="U34" s="198"/>
    </row>
    <row r="35" spans="1:21" s="12" customFormat="1" x14ac:dyDescent="0.25">
      <c r="A35" s="214" t="s">
        <v>656</v>
      </c>
      <c r="B35" s="64">
        <v>18.28</v>
      </c>
      <c r="C35" s="64">
        <v>33.78</v>
      </c>
      <c r="D35" s="64">
        <v>33.54</v>
      </c>
      <c r="E35" s="64">
        <v>2.85</v>
      </c>
      <c r="F35" s="64">
        <v>7.41</v>
      </c>
      <c r="G35" s="64">
        <v>29.01</v>
      </c>
      <c r="H35" s="64">
        <v>8.34</v>
      </c>
      <c r="I35" s="64">
        <v>4.05</v>
      </c>
      <c r="J35" s="64">
        <v>0.4</v>
      </c>
      <c r="K35" s="64">
        <v>304.81</v>
      </c>
      <c r="L35" s="64">
        <v>30.92</v>
      </c>
      <c r="M35" s="64">
        <v>52.53</v>
      </c>
      <c r="N35" s="64">
        <v>399.8</v>
      </c>
      <c r="O35" s="64">
        <v>0</v>
      </c>
      <c r="P35" s="64">
        <v>0.39</v>
      </c>
      <c r="Q35" s="64">
        <v>9.59</v>
      </c>
      <c r="R35" s="198"/>
      <c r="S35" s="198"/>
      <c r="T35" s="198"/>
      <c r="U35" s="198"/>
    </row>
    <row r="36" spans="1:21" s="12" customFormat="1" x14ac:dyDescent="0.25">
      <c r="A36" s="214" t="s">
        <v>657</v>
      </c>
      <c r="B36" s="64">
        <v>18.18</v>
      </c>
      <c r="C36" s="64">
        <v>37.78</v>
      </c>
      <c r="D36" s="64">
        <v>41.35</v>
      </c>
      <c r="E36" s="64">
        <v>3.05</v>
      </c>
      <c r="F36" s="64">
        <v>9.44</v>
      </c>
      <c r="G36" s="64">
        <v>29.01</v>
      </c>
      <c r="H36" s="64">
        <v>8.34</v>
      </c>
      <c r="I36" s="64">
        <v>4.07</v>
      </c>
      <c r="J36" s="64">
        <v>0.18</v>
      </c>
      <c r="K36" s="64">
        <v>329.87</v>
      </c>
      <c r="L36" s="64">
        <v>32.99</v>
      </c>
      <c r="M36" s="64">
        <v>46.35</v>
      </c>
      <c r="N36" s="64">
        <v>429.3</v>
      </c>
      <c r="O36" s="64">
        <v>0</v>
      </c>
      <c r="P36" s="64">
        <v>0.46</v>
      </c>
      <c r="Q36" s="64">
        <v>9.59</v>
      </c>
      <c r="R36" s="198"/>
      <c r="S36" s="198"/>
      <c r="T36" s="198"/>
      <c r="U36" s="198"/>
    </row>
    <row r="37" spans="1:21" s="12" customFormat="1" x14ac:dyDescent="0.25">
      <c r="A37" s="214" t="s">
        <v>658</v>
      </c>
      <c r="B37" s="64">
        <v>19.149999999999999</v>
      </c>
      <c r="C37" s="64">
        <v>36.64</v>
      </c>
      <c r="D37" s="64">
        <v>37.69</v>
      </c>
      <c r="E37" s="64">
        <v>3.05</v>
      </c>
      <c r="F37" s="64">
        <v>6.89</v>
      </c>
      <c r="G37" s="64">
        <v>32.630000000000003</v>
      </c>
      <c r="H37" s="64">
        <v>11.56</v>
      </c>
      <c r="I37" s="64">
        <v>3.99</v>
      </c>
      <c r="J37" s="64">
        <v>0.47</v>
      </c>
      <c r="K37" s="64">
        <v>98.21</v>
      </c>
      <c r="L37" s="64">
        <v>31.98</v>
      </c>
      <c r="M37" s="64">
        <v>48.74</v>
      </c>
      <c r="N37" s="64">
        <v>410.1</v>
      </c>
      <c r="O37" s="64">
        <v>0</v>
      </c>
      <c r="P37" s="64">
        <v>0.44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4" t="s">
        <v>659</v>
      </c>
      <c r="B38" s="64">
        <v>19.87</v>
      </c>
      <c r="C38" s="64">
        <v>34.01</v>
      </c>
      <c r="D38" s="64">
        <v>31.54</v>
      </c>
      <c r="E38" s="64">
        <v>2.89</v>
      </c>
      <c r="F38" s="64">
        <v>6.33</v>
      </c>
      <c r="G38" s="64">
        <v>32.630000000000003</v>
      </c>
      <c r="H38" s="64">
        <v>11.56</v>
      </c>
      <c r="I38" s="64">
        <v>3.93</v>
      </c>
      <c r="J38" s="64">
        <v>0.48</v>
      </c>
      <c r="K38" s="64">
        <v>92.36</v>
      </c>
      <c r="L38" s="64">
        <v>32.17</v>
      </c>
      <c r="M38" s="64">
        <v>47.98</v>
      </c>
      <c r="N38" s="64">
        <v>475.6</v>
      </c>
      <c r="O38" s="64">
        <v>0</v>
      </c>
      <c r="P38" s="64">
        <v>0.48</v>
      </c>
      <c r="Q38" s="64">
        <v>9.6</v>
      </c>
      <c r="R38" s="198"/>
      <c r="S38" s="198"/>
      <c r="T38" s="198"/>
      <c r="U38" s="198"/>
    </row>
    <row r="39" spans="1:21" s="12" customFormat="1" x14ac:dyDescent="0.25">
      <c r="A39" s="214" t="s">
        <v>660</v>
      </c>
      <c r="B39" s="64">
        <v>19.190000000000001</v>
      </c>
      <c r="C39" s="64">
        <v>34.049999999999997</v>
      </c>
      <c r="D39" s="64">
        <v>32.67</v>
      </c>
      <c r="E39" s="64">
        <v>3.09</v>
      </c>
      <c r="F39" s="64">
        <v>6.69</v>
      </c>
      <c r="G39" s="64">
        <v>32.630000000000003</v>
      </c>
      <c r="H39" s="64">
        <v>11.56</v>
      </c>
      <c r="I39" s="64">
        <v>4.0999999999999996</v>
      </c>
      <c r="J39" s="64">
        <v>1.1599999999999999</v>
      </c>
      <c r="K39" s="64">
        <v>107.39</v>
      </c>
      <c r="L39" s="64">
        <v>32.450000000000003</v>
      </c>
      <c r="M39" s="64">
        <v>45.88</v>
      </c>
      <c r="N39" s="64">
        <v>568.29999999999995</v>
      </c>
      <c r="O39" s="64">
        <v>0</v>
      </c>
      <c r="P39" s="64">
        <v>0.48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14" t="s">
        <v>661</v>
      </c>
      <c r="B40" s="64">
        <v>19.309999999999999</v>
      </c>
      <c r="C40" s="64">
        <v>34.08</v>
      </c>
      <c r="D40" s="64">
        <v>32.549999999999997</v>
      </c>
      <c r="E40" s="64">
        <v>2.96</v>
      </c>
      <c r="F40" s="64">
        <v>6.44</v>
      </c>
      <c r="G40" s="64">
        <v>32.630000000000003</v>
      </c>
      <c r="H40" s="64">
        <v>11.56</v>
      </c>
      <c r="I40" s="64">
        <v>3.73</v>
      </c>
      <c r="J40" s="64">
        <v>1.5</v>
      </c>
      <c r="K40" s="64">
        <v>102.75</v>
      </c>
      <c r="L40" s="64">
        <v>32.03</v>
      </c>
      <c r="M40" s="64">
        <v>45.23</v>
      </c>
      <c r="N40" s="64">
        <v>542</v>
      </c>
      <c r="O40" s="64">
        <v>0</v>
      </c>
      <c r="P40" s="64">
        <v>0.51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4" t="s">
        <v>662</v>
      </c>
      <c r="B41" s="64">
        <v>18.77</v>
      </c>
      <c r="C41" s="64">
        <v>39.659999999999997</v>
      </c>
      <c r="D41" s="64">
        <v>44.05</v>
      </c>
      <c r="E41" s="64">
        <v>3.76</v>
      </c>
      <c r="F41" s="64">
        <v>7.34</v>
      </c>
      <c r="G41" s="64">
        <v>46.36</v>
      </c>
      <c r="H41" s="64">
        <v>15.33</v>
      </c>
      <c r="I41" s="64">
        <v>3.98</v>
      </c>
      <c r="J41" s="64">
        <v>0.62</v>
      </c>
      <c r="K41" s="64">
        <v>161.11000000000001</v>
      </c>
      <c r="L41" s="64">
        <v>33.200000000000003</v>
      </c>
      <c r="M41" s="64">
        <v>42.53</v>
      </c>
      <c r="N41" s="64">
        <v>586.4</v>
      </c>
      <c r="O41" s="64">
        <v>0</v>
      </c>
      <c r="P41" s="64">
        <v>0.53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4" t="s">
        <v>663</v>
      </c>
      <c r="B42" s="64">
        <v>19.22</v>
      </c>
      <c r="C42" s="64">
        <v>37.869999999999997</v>
      </c>
      <c r="D42" s="64">
        <v>39.94</v>
      </c>
      <c r="E42" s="64">
        <v>3.41</v>
      </c>
      <c r="F42" s="64">
        <v>6.41</v>
      </c>
      <c r="G42" s="64">
        <v>46.36</v>
      </c>
      <c r="H42" s="64">
        <v>15.33</v>
      </c>
      <c r="I42" s="64">
        <v>3.99</v>
      </c>
      <c r="J42" s="64">
        <v>1</v>
      </c>
      <c r="K42" s="64">
        <v>160.30000000000001</v>
      </c>
      <c r="L42" s="64">
        <v>33.97</v>
      </c>
      <c r="M42" s="64">
        <v>40.72</v>
      </c>
      <c r="N42" s="64">
        <v>710.1</v>
      </c>
      <c r="O42" s="64">
        <v>0</v>
      </c>
      <c r="P42" s="64">
        <v>0.52</v>
      </c>
      <c r="Q42" s="64">
        <v>9.59</v>
      </c>
      <c r="R42" s="198"/>
      <c r="S42" s="198"/>
      <c r="T42" s="198"/>
      <c r="U42" s="198"/>
    </row>
    <row r="43" spans="1:21" s="12" customFormat="1" x14ac:dyDescent="0.25">
      <c r="A43" s="214" t="s">
        <v>664</v>
      </c>
      <c r="B43" s="64">
        <v>18.79</v>
      </c>
      <c r="C43" s="64">
        <v>35.6</v>
      </c>
      <c r="D43" s="64">
        <v>36.25</v>
      </c>
      <c r="E43" s="64">
        <v>3.12</v>
      </c>
      <c r="F43" s="64">
        <v>6.67</v>
      </c>
      <c r="G43" s="64">
        <v>46.36</v>
      </c>
      <c r="H43" s="64">
        <v>15.33</v>
      </c>
      <c r="I43" s="64">
        <v>3.94</v>
      </c>
      <c r="J43" s="64">
        <v>1</v>
      </c>
      <c r="K43" s="64">
        <v>161.47</v>
      </c>
      <c r="L43" s="64">
        <v>34.17</v>
      </c>
      <c r="M43" s="64">
        <v>41.52</v>
      </c>
      <c r="N43" s="64">
        <v>624.20000000000005</v>
      </c>
      <c r="O43" s="64">
        <v>0</v>
      </c>
      <c r="P43" s="64">
        <v>0.52</v>
      </c>
      <c r="Q43" s="64">
        <v>9.6</v>
      </c>
      <c r="R43" s="198"/>
      <c r="S43" s="198"/>
      <c r="T43" s="198"/>
      <c r="U43" s="198"/>
    </row>
    <row r="44" spans="1:21" s="12" customFormat="1" x14ac:dyDescent="0.25">
      <c r="A44" s="214" t="s">
        <v>665</v>
      </c>
      <c r="B44" s="64">
        <v>17.62</v>
      </c>
      <c r="C44" s="64">
        <v>34.9</v>
      </c>
      <c r="D44" s="64">
        <v>36.69</v>
      </c>
      <c r="E44" s="64">
        <v>3.22</v>
      </c>
      <c r="F44" s="64">
        <v>7.81</v>
      </c>
      <c r="G44" s="64">
        <v>46.36</v>
      </c>
      <c r="H44" s="64">
        <v>15.33</v>
      </c>
      <c r="I44" s="64">
        <v>4.03</v>
      </c>
      <c r="J44" s="64">
        <v>0.59</v>
      </c>
      <c r="K44" s="64">
        <v>171.22</v>
      </c>
      <c r="L44" s="64">
        <v>34.119999999999997</v>
      </c>
      <c r="M44" s="64">
        <v>43.06</v>
      </c>
      <c r="N44" s="64">
        <v>384.4</v>
      </c>
      <c r="O44" s="64">
        <v>0</v>
      </c>
      <c r="P44" s="64">
        <v>0.51</v>
      </c>
      <c r="Q44" s="64">
        <v>9.6</v>
      </c>
      <c r="R44" s="198"/>
      <c r="S44" s="198"/>
      <c r="T44" s="198"/>
      <c r="U44" s="198"/>
    </row>
    <row r="45" spans="1:21" s="12" customFormat="1" x14ac:dyDescent="0.25">
      <c r="A45" s="214" t="s">
        <v>666</v>
      </c>
      <c r="B45" s="64">
        <v>16.86</v>
      </c>
      <c r="C45" s="64">
        <v>34.869999999999997</v>
      </c>
      <c r="D45" s="64">
        <v>37.82</v>
      </c>
      <c r="E45" s="64">
        <v>2.97</v>
      </c>
      <c r="F45" s="64">
        <v>7.81</v>
      </c>
      <c r="G45" s="64">
        <v>55.99</v>
      </c>
      <c r="H45" s="64">
        <v>13.23</v>
      </c>
      <c r="I45" s="64">
        <v>3.93</v>
      </c>
      <c r="J45" s="64">
        <v>0.39</v>
      </c>
      <c r="K45" s="64">
        <v>236.59</v>
      </c>
      <c r="L45" s="64">
        <v>33.89</v>
      </c>
      <c r="M45" s="64">
        <v>42.91</v>
      </c>
      <c r="N45" s="64">
        <v>361.5</v>
      </c>
      <c r="O45" s="64">
        <v>0</v>
      </c>
      <c r="P45" s="64">
        <v>0.51</v>
      </c>
      <c r="Q45" s="64">
        <v>9.6</v>
      </c>
      <c r="R45" s="198"/>
      <c r="S45" s="198"/>
      <c r="T45" s="198"/>
      <c r="U45" s="198"/>
    </row>
    <row r="46" spans="1:21" s="12" customFormat="1" x14ac:dyDescent="0.25">
      <c r="A46" s="214" t="s">
        <v>667</v>
      </c>
      <c r="B46" s="64">
        <v>17.34</v>
      </c>
      <c r="C46" s="64">
        <v>36.880000000000003</v>
      </c>
      <c r="D46" s="64">
        <v>40.93</v>
      </c>
      <c r="E46" s="64">
        <v>3.35</v>
      </c>
      <c r="F46" s="64">
        <v>6.64</v>
      </c>
      <c r="G46" s="64">
        <v>55.99</v>
      </c>
      <c r="H46" s="64">
        <v>13.23</v>
      </c>
      <c r="I46" s="64">
        <v>3.9</v>
      </c>
      <c r="J46" s="64">
        <v>0.46</v>
      </c>
      <c r="K46" s="64">
        <v>263.14</v>
      </c>
      <c r="L46" s="64">
        <v>34.5</v>
      </c>
      <c r="M46" s="64">
        <v>42.99</v>
      </c>
      <c r="N46" s="64">
        <v>318.39999999999998</v>
      </c>
      <c r="O46" s="64">
        <v>0</v>
      </c>
      <c r="P46" s="64">
        <v>0.55000000000000004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4" t="s">
        <v>668</v>
      </c>
      <c r="B47" s="64">
        <v>14.93</v>
      </c>
      <c r="C47" s="64">
        <v>34.85</v>
      </c>
      <c r="D47" s="64">
        <v>40.75</v>
      </c>
      <c r="E47" s="64">
        <v>3.9</v>
      </c>
      <c r="F47" s="64">
        <v>11.38</v>
      </c>
      <c r="G47" s="64">
        <v>55.99</v>
      </c>
      <c r="H47" s="64">
        <v>13.23</v>
      </c>
      <c r="I47" s="64">
        <v>4.1100000000000003</v>
      </c>
      <c r="J47" s="64">
        <v>0.56000000000000005</v>
      </c>
      <c r="K47" s="64">
        <v>179.14</v>
      </c>
      <c r="L47" s="64">
        <v>33.840000000000003</v>
      </c>
      <c r="M47" s="64">
        <v>41.49</v>
      </c>
      <c r="N47" s="64">
        <v>391.1</v>
      </c>
      <c r="O47" s="64">
        <v>0</v>
      </c>
      <c r="P47" s="64">
        <v>0.51</v>
      </c>
      <c r="Q47" s="64">
        <v>9.58</v>
      </c>
      <c r="R47" s="198"/>
      <c r="S47" s="198"/>
      <c r="T47" s="198"/>
      <c r="U47" s="198"/>
    </row>
    <row r="48" spans="1:21" s="12" customFormat="1" x14ac:dyDescent="0.25">
      <c r="A48" s="214" t="s">
        <v>669</v>
      </c>
      <c r="B48" s="64">
        <v>14.18</v>
      </c>
      <c r="C48" s="64">
        <v>31.43</v>
      </c>
      <c r="D48" s="64">
        <v>35.340000000000003</v>
      </c>
      <c r="E48" s="64">
        <v>4.32</v>
      </c>
      <c r="F48" s="64">
        <v>13.58</v>
      </c>
      <c r="G48" s="64">
        <v>55.99</v>
      </c>
      <c r="H48" s="64">
        <v>13.23</v>
      </c>
      <c r="I48" s="64">
        <v>4.01</v>
      </c>
      <c r="J48" s="64">
        <v>0.97</v>
      </c>
      <c r="K48" s="64">
        <v>145.71</v>
      </c>
      <c r="L48" s="64">
        <v>34.11</v>
      </c>
      <c r="M48" s="64">
        <v>40.35</v>
      </c>
      <c r="N48" s="64">
        <v>942.5</v>
      </c>
      <c r="O48" s="64">
        <v>0</v>
      </c>
      <c r="P48" s="64">
        <v>0.48</v>
      </c>
      <c r="Q48" s="64">
        <v>9.59</v>
      </c>
      <c r="R48" s="198"/>
      <c r="S48" s="198"/>
      <c r="T48" s="198"/>
      <c r="U48" s="198"/>
    </row>
    <row r="49" spans="1:21" s="12" customFormat="1" x14ac:dyDescent="0.25">
      <c r="A49" s="214" t="s">
        <v>670</v>
      </c>
      <c r="B49" s="64">
        <v>13.18</v>
      </c>
      <c r="C49" s="64">
        <v>29.65</v>
      </c>
      <c r="D49" s="64">
        <v>33.47</v>
      </c>
      <c r="E49" s="64">
        <v>5.0599999999999996</v>
      </c>
      <c r="F49" s="64">
        <v>12.63</v>
      </c>
      <c r="G49" s="64">
        <v>44</v>
      </c>
      <c r="H49" s="64">
        <v>9.2899999999999991</v>
      </c>
      <c r="I49" s="64">
        <v>4.07</v>
      </c>
      <c r="J49" s="64">
        <v>0.86</v>
      </c>
      <c r="K49" s="64">
        <v>152.29</v>
      </c>
      <c r="L49" s="64">
        <v>35.36</v>
      </c>
      <c r="M49" s="64">
        <v>37.25</v>
      </c>
      <c r="N49" s="64">
        <v>1024.5</v>
      </c>
      <c r="O49" s="64">
        <v>0</v>
      </c>
      <c r="P49" s="64">
        <v>0.47</v>
      </c>
      <c r="Q49" s="64">
        <v>9.59</v>
      </c>
      <c r="R49" s="198"/>
      <c r="S49" s="198"/>
      <c r="T49" s="198"/>
      <c r="U49" s="198"/>
    </row>
    <row r="50" spans="1:21" s="12" customFormat="1" x14ac:dyDescent="0.25">
      <c r="A50" s="214" t="s">
        <v>671</v>
      </c>
      <c r="B50" s="64">
        <v>12.82</v>
      </c>
      <c r="C50" s="64">
        <v>28.87</v>
      </c>
      <c r="D50" s="64">
        <v>32.53</v>
      </c>
      <c r="E50" s="64">
        <v>4.6500000000000004</v>
      </c>
      <c r="F50" s="64">
        <v>12.2</v>
      </c>
      <c r="G50" s="64">
        <v>44</v>
      </c>
      <c r="H50" s="64">
        <v>9.2899999999999991</v>
      </c>
      <c r="I50" s="64">
        <v>4.09</v>
      </c>
      <c r="J50" s="64">
        <v>0.54</v>
      </c>
      <c r="K50" s="64">
        <v>168.88</v>
      </c>
      <c r="L50" s="64">
        <v>36.21</v>
      </c>
      <c r="M50" s="64">
        <v>36.049999999999997</v>
      </c>
      <c r="N50" s="64">
        <v>993</v>
      </c>
      <c r="O50" s="64">
        <v>0</v>
      </c>
      <c r="P50" s="64">
        <v>0.47</v>
      </c>
      <c r="Q50" s="64">
        <v>9.59</v>
      </c>
      <c r="R50" s="198"/>
      <c r="S50" s="198"/>
      <c r="T50" s="198"/>
      <c r="U50" s="198"/>
    </row>
    <row r="51" spans="1:21" s="12" customFormat="1" x14ac:dyDescent="0.25">
      <c r="A51" s="214" t="s">
        <v>672</v>
      </c>
      <c r="B51" s="64">
        <v>12.35</v>
      </c>
      <c r="C51" s="64">
        <v>30.05</v>
      </c>
      <c r="D51" s="64">
        <v>35.5</v>
      </c>
      <c r="E51" s="64">
        <v>5.55</v>
      </c>
      <c r="F51" s="64">
        <v>16.25</v>
      </c>
      <c r="G51" s="64">
        <v>44</v>
      </c>
      <c r="H51" s="64">
        <v>9.2899999999999991</v>
      </c>
      <c r="I51" s="64">
        <v>4.1399999999999997</v>
      </c>
      <c r="J51" s="64">
        <v>0.36</v>
      </c>
      <c r="K51" s="64">
        <v>145.55000000000001</v>
      </c>
      <c r="L51" s="64">
        <v>36.450000000000003</v>
      </c>
      <c r="M51" s="64">
        <v>35.090000000000003</v>
      </c>
      <c r="N51" s="64">
        <v>881.7</v>
      </c>
      <c r="O51" s="64">
        <v>0</v>
      </c>
      <c r="P51" s="64">
        <v>0.48</v>
      </c>
      <c r="Q51" s="64">
        <v>9.58</v>
      </c>
      <c r="R51" s="198"/>
      <c r="S51" s="198"/>
      <c r="T51" s="198"/>
      <c r="U51" s="198"/>
    </row>
    <row r="52" spans="1:21" s="12" customFormat="1" x14ac:dyDescent="0.25">
      <c r="A52" s="214" t="s">
        <v>673</v>
      </c>
      <c r="B52" s="64">
        <v>10.92</v>
      </c>
      <c r="C52" s="64">
        <v>31.27</v>
      </c>
      <c r="D52" s="64">
        <v>40.049999999999997</v>
      </c>
      <c r="E52" s="64">
        <v>6.35</v>
      </c>
      <c r="F52" s="64">
        <v>13.19</v>
      </c>
      <c r="G52" s="64">
        <v>44</v>
      </c>
      <c r="H52" s="64">
        <v>9.2899999999999991</v>
      </c>
      <c r="I52" s="64">
        <v>4.0999999999999996</v>
      </c>
      <c r="J52" s="64">
        <v>0.5</v>
      </c>
      <c r="K52" s="64">
        <v>156.47</v>
      </c>
      <c r="L52" s="64">
        <v>36.36</v>
      </c>
      <c r="M52" s="64">
        <v>35.409999999999997</v>
      </c>
      <c r="N52" s="64">
        <v>690.7</v>
      </c>
      <c r="O52" s="64">
        <v>0</v>
      </c>
      <c r="P52" s="64">
        <v>0.53</v>
      </c>
      <c r="Q52" s="64">
        <v>9.59</v>
      </c>
      <c r="R52" s="198"/>
      <c r="S52" s="198"/>
      <c r="T52" s="198"/>
      <c r="U52" s="198"/>
    </row>
    <row r="53" spans="1:21" s="12" customFormat="1" x14ac:dyDescent="0.25">
      <c r="A53" s="214" t="s">
        <v>674</v>
      </c>
      <c r="B53" s="64">
        <v>8.4499999999999993</v>
      </c>
      <c r="C53" s="64">
        <v>29.11</v>
      </c>
      <c r="D53" s="64">
        <v>39.700000000000003</v>
      </c>
      <c r="E53" s="64">
        <v>6.19</v>
      </c>
      <c r="F53" s="64">
        <v>16.29</v>
      </c>
      <c r="G53" s="64">
        <v>22.9</v>
      </c>
      <c r="H53" s="64">
        <v>16.75</v>
      </c>
      <c r="I53" s="64">
        <v>3.99</v>
      </c>
      <c r="J53" s="64">
        <v>0.51</v>
      </c>
      <c r="K53" s="64">
        <v>177.44</v>
      </c>
      <c r="L53" s="64">
        <v>36.4</v>
      </c>
      <c r="M53" s="64">
        <v>33.39</v>
      </c>
      <c r="N53" s="64">
        <v>956</v>
      </c>
      <c r="O53" s="64">
        <v>0</v>
      </c>
      <c r="P53" s="64">
        <v>0.46</v>
      </c>
      <c r="Q53" s="64">
        <v>9.5500000000000007</v>
      </c>
      <c r="R53" s="198"/>
      <c r="S53" s="198"/>
      <c r="T53" s="198"/>
      <c r="U53" s="198"/>
    </row>
    <row r="54" spans="1:21" s="12" customFormat="1" x14ac:dyDescent="0.25">
      <c r="A54" s="214" t="s">
        <v>675</v>
      </c>
      <c r="B54" s="64">
        <v>7.81</v>
      </c>
      <c r="C54" s="64">
        <v>26.99</v>
      </c>
      <c r="D54" s="64">
        <v>36.630000000000003</v>
      </c>
      <c r="E54" s="64">
        <v>5.53</v>
      </c>
      <c r="F54" s="64">
        <v>16.71</v>
      </c>
      <c r="G54" s="64">
        <v>22.66</v>
      </c>
      <c r="H54" s="64">
        <v>16.829999999999998</v>
      </c>
      <c r="I54" s="64">
        <v>3.92</v>
      </c>
      <c r="J54" s="64">
        <v>0.47</v>
      </c>
      <c r="K54" s="64">
        <v>205.14</v>
      </c>
      <c r="L54" s="64">
        <v>36.96</v>
      </c>
      <c r="M54" s="64">
        <v>32.64</v>
      </c>
      <c r="N54" s="64">
        <v>1061.4000000000001</v>
      </c>
      <c r="O54" s="64">
        <v>0</v>
      </c>
      <c r="P54" s="64">
        <v>0.45</v>
      </c>
      <c r="Q54" s="64">
        <v>9.51</v>
      </c>
      <c r="R54" s="198"/>
      <c r="S54" s="198"/>
      <c r="T54" s="198"/>
      <c r="U54" s="198"/>
    </row>
    <row r="55" spans="1:21" s="12" customFormat="1" x14ac:dyDescent="0.25">
      <c r="A55" s="214" t="s">
        <v>676</v>
      </c>
      <c r="B55" s="64">
        <v>8.41</v>
      </c>
      <c r="C55" s="64">
        <v>29.54</v>
      </c>
      <c r="D55" s="64">
        <v>40.58</v>
      </c>
      <c r="E55" s="64">
        <v>7.24</v>
      </c>
      <c r="F55" s="64">
        <v>16.170000000000002</v>
      </c>
      <c r="G55" s="64">
        <v>22.66</v>
      </c>
      <c r="H55" s="64">
        <v>16.829999999999998</v>
      </c>
      <c r="I55" s="64">
        <v>3.94</v>
      </c>
      <c r="J55" s="64">
        <v>0.38</v>
      </c>
      <c r="K55" s="64">
        <v>172.22</v>
      </c>
      <c r="L55" s="64">
        <v>38.19</v>
      </c>
      <c r="M55" s="64">
        <v>30.98</v>
      </c>
      <c r="N55" s="64">
        <v>1070.2</v>
      </c>
      <c r="O55" s="64">
        <v>0</v>
      </c>
      <c r="P55" s="64">
        <v>0.47</v>
      </c>
      <c r="Q55" s="64">
        <v>9.48</v>
      </c>
      <c r="R55" s="198"/>
      <c r="S55" s="198"/>
      <c r="T55" s="198"/>
      <c r="U55" s="198"/>
    </row>
    <row r="56" spans="1:21" s="12" customFormat="1" x14ac:dyDescent="0.25">
      <c r="A56" s="214" t="s">
        <v>677</v>
      </c>
      <c r="B56" s="64">
        <v>7.77</v>
      </c>
      <c r="C56" s="64">
        <v>27.58</v>
      </c>
      <c r="D56" s="64">
        <v>37.81</v>
      </c>
      <c r="E56" s="64">
        <v>5.91</v>
      </c>
      <c r="F56" s="64">
        <v>16.170000000000002</v>
      </c>
      <c r="G56" s="64">
        <v>22.66</v>
      </c>
      <c r="H56" s="64">
        <v>16.829999999999998</v>
      </c>
      <c r="I56" s="64">
        <v>4</v>
      </c>
      <c r="J56" s="64">
        <v>0.6</v>
      </c>
      <c r="K56" s="64">
        <v>175.42</v>
      </c>
      <c r="L56" s="64">
        <v>36.880000000000003</v>
      </c>
      <c r="M56" s="64">
        <v>31.44</v>
      </c>
      <c r="N56" s="64">
        <v>1082.8</v>
      </c>
      <c r="O56" s="64">
        <v>0</v>
      </c>
      <c r="P56" s="64">
        <v>0.44</v>
      </c>
      <c r="Q56" s="64">
        <v>9.4700000000000006</v>
      </c>
      <c r="R56" s="198"/>
      <c r="S56" s="198"/>
      <c r="T56" s="198"/>
      <c r="U56" s="198"/>
    </row>
    <row r="57" spans="1:21" s="12" customFormat="1" x14ac:dyDescent="0.25">
      <c r="A57" s="214" t="s">
        <v>678</v>
      </c>
      <c r="B57" s="64">
        <v>7.65</v>
      </c>
      <c r="C57" s="64">
        <v>27.25</v>
      </c>
      <c r="D57" s="64">
        <v>37.369999999999997</v>
      </c>
      <c r="E57" s="64">
        <v>4.01</v>
      </c>
      <c r="F57" s="64">
        <v>12.47</v>
      </c>
      <c r="G57" s="64">
        <v>45.73</v>
      </c>
      <c r="H57" s="64">
        <v>17.12</v>
      </c>
      <c r="I57" s="64">
        <v>3.89</v>
      </c>
      <c r="J57" s="64">
        <v>0.61</v>
      </c>
      <c r="K57" s="64">
        <v>182.92</v>
      </c>
      <c r="L57" s="64">
        <v>36.92</v>
      </c>
      <c r="M57" s="64">
        <v>31.31</v>
      </c>
      <c r="N57" s="64">
        <v>927.9</v>
      </c>
      <c r="O57" s="64">
        <v>0</v>
      </c>
      <c r="P57" s="64">
        <v>0.46</v>
      </c>
      <c r="Q57" s="64">
        <v>9.4600000000000009</v>
      </c>
      <c r="R57" s="198"/>
      <c r="S57" s="198"/>
      <c r="T57" s="198"/>
      <c r="U57" s="198"/>
    </row>
    <row r="58" spans="1:21" s="12" customFormat="1" x14ac:dyDescent="0.25">
      <c r="A58" s="214" t="s">
        <v>679</v>
      </c>
      <c r="B58" s="64">
        <v>7.34</v>
      </c>
      <c r="C58" s="64">
        <v>26.74</v>
      </c>
      <c r="D58" s="64">
        <v>36.86</v>
      </c>
      <c r="E58" s="64">
        <v>4.9800000000000004</v>
      </c>
      <c r="F58" s="64">
        <v>15.79</v>
      </c>
      <c r="G58" s="64">
        <v>45.73</v>
      </c>
      <c r="H58" s="64">
        <v>17.12</v>
      </c>
      <c r="I58" s="64">
        <v>3.97</v>
      </c>
      <c r="J58" s="64">
        <v>1.23</v>
      </c>
      <c r="K58" s="64">
        <v>152.4</v>
      </c>
      <c r="L58" s="64">
        <v>37.26</v>
      </c>
      <c r="M58" s="64">
        <v>30.85</v>
      </c>
      <c r="N58" s="64">
        <v>1051.4000000000001</v>
      </c>
      <c r="O58" s="64">
        <v>0</v>
      </c>
      <c r="P58" s="64">
        <v>0.47</v>
      </c>
      <c r="Q58" s="64">
        <v>9.4499999999999993</v>
      </c>
      <c r="R58" s="198"/>
      <c r="S58" s="198"/>
      <c r="T58" s="198"/>
      <c r="U58" s="198"/>
    </row>
    <row r="59" spans="1:21" s="12" customFormat="1" x14ac:dyDescent="0.25">
      <c r="A59" s="214" t="s">
        <v>680</v>
      </c>
      <c r="B59" s="64">
        <v>7.05</v>
      </c>
      <c r="C59" s="64">
        <v>24.73</v>
      </c>
      <c r="D59" s="64">
        <v>33.450000000000003</v>
      </c>
      <c r="E59" s="64">
        <v>4.05</v>
      </c>
      <c r="F59" s="64">
        <v>17.04</v>
      </c>
      <c r="G59" s="64">
        <v>45.73</v>
      </c>
      <c r="H59" s="64">
        <v>17.12</v>
      </c>
      <c r="I59" s="64">
        <v>4.03</v>
      </c>
      <c r="J59" s="64">
        <v>1.18</v>
      </c>
      <c r="K59" s="64">
        <v>157.77000000000001</v>
      </c>
      <c r="L59" s="64">
        <v>37.08</v>
      </c>
      <c r="M59" s="64">
        <v>31.03</v>
      </c>
      <c r="N59" s="64">
        <v>1056.2</v>
      </c>
      <c r="O59" s="64">
        <v>0</v>
      </c>
      <c r="P59" s="64">
        <v>0.43</v>
      </c>
      <c r="Q59" s="64">
        <v>9.4499999999999993</v>
      </c>
      <c r="R59" s="198"/>
      <c r="S59" s="198"/>
      <c r="T59" s="198"/>
      <c r="U59" s="198"/>
    </row>
    <row r="60" spans="1:21" s="12" customFormat="1" x14ac:dyDescent="0.25">
      <c r="A60" s="214" t="s">
        <v>681</v>
      </c>
      <c r="B60" s="64">
        <v>6.6</v>
      </c>
      <c r="C60" s="64">
        <v>22.73</v>
      </c>
      <c r="D60" s="64">
        <v>30.32</v>
      </c>
      <c r="E60" s="64">
        <v>3.87</v>
      </c>
      <c r="F60" s="64">
        <v>15.01</v>
      </c>
      <c r="G60" s="64">
        <v>45.73</v>
      </c>
      <c r="H60" s="64">
        <v>17.12</v>
      </c>
      <c r="I60" s="64">
        <v>4.2</v>
      </c>
      <c r="J60" s="64">
        <v>0.77</v>
      </c>
      <c r="K60" s="64">
        <v>189.56</v>
      </c>
      <c r="L60" s="64">
        <v>37.56</v>
      </c>
      <c r="M60" s="64">
        <v>29.51</v>
      </c>
      <c r="N60" s="64">
        <v>1038.2</v>
      </c>
      <c r="O60" s="64">
        <v>0</v>
      </c>
      <c r="P60" s="64">
        <v>0.41</v>
      </c>
      <c r="Q60" s="64">
        <v>9.44</v>
      </c>
      <c r="R60" s="198"/>
      <c r="S60" s="198"/>
      <c r="T60" s="198"/>
      <c r="U60" s="198"/>
    </row>
    <row r="61" spans="1:21" s="12" customFormat="1" x14ac:dyDescent="0.25">
      <c r="A61" s="214" t="s">
        <v>682</v>
      </c>
      <c r="B61" s="64">
        <v>6.66</v>
      </c>
      <c r="C61" s="64">
        <v>22.27</v>
      </c>
      <c r="D61" s="64">
        <v>29.35</v>
      </c>
      <c r="E61" s="64">
        <v>3.74</v>
      </c>
      <c r="F61" s="64">
        <v>15.51</v>
      </c>
      <c r="G61" s="64">
        <v>18.809999999999999</v>
      </c>
      <c r="H61" s="64">
        <v>11.2</v>
      </c>
      <c r="I61" s="64">
        <v>3.94</v>
      </c>
      <c r="J61" s="64">
        <v>0.27</v>
      </c>
      <c r="K61" s="64">
        <v>222.28</v>
      </c>
      <c r="L61" s="64">
        <v>38.590000000000003</v>
      </c>
      <c r="M61" s="64">
        <v>28.03</v>
      </c>
      <c r="N61" s="64">
        <v>980.3</v>
      </c>
      <c r="O61" s="64">
        <v>0</v>
      </c>
      <c r="P61" s="64">
        <v>0.4</v>
      </c>
      <c r="Q61" s="64">
        <v>9.44</v>
      </c>
      <c r="R61" s="198"/>
      <c r="S61" s="198"/>
      <c r="T61" s="198"/>
      <c r="U61" s="198"/>
    </row>
    <row r="62" spans="1:21" s="12" customFormat="1" x14ac:dyDescent="0.25">
      <c r="A62" s="214" t="s">
        <v>683</v>
      </c>
      <c r="B62" s="64">
        <v>7.52</v>
      </c>
      <c r="C62" s="64">
        <v>24.85</v>
      </c>
      <c r="D62" s="64">
        <v>32.97</v>
      </c>
      <c r="E62" s="64">
        <v>3.44</v>
      </c>
      <c r="F62" s="64">
        <v>16.77</v>
      </c>
      <c r="G62" s="64">
        <v>18.809999999999999</v>
      </c>
      <c r="H62" s="64">
        <v>11.13</v>
      </c>
      <c r="I62" s="64">
        <v>4.08</v>
      </c>
      <c r="J62" s="64">
        <v>0.54</v>
      </c>
      <c r="K62" s="64">
        <v>204.64</v>
      </c>
      <c r="L62" s="64">
        <v>38.53</v>
      </c>
      <c r="M62" s="64">
        <v>27.05</v>
      </c>
      <c r="N62" s="64">
        <v>926.8</v>
      </c>
      <c r="O62" s="64">
        <v>0</v>
      </c>
      <c r="P62" s="64">
        <v>0.42</v>
      </c>
      <c r="Q62" s="64">
        <v>9.44</v>
      </c>
      <c r="R62" s="198"/>
      <c r="S62" s="198"/>
      <c r="T62" s="198"/>
      <c r="U62" s="198"/>
    </row>
    <row r="63" spans="1:21" s="12" customFormat="1" x14ac:dyDescent="0.25">
      <c r="A63" s="214" t="s">
        <v>684</v>
      </c>
      <c r="B63" s="64">
        <v>8.2200000000000006</v>
      </c>
      <c r="C63" s="64">
        <v>27</v>
      </c>
      <c r="D63" s="64">
        <v>36.01</v>
      </c>
      <c r="E63" s="64">
        <v>4.62</v>
      </c>
      <c r="F63" s="64">
        <v>16.690000000000001</v>
      </c>
      <c r="G63" s="64">
        <v>18.809999999999999</v>
      </c>
      <c r="H63" s="64">
        <v>11.13</v>
      </c>
      <c r="I63" s="64">
        <v>3.98</v>
      </c>
      <c r="J63" s="64">
        <v>0.75</v>
      </c>
      <c r="K63" s="64">
        <v>260.35000000000002</v>
      </c>
      <c r="L63" s="64">
        <v>38.97</v>
      </c>
      <c r="M63" s="64">
        <v>26.13</v>
      </c>
      <c r="N63" s="64">
        <v>606.6</v>
      </c>
      <c r="O63" s="64">
        <v>0</v>
      </c>
      <c r="P63" s="64">
        <v>0.43</v>
      </c>
      <c r="Q63" s="64">
        <v>9.44</v>
      </c>
      <c r="R63" s="198"/>
      <c r="S63" s="198"/>
      <c r="T63" s="198"/>
      <c r="U63" s="198"/>
    </row>
    <row r="64" spans="1:21" s="12" customFormat="1" x14ac:dyDescent="0.25">
      <c r="A64" s="214" t="s">
        <v>685</v>
      </c>
      <c r="B64" s="64">
        <v>7.93</v>
      </c>
      <c r="C64" s="64">
        <v>27.52</v>
      </c>
      <c r="D64" s="64">
        <v>37.44</v>
      </c>
      <c r="E64" s="64">
        <v>4.4400000000000004</v>
      </c>
      <c r="F64" s="64">
        <v>13.61</v>
      </c>
      <c r="G64" s="64">
        <v>18.809999999999999</v>
      </c>
      <c r="H64" s="64">
        <v>11.13</v>
      </c>
      <c r="I64" s="64">
        <v>3.96</v>
      </c>
      <c r="J64" s="64">
        <v>0.59</v>
      </c>
      <c r="K64" s="64">
        <v>242.98</v>
      </c>
      <c r="L64" s="64">
        <v>39.44</v>
      </c>
      <c r="M64" s="64">
        <v>24.23</v>
      </c>
      <c r="N64" s="64">
        <v>513.9</v>
      </c>
      <c r="O64" s="64">
        <v>0</v>
      </c>
      <c r="P64" s="64">
        <v>0.44</v>
      </c>
      <c r="Q64" s="64">
        <v>9.44</v>
      </c>
      <c r="R64" s="198"/>
      <c r="S64" s="198"/>
      <c r="T64" s="198"/>
      <c r="U64" s="198"/>
    </row>
    <row r="65" spans="1:21" s="12" customFormat="1" x14ac:dyDescent="0.25">
      <c r="A65" s="214" t="s">
        <v>686</v>
      </c>
      <c r="B65" s="64">
        <v>8.11</v>
      </c>
      <c r="C65" s="64">
        <v>26.93</v>
      </c>
      <c r="D65" s="64">
        <v>36.049999999999997</v>
      </c>
      <c r="E65" s="64">
        <v>4.53</v>
      </c>
      <c r="F65" s="64">
        <v>19.579999999999998</v>
      </c>
      <c r="G65" s="64">
        <v>16.53</v>
      </c>
      <c r="H65" s="64">
        <v>10.3</v>
      </c>
      <c r="I65" s="64">
        <v>3.97</v>
      </c>
      <c r="J65" s="64">
        <v>0.83</v>
      </c>
      <c r="K65" s="64">
        <v>262.12</v>
      </c>
      <c r="L65" s="64">
        <v>39.61</v>
      </c>
      <c r="M65" s="64">
        <v>25.07</v>
      </c>
      <c r="N65" s="64">
        <v>676.8</v>
      </c>
      <c r="O65" s="64">
        <v>0</v>
      </c>
      <c r="P65" s="64">
        <v>0.43</v>
      </c>
      <c r="Q65" s="64">
        <v>9.4499999999999993</v>
      </c>
      <c r="R65" s="198"/>
      <c r="S65" s="198"/>
      <c r="T65" s="198"/>
      <c r="U65" s="198"/>
    </row>
    <row r="66" spans="1:21" s="12" customFormat="1" x14ac:dyDescent="0.25">
      <c r="A66" s="214" t="s">
        <v>687</v>
      </c>
      <c r="B66" s="64">
        <v>9.86</v>
      </c>
      <c r="C66" s="64">
        <v>30.33</v>
      </c>
      <c r="D66" s="64">
        <v>39.85</v>
      </c>
      <c r="E66" s="64">
        <v>4.93</v>
      </c>
      <c r="F66" s="64">
        <v>22.17</v>
      </c>
      <c r="G66" s="64">
        <v>16.53</v>
      </c>
      <c r="H66" s="64">
        <v>10.29</v>
      </c>
      <c r="I66" s="64">
        <v>4.04</v>
      </c>
      <c r="J66" s="64">
        <v>0.37</v>
      </c>
      <c r="K66" s="64">
        <v>240.33</v>
      </c>
      <c r="L66" s="64">
        <v>39.549999999999997</v>
      </c>
      <c r="M66" s="64">
        <v>25.64</v>
      </c>
      <c r="N66" s="64">
        <v>562.70000000000005</v>
      </c>
      <c r="O66" s="64">
        <v>0</v>
      </c>
      <c r="P66" s="64">
        <v>0.42</v>
      </c>
      <c r="Q66" s="64">
        <v>9.4700000000000006</v>
      </c>
      <c r="R66" s="198"/>
      <c r="S66" s="198"/>
      <c r="T66" s="198"/>
      <c r="U66" s="198"/>
    </row>
    <row r="67" spans="1:21" s="12" customFormat="1" x14ac:dyDescent="0.25">
      <c r="A67" s="214" t="s">
        <v>688</v>
      </c>
      <c r="B67" s="64">
        <v>7.07</v>
      </c>
      <c r="C67" s="64">
        <v>24.14</v>
      </c>
      <c r="D67" s="64">
        <v>32.299999999999997</v>
      </c>
      <c r="E67" s="64">
        <v>4.42</v>
      </c>
      <c r="F67" s="64">
        <v>17.47</v>
      </c>
      <c r="G67" s="64">
        <v>16.53</v>
      </c>
      <c r="H67" s="64">
        <v>10.29</v>
      </c>
      <c r="I67" s="64">
        <v>4.0999999999999996</v>
      </c>
      <c r="J67" s="64">
        <v>0.55000000000000004</v>
      </c>
      <c r="K67" s="64">
        <v>233.75</v>
      </c>
      <c r="L67" s="64">
        <v>39.409999999999997</v>
      </c>
      <c r="M67" s="64">
        <v>25.79</v>
      </c>
      <c r="N67" s="64">
        <v>337.2</v>
      </c>
      <c r="O67" s="64">
        <v>0</v>
      </c>
      <c r="P67" s="64">
        <v>0.39</v>
      </c>
      <c r="Q67" s="64">
        <v>9.49</v>
      </c>
      <c r="R67" s="198"/>
      <c r="S67" s="198"/>
      <c r="T67" s="198"/>
      <c r="U67" s="198"/>
    </row>
    <row r="68" spans="1:21" s="12" customFormat="1" x14ac:dyDescent="0.25">
      <c r="A68" s="214" t="s">
        <v>689</v>
      </c>
      <c r="B68" s="64">
        <v>8.25</v>
      </c>
      <c r="C68" s="64">
        <v>23.63</v>
      </c>
      <c r="D68" s="64">
        <v>29.52</v>
      </c>
      <c r="E68" s="64">
        <v>4.17</v>
      </c>
      <c r="F68" s="64">
        <v>25.05</v>
      </c>
      <c r="G68" s="64">
        <v>16.53</v>
      </c>
      <c r="H68" s="64">
        <v>10.29</v>
      </c>
      <c r="I68" s="64">
        <v>4</v>
      </c>
      <c r="J68" s="64">
        <v>0.73</v>
      </c>
      <c r="K68" s="64">
        <v>159.05000000000001</v>
      </c>
      <c r="L68" s="64">
        <v>39.22</v>
      </c>
      <c r="M68" s="64">
        <v>25.17</v>
      </c>
      <c r="N68" s="64">
        <v>247.2</v>
      </c>
      <c r="O68" s="64">
        <v>0</v>
      </c>
      <c r="P68" s="64">
        <v>0.38</v>
      </c>
      <c r="Q68" s="64">
        <v>9.5</v>
      </c>
      <c r="R68" s="198"/>
      <c r="S68" s="198"/>
      <c r="T68" s="198"/>
      <c r="U68" s="198"/>
    </row>
    <row r="69" spans="1:21" s="12" customFormat="1" x14ac:dyDescent="0.25">
      <c r="A69" s="214" t="s">
        <v>690</v>
      </c>
      <c r="B69" s="64">
        <v>10.25</v>
      </c>
      <c r="C69" s="64">
        <v>26.99</v>
      </c>
      <c r="D69" s="64">
        <v>32.869999999999997</v>
      </c>
      <c r="E69" s="64">
        <v>4.08</v>
      </c>
      <c r="F69" s="64">
        <v>24.84</v>
      </c>
      <c r="G69" s="64">
        <v>24.69</v>
      </c>
      <c r="H69" s="64">
        <v>10.09</v>
      </c>
      <c r="I69" s="64">
        <v>3.98</v>
      </c>
      <c r="J69" s="64">
        <v>0.84</v>
      </c>
      <c r="K69" s="64">
        <v>150.9</v>
      </c>
      <c r="L69" s="64">
        <v>37.9</v>
      </c>
      <c r="M69" s="64">
        <v>26.17</v>
      </c>
      <c r="N69" s="64">
        <v>349</v>
      </c>
      <c r="O69" s="64">
        <v>0</v>
      </c>
      <c r="P69" s="64">
        <v>0.33</v>
      </c>
      <c r="Q69" s="64">
        <v>9.49</v>
      </c>
      <c r="R69" s="198"/>
      <c r="S69" s="198"/>
      <c r="T69" s="198"/>
      <c r="U69" s="198"/>
    </row>
    <row r="70" spans="1:21" s="12" customFormat="1" x14ac:dyDescent="0.25">
      <c r="A70" s="214" t="s">
        <v>691</v>
      </c>
      <c r="B70" s="64">
        <v>7.6</v>
      </c>
      <c r="C70" s="64">
        <v>24.05</v>
      </c>
      <c r="D70" s="64">
        <v>31.32</v>
      </c>
      <c r="E70" s="64">
        <v>3.58</v>
      </c>
      <c r="F70" s="64">
        <v>17.77</v>
      </c>
      <c r="G70" s="64">
        <v>24.69</v>
      </c>
      <c r="H70" s="64">
        <v>10.09</v>
      </c>
      <c r="I70" s="64">
        <v>3.93</v>
      </c>
      <c r="J70" s="64">
        <v>1.0900000000000001</v>
      </c>
      <c r="K70" s="64">
        <v>161.84</v>
      </c>
      <c r="L70" s="64">
        <v>37.83</v>
      </c>
      <c r="M70" s="64">
        <v>26.24</v>
      </c>
      <c r="N70" s="64">
        <v>338.5</v>
      </c>
      <c r="O70" s="64">
        <v>0</v>
      </c>
      <c r="P70" s="64">
        <v>0.34</v>
      </c>
      <c r="Q70" s="64">
        <v>9.49</v>
      </c>
      <c r="R70" s="198"/>
      <c r="S70" s="198"/>
      <c r="T70" s="198"/>
      <c r="U70" s="198"/>
    </row>
    <row r="71" spans="1:21" s="12" customFormat="1" x14ac:dyDescent="0.25">
      <c r="A71" s="214" t="s">
        <v>692</v>
      </c>
      <c r="B71" s="64">
        <v>7.15</v>
      </c>
      <c r="C71" s="64">
        <v>22.49</v>
      </c>
      <c r="D71" s="64">
        <v>29.03</v>
      </c>
      <c r="E71" s="64">
        <v>4.1100000000000003</v>
      </c>
      <c r="F71" s="64">
        <v>24.88</v>
      </c>
      <c r="G71" s="64">
        <v>24.69</v>
      </c>
      <c r="H71" s="64">
        <v>10.09</v>
      </c>
      <c r="I71" s="64">
        <v>4.0199999999999996</v>
      </c>
      <c r="J71" s="64">
        <v>0.5</v>
      </c>
      <c r="K71" s="64">
        <v>180.36</v>
      </c>
      <c r="L71" s="64">
        <v>37.880000000000003</v>
      </c>
      <c r="M71" s="64">
        <v>26.48</v>
      </c>
      <c r="N71" s="64">
        <v>446.2</v>
      </c>
      <c r="O71" s="64">
        <v>0</v>
      </c>
      <c r="P71" s="64">
        <v>0.27</v>
      </c>
      <c r="Q71" s="64">
        <v>9.49</v>
      </c>
      <c r="R71" s="198"/>
      <c r="S71" s="198"/>
      <c r="T71" s="198"/>
      <c r="U71" s="198"/>
    </row>
    <row r="72" spans="1:21" s="12" customFormat="1" x14ac:dyDescent="0.25">
      <c r="A72" s="214" t="s">
        <v>693</v>
      </c>
      <c r="B72" s="64">
        <v>8.2200000000000006</v>
      </c>
      <c r="C72" s="64">
        <v>24.2</v>
      </c>
      <c r="D72" s="64">
        <v>30.66</v>
      </c>
      <c r="E72" s="64">
        <v>4.28</v>
      </c>
      <c r="F72" s="64">
        <v>20.53</v>
      </c>
      <c r="G72" s="64">
        <v>24.69</v>
      </c>
      <c r="H72" s="64">
        <v>10.09</v>
      </c>
      <c r="I72" s="64">
        <v>3.97</v>
      </c>
      <c r="J72" s="64">
        <v>0.19</v>
      </c>
      <c r="K72" s="64">
        <v>214.8</v>
      </c>
      <c r="L72" s="64">
        <v>38.159999999999997</v>
      </c>
      <c r="M72" s="64">
        <v>26.56</v>
      </c>
      <c r="N72" s="64">
        <v>383.7</v>
      </c>
      <c r="O72" s="64">
        <v>0</v>
      </c>
      <c r="P72" s="64">
        <v>0.36</v>
      </c>
      <c r="Q72" s="64">
        <v>9.49</v>
      </c>
      <c r="R72" s="198"/>
      <c r="S72" s="198"/>
      <c r="T72" s="198"/>
      <c r="U72" s="198"/>
    </row>
    <row r="73" spans="1:21" s="12" customFormat="1" x14ac:dyDescent="0.25">
      <c r="A73" s="214" t="s">
        <v>694</v>
      </c>
      <c r="B73" s="64">
        <v>8.85</v>
      </c>
      <c r="C73" s="64">
        <v>27.44</v>
      </c>
      <c r="D73" s="64">
        <v>35.869999999999997</v>
      </c>
      <c r="E73" s="64">
        <v>4.05</v>
      </c>
      <c r="F73" s="64">
        <v>14.55</v>
      </c>
      <c r="G73" s="64">
        <v>24.01</v>
      </c>
      <c r="H73" s="64">
        <v>7.94</v>
      </c>
      <c r="I73" s="64">
        <v>4.13</v>
      </c>
      <c r="J73" s="64">
        <v>0.28000000000000003</v>
      </c>
      <c r="K73" s="64">
        <v>199.89</v>
      </c>
      <c r="L73" s="64">
        <v>38.299999999999997</v>
      </c>
      <c r="M73" s="64">
        <v>26.13</v>
      </c>
      <c r="N73" s="64">
        <v>303.39999999999998</v>
      </c>
      <c r="O73" s="64">
        <v>0</v>
      </c>
      <c r="P73" s="64">
        <v>0.38</v>
      </c>
      <c r="Q73" s="64">
        <v>9.49</v>
      </c>
      <c r="R73" s="198"/>
      <c r="S73" s="198"/>
      <c r="T73" s="198"/>
      <c r="U73" s="198"/>
    </row>
    <row r="74" spans="1:21" s="12" customFormat="1" x14ac:dyDescent="0.25">
      <c r="A74" s="214" t="s">
        <v>695</v>
      </c>
      <c r="B74" s="64">
        <v>7.58</v>
      </c>
      <c r="C74" s="64">
        <v>22.37</v>
      </c>
      <c r="D74" s="64">
        <v>28.14</v>
      </c>
      <c r="E74" s="64">
        <v>4.1100000000000003</v>
      </c>
      <c r="F74" s="64">
        <v>17.64</v>
      </c>
      <c r="G74" s="64">
        <v>24</v>
      </c>
      <c r="H74" s="64">
        <v>7.94</v>
      </c>
      <c r="I74" s="64">
        <v>4.13</v>
      </c>
      <c r="J74" s="64">
        <v>0.49</v>
      </c>
      <c r="K74" s="64">
        <v>160.37</v>
      </c>
      <c r="L74" s="64">
        <v>37.909999999999997</v>
      </c>
      <c r="M74" s="64">
        <v>26</v>
      </c>
      <c r="N74" s="64">
        <v>240.5</v>
      </c>
      <c r="O74" s="64">
        <v>0</v>
      </c>
      <c r="P74" s="64">
        <v>0.32</v>
      </c>
      <c r="Q74" s="64">
        <v>9.51</v>
      </c>
      <c r="R74" s="198"/>
      <c r="S74" s="198"/>
      <c r="T74" s="198"/>
      <c r="U74" s="198"/>
    </row>
    <row r="75" spans="1:21" s="12" customFormat="1" x14ac:dyDescent="0.25">
      <c r="A75" s="214" t="s">
        <v>696</v>
      </c>
      <c r="B75" s="64">
        <v>7.74</v>
      </c>
      <c r="C75" s="64">
        <v>23.34</v>
      </c>
      <c r="D75" s="64">
        <v>29.75</v>
      </c>
      <c r="E75" s="64">
        <v>2.0099999999999998</v>
      </c>
      <c r="F75" s="64">
        <v>13.7</v>
      </c>
      <c r="G75" s="64">
        <v>24</v>
      </c>
      <c r="H75" s="64">
        <v>7.94</v>
      </c>
      <c r="I75" s="64">
        <v>3.96</v>
      </c>
      <c r="J75" s="64">
        <v>0.6</v>
      </c>
      <c r="K75" s="64">
        <v>178.58</v>
      </c>
      <c r="L75" s="64">
        <v>37.840000000000003</v>
      </c>
      <c r="M75" s="64">
        <v>24.96</v>
      </c>
      <c r="N75" s="64">
        <v>143.69999999999999</v>
      </c>
      <c r="O75" s="64">
        <v>0</v>
      </c>
      <c r="P75" s="64">
        <v>0.35</v>
      </c>
      <c r="Q75" s="64">
        <v>9.5</v>
      </c>
      <c r="R75" s="198"/>
      <c r="S75" s="198"/>
      <c r="T75" s="198"/>
      <c r="U75" s="198"/>
    </row>
    <row r="76" spans="1:21" s="12" customFormat="1" x14ac:dyDescent="0.25">
      <c r="A76" s="214" t="s">
        <v>697</v>
      </c>
      <c r="B76" s="64">
        <v>7.15</v>
      </c>
      <c r="C76" s="64">
        <v>23.44</v>
      </c>
      <c r="D76" s="64">
        <v>30.85</v>
      </c>
      <c r="E76" s="64">
        <v>3.2</v>
      </c>
      <c r="F76" s="64">
        <v>18.649999999999999</v>
      </c>
      <c r="G76" s="64">
        <v>24</v>
      </c>
      <c r="H76" s="64">
        <v>7.94</v>
      </c>
      <c r="I76" s="64">
        <v>3.96</v>
      </c>
      <c r="J76" s="64">
        <v>0.55000000000000004</v>
      </c>
      <c r="K76" s="64">
        <v>170.33</v>
      </c>
      <c r="L76" s="64">
        <v>37.68</v>
      </c>
      <c r="M76" s="64">
        <v>25.1</v>
      </c>
      <c r="N76" s="64">
        <v>130.80000000000001</v>
      </c>
      <c r="O76" s="64">
        <v>0</v>
      </c>
      <c r="P76" s="64">
        <v>0.3</v>
      </c>
      <c r="Q76" s="64">
        <v>9.4700000000000006</v>
      </c>
      <c r="R76" s="198"/>
      <c r="S76" s="198"/>
      <c r="T76" s="198"/>
      <c r="U76" s="198"/>
    </row>
    <row r="77" spans="1:21" s="12" customFormat="1" x14ac:dyDescent="0.25">
      <c r="A77" s="214" t="s">
        <v>698</v>
      </c>
      <c r="B77" s="64">
        <v>8.24</v>
      </c>
      <c r="C77" s="64">
        <v>30.65</v>
      </c>
      <c r="D77" s="64">
        <v>42.97</v>
      </c>
      <c r="E77" s="64">
        <v>5.45</v>
      </c>
      <c r="F77" s="64">
        <v>23.32</v>
      </c>
      <c r="G77" s="64">
        <v>12.07</v>
      </c>
      <c r="H77" s="64">
        <v>6.92</v>
      </c>
      <c r="I77" s="64">
        <v>4.0199999999999996</v>
      </c>
      <c r="J77" s="64">
        <v>0.31</v>
      </c>
      <c r="K77" s="64">
        <v>158.41</v>
      </c>
      <c r="L77" s="64">
        <v>37.54</v>
      </c>
      <c r="M77" s="64">
        <v>26.36</v>
      </c>
      <c r="N77" s="64">
        <v>115.6</v>
      </c>
      <c r="O77" s="64">
        <v>0</v>
      </c>
      <c r="P77" s="64">
        <v>0.31</v>
      </c>
      <c r="Q77" s="64">
        <v>9.43</v>
      </c>
      <c r="R77" s="198"/>
      <c r="S77" s="198"/>
      <c r="T77" s="198"/>
      <c r="U77" s="198"/>
    </row>
    <row r="78" spans="1:21" s="12" customFormat="1" x14ac:dyDescent="0.25">
      <c r="A78" s="214" t="s">
        <v>699</v>
      </c>
      <c r="B78" s="64">
        <v>9.17</v>
      </c>
      <c r="C78" s="64">
        <v>32.69</v>
      </c>
      <c r="D78" s="64">
        <v>45.44</v>
      </c>
      <c r="E78" s="64">
        <v>6.49</v>
      </c>
      <c r="F78" s="64">
        <v>24.45</v>
      </c>
      <c r="G78" s="64">
        <v>12.07</v>
      </c>
      <c r="H78" s="64">
        <v>6.92</v>
      </c>
      <c r="I78" s="64">
        <v>3.96</v>
      </c>
      <c r="J78" s="64">
        <v>0.33</v>
      </c>
      <c r="K78" s="64">
        <v>199.07</v>
      </c>
      <c r="L78" s="64">
        <v>37.42</v>
      </c>
      <c r="M78" s="64">
        <v>26.27</v>
      </c>
      <c r="N78" s="64">
        <v>105.1</v>
      </c>
      <c r="O78" s="64">
        <v>0</v>
      </c>
      <c r="P78" s="64">
        <v>0.35</v>
      </c>
      <c r="Q78" s="64">
        <v>9.4600000000000009</v>
      </c>
      <c r="R78" s="198"/>
      <c r="S78" s="198"/>
      <c r="T78" s="198"/>
      <c r="U78" s="198"/>
    </row>
    <row r="79" spans="1:21" s="12" customFormat="1" x14ac:dyDescent="0.25">
      <c r="A79" s="214" t="s">
        <v>700</v>
      </c>
      <c r="B79" s="64">
        <v>14.03</v>
      </c>
      <c r="C79" s="64">
        <v>43.47</v>
      </c>
      <c r="D79" s="64">
        <v>58.62</v>
      </c>
      <c r="E79" s="64">
        <v>6.74</v>
      </c>
      <c r="F79" s="64">
        <v>23.93</v>
      </c>
      <c r="G79" s="64">
        <v>12.07</v>
      </c>
      <c r="H79" s="64">
        <v>6.92</v>
      </c>
      <c r="I79" s="64">
        <v>3.96</v>
      </c>
      <c r="J79" s="64">
        <v>0.16</v>
      </c>
      <c r="K79" s="64">
        <v>184.68</v>
      </c>
      <c r="L79" s="64">
        <v>37.08</v>
      </c>
      <c r="M79" s="64">
        <v>29.16</v>
      </c>
      <c r="N79" s="64">
        <v>88.7</v>
      </c>
      <c r="O79" s="64">
        <v>0</v>
      </c>
      <c r="P79" s="64">
        <v>0.66</v>
      </c>
      <c r="Q79" s="64">
        <v>9.48</v>
      </c>
      <c r="R79" s="198"/>
      <c r="S79" s="198"/>
      <c r="T79" s="198"/>
      <c r="U79" s="198"/>
    </row>
    <row r="80" spans="1:21" s="12" customFormat="1" x14ac:dyDescent="0.25">
      <c r="A80" s="214" t="s">
        <v>701</v>
      </c>
      <c r="B80" s="64">
        <v>10.62</v>
      </c>
      <c r="C80" s="64">
        <v>36.44</v>
      </c>
      <c r="D80" s="64">
        <v>50.39</v>
      </c>
      <c r="E80" s="64">
        <v>7.02</v>
      </c>
      <c r="F80" s="64">
        <v>24.66</v>
      </c>
      <c r="G80" s="64">
        <v>12.07</v>
      </c>
      <c r="H80" s="64">
        <v>6.92</v>
      </c>
      <c r="I80" s="64">
        <v>4.05</v>
      </c>
      <c r="J80" s="64">
        <v>0.2</v>
      </c>
      <c r="K80" s="64">
        <v>94.53</v>
      </c>
      <c r="L80" s="64">
        <v>36.6</v>
      </c>
      <c r="M80" s="64">
        <v>29.83</v>
      </c>
      <c r="N80" s="64">
        <v>74.8</v>
      </c>
      <c r="O80" s="64">
        <v>0</v>
      </c>
      <c r="P80" s="64">
        <v>0.76</v>
      </c>
      <c r="Q80" s="64">
        <v>9.5</v>
      </c>
      <c r="R80" s="198"/>
      <c r="S80" s="198"/>
      <c r="T80" s="198"/>
      <c r="U80" s="198"/>
    </row>
    <row r="81" spans="1:26" s="12" customFormat="1" x14ac:dyDescent="0.25">
      <c r="A81" s="214" t="s">
        <v>702</v>
      </c>
      <c r="B81" s="64">
        <v>21.07</v>
      </c>
      <c r="C81" s="64">
        <v>50.96</v>
      </c>
      <c r="D81" s="64">
        <v>62.15</v>
      </c>
      <c r="E81" s="64">
        <v>6.73</v>
      </c>
      <c r="F81" s="64">
        <v>17.03</v>
      </c>
      <c r="G81" s="64">
        <v>33.04</v>
      </c>
      <c r="H81" s="64">
        <v>9.5</v>
      </c>
      <c r="I81" s="64">
        <v>3.89</v>
      </c>
      <c r="J81" s="64">
        <v>0.14000000000000001</v>
      </c>
      <c r="K81" s="64">
        <v>328.52</v>
      </c>
      <c r="L81" s="64">
        <v>36.06</v>
      </c>
      <c r="M81" s="64">
        <v>36.200000000000003</v>
      </c>
      <c r="N81" s="64">
        <v>61.5</v>
      </c>
      <c r="O81" s="64">
        <v>0</v>
      </c>
      <c r="P81" s="64">
        <v>0.81</v>
      </c>
      <c r="Q81" s="64">
        <v>9.51</v>
      </c>
      <c r="R81" s="198"/>
      <c r="S81" s="198"/>
      <c r="T81" s="198"/>
      <c r="U81" s="198"/>
    </row>
    <row r="82" spans="1:26" s="12" customFormat="1" x14ac:dyDescent="0.25">
      <c r="A82" s="214" t="s">
        <v>703</v>
      </c>
      <c r="B82" s="64">
        <v>45.43</v>
      </c>
      <c r="C82" s="64">
        <v>100.06</v>
      </c>
      <c r="D82" s="64">
        <v>118.74</v>
      </c>
      <c r="E82" s="64">
        <v>6.96</v>
      </c>
      <c r="F82" s="64">
        <v>10.07</v>
      </c>
      <c r="G82" s="64">
        <v>33.04</v>
      </c>
      <c r="H82" s="64">
        <v>9.5299999999999994</v>
      </c>
      <c r="I82" s="64">
        <v>4.05</v>
      </c>
      <c r="J82" s="64">
        <v>0.18</v>
      </c>
      <c r="K82" s="64">
        <v>36.44</v>
      </c>
      <c r="L82" s="64">
        <v>34.99</v>
      </c>
      <c r="M82" s="64">
        <v>36.51</v>
      </c>
      <c r="N82" s="64">
        <v>53.1</v>
      </c>
      <c r="O82" s="64">
        <v>0</v>
      </c>
      <c r="P82" s="64">
        <v>1.43</v>
      </c>
      <c r="Q82" s="64">
        <v>9.48</v>
      </c>
      <c r="R82" s="198"/>
      <c r="S82" s="198"/>
      <c r="T82" s="198"/>
      <c r="U82" s="198"/>
    </row>
    <row r="83" spans="1:26" s="12" customFormat="1" x14ac:dyDescent="0.25">
      <c r="A83" s="214" t="s">
        <v>704</v>
      </c>
      <c r="B83" s="64">
        <v>123.96</v>
      </c>
      <c r="C83" s="64">
        <v>162.31</v>
      </c>
      <c r="D83" s="64">
        <v>117.35</v>
      </c>
      <c r="E83" s="64">
        <v>7.31</v>
      </c>
      <c r="F83" s="64">
        <v>6.84</v>
      </c>
      <c r="G83" s="64">
        <v>33.04</v>
      </c>
      <c r="H83" s="64">
        <v>9.5299999999999994</v>
      </c>
      <c r="I83" s="64">
        <v>4.03</v>
      </c>
      <c r="J83" s="64">
        <v>0.18</v>
      </c>
      <c r="K83" s="64">
        <v>287.13</v>
      </c>
      <c r="L83" s="64">
        <v>34.44</v>
      </c>
      <c r="M83" s="64">
        <v>45.36</v>
      </c>
      <c r="N83" s="64">
        <v>50.8</v>
      </c>
      <c r="O83" s="64">
        <v>0</v>
      </c>
      <c r="P83" s="64">
        <v>2.2400000000000002</v>
      </c>
      <c r="Q83" s="64">
        <v>9.49</v>
      </c>
      <c r="R83" s="198"/>
      <c r="S83" s="198"/>
      <c r="T83" s="198"/>
      <c r="U83" s="198"/>
    </row>
    <row r="84" spans="1:26" s="12" customFormat="1" x14ac:dyDescent="0.25">
      <c r="A84" s="214" t="s">
        <v>705</v>
      </c>
      <c r="B84" s="64">
        <v>188.78</v>
      </c>
      <c r="C84" s="64">
        <v>220.33</v>
      </c>
      <c r="D84" s="64">
        <v>128.91</v>
      </c>
      <c r="E84" s="64">
        <v>8.01</v>
      </c>
      <c r="F84" s="64">
        <v>5.07</v>
      </c>
      <c r="G84" s="64">
        <v>33.04</v>
      </c>
      <c r="H84" s="64">
        <v>9.5299999999999994</v>
      </c>
      <c r="I84" s="64">
        <v>4</v>
      </c>
      <c r="J84" s="64">
        <v>0.23</v>
      </c>
      <c r="K84" s="64">
        <v>277.36</v>
      </c>
      <c r="L84" s="64">
        <v>33.89</v>
      </c>
      <c r="M84" s="64">
        <v>45.1</v>
      </c>
      <c r="N84" s="64">
        <v>50.4</v>
      </c>
      <c r="O84" s="64">
        <v>0</v>
      </c>
      <c r="P84" s="64">
        <v>2.5299999999999998</v>
      </c>
      <c r="Q84" s="64">
        <v>9.49</v>
      </c>
      <c r="R84" s="198"/>
      <c r="S84" s="198"/>
      <c r="T84" s="198"/>
      <c r="U84" s="198"/>
    </row>
    <row r="85" spans="1:26" s="12" customFormat="1" x14ac:dyDescent="0.25">
      <c r="A85" s="214" t="s">
        <v>706</v>
      </c>
      <c r="B85" s="64">
        <v>135.22999999999999</v>
      </c>
      <c r="C85" s="64">
        <v>174.71</v>
      </c>
      <c r="D85" s="64">
        <v>123.78</v>
      </c>
      <c r="E85" s="64">
        <v>7.89</v>
      </c>
      <c r="F85" s="64">
        <v>5.0999999999999996</v>
      </c>
      <c r="G85" s="64">
        <v>53.14</v>
      </c>
      <c r="H85" s="64">
        <v>7.37</v>
      </c>
      <c r="I85" s="64">
        <v>3.93</v>
      </c>
      <c r="J85" s="64">
        <v>0.05</v>
      </c>
      <c r="K85" s="64">
        <v>358.37</v>
      </c>
      <c r="L85" s="64">
        <v>33.450000000000003</v>
      </c>
      <c r="M85" s="64">
        <v>47.93</v>
      </c>
      <c r="N85" s="64">
        <v>50.2</v>
      </c>
      <c r="O85" s="64">
        <v>0</v>
      </c>
      <c r="P85" s="64">
        <v>2.41</v>
      </c>
      <c r="Q85" s="64">
        <v>9.49</v>
      </c>
      <c r="R85" s="198"/>
      <c r="S85" s="198"/>
      <c r="T85" s="198"/>
      <c r="U85" s="198"/>
    </row>
    <row r="86" spans="1:26" s="12" customFormat="1" x14ac:dyDescent="0.25">
      <c r="A86" s="214" t="s">
        <v>707</v>
      </c>
      <c r="B86" s="64">
        <v>122.09</v>
      </c>
      <c r="C86" s="64">
        <v>162.5</v>
      </c>
      <c r="D86" s="64">
        <v>120.59</v>
      </c>
      <c r="E86" s="64">
        <v>7.6</v>
      </c>
      <c r="F86" s="64">
        <v>5.85</v>
      </c>
      <c r="G86" s="64">
        <v>53.14</v>
      </c>
      <c r="H86" s="64">
        <v>7.37</v>
      </c>
      <c r="I86" s="64">
        <v>3.99</v>
      </c>
      <c r="J86" s="64">
        <v>0.17</v>
      </c>
      <c r="K86" s="64">
        <v>318.70999999999998</v>
      </c>
      <c r="L86" s="64">
        <v>33.17</v>
      </c>
      <c r="M86" s="64">
        <v>51.99</v>
      </c>
      <c r="N86" s="64">
        <v>50.3</v>
      </c>
      <c r="O86" s="64">
        <v>0</v>
      </c>
      <c r="P86" s="64">
        <v>3.1</v>
      </c>
      <c r="Q86" s="64">
        <v>9.51</v>
      </c>
      <c r="R86" s="198"/>
      <c r="S86" s="198"/>
      <c r="T86" s="198"/>
      <c r="U86" s="198"/>
    </row>
    <row r="87" spans="1:26" s="12" customFormat="1" x14ac:dyDescent="0.25">
      <c r="A87" s="214" t="s">
        <v>708</v>
      </c>
      <c r="B87" s="64">
        <v>241.02</v>
      </c>
      <c r="C87" s="64">
        <v>264.98</v>
      </c>
      <c r="D87" s="64">
        <v>134.19</v>
      </c>
      <c r="E87" s="64">
        <v>8.8699999999999992</v>
      </c>
      <c r="F87" s="64">
        <v>5.39</v>
      </c>
      <c r="G87" s="64">
        <v>53.14</v>
      </c>
      <c r="H87" s="64">
        <v>7.37</v>
      </c>
      <c r="I87" s="64">
        <v>4.0599999999999996</v>
      </c>
      <c r="J87" s="64">
        <v>0.16</v>
      </c>
      <c r="K87" s="64">
        <v>93.2</v>
      </c>
      <c r="L87" s="64">
        <v>33.229999999999997</v>
      </c>
      <c r="M87" s="64">
        <v>48.07</v>
      </c>
      <c r="N87" s="64">
        <v>49.7</v>
      </c>
      <c r="O87" s="64">
        <v>0</v>
      </c>
      <c r="P87" s="64">
        <v>2.95</v>
      </c>
      <c r="Q87" s="64">
        <v>9.5299999999999994</v>
      </c>
      <c r="R87" s="198"/>
      <c r="S87" s="198"/>
      <c r="T87" s="198"/>
      <c r="U87" s="198"/>
    </row>
    <row r="88" spans="1:26" s="12" customFormat="1" x14ac:dyDescent="0.25">
      <c r="A88" s="214" t="s">
        <v>709</v>
      </c>
      <c r="B88" s="64">
        <v>194.86</v>
      </c>
      <c r="C88" s="64">
        <v>220.38</v>
      </c>
      <c r="D88" s="64">
        <v>119.68</v>
      </c>
      <c r="E88" s="64">
        <v>8.81</v>
      </c>
      <c r="F88" s="64">
        <v>5.83</v>
      </c>
      <c r="G88" s="64">
        <v>53.14</v>
      </c>
      <c r="H88" s="64">
        <v>7.37</v>
      </c>
      <c r="I88" s="64">
        <v>4.07</v>
      </c>
      <c r="J88" s="64">
        <v>0.17</v>
      </c>
      <c r="K88" s="64">
        <v>250.97</v>
      </c>
      <c r="L88" s="64">
        <v>33.119999999999997</v>
      </c>
      <c r="M88" s="64">
        <v>49.69</v>
      </c>
      <c r="N88" s="64">
        <v>49.7</v>
      </c>
      <c r="O88" s="64">
        <v>0</v>
      </c>
      <c r="P88" s="64">
        <v>3.22</v>
      </c>
      <c r="Q88" s="64">
        <v>9.5299999999999994</v>
      </c>
      <c r="R88" s="198"/>
      <c r="S88" s="198"/>
      <c r="T88" s="198"/>
      <c r="U88" s="198"/>
    </row>
    <row r="89" spans="1:26" s="12" customFormat="1" x14ac:dyDescent="0.25">
      <c r="A89" s="214" t="s">
        <v>710</v>
      </c>
      <c r="B89" s="64">
        <v>31.96</v>
      </c>
      <c r="C89" s="64">
        <v>88.31</v>
      </c>
      <c r="D89" s="64">
        <v>116.91</v>
      </c>
      <c r="E89" s="64">
        <v>7.73</v>
      </c>
      <c r="F89" s="64">
        <v>7.56</v>
      </c>
      <c r="G89" s="64">
        <v>86.44</v>
      </c>
      <c r="H89" s="64">
        <v>25.21</v>
      </c>
      <c r="I89" s="64">
        <v>4.01</v>
      </c>
      <c r="J89" s="64">
        <v>0.3</v>
      </c>
      <c r="K89" s="64">
        <v>223.2</v>
      </c>
      <c r="L89" s="64">
        <v>34.04</v>
      </c>
      <c r="M89" s="64">
        <v>37.04</v>
      </c>
      <c r="N89" s="64">
        <v>49</v>
      </c>
      <c r="O89" s="64">
        <v>0</v>
      </c>
      <c r="P89" s="64">
        <v>1.27</v>
      </c>
      <c r="Q89" s="64">
        <v>9.59</v>
      </c>
      <c r="R89" s="198"/>
      <c r="S89" s="198"/>
      <c r="T89" s="198"/>
      <c r="U89" s="198"/>
    </row>
    <row r="90" spans="1:26" s="12" customFormat="1" x14ac:dyDescent="0.25">
      <c r="A90" s="214" t="s">
        <v>711</v>
      </c>
      <c r="B90" s="64">
        <v>171.67</v>
      </c>
      <c r="C90" s="64">
        <v>203.44</v>
      </c>
      <c r="D90" s="64">
        <v>122.84</v>
      </c>
      <c r="E90" s="64">
        <v>7.96</v>
      </c>
      <c r="F90" s="64">
        <v>6.31</v>
      </c>
      <c r="G90" s="64">
        <v>86.44</v>
      </c>
      <c r="H90" s="64">
        <v>25.21</v>
      </c>
      <c r="I90" s="64">
        <v>3.99</v>
      </c>
      <c r="J90" s="64">
        <v>0.18</v>
      </c>
      <c r="K90" s="64">
        <v>284.51</v>
      </c>
      <c r="L90" s="64">
        <v>33.799999999999997</v>
      </c>
      <c r="M90" s="64">
        <v>40.97</v>
      </c>
      <c r="N90" s="64">
        <v>50</v>
      </c>
      <c r="O90" s="64">
        <v>0</v>
      </c>
      <c r="P90" s="64">
        <v>2.54</v>
      </c>
      <c r="Q90" s="64">
        <v>9.65</v>
      </c>
      <c r="R90" s="198"/>
      <c r="S90" s="198"/>
      <c r="T90" s="198"/>
      <c r="U90" s="198"/>
    </row>
    <row r="91" spans="1:26" s="12" customFormat="1" x14ac:dyDescent="0.25">
      <c r="A91" s="214" t="s">
        <v>712</v>
      </c>
      <c r="B91" s="64">
        <v>35.54</v>
      </c>
      <c r="C91" s="64">
        <v>89.78</v>
      </c>
      <c r="D91" s="64">
        <v>114.24</v>
      </c>
      <c r="E91" s="64">
        <v>7.37</v>
      </c>
      <c r="F91" s="64">
        <v>6.73</v>
      </c>
      <c r="G91" s="64">
        <v>86.44</v>
      </c>
      <c r="H91" s="64">
        <v>25.21</v>
      </c>
      <c r="I91" s="64">
        <v>3.95</v>
      </c>
      <c r="J91" s="64">
        <v>0.14000000000000001</v>
      </c>
      <c r="K91" s="64">
        <v>234.93</v>
      </c>
      <c r="L91" s="64">
        <v>33.78</v>
      </c>
      <c r="M91" s="64">
        <v>38.159999999999997</v>
      </c>
      <c r="N91" s="64">
        <v>49.8</v>
      </c>
      <c r="O91" s="64">
        <v>0</v>
      </c>
      <c r="P91" s="64">
        <v>1.35</v>
      </c>
      <c r="Q91" s="64">
        <v>9.67</v>
      </c>
      <c r="R91" s="198"/>
      <c r="S91" s="198"/>
      <c r="T91" s="198"/>
      <c r="U91" s="198"/>
    </row>
    <row r="92" spans="1:26" s="12" customFormat="1" x14ac:dyDescent="0.25">
      <c r="A92" s="214" t="s">
        <v>713</v>
      </c>
      <c r="B92" s="64">
        <v>95.78</v>
      </c>
      <c r="C92" s="64">
        <v>137.15</v>
      </c>
      <c r="D92" s="64">
        <v>112.44</v>
      </c>
      <c r="E92" s="64">
        <v>7.46</v>
      </c>
      <c r="F92" s="64">
        <v>7.46</v>
      </c>
      <c r="G92" s="64">
        <v>86.44</v>
      </c>
      <c r="H92" s="64">
        <v>25.21</v>
      </c>
      <c r="I92" s="64">
        <v>4.04</v>
      </c>
      <c r="J92" s="64">
        <v>0.35</v>
      </c>
      <c r="K92" s="64">
        <v>256.95999999999998</v>
      </c>
      <c r="L92" s="64">
        <v>33.71</v>
      </c>
      <c r="M92" s="64">
        <v>39.19</v>
      </c>
      <c r="N92" s="64">
        <v>50</v>
      </c>
      <c r="O92" s="64">
        <v>0</v>
      </c>
      <c r="P92" s="64">
        <v>1.78</v>
      </c>
      <c r="Q92" s="64">
        <v>9.69</v>
      </c>
      <c r="R92" s="198"/>
      <c r="S92" s="198"/>
      <c r="T92" s="198"/>
      <c r="U92" s="198"/>
    </row>
    <row r="93" spans="1:26" s="12" customFormat="1" x14ac:dyDescent="0.25">
      <c r="A93" s="214" t="s">
        <v>714</v>
      </c>
      <c r="B93" s="64">
        <v>162.30000000000001</v>
      </c>
      <c r="C93" s="64">
        <v>191.1</v>
      </c>
      <c r="D93" s="64">
        <v>113.6</v>
      </c>
      <c r="E93" s="64">
        <v>7.6</v>
      </c>
      <c r="F93" s="64">
        <v>6.09</v>
      </c>
      <c r="G93" s="64">
        <v>81.819999999999993</v>
      </c>
      <c r="H93" s="64">
        <v>24.08</v>
      </c>
      <c r="I93" s="64">
        <v>4.1100000000000003</v>
      </c>
      <c r="J93" s="64">
        <v>0.28999999999999998</v>
      </c>
      <c r="K93" s="64">
        <v>302.24</v>
      </c>
      <c r="L93" s="64">
        <v>33.28</v>
      </c>
      <c r="M93" s="64">
        <v>48.29</v>
      </c>
      <c r="N93" s="64">
        <v>50.4</v>
      </c>
      <c r="O93" s="64">
        <v>0</v>
      </c>
      <c r="P93" s="64">
        <v>3.45</v>
      </c>
      <c r="Q93" s="64">
        <v>9.66</v>
      </c>
      <c r="R93" s="198"/>
      <c r="S93" s="198"/>
      <c r="T93" s="198"/>
      <c r="U93" s="198"/>
    </row>
    <row r="94" spans="1:26" s="12" customFormat="1" x14ac:dyDescent="0.25">
      <c r="A94" s="214" t="s">
        <v>715</v>
      </c>
      <c r="B94" s="64">
        <v>124.89</v>
      </c>
      <c r="C94" s="64">
        <v>159.12</v>
      </c>
      <c r="D94" s="64">
        <v>109.82</v>
      </c>
      <c r="E94" s="64">
        <v>7.97</v>
      </c>
      <c r="F94" s="64">
        <v>5.67</v>
      </c>
      <c r="G94" s="64">
        <v>81.819999999999993</v>
      </c>
      <c r="H94" s="64">
        <v>24.08</v>
      </c>
      <c r="I94" s="64">
        <v>4</v>
      </c>
      <c r="J94" s="64">
        <v>0.4</v>
      </c>
      <c r="K94" s="64">
        <v>260.76</v>
      </c>
      <c r="L94" s="64">
        <v>32.869999999999997</v>
      </c>
      <c r="M94" s="64">
        <v>49.63</v>
      </c>
      <c r="N94" s="64">
        <v>50.6</v>
      </c>
      <c r="O94" s="64">
        <v>0</v>
      </c>
      <c r="P94" s="64">
        <v>2.79</v>
      </c>
      <c r="Q94" s="64">
        <v>9.66</v>
      </c>
      <c r="R94" s="198"/>
      <c r="S94" s="198"/>
      <c r="T94" s="198"/>
      <c r="U94" s="198"/>
    </row>
    <row r="95" spans="1:26" s="12" customFormat="1" x14ac:dyDescent="0.25">
      <c r="A95" s="214" t="s">
        <v>716</v>
      </c>
      <c r="B95" s="64">
        <v>77.34</v>
      </c>
      <c r="C95" s="64">
        <v>103.54</v>
      </c>
      <c r="D95" s="64">
        <v>76.41</v>
      </c>
      <c r="E95" s="64">
        <v>6.96</v>
      </c>
      <c r="F95" s="64">
        <v>5.83</v>
      </c>
      <c r="G95" s="64">
        <v>81.819999999999993</v>
      </c>
      <c r="H95" s="64">
        <v>24.08</v>
      </c>
      <c r="I95" s="64">
        <v>3.86</v>
      </c>
      <c r="J95" s="64">
        <v>0.63</v>
      </c>
      <c r="K95" s="64">
        <v>179.31</v>
      </c>
      <c r="L95" s="64">
        <v>33.32</v>
      </c>
      <c r="M95" s="64">
        <v>41.99</v>
      </c>
      <c r="N95" s="64">
        <v>49</v>
      </c>
      <c r="O95" s="64">
        <v>0</v>
      </c>
      <c r="P95" s="64">
        <v>1.59</v>
      </c>
      <c r="Q95" s="64">
        <v>9.69</v>
      </c>
      <c r="R95" s="198"/>
      <c r="S95" s="198"/>
      <c r="T95" s="198"/>
      <c r="U95" s="198"/>
    </row>
    <row r="96" spans="1:26" s="12" customFormat="1" x14ac:dyDescent="0.25">
      <c r="A96" s="214" t="s">
        <v>717</v>
      </c>
      <c r="B96" s="64">
        <v>26.66</v>
      </c>
      <c r="C96" s="64">
        <v>70.08</v>
      </c>
      <c r="D96" s="64">
        <v>90.16</v>
      </c>
      <c r="E96" s="64">
        <v>6.48</v>
      </c>
      <c r="F96" s="64">
        <v>6.93</v>
      </c>
      <c r="G96" s="64">
        <v>81.819999999999993</v>
      </c>
      <c r="H96" s="64">
        <v>24.08</v>
      </c>
      <c r="I96" s="64">
        <v>4.0199999999999996</v>
      </c>
      <c r="J96" s="64">
        <v>0.38</v>
      </c>
      <c r="K96" s="64">
        <v>211.08</v>
      </c>
      <c r="L96" s="64">
        <v>33.340000000000003</v>
      </c>
      <c r="M96" s="64">
        <v>43.61</v>
      </c>
      <c r="N96" s="64">
        <v>50.4</v>
      </c>
      <c r="O96" s="64">
        <v>0</v>
      </c>
      <c r="P96" s="64">
        <v>0.96</v>
      </c>
      <c r="Q96" s="64">
        <v>9.73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718</v>
      </c>
      <c r="B97" s="64">
        <v>65.58</v>
      </c>
      <c r="C97" s="64">
        <v>87.08</v>
      </c>
      <c r="D97" s="64">
        <v>62.97</v>
      </c>
      <c r="E97" s="64">
        <v>6.16</v>
      </c>
      <c r="F97" s="64">
        <v>6.46</v>
      </c>
      <c r="G97" s="64">
        <v>93.56</v>
      </c>
      <c r="H97" s="64">
        <v>26.93</v>
      </c>
      <c r="I97" s="64">
        <v>3.97</v>
      </c>
      <c r="J97" s="64">
        <v>0.6</v>
      </c>
      <c r="K97" s="64">
        <v>243.69</v>
      </c>
      <c r="L97" s="64">
        <v>32.74</v>
      </c>
      <c r="M97" s="64">
        <v>46.19</v>
      </c>
      <c r="N97" s="64">
        <v>50.5</v>
      </c>
      <c r="O97" s="64">
        <v>0</v>
      </c>
      <c r="P97" s="64">
        <v>1.33</v>
      </c>
      <c r="Q97" s="64">
        <v>9.77</v>
      </c>
      <c r="R97" s="198"/>
      <c r="S97" s="198"/>
      <c r="T97" s="198"/>
      <c r="U97" s="198"/>
    </row>
    <row r="98" spans="1:33" s="12" customFormat="1" x14ac:dyDescent="0.25">
      <c r="A98" s="214" t="s">
        <v>719</v>
      </c>
      <c r="B98" s="64">
        <v>79.14</v>
      </c>
      <c r="C98" s="64">
        <v>86.16</v>
      </c>
      <c r="D98" s="64">
        <v>40.39</v>
      </c>
      <c r="E98" s="64">
        <v>5.83</v>
      </c>
      <c r="F98" s="64">
        <v>6.52</v>
      </c>
      <c r="G98" s="64">
        <v>93.56</v>
      </c>
      <c r="H98" s="64">
        <v>26.93</v>
      </c>
      <c r="I98" s="64">
        <v>4.07</v>
      </c>
      <c r="J98" s="64">
        <v>3.17</v>
      </c>
      <c r="K98" s="64">
        <v>266.05</v>
      </c>
      <c r="L98" s="64">
        <v>32.28</v>
      </c>
      <c r="M98" s="64">
        <v>46.2</v>
      </c>
      <c r="N98" s="64">
        <v>50.3</v>
      </c>
      <c r="O98" s="64">
        <v>0</v>
      </c>
      <c r="P98" s="64">
        <v>1.5</v>
      </c>
      <c r="Q98" s="64">
        <v>9.7899999999999991</v>
      </c>
      <c r="R98" s="198"/>
      <c r="S98" s="198"/>
      <c r="T98" s="198"/>
      <c r="U98" s="198"/>
    </row>
    <row r="99" spans="1:33" s="12" customFormat="1" x14ac:dyDescent="0.25">
      <c r="A99" s="214" t="s">
        <v>720</v>
      </c>
      <c r="B99" s="64">
        <v>64.03</v>
      </c>
      <c r="C99" s="64">
        <v>76.77</v>
      </c>
      <c r="D99" s="64">
        <v>45.6</v>
      </c>
      <c r="E99" s="64">
        <v>5.68</v>
      </c>
      <c r="F99" s="64">
        <v>6.4</v>
      </c>
      <c r="G99" s="64">
        <v>93.56</v>
      </c>
      <c r="H99" s="64">
        <v>26.93</v>
      </c>
      <c r="I99" s="64">
        <v>4.09</v>
      </c>
      <c r="J99" s="64">
        <v>3.09</v>
      </c>
      <c r="K99" s="64">
        <v>263.88</v>
      </c>
      <c r="L99" s="64">
        <v>31.16</v>
      </c>
      <c r="M99" s="64">
        <v>54.72</v>
      </c>
      <c r="N99" s="64">
        <v>60.9</v>
      </c>
      <c r="O99" s="64">
        <v>0.8</v>
      </c>
      <c r="P99" s="64">
        <v>1.3</v>
      </c>
      <c r="Q99" s="64">
        <v>9.81</v>
      </c>
      <c r="R99" s="198"/>
      <c r="S99" s="198"/>
      <c r="T99" s="198"/>
      <c r="U99" s="198"/>
    </row>
    <row r="100" spans="1:33" s="12" customFormat="1" x14ac:dyDescent="0.25">
      <c r="A100" s="214" t="s">
        <v>721</v>
      </c>
      <c r="B100" s="64">
        <v>53.23</v>
      </c>
      <c r="C100" s="64">
        <v>67.39</v>
      </c>
      <c r="D100" s="64">
        <v>44.23</v>
      </c>
      <c r="E100" s="64">
        <v>5.3</v>
      </c>
      <c r="F100" s="64">
        <v>5.89</v>
      </c>
      <c r="G100" s="64">
        <v>93.56</v>
      </c>
      <c r="H100" s="64">
        <v>26.93</v>
      </c>
      <c r="I100" s="64">
        <v>4.01</v>
      </c>
      <c r="J100" s="64">
        <v>2.91</v>
      </c>
      <c r="K100" s="64">
        <v>262.69</v>
      </c>
      <c r="L100" s="64">
        <v>28.16</v>
      </c>
      <c r="M100" s="64">
        <v>73.680000000000007</v>
      </c>
      <c r="N100" s="64">
        <v>54.4</v>
      </c>
      <c r="O100" s="64">
        <v>0</v>
      </c>
      <c r="P100" s="64">
        <v>1.1599999999999999</v>
      </c>
      <c r="Q100" s="64">
        <v>9.82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722</v>
      </c>
      <c r="B101" s="64">
        <v>40.49</v>
      </c>
      <c r="C101" s="64">
        <v>56.89</v>
      </c>
      <c r="D101" s="64">
        <v>43.68</v>
      </c>
      <c r="E101" s="64">
        <v>5.26</v>
      </c>
      <c r="F101" s="64">
        <v>6.35</v>
      </c>
      <c r="G101" s="64">
        <v>81.48</v>
      </c>
      <c r="H101" s="64">
        <v>23.92</v>
      </c>
      <c r="I101" s="64">
        <v>3.97</v>
      </c>
      <c r="J101" s="64">
        <v>1.33</v>
      </c>
      <c r="K101" s="64">
        <v>293.60000000000002</v>
      </c>
      <c r="L101" s="64">
        <v>27.92</v>
      </c>
      <c r="M101" s="64">
        <v>74.73</v>
      </c>
      <c r="N101" s="64">
        <v>53</v>
      </c>
      <c r="O101" s="64">
        <v>0</v>
      </c>
      <c r="P101" s="64">
        <v>1.01</v>
      </c>
      <c r="Q101" s="64">
        <v>9.74</v>
      </c>
      <c r="R101" s="198"/>
      <c r="S101" s="198"/>
      <c r="T101" s="198"/>
      <c r="U101" s="198"/>
    </row>
    <row r="102" spans="1:33" s="12" customFormat="1" x14ac:dyDescent="0.25">
      <c r="A102" s="214" t="s">
        <v>723</v>
      </c>
      <c r="B102" s="64">
        <v>33.89</v>
      </c>
      <c r="C102" s="64">
        <v>50.68</v>
      </c>
      <c r="D102" s="64">
        <v>41.92</v>
      </c>
      <c r="E102" s="64">
        <v>5.34</v>
      </c>
      <c r="F102" s="64">
        <v>8.2799999999999994</v>
      </c>
      <c r="G102" s="64">
        <v>81.48</v>
      </c>
      <c r="H102" s="64">
        <v>23.92</v>
      </c>
      <c r="I102" s="64">
        <v>4.04</v>
      </c>
      <c r="J102" s="64">
        <v>0.92</v>
      </c>
      <c r="K102" s="64">
        <v>347</v>
      </c>
      <c r="L102" s="64">
        <v>28.06</v>
      </c>
      <c r="M102" s="64">
        <v>72.39</v>
      </c>
      <c r="N102" s="64">
        <v>51.3</v>
      </c>
      <c r="O102" s="64">
        <v>0</v>
      </c>
      <c r="P102" s="64">
        <v>0.9</v>
      </c>
      <c r="Q102" s="64">
        <v>9.7200000000000006</v>
      </c>
      <c r="R102" s="198"/>
      <c r="S102" s="198"/>
      <c r="T102" s="198"/>
      <c r="U102" s="198"/>
    </row>
    <row r="103" spans="1:33" s="12" customFormat="1" x14ac:dyDescent="0.25">
      <c r="A103" s="214" t="s">
        <v>724</v>
      </c>
      <c r="B103" s="64">
        <v>32.18</v>
      </c>
      <c r="C103" s="64">
        <v>49.58</v>
      </c>
      <c r="D103" s="64">
        <v>42.46</v>
      </c>
      <c r="E103" s="64">
        <v>5.21</v>
      </c>
      <c r="F103" s="64">
        <v>7.71</v>
      </c>
      <c r="G103" s="64">
        <v>81.48</v>
      </c>
      <c r="H103" s="64">
        <v>23.92</v>
      </c>
      <c r="I103" s="64">
        <v>4.0199999999999996</v>
      </c>
      <c r="J103" s="64">
        <v>0.48</v>
      </c>
      <c r="K103" s="64">
        <v>347.63</v>
      </c>
      <c r="L103" s="64">
        <v>28.3</v>
      </c>
      <c r="M103" s="64">
        <v>69.84</v>
      </c>
      <c r="N103" s="64">
        <v>50.6</v>
      </c>
      <c r="O103" s="64">
        <v>0</v>
      </c>
      <c r="P103" s="64">
        <v>0.84</v>
      </c>
      <c r="Q103" s="64">
        <v>9.68</v>
      </c>
      <c r="R103" s="198"/>
      <c r="S103" s="198"/>
      <c r="T103" s="198"/>
      <c r="U103" s="198"/>
    </row>
    <row r="104" spans="1:33" s="12" customFormat="1" x14ac:dyDescent="0.25">
      <c r="A104" s="214" t="s">
        <v>725</v>
      </c>
      <c r="B104" s="64">
        <v>31.9</v>
      </c>
      <c r="C104" s="64">
        <v>46.35</v>
      </c>
      <c r="D104" s="64">
        <v>36.700000000000003</v>
      </c>
      <c r="E104" s="64">
        <v>4.6100000000000003</v>
      </c>
      <c r="F104" s="64">
        <v>6.55</v>
      </c>
      <c r="G104" s="64">
        <v>81.48</v>
      </c>
      <c r="H104" s="64">
        <v>23.92</v>
      </c>
      <c r="I104" s="64">
        <v>3.99</v>
      </c>
      <c r="J104" s="64">
        <v>1.99</v>
      </c>
      <c r="K104" s="64">
        <v>105.27</v>
      </c>
      <c r="L104" s="64">
        <v>28.35</v>
      </c>
      <c r="M104" s="64">
        <v>68.319999999999993</v>
      </c>
      <c r="N104" s="64">
        <v>49.9</v>
      </c>
      <c r="O104" s="64">
        <v>0</v>
      </c>
      <c r="P104" s="64">
        <v>0.87</v>
      </c>
      <c r="Q104" s="64">
        <v>9.6300000000000008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6.6</v>
      </c>
      <c r="C106" s="67">
        <f>MIN(C9:C104)</f>
        <v>22.27</v>
      </c>
      <c r="D106" s="67">
        <f t="shared" ref="D106:Q106" si="0">MIN(D9:D104)</f>
        <v>26.32</v>
      </c>
      <c r="E106" s="67">
        <f t="shared" si="0"/>
        <v>2.0099999999999998</v>
      </c>
      <c r="F106" s="67">
        <f t="shared" si="0"/>
        <v>5.07</v>
      </c>
      <c r="G106" s="67">
        <f t="shared" si="0"/>
        <v>12.07</v>
      </c>
      <c r="H106" s="67">
        <f t="shared" si="0"/>
        <v>6.92</v>
      </c>
      <c r="I106" s="67">
        <f t="shared" si="0"/>
        <v>3.73</v>
      </c>
      <c r="J106" s="67">
        <f t="shared" si="0"/>
        <v>0.05</v>
      </c>
      <c r="K106" s="67">
        <f t="shared" si="0"/>
        <v>36.44</v>
      </c>
      <c r="L106" s="67">
        <f t="shared" si="0"/>
        <v>27.03</v>
      </c>
      <c r="M106" s="67">
        <f t="shared" si="0"/>
        <v>24.23</v>
      </c>
      <c r="N106" s="67">
        <f t="shared" si="0"/>
        <v>49</v>
      </c>
      <c r="O106" s="67">
        <f t="shared" si="0"/>
        <v>0</v>
      </c>
      <c r="P106" s="67">
        <f t="shared" si="0"/>
        <v>0.27</v>
      </c>
      <c r="Q106" s="67">
        <f t="shared" si="0"/>
        <v>9.43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241.02</v>
      </c>
      <c r="C107" s="66">
        <f t="shared" ref="C107:Q107" si="1">MAX(C9:C104)</f>
        <v>264.98</v>
      </c>
      <c r="D107" s="66">
        <f t="shared" si="1"/>
        <v>134.19</v>
      </c>
      <c r="E107" s="66">
        <f t="shared" si="1"/>
        <v>8.8699999999999992</v>
      </c>
      <c r="F107" s="66">
        <f t="shared" si="1"/>
        <v>25.05</v>
      </c>
      <c r="G107" s="66">
        <f t="shared" si="1"/>
        <v>93.56</v>
      </c>
      <c r="H107" s="66">
        <f t="shared" si="1"/>
        <v>26.93</v>
      </c>
      <c r="I107" s="66">
        <f t="shared" si="1"/>
        <v>4.2</v>
      </c>
      <c r="J107" s="66">
        <f t="shared" si="1"/>
        <v>3.17</v>
      </c>
      <c r="K107" s="66">
        <f t="shared" si="1"/>
        <v>358.37</v>
      </c>
      <c r="L107" s="66">
        <f t="shared" si="1"/>
        <v>39.61</v>
      </c>
      <c r="M107" s="66">
        <f t="shared" si="1"/>
        <v>74.73</v>
      </c>
      <c r="N107" s="66">
        <f t="shared" si="1"/>
        <v>1082.8</v>
      </c>
      <c r="O107" s="66">
        <f t="shared" si="1"/>
        <v>0.8</v>
      </c>
      <c r="P107" s="66">
        <f t="shared" si="1"/>
        <v>3.45</v>
      </c>
      <c r="Q107" s="66">
        <f t="shared" si="1"/>
        <v>9.82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31.508645833333333</v>
      </c>
      <c r="C108" s="67">
        <f t="shared" ref="C108:Q108" si="2">AVERAGE(C9:C104)</f>
        <v>51.93041666666668</v>
      </c>
      <c r="D108" s="67">
        <f t="shared" si="2"/>
        <v>47.981874999999995</v>
      </c>
      <c r="E108" s="67">
        <f t="shared" si="2"/>
        <v>4.5554166666666669</v>
      </c>
      <c r="F108" s="67">
        <f t="shared" si="2"/>
        <v>10.957187500000002</v>
      </c>
      <c r="G108" s="67">
        <f t="shared" si="2"/>
        <v>42.334479166666689</v>
      </c>
      <c r="H108" s="67">
        <f t="shared" si="2"/>
        <v>13.64708333333334</v>
      </c>
      <c r="I108" s="67">
        <f t="shared" si="2"/>
        <v>4.000520833333332</v>
      </c>
      <c r="J108" s="67">
        <f t="shared" si="2"/>
        <v>0.63864583333333325</v>
      </c>
      <c r="K108" s="67">
        <f t="shared" si="2"/>
        <v>216.34385416666666</v>
      </c>
      <c r="L108" s="67">
        <f t="shared" si="2"/>
        <v>33.191562499999996</v>
      </c>
      <c r="M108" s="67">
        <f t="shared" si="2"/>
        <v>44.451458333333328</v>
      </c>
      <c r="N108" s="67">
        <f t="shared" si="2"/>
        <v>328.5729166666668</v>
      </c>
      <c r="O108" s="67">
        <f t="shared" si="2"/>
        <v>8.3333333333333332E-3</v>
      </c>
      <c r="P108" s="67">
        <f t="shared" si="2"/>
        <v>0.77250000000000008</v>
      </c>
      <c r="Q108" s="67">
        <f t="shared" si="2"/>
        <v>9.5702083333333352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47.007833806713137</v>
      </c>
      <c r="C109" s="67">
        <f t="shared" ref="C109:Q109" si="3">STDEV(C9:C104)</f>
        <v>51.76431617724942</v>
      </c>
      <c r="D109" s="67">
        <f t="shared" si="3"/>
        <v>30.112562558105061</v>
      </c>
      <c r="E109" s="67">
        <f t="shared" si="3"/>
        <v>1.8178569897238128</v>
      </c>
      <c r="F109" s="67">
        <f t="shared" si="3"/>
        <v>5.8544339837200985</v>
      </c>
      <c r="G109" s="67">
        <f t="shared" si="3"/>
        <v>22.495440841940496</v>
      </c>
      <c r="H109" s="67">
        <f t="shared" si="3"/>
        <v>5.8497580546758972</v>
      </c>
      <c r="I109" s="67">
        <f t="shared" si="3"/>
        <v>8.2364655062161063E-2</v>
      </c>
      <c r="J109" s="67">
        <f t="shared" si="3"/>
        <v>0.56199947516676518</v>
      </c>
      <c r="K109" s="67">
        <f t="shared" si="3"/>
        <v>71.385514237019919</v>
      </c>
      <c r="L109" s="67">
        <f t="shared" si="3"/>
        <v>3.956300592093613</v>
      </c>
      <c r="M109" s="67">
        <f t="shared" si="3"/>
        <v>14.427977060607091</v>
      </c>
      <c r="N109" s="67">
        <f t="shared" si="3"/>
        <v>329.42979300896536</v>
      </c>
      <c r="O109" s="67">
        <f t="shared" si="3"/>
        <v>8.1649658092772609E-2</v>
      </c>
      <c r="P109" s="67">
        <f t="shared" si="3"/>
        <v>0.73647810558087878</v>
      </c>
      <c r="Q109" s="67">
        <f t="shared" si="3"/>
        <v>8.686322178140532E-2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726</v>
      </c>
      <c r="B9" s="64">
        <v>31.44</v>
      </c>
      <c r="C9" s="64">
        <v>45.92</v>
      </c>
      <c r="D9" s="64">
        <v>36.58</v>
      </c>
      <c r="E9" s="64">
        <v>4.71</v>
      </c>
      <c r="F9" s="64">
        <v>7.27</v>
      </c>
      <c r="G9" s="64">
        <v>57.07</v>
      </c>
      <c r="H9" s="64">
        <v>17.579999999999998</v>
      </c>
      <c r="I9" s="64">
        <v>3.95</v>
      </c>
      <c r="J9" s="64">
        <v>1.69</v>
      </c>
      <c r="K9" s="64">
        <v>100.39</v>
      </c>
      <c r="L9" s="64">
        <v>28.3</v>
      </c>
      <c r="M9" s="64">
        <v>67.349999999999994</v>
      </c>
      <c r="N9" s="64">
        <v>50</v>
      </c>
      <c r="O9" s="64">
        <v>0</v>
      </c>
      <c r="P9" s="64">
        <v>0.84</v>
      </c>
      <c r="Q9" s="64">
        <v>9.59</v>
      </c>
      <c r="R9" s="198"/>
      <c r="S9" s="198"/>
      <c r="T9" s="198"/>
      <c r="U9" s="198"/>
    </row>
    <row r="10" spans="1:21" s="12" customFormat="1" x14ac:dyDescent="0.25">
      <c r="A10" s="214" t="s">
        <v>727</v>
      </c>
      <c r="B10" s="64">
        <v>29.05</v>
      </c>
      <c r="C10" s="64">
        <v>43.74</v>
      </c>
      <c r="D10" s="64">
        <v>36.07</v>
      </c>
      <c r="E10" s="64">
        <v>5.14</v>
      </c>
      <c r="F10" s="64">
        <v>6.65</v>
      </c>
      <c r="G10" s="64">
        <v>57.07</v>
      </c>
      <c r="H10" s="64">
        <v>17.579999999999998</v>
      </c>
      <c r="I10" s="64">
        <v>4.13</v>
      </c>
      <c r="J10" s="64">
        <v>1.87</v>
      </c>
      <c r="K10" s="64">
        <v>103.13</v>
      </c>
      <c r="L10" s="64">
        <v>28.28</v>
      </c>
      <c r="M10" s="64">
        <v>69.12</v>
      </c>
      <c r="N10" s="64">
        <v>50.2</v>
      </c>
      <c r="O10" s="64">
        <v>0</v>
      </c>
      <c r="P10" s="64">
        <v>0.83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4" t="s">
        <v>728</v>
      </c>
      <c r="B11" s="64">
        <v>26.96</v>
      </c>
      <c r="C11" s="64">
        <v>41.92</v>
      </c>
      <c r="D11" s="64">
        <v>35.81</v>
      </c>
      <c r="E11" s="64">
        <v>5.08</v>
      </c>
      <c r="F11" s="64">
        <v>7.17</v>
      </c>
      <c r="G11" s="64">
        <v>57.07</v>
      </c>
      <c r="H11" s="64">
        <v>17.579999999999998</v>
      </c>
      <c r="I11" s="64">
        <v>3.9</v>
      </c>
      <c r="J11" s="64">
        <v>0.8</v>
      </c>
      <c r="K11" s="64">
        <v>103.32</v>
      </c>
      <c r="L11" s="64">
        <v>27.91</v>
      </c>
      <c r="M11" s="64">
        <v>75.47</v>
      </c>
      <c r="N11" s="64">
        <v>50.4</v>
      </c>
      <c r="O11" s="64">
        <v>0</v>
      </c>
      <c r="P11" s="64">
        <v>0.79</v>
      </c>
      <c r="Q11" s="64">
        <v>9.6300000000000008</v>
      </c>
      <c r="R11" s="198"/>
      <c r="S11" s="198"/>
      <c r="T11" s="198"/>
      <c r="U11" s="198"/>
    </row>
    <row r="12" spans="1:21" s="12" customFormat="1" x14ac:dyDescent="0.25">
      <c r="A12" s="214" t="s">
        <v>729</v>
      </c>
      <c r="B12" s="64">
        <v>29</v>
      </c>
      <c r="C12" s="64">
        <v>41.83</v>
      </c>
      <c r="D12" s="64">
        <v>32.5</v>
      </c>
      <c r="E12" s="64">
        <v>5.15</v>
      </c>
      <c r="F12" s="64">
        <v>6.21</v>
      </c>
      <c r="G12" s="64">
        <v>57.07</v>
      </c>
      <c r="H12" s="64">
        <v>17.579999999999998</v>
      </c>
      <c r="I12" s="64">
        <v>3.89</v>
      </c>
      <c r="J12" s="64">
        <v>0.97</v>
      </c>
      <c r="K12" s="64">
        <v>100.74</v>
      </c>
      <c r="L12" s="64">
        <v>27.77</v>
      </c>
      <c r="M12" s="64">
        <v>74.459999999999994</v>
      </c>
      <c r="N12" s="64">
        <v>50.3</v>
      </c>
      <c r="O12" s="64">
        <v>0</v>
      </c>
      <c r="P12" s="64">
        <v>0.8</v>
      </c>
      <c r="Q12" s="64">
        <v>9.64</v>
      </c>
      <c r="R12" s="198"/>
      <c r="S12" s="198"/>
      <c r="T12" s="198"/>
      <c r="U12" s="198"/>
    </row>
    <row r="13" spans="1:21" s="12" customFormat="1" x14ac:dyDescent="0.25">
      <c r="A13" s="214" t="s">
        <v>730</v>
      </c>
      <c r="B13" s="64">
        <v>23.59</v>
      </c>
      <c r="C13" s="64">
        <v>38.39</v>
      </c>
      <c r="D13" s="64">
        <v>34.200000000000003</v>
      </c>
      <c r="E13" s="64">
        <v>5.34</v>
      </c>
      <c r="F13" s="64">
        <v>7.77</v>
      </c>
      <c r="G13" s="64">
        <v>52.39</v>
      </c>
      <c r="H13" s="64">
        <v>18.989999999999998</v>
      </c>
      <c r="I13" s="64">
        <v>4.0599999999999996</v>
      </c>
      <c r="J13" s="64">
        <v>0.25</v>
      </c>
      <c r="K13" s="64">
        <v>289.68</v>
      </c>
      <c r="L13" s="64">
        <v>27.67</v>
      </c>
      <c r="M13" s="64">
        <v>75.13</v>
      </c>
      <c r="N13" s="64">
        <v>50.5</v>
      </c>
      <c r="O13" s="64">
        <v>0</v>
      </c>
      <c r="P13" s="64">
        <v>0.67</v>
      </c>
      <c r="Q13" s="64">
        <v>9.6199999999999992</v>
      </c>
      <c r="R13" s="198"/>
      <c r="S13" s="198"/>
      <c r="T13" s="198"/>
      <c r="U13" s="198"/>
    </row>
    <row r="14" spans="1:21" s="12" customFormat="1" x14ac:dyDescent="0.25">
      <c r="A14" s="214" t="s">
        <v>731</v>
      </c>
      <c r="B14" s="64">
        <v>23.27</v>
      </c>
      <c r="C14" s="64">
        <v>37.4</v>
      </c>
      <c r="D14" s="64">
        <v>32.82</v>
      </c>
      <c r="E14" s="64">
        <v>5.17</v>
      </c>
      <c r="F14" s="64">
        <v>7.79</v>
      </c>
      <c r="G14" s="64">
        <v>52.39</v>
      </c>
      <c r="H14" s="64">
        <v>18.989999999999998</v>
      </c>
      <c r="I14" s="64">
        <v>3.95</v>
      </c>
      <c r="J14" s="64">
        <v>0.43</v>
      </c>
      <c r="K14" s="64">
        <v>261.06</v>
      </c>
      <c r="L14" s="64">
        <v>27.42</v>
      </c>
      <c r="M14" s="64">
        <v>79.27</v>
      </c>
      <c r="N14" s="64">
        <v>50.4</v>
      </c>
      <c r="O14" s="64">
        <v>0</v>
      </c>
      <c r="P14" s="64">
        <v>0.69</v>
      </c>
      <c r="Q14" s="64">
        <v>9.64</v>
      </c>
      <c r="R14" s="198"/>
      <c r="S14" s="198"/>
      <c r="T14" s="198"/>
      <c r="U14" s="198"/>
    </row>
    <row r="15" spans="1:21" s="12" customFormat="1" x14ac:dyDescent="0.25">
      <c r="A15" s="214" t="s">
        <v>732</v>
      </c>
      <c r="B15" s="64">
        <v>20.95</v>
      </c>
      <c r="C15" s="64">
        <v>35.630000000000003</v>
      </c>
      <c r="D15" s="64">
        <v>32.99</v>
      </c>
      <c r="E15" s="64">
        <v>5.09</v>
      </c>
      <c r="F15" s="64">
        <v>7.61</v>
      </c>
      <c r="G15" s="64">
        <v>52.39</v>
      </c>
      <c r="H15" s="64">
        <v>18.989999999999998</v>
      </c>
      <c r="I15" s="64">
        <v>4</v>
      </c>
      <c r="J15" s="64">
        <v>0.34</v>
      </c>
      <c r="K15" s="64">
        <v>274.08</v>
      </c>
      <c r="L15" s="64">
        <v>27.34</v>
      </c>
      <c r="M15" s="64">
        <v>79.77</v>
      </c>
      <c r="N15" s="64">
        <v>50.1</v>
      </c>
      <c r="O15" s="64">
        <v>0</v>
      </c>
      <c r="P15" s="64">
        <v>0.66</v>
      </c>
      <c r="Q15" s="64">
        <v>9.66</v>
      </c>
      <c r="R15" s="198"/>
      <c r="S15" s="198"/>
      <c r="T15" s="198"/>
      <c r="U15" s="198"/>
    </row>
    <row r="16" spans="1:21" s="12" customFormat="1" x14ac:dyDescent="0.25">
      <c r="A16" s="214" t="s">
        <v>733</v>
      </c>
      <c r="B16" s="64">
        <v>19.5</v>
      </c>
      <c r="C16" s="64">
        <v>35.380000000000003</v>
      </c>
      <c r="D16" s="64">
        <v>34.74</v>
      </c>
      <c r="E16" s="64">
        <v>4.91</v>
      </c>
      <c r="F16" s="64">
        <v>8.99</v>
      </c>
      <c r="G16" s="64">
        <v>52.39</v>
      </c>
      <c r="H16" s="64">
        <v>18.989999999999998</v>
      </c>
      <c r="I16" s="64">
        <v>4.03</v>
      </c>
      <c r="J16" s="64">
        <v>0.34</v>
      </c>
      <c r="K16" s="64">
        <v>271.48</v>
      </c>
      <c r="L16" s="64">
        <v>27.58</v>
      </c>
      <c r="M16" s="64">
        <v>76.73</v>
      </c>
      <c r="N16" s="64">
        <v>49.9</v>
      </c>
      <c r="O16" s="64">
        <v>0</v>
      </c>
      <c r="P16" s="64">
        <v>0.57999999999999996</v>
      </c>
      <c r="Q16" s="64">
        <v>9.67</v>
      </c>
      <c r="R16" s="198"/>
      <c r="S16" s="198"/>
      <c r="T16" s="198"/>
      <c r="U16" s="198"/>
    </row>
    <row r="17" spans="1:21" s="12" customFormat="1" x14ac:dyDescent="0.25">
      <c r="A17" s="214" t="s">
        <v>734</v>
      </c>
      <c r="B17" s="64">
        <v>21.16</v>
      </c>
      <c r="C17" s="64">
        <v>35.89</v>
      </c>
      <c r="D17" s="64">
        <v>33.159999999999997</v>
      </c>
      <c r="E17" s="64">
        <v>4.71</v>
      </c>
      <c r="F17" s="64">
        <v>7.18</v>
      </c>
      <c r="G17" s="64">
        <v>37.659999999999997</v>
      </c>
      <c r="H17" s="64">
        <v>16.16</v>
      </c>
      <c r="I17" s="64">
        <v>4</v>
      </c>
      <c r="J17" s="64">
        <v>0.59</v>
      </c>
      <c r="K17" s="64">
        <v>240.12</v>
      </c>
      <c r="L17" s="64">
        <v>27.7</v>
      </c>
      <c r="M17" s="64">
        <v>72.09</v>
      </c>
      <c r="N17" s="64">
        <v>49.5</v>
      </c>
      <c r="O17" s="64">
        <v>0</v>
      </c>
      <c r="P17" s="64">
        <v>0.62</v>
      </c>
      <c r="Q17" s="64">
        <v>9.64</v>
      </c>
      <c r="R17" s="198"/>
      <c r="S17" s="198"/>
      <c r="T17" s="198"/>
      <c r="U17" s="198"/>
    </row>
    <row r="18" spans="1:21" s="12" customFormat="1" x14ac:dyDescent="0.25">
      <c r="A18" s="214" t="s">
        <v>735</v>
      </c>
      <c r="B18" s="64">
        <v>17.8</v>
      </c>
      <c r="C18" s="64">
        <v>32.68</v>
      </c>
      <c r="D18" s="64">
        <v>32.19</v>
      </c>
      <c r="E18" s="64">
        <v>4.91</v>
      </c>
      <c r="F18" s="64">
        <v>7.05</v>
      </c>
      <c r="G18" s="64">
        <v>37.659999999999997</v>
      </c>
      <c r="H18" s="64">
        <v>16.13</v>
      </c>
      <c r="I18" s="64">
        <v>3.94</v>
      </c>
      <c r="J18" s="64">
        <v>0.47</v>
      </c>
      <c r="K18" s="64">
        <v>180.11</v>
      </c>
      <c r="L18" s="64">
        <v>28.33</v>
      </c>
      <c r="M18" s="64">
        <v>67.13</v>
      </c>
      <c r="N18" s="64">
        <v>50</v>
      </c>
      <c r="O18" s="64">
        <v>0</v>
      </c>
      <c r="P18" s="64">
        <v>0.56999999999999995</v>
      </c>
      <c r="Q18" s="64">
        <v>9.65</v>
      </c>
      <c r="R18" s="198"/>
      <c r="S18" s="198"/>
      <c r="T18" s="198"/>
      <c r="U18" s="198"/>
    </row>
    <row r="19" spans="1:21" s="12" customFormat="1" x14ac:dyDescent="0.25">
      <c r="A19" s="214" t="s">
        <v>736</v>
      </c>
      <c r="B19" s="64">
        <v>14.62</v>
      </c>
      <c r="C19" s="64">
        <v>31.43</v>
      </c>
      <c r="D19" s="64">
        <v>34.67</v>
      </c>
      <c r="E19" s="64">
        <v>4.76</v>
      </c>
      <c r="F19" s="64">
        <v>7.64</v>
      </c>
      <c r="G19" s="64">
        <v>37.659999999999997</v>
      </c>
      <c r="H19" s="64">
        <v>16.13</v>
      </c>
      <c r="I19" s="64">
        <v>3.88</v>
      </c>
      <c r="J19" s="64">
        <v>0.56000000000000005</v>
      </c>
      <c r="K19" s="64">
        <v>204.86</v>
      </c>
      <c r="L19" s="64">
        <v>28.16</v>
      </c>
      <c r="M19" s="64">
        <v>72.28</v>
      </c>
      <c r="N19" s="64">
        <v>50.5</v>
      </c>
      <c r="O19" s="64">
        <v>0</v>
      </c>
      <c r="P19" s="64">
        <v>0.47</v>
      </c>
      <c r="Q19" s="64">
        <v>9.65</v>
      </c>
      <c r="R19" s="198"/>
      <c r="S19" s="198"/>
      <c r="T19" s="198"/>
      <c r="U19" s="198"/>
    </row>
    <row r="20" spans="1:21" s="12" customFormat="1" x14ac:dyDescent="0.25">
      <c r="A20" s="214" t="s">
        <v>737</v>
      </c>
      <c r="B20" s="64">
        <v>19</v>
      </c>
      <c r="C20" s="64">
        <v>33.72</v>
      </c>
      <c r="D20" s="64">
        <v>32.340000000000003</v>
      </c>
      <c r="E20" s="64">
        <v>4.6500000000000004</v>
      </c>
      <c r="F20" s="64">
        <v>5.77</v>
      </c>
      <c r="G20" s="64">
        <v>37.659999999999997</v>
      </c>
      <c r="H20" s="64">
        <v>16.13</v>
      </c>
      <c r="I20" s="64">
        <v>3.91</v>
      </c>
      <c r="J20" s="64">
        <v>0.87</v>
      </c>
      <c r="K20" s="64">
        <v>237.66</v>
      </c>
      <c r="L20" s="64">
        <v>27.71</v>
      </c>
      <c r="M20" s="64">
        <v>76.33</v>
      </c>
      <c r="N20" s="64">
        <v>50.6</v>
      </c>
      <c r="O20" s="64">
        <v>0</v>
      </c>
      <c r="P20" s="64">
        <v>0.59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4" t="s">
        <v>738</v>
      </c>
      <c r="B21" s="64">
        <v>18.5</v>
      </c>
      <c r="C21" s="64">
        <v>32.979999999999997</v>
      </c>
      <c r="D21" s="64">
        <v>31.68</v>
      </c>
      <c r="E21" s="64">
        <v>4.4000000000000004</v>
      </c>
      <c r="F21" s="64">
        <v>5.77</v>
      </c>
      <c r="G21" s="64">
        <v>34.729999999999997</v>
      </c>
      <c r="H21" s="64">
        <v>11.55</v>
      </c>
      <c r="I21" s="64">
        <v>4.0999999999999996</v>
      </c>
      <c r="J21" s="64">
        <v>0.48</v>
      </c>
      <c r="K21" s="64">
        <v>226.92</v>
      </c>
      <c r="L21" s="64">
        <v>27.73</v>
      </c>
      <c r="M21" s="64">
        <v>71.010000000000005</v>
      </c>
      <c r="N21" s="64">
        <v>50.5</v>
      </c>
      <c r="O21" s="64">
        <v>0</v>
      </c>
      <c r="P21" s="64">
        <v>0.56999999999999995</v>
      </c>
      <c r="Q21" s="64">
        <v>9.64</v>
      </c>
      <c r="R21" s="198"/>
      <c r="S21" s="198"/>
      <c r="T21" s="198"/>
      <c r="U21" s="198"/>
    </row>
    <row r="22" spans="1:21" s="12" customFormat="1" x14ac:dyDescent="0.25">
      <c r="A22" s="214" t="s">
        <v>739</v>
      </c>
      <c r="B22" s="64">
        <v>14.83</v>
      </c>
      <c r="C22" s="64">
        <v>29.71</v>
      </c>
      <c r="D22" s="64">
        <v>31.06</v>
      </c>
      <c r="E22" s="64">
        <v>4.71</v>
      </c>
      <c r="F22" s="64">
        <v>7.63</v>
      </c>
      <c r="G22" s="64">
        <v>34.69</v>
      </c>
      <c r="H22" s="64">
        <v>11.55</v>
      </c>
      <c r="I22" s="64">
        <v>4.0199999999999996</v>
      </c>
      <c r="J22" s="64">
        <v>0.35</v>
      </c>
      <c r="K22" s="64">
        <v>232.86</v>
      </c>
      <c r="L22" s="64">
        <v>27.77</v>
      </c>
      <c r="M22" s="64">
        <v>66.09</v>
      </c>
      <c r="N22" s="64">
        <v>50.4</v>
      </c>
      <c r="O22" s="64">
        <v>0</v>
      </c>
      <c r="P22" s="64">
        <v>0.43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4" t="s">
        <v>740</v>
      </c>
      <c r="B23" s="64">
        <v>12.45</v>
      </c>
      <c r="C23" s="64">
        <v>26.51</v>
      </c>
      <c r="D23" s="64">
        <v>28.58</v>
      </c>
      <c r="E23" s="64">
        <v>4.8099999999999996</v>
      </c>
      <c r="F23" s="64">
        <v>9.44</v>
      </c>
      <c r="G23" s="64">
        <v>34.69</v>
      </c>
      <c r="H23" s="64">
        <v>11.55</v>
      </c>
      <c r="I23" s="64">
        <v>3.98</v>
      </c>
      <c r="J23" s="64">
        <v>0.36</v>
      </c>
      <c r="K23" s="64">
        <v>211.16</v>
      </c>
      <c r="L23" s="64">
        <v>27.85</v>
      </c>
      <c r="M23" s="64">
        <v>63.54</v>
      </c>
      <c r="N23" s="64">
        <v>50.3</v>
      </c>
      <c r="O23" s="64">
        <v>0</v>
      </c>
      <c r="P23" s="64">
        <v>0.35</v>
      </c>
      <c r="Q23" s="64">
        <v>9.65</v>
      </c>
      <c r="R23" s="198"/>
      <c r="S23" s="198"/>
      <c r="T23" s="198"/>
      <c r="U23" s="198"/>
    </row>
    <row r="24" spans="1:21" s="12" customFormat="1" x14ac:dyDescent="0.25">
      <c r="A24" s="214" t="s">
        <v>741</v>
      </c>
      <c r="B24" s="64">
        <v>11.52</v>
      </c>
      <c r="C24" s="64">
        <v>25.57</v>
      </c>
      <c r="D24" s="64">
        <v>28.2</v>
      </c>
      <c r="E24" s="64">
        <v>4.43</v>
      </c>
      <c r="F24" s="64">
        <v>10.72</v>
      </c>
      <c r="G24" s="64">
        <v>34.69</v>
      </c>
      <c r="H24" s="64">
        <v>11.55</v>
      </c>
      <c r="I24" s="64">
        <v>3.98</v>
      </c>
      <c r="J24" s="64">
        <v>0.22</v>
      </c>
      <c r="K24" s="64">
        <v>227.61</v>
      </c>
      <c r="L24" s="64">
        <v>27.58</v>
      </c>
      <c r="M24" s="64">
        <v>66.400000000000006</v>
      </c>
      <c r="N24" s="64">
        <v>50.5</v>
      </c>
      <c r="O24" s="64">
        <v>0</v>
      </c>
      <c r="P24" s="64">
        <v>0.3</v>
      </c>
      <c r="Q24" s="64">
        <v>9.64</v>
      </c>
      <c r="R24" s="198"/>
      <c r="S24" s="198"/>
      <c r="T24" s="198"/>
      <c r="U24" s="198"/>
    </row>
    <row r="25" spans="1:21" s="12" customFormat="1" x14ac:dyDescent="0.25">
      <c r="A25" s="214" t="s">
        <v>742</v>
      </c>
      <c r="B25" s="64">
        <v>12.18</v>
      </c>
      <c r="C25" s="64">
        <v>26.94</v>
      </c>
      <c r="D25" s="64">
        <v>29.82</v>
      </c>
      <c r="E25" s="64">
        <v>4.8</v>
      </c>
      <c r="F25" s="64">
        <v>9.1999999999999993</v>
      </c>
      <c r="G25" s="64">
        <v>33.68</v>
      </c>
      <c r="H25" s="64">
        <v>8.84</v>
      </c>
      <c r="I25" s="64">
        <v>4.07</v>
      </c>
      <c r="J25" s="64">
        <v>0.35</v>
      </c>
      <c r="K25" s="64">
        <v>134.97</v>
      </c>
      <c r="L25" s="64">
        <v>27.44</v>
      </c>
      <c r="M25" s="64">
        <v>67.739999999999995</v>
      </c>
      <c r="N25" s="64">
        <v>50.3</v>
      </c>
      <c r="O25" s="64">
        <v>0</v>
      </c>
      <c r="P25" s="64">
        <v>0.32</v>
      </c>
      <c r="Q25" s="64">
        <v>9.6300000000000008</v>
      </c>
      <c r="R25" s="198"/>
      <c r="S25" s="198"/>
      <c r="T25" s="198"/>
      <c r="U25" s="198"/>
    </row>
    <row r="26" spans="1:21" s="12" customFormat="1" x14ac:dyDescent="0.25">
      <c r="A26" s="214" t="s">
        <v>743</v>
      </c>
      <c r="B26" s="64">
        <v>12.75</v>
      </c>
      <c r="C26" s="64">
        <v>27.9</v>
      </c>
      <c r="D26" s="64">
        <v>30.77</v>
      </c>
      <c r="E26" s="64">
        <v>4.58</v>
      </c>
      <c r="F26" s="64">
        <v>9.0299999999999994</v>
      </c>
      <c r="G26" s="64">
        <v>33.68</v>
      </c>
      <c r="H26" s="64">
        <v>8.84</v>
      </c>
      <c r="I26" s="64">
        <v>3.94</v>
      </c>
      <c r="J26" s="64">
        <v>0.22</v>
      </c>
      <c r="K26" s="64">
        <v>121.71</v>
      </c>
      <c r="L26" s="64">
        <v>27.51</v>
      </c>
      <c r="M26" s="64">
        <v>64.33</v>
      </c>
      <c r="N26" s="64">
        <v>50.1</v>
      </c>
      <c r="O26" s="64">
        <v>0</v>
      </c>
      <c r="P26" s="64">
        <v>0.32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4" t="s">
        <v>744</v>
      </c>
      <c r="B27" s="64">
        <v>13.59</v>
      </c>
      <c r="C27" s="64">
        <v>28.5</v>
      </c>
      <c r="D27" s="64">
        <v>30.63</v>
      </c>
      <c r="E27" s="64">
        <v>4.29</v>
      </c>
      <c r="F27" s="64">
        <v>8.68</v>
      </c>
      <c r="G27" s="64">
        <v>33.68</v>
      </c>
      <c r="H27" s="64">
        <v>8.84</v>
      </c>
      <c r="I27" s="64">
        <v>3.93</v>
      </c>
      <c r="J27" s="64">
        <v>0.06</v>
      </c>
      <c r="K27" s="64">
        <v>190.23</v>
      </c>
      <c r="L27" s="64">
        <v>27.69</v>
      </c>
      <c r="M27" s="64">
        <v>62.74</v>
      </c>
      <c r="N27" s="64">
        <v>50.3</v>
      </c>
      <c r="O27" s="64">
        <v>0</v>
      </c>
      <c r="P27" s="64">
        <v>0.32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4" t="s">
        <v>745</v>
      </c>
      <c r="B28" s="64">
        <v>13.35</v>
      </c>
      <c r="C28" s="64">
        <v>28.25</v>
      </c>
      <c r="D28" s="64">
        <v>30.52</v>
      </c>
      <c r="E28" s="64">
        <v>4.8</v>
      </c>
      <c r="F28" s="64">
        <v>9.2799999999999994</v>
      </c>
      <c r="G28" s="64">
        <v>33.68</v>
      </c>
      <c r="H28" s="64">
        <v>8.84</v>
      </c>
      <c r="I28" s="64">
        <v>3.93</v>
      </c>
      <c r="J28" s="64">
        <v>0.82</v>
      </c>
      <c r="K28" s="64">
        <v>90.58</v>
      </c>
      <c r="L28" s="64">
        <v>27.86</v>
      </c>
      <c r="M28" s="64">
        <v>59.99</v>
      </c>
      <c r="N28" s="64">
        <v>49.5</v>
      </c>
      <c r="O28" s="64">
        <v>0</v>
      </c>
      <c r="P28" s="64">
        <v>0.32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4" t="s">
        <v>746</v>
      </c>
      <c r="B29" s="64">
        <v>13.91</v>
      </c>
      <c r="C29" s="64">
        <v>28.79</v>
      </c>
      <c r="D29" s="64">
        <v>30.7</v>
      </c>
      <c r="E29" s="64">
        <v>4.6100000000000003</v>
      </c>
      <c r="F29" s="64">
        <v>8.3000000000000007</v>
      </c>
      <c r="G29" s="64">
        <v>28.31</v>
      </c>
      <c r="H29" s="64">
        <v>7.9</v>
      </c>
      <c r="I29" s="64">
        <v>3.95</v>
      </c>
      <c r="J29" s="64">
        <v>0.86</v>
      </c>
      <c r="K29" s="64">
        <v>85.08</v>
      </c>
      <c r="L29" s="64">
        <v>28.22</v>
      </c>
      <c r="M29" s="64">
        <v>58.34</v>
      </c>
      <c r="N29" s="64">
        <v>50</v>
      </c>
      <c r="O29" s="64">
        <v>0</v>
      </c>
      <c r="P29" s="64">
        <v>0.32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14" t="s">
        <v>747</v>
      </c>
      <c r="B30" s="64">
        <v>16.64</v>
      </c>
      <c r="C30" s="64">
        <v>29.79</v>
      </c>
      <c r="D30" s="64">
        <v>28.42</v>
      </c>
      <c r="E30" s="64">
        <v>5.07</v>
      </c>
      <c r="F30" s="64">
        <v>6.76</v>
      </c>
      <c r="G30" s="64">
        <v>28.31</v>
      </c>
      <c r="H30" s="64">
        <v>7.9</v>
      </c>
      <c r="I30" s="64">
        <v>4.01</v>
      </c>
      <c r="J30" s="64">
        <v>0.34</v>
      </c>
      <c r="K30" s="64">
        <v>130.51</v>
      </c>
      <c r="L30" s="64">
        <v>28.09</v>
      </c>
      <c r="M30" s="64">
        <v>59.2</v>
      </c>
      <c r="N30" s="64">
        <v>53.2</v>
      </c>
      <c r="O30" s="64">
        <v>0</v>
      </c>
      <c r="P30" s="64">
        <v>0.44</v>
      </c>
      <c r="Q30" s="64">
        <v>9.6300000000000008</v>
      </c>
      <c r="R30" s="198"/>
      <c r="S30" s="198"/>
      <c r="T30" s="198"/>
      <c r="U30" s="198"/>
    </row>
    <row r="31" spans="1:21" s="12" customFormat="1" x14ac:dyDescent="0.25">
      <c r="A31" s="214" t="s">
        <v>748</v>
      </c>
      <c r="B31" s="64">
        <v>17.41</v>
      </c>
      <c r="C31" s="64">
        <v>30.71</v>
      </c>
      <c r="D31" s="64">
        <v>29.02</v>
      </c>
      <c r="E31" s="64">
        <v>5.0199999999999996</v>
      </c>
      <c r="F31" s="64">
        <v>5.93</v>
      </c>
      <c r="G31" s="64">
        <v>28.31</v>
      </c>
      <c r="H31" s="64">
        <v>7.9</v>
      </c>
      <c r="I31" s="64">
        <v>3.99</v>
      </c>
      <c r="J31" s="64">
        <v>0.53</v>
      </c>
      <c r="K31" s="64">
        <v>164.31</v>
      </c>
      <c r="L31" s="64">
        <v>28.03</v>
      </c>
      <c r="M31" s="64">
        <v>59.67</v>
      </c>
      <c r="N31" s="64">
        <v>60.8</v>
      </c>
      <c r="O31" s="64">
        <v>0</v>
      </c>
      <c r="P31" s="64">
        <v>0.4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4" t="s">
        <v>749</v>
      </c>
      <c r="B32" s="64">
        <v>17.989999999999998</v>
      </c>
      <c r="C32" s="64">
        <v>32.630000000000003</v>
      </c>
      <c r="D32" s="64">
        <v>31.8</v>
      </c>
      <c r="E32" s="64">
        <v>4.4800000000000004</v>
      </c>
      <c r="F32" s="64">
        <v>5.9</v>
      </c>
      <c r="G32" s="64">
        <v>28.31</v>
      </c>
      <c r="H32" s="64">
        <v>7.9</v>
      </c>
      <c r="I32" s="64">
        <v>3.94</v>
      </c>
      <c r="J32" s="64">
        <v>0.22</v>
      </c>
      <c r="K32" s="64">
        <v>272.31</v>
      </c>
      <c r="L32" s="64">
        <v>27.88</v>
      </c>
      <c r="M32" s="64">
        <v>66.23</v>
      </c>
      <c r="N32" s="64">
        <v>69.599999999999994</v>
      </c>
      <c r="O32" s="64">
        <v>0</v>
      </c>
      <c r="P32" s="64">
        <v>0.42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4" t="s">
        <v>750</v>
      </c>
      <c r="B33" s="64">
        <v>20.85</v>
      </c>
      <c r="C33" s="64">
        <v>34.450000000000003</v>
      </c>
      <c r="D33" s="64">
        <v>30.89</v>
      </c>
      <c r="E33" s="64">
        <v>4.68</v>
      </c>
      <c r="F33" s="64">
        <v>5.83</v>
      </c>
      <c r="G33" s="64">
        <v>33.630000000000003</v>
      </c>
      <c r="H33" s="64">
        <v>10.46</v>
      </c>
      <c r="I33" s="64">
        <v>3.88</v>
      </c>
      <c r="J33" s="64">
        <v>0.61</v>
      </c>
      <c r="K33" s="64">
        <v>251.62</v>
      </c>
      <c r="L33" s="64">
        <v>27.84</v>
      </c>
      <c r="M33" s="64">
        <v>65.430000000000007</v>
      </c>
      <c r="N33" s="64">
        <v>73</v>
      </c>
      <c r="O33" s="64">
        <v>0</v>
      </c>
      <c r="P33" s="64">
        <v>0.41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14" t="s">
        <v>751</v>
      </c>
      <c r="B34" s="64">
        <v>20.010000000000002</v>
      </c>
      <c r="C34" s="64">
        <v>33.79</v>
      </c>
      <c r="D34" s="64">
        <v>30.91</v>
      </c>
      <c r="E34" s="64">
        <v>4.8899999999999997</v>
      </c>
      <c r="F34" s="64">
        <v>5.5</v>
      </c>
      <c r="G34" s="64">
        <v>33.68</v>
      </c>
      <c r="H34" s="64">
        <v>10.46</v>
      </c>
      <c r="I34" s="64">
        <v>3.93</v>
      </c>
      <c r="J34" s="64">
        <v>0.6</v>
      </c>
      <c r="K34" s="64">
        <v>239.6</v>
      </c>
      <c r="L34" s="64">
        <v>27.95</v>
      </c>
      <c r="M34" s="64">
        <v>62.41</v>
      </c>
      <c r="N34" s="64">
        <v>87.8</v>
      </c>
      <c r="O34" s="64">
        <v>0</v>
      </c>
      <c r="P34" s="64">
        <v>0.41</v>
      </c>
      <c r="Q34" s="64">
        <v>9.6300000000000008</v>
      </c>
      <c r="R34" s="198"/>
      <c r="S34" s="198"/>
      <c r="T34" s="198"/>
      <c r="U34" s="198"/>
    </row>
    <row r="35" spans="1:21" s="12" customFormat="1" x14ac:dyDescent="0.25">
      <c r="A35" s="214" t="s">
        <v>752</v>
      </c>
      <c r="B35" s="64">
        <v>19.989999999999998</v>
      </c>
      <c r="C35" s="64">
        <v>33.72</v>
      </c>
      <c r="D35" s="64">
        <v>30.81</v>
      </c>
      <c r="E35" s="64">
        <v>4.6900000000000004</v>
      </c>
      <c r="F35" s="64">
        <v>5.52</v>
      </c>
      <c r="G35" s="64">
        <v>33.68</v>
      </c>
      <c r="H35" s="64">
        <v>10.46</v>
      </c>
      <c r="I35" s="64">
        <v>3.92</v>
      </c>
      <c r="J35" s="64">
        <v>0.51</v>
      </c>
      <c r="K35" s="64">
        <v>246.66</v>
      </c>
      <c r="L35" s="64">
        <v>27.89</v>
      </c>
      <c r="M35" s="64">
        <v>63.53</v>
      </c>
      <c r="N35" s="64">
        <v>96.2</v>
      </c>
      <c r="O35" s="64">
        <v>0</v>
      </c>
      <c r="P35" s="64">
        <v>0.41</v>
      </c>
      <c r="Q35" s="64">
        <v>9.6300000000000008</v>
      </c>
      <c r="R35" s="198"/>
      <c r="S35" s="198"/>
      <c r="T35" s="198"/>
      <c r="U35" s="198"/>
    </row>
    <row r="36" spans="1:21" s="12" customFormat="1" x14ac:dyDescent="0.25">
      <c r="A36" s="214" t="s">
        <v>753</v>
      </c>
      <c r="B36" s="64">
        <v>19.510000000000002</v>
      </c>
      <c r="C36" s="64">
        <v>33.380000000000003</v>
      </c>
      <c r="D36" s="64">
        <v>30.9</v>
      </c>
      <c r="E36" s="64">
        <v>4.62</v>
      </c>
      <c r="F36" s="64">
        <v>5.75</v>
      </c>
      <c r="G36" s="64">
        <v>33.68</v>
      </c>
      <c r="H36" s="64">
        <v>10.46</v>
      </c>
      <c r="I36" s="64">
        <v>4.05</v>
      </c>
      <c r="J36" s="64">
        <v>0.47</v>
      </c>
      <c r="K36" s="64">
        <v>255.28</v>
      </c>
      <c r="L36" s="64">
        <v>28.2</v>
      </c>
      <c r="M36" s="64">
        <v>62.35</v>
      </c>
      <c r="N36" s="64">
        <v>126</v>
      </c>
      <c r="O36" s="64">
        <v>0</v>
      </c>
      <c r="P36" s="64">
        <v>0.4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14" t="s">
        <v>754</v>
      </c>
      <c r="B37" s="64">
        <v>19.68</v>
      </c>
      <c r="C37" s="64">
        <v>34</v>
      </c>
      <c r="D37" s="64">
        <v>31.82</v>
      </c>
      <c r="E37" s="64">
        <v>4.6100000000000003</v>
      </c>
      <c r="F37" s="64">
        <v>5.78</v>
      </c>
      <c r="G37" s="64">
        <v>33.35</v>
      </c>
      <c r="H37" s="64">
        <v>8.9600000000000009</v>
      </c>
      <c r="I37" s="64">
        <v>3.96</v>
      </c>
      <c r="J37" s="64">
        <v>0.57999999999999996</v>
      </c>
      <c r="K37" s="64">
        <v>258.13</v>
      </c>
      <c r="L37" s="64">
        <v>28.64</v>
      </c>
      <c r="M37" s="64">
        <v>61.62</v>
      </c>
      <c r="N37" s="64">
        <v>169</v>
      </c>
      <c r="O37" s="64">
        <v>0</v>
      </c>
      <c r="P37" s="64">
        <v>0.43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4" t="s">
        <v>755</v>
      </c>
      <c r="B38" s="64">
        <v>19.940000000000001</v>
      </c>
      <c r="C38" s="64">
        <v>34.340000000000003</v>
      </c>
      <c r="D38" s="64">
        <v>32.06</v>
      </c>
      <c r="E38" s="64">
        <v>4.7</v>
      </c>
      <c r="F38" s="64">
        <v>5.79</v>
      </c>
      <c r="G38" s="64">
        <v>33.35</v>
      </c>
      <c r="H38" s="64">
        <v>8.9499999999999993</v>
      </c>
      <c r="I38" s="64">
        <v>4.07</v>
      </c>
      <c r="J38" s="64">
        <v>0.63</v>
      </c>
      <c r="K38" s="64">
        <v>257.89</v>
      </c>
      <c r="L38" s="64">
        <v>29.54</v>
      </c>
      <c r="M38" s="64">
        <v>59.02</v>
      </c>
      <c r="N38" s="64">
        <v>248.9</v>
      </c>
      <c r="O38" s="64">
        <v>0</v>
      </c>
      <c r="P38" s="64">
        <v>0.48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4" t="s">
        <v>756</v>
      </c>
      <c r="B39" s="64">
        <v>20.260000000000002</v>
      </c>
      <c r="C39" s="64">
        <v>34.26</v>
      </c>
      <c r="D39" s="64">
        <v>31.43</v>
      </c>
      <c r="E39" s="64">
        <v>4.63</v>
      </c>
      <c r="F39" s="64">
        <v>5.83</v>
      </c>
      <c r="G39" s="64">
        <v>33.35</v>
      </c>
      <c r="H39" s="64">
        <v>8.9499999999999993</v>
      </c>
      <c r="I39" s="64">
        <v>4.07</v>
      </c>
      <c r="J39" s="64">
        <v>0.54</v>
      </c>
      <c r="K39" s="64">
        <v>258.25</v>
      </c>
      <c r="L39" s="64">
        <v>30.58</v>
      </c>
      <c r="M39" s="64">
        <v>54.58</v>
      </c>
      <c r="N39" s="64">
        <v>202.3</v>
      </c>
      <c r="O39" s="64">
        <v>0</v>
      </c>
      <c r="P39" s="64">
        <v>0.47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14" t="s">
        <v>757</v>
      </c>
      <c r="B40" s="64">
        <v>21.22</v>
      </c>
      <c r="C40" s="64">
        <v>39.07</v>
      </c>
      <c r="D40" s="64">
        <v>39.159999999999997</v>
      </c>
      <c r="E40" s="64">
        <v>5.38</v>
      </c>
      <c r="F40" s="64">
        <v>6.72</v>
      </c>
      <c r="G40" s="64">
        <v>33.35</v>
      </c>
      <c r="H40" s="64">
        <v>8.9499999999999993</v>
      </c>
      <c r="I40" s="64">
        <v>3.82</v>
      </c>
      <c r="J40" s="64">
        <v>0.49</v>
      </c>
      <c r="K40" s="64">
        <v>257.99</v>
      </c>
      <c r="L40" s="64">
        <v>30.55</v>
      </c>
      <c r="M40" s="64">
        <v>54.81</v>
      </c>
      <c r="N40" s="64">
        <v>205.4</v>
      </c>
      <c r="O40" s="64">
        <v>0</v>
      </c>
      <c r="P40" s="64">
        <v>0.47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4" t="s">
        <v>758</v>
      </c>
      <c r="B41" s="64">
        <v>22.3</v>
      </c>
      <c r="C41" s="64">
        <v>40.15</v>
      </c>
      <c r="D41" s="64">
        <v>39.58</v>
      </c>
      <c r="E41" s="64">
        <v>4.92</v>
      </c>
      <c r="F41" s="64">
        <v>7.89</v>
      </c>
      <c r="G41" s="64">
        <v>36.19</v>
      </c>
      <c r="H41" s="64">
        <v>10.029999999999999</v>
      </c>
      <c r="I41" s="64">
        <v>4.03</v>
      </c>
      <c r="J41" s="64">
        <v>0.54</v>
      </c>
      <c r="K41" s="64">
        <v>260.74</v>
      </c>
      <c r="L41" s="64">
        <v>31.3</v>
      </c>
      <c r="M41" s="64">
        <v>52.42</v>
      </c>
      <c r="N41" s="64">
        <v>466.8</v>
      </c>
      <c r="O41" s="64">
        <v>0</v>
      </c>
      <c r="P41" s="64">
        <v>0.47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4" t="s">
        <v>759</v>
      </c>
      <c r="B42" s="64">
        <v>21.56</v>
      </c>
      <c r="C42" s="64">
        <v>36.79</v>
      </c>
      <c r="D42" s="64">
        <v>34.29</v>
      </c>
      <c r="E42" s="64">
        <v>4.33</v>
      </c>
      <c r="F42" s="64">
        <v>7.85</v>
      </c>
      <c r="G42" s="64">
        <v>36.19</v>
      </c>
      <c r="H42" s="64">
        <v>10.029999999999999</v>
      </c>
      <c r="I42" s="64">
        <v>4.07</v>
      </c>
      <c r="J42" s="64">
        <v>0.76</v>
      </c>
      <c r="K42" s="64">
        <v>265.02</v>
      </c>
      <c r="L42" s="64">
        <v>33.72</v>
      </c>
      <c r="M42" s="64">
        <v>45.25</v>
      </c>
      <c r="N42" s="64">
        <v>477.4</v>
      </c>
      <c r="O42" s="64">
        <v>0</v>
      </c>
      <c r="P42" s="64">
        <v>0.46</v>
      </c>
      <c r="Q42" s="64">
        <v>9.64</v>
      </c>
      <c r="R42" s="198"/>
      <c r="S42" s="198"/>
      <c r="T42" s="198"/>
      <c r="U42" s="198"/>
    </row>
    <row r="43" spans="1:21" s="12" customFormat="1" x14ac:dyDescent="0.25">
      <c r="A43" s="214" t="s">
        <v>760</v>
      </c>
      <c r="B43" s="64">
        <v>22.04</v>
      </c>
      <c r="C43" s="64">
        <v>35.81</v>
      </c>
      <c r="D43" s="64">
        <v>31.66</v>
      </c>
      <c r="E43" s="64">
        <v>4.9400000000000004</v>
      </c>
      <c r="F43" s="64">
        <v>6.72</v>
      </c>
      <c r="G43" s="64">
        <v>36.19</v>
      </c>
      <c r="H43" s="64">
        <v>10.029999999999999</v>
      </c>
      <c r="I43" s="64">
        <v>3.88</v>
      </c>
      <c r="J43" s="64">
        <v>0.66</v>
      </c>
      <c r="K43" s="64">
        <v>259.91000000000003</v>
      </c>
      <c r="L43" s="64">
        <v>34.159999999999997</v>
      </c>
      <c r="M43" s="64">
        <v>44.23</v>
      </c>
      <c r="N43" s="64">
        <v>459.8</v>
      </c>
      <c r="O43" s="64">
        <v>0</v>
      </c>
      <c r="P43" s="64">
        <v>0.48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4" t="s">
        <v>761</v>
      </c>
      <c r="B44" s="64">
        <v>20.55</v>
      </c>
      <c r="C44" s="64">
        <v>37.72</v>
      </c>
      <c r="D44" s="64">
        <v>37.61</v>
      </c>
      <c r="E44" s="64">
        <v>4.99</v>
      </c>
      <c r="F44" s="64">
        <v>7.64</v>
      </c>
      <c r="G44" s="64">
        <v>36.19</v>
      </c>
      <c r="H44" s="64">
        <v>10.029999999999999</v>
      </c>
      <c r="I44" s="64">
        <v>3.87</v>
      </c>
      <c r="J44" s="64">
        <v>0.52</v>
      </c>
      <c r="K44" s="64">
        <v>257.83</v>
      </c>
      <c r="L44" s="64">
        <v>34.72</v>
      </c>
      <c r="M44" s="64">
        <v>42.84</v>
      </c>
      <c r="N44" s="64">
        <v>356.5</v>
      </c>
      <c r="O44" s="64">
        <v>0</v>
      </c>
      <c r="P44" s="64">
        <v>0.46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4" t="s">
        <v>762</v>
      </c>
      <c r="B45" s="64">
        <v>19.98</v>
      </c>
      <c r="C45" s="64">
        <v>35.409999999999997</v>
      </c>
      <c r="D45" s="64">
        <v>34.07</v>
      </c>
      <c r="E45" s="64">
        <v>5.4</v>
      </c>
      <c r="F45" s="64">
        <v>9.7100000000000009</v>
      </c>
      <c r="G45" s="64">
        <v>38.85</v>
      </c>
      <c r="H45" s="64">
        <v>8.23</v>
      </c>
      <c r="I45" s="64">
        <v>3.97</v>
      </c>
      <c r="J45" s="64">
        <v>0.54</v>
      </c>
      <c r="K45" s="64">
        <v>258.69</v>
      </c>
      <c r="L45" s="64">
        <v>34.53</v>
      </c>
      <c r="M45" s="64">
        <v>43.35</v>
      </c>
      <c r="N45" s="64">
        <v>545.5</v>
      </c>
      <c r="O45" s="64">
        <v>0</v>
      </c>
      <c r="P45" s="64">
        <v>0.47</v>
      </c>
      <c r="Q45" s="64">
        <v>9.6</v>
      </c>
      <c r="R45" s="198"/>
      <c r="S45" s="198"/>
      <c r="T45" s="198"/>
      <c r="U45" s="198"/>
    </row>
    <row r="46" spans="1:21" s="12" customFormat="1" x14ac:dyDescent="0.25">
      <c r="A46" s="214" t="s">
        <v>763</v>
      </c>
      <c r="B46" s="64">
        <v>20.43</v>
      </c>
      <c r="C46" s="64">
        <v>37.31</v>
      </c>
      <c r="D46" s="64">
        <v>36.99</v>
      </c>
      <c r="E46" s="64">
        <v>5.16</v>
      </c>
      <c r="F46" s="64">
        <v>10.4</v>
      </c>
      <c r="G46" s="64">
        <v>38.85</v>
      </c>
      <c r="H46" s="64">
        <v>8.23</v>
      </c>
      <c r="I46" s="64">
        <v>4.03</v>
      </c>
      <c r="J46" s="64">
        <v>0.57999999999999996</v>
      </c>
      <c r="K46" s="64">
        <v>283.22000000000003</v>
      </c>
      <c r="L46" s="64">
        <v>36.93</v>
      </c>
      <c r="M46" s="64">
        <v>37.25</v>
      </c>
      <c r="N46" s="64">
        <v>863.6</v>
      </c>
      <c r="O46" s="64">
        <v>0</v>
      </c>
      <c r="P46" s="64">
        <v>0.47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4" t="s">
        <v>764</v>
      </c>
      <c r="B47" s="64">
        <v>19.77</v>
      </c>
      <c r="C47" s="64">
        <v>35.28</v>
      </c>
      <c r="D47" s="64">
        <v>34.130000000000003</v>
      </c>
      <c r="E47" s="64">
        <v>5.28</v>
      </c>
      <c r="F47" s="64">
        <v>10.87</v>
      </c>
      <c r="G47" s="64">
        <v>38.85</v>
      </c>
      <c r="H47" s="64">
        <v>8.23</v>
      </c>
      <c r="I47" s="64">
        <v>3.93</v>
      </c>
      <c r="J47" s="64">
        <v>0.65</v>
      </c>
      <c r="K47" s="64">
        <v>271.86</v>
      </c>
      <c r="L47" s="64">
        <v>38.14</v>
      </c>
      <c r="M47" s="64">
        <v>34.869999999999997</v>
      </c>
      <c r="N47" s="64">
        <v>896.6</v>
      </c>
      <c r="O47" s="64">
        <v>0</v>
      </c>
      <c r="P47" s="64">
        <v>0.48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4" t="s">
        <v>765</v>
      </c>
      <c r="B48" s="64">
        <v>20.329999999999998</v>
      </c>
      <c r="C48" s="64">
        <v>35.28</v>
      </c>
      <c r="D48" s="64">
        <v>33.270000000000003</v>
      </c>
      <c r="E48" s="64">
        <v>5.19</v>
      </c>
      <c r="F48" s="64">
        <v>9.4499999999999993</v>
      </c>
      <c r="G48" s="64">
        <v>38.85</v>
      </c>
      <c r="H48" s="64">
        <v>8.23</v>
      </c>
      <c r="I48" s="64">
        <v>4.16</v>
      </c>
      <c r="J48" s="64">
        <v>0.59</v>
      </c>
      <c r="K48" s="64">
        <v>277</v>
      </c>
      <c r="L48" s="64">
        <v>39.22</v>
      </c>
      <c r="M48" s="64">
        <v>32.58</v>
      </c>
      <c r="N48" s="64">
        <v>941.6</v>
      </c>
      <c r="O48" s="64">
        <v>0</v>
      </c>
      <c r="P48" s="64">
        <v>0.49</v>
      </c>
      <c r="Q48" s="64">
        <v>9.6</v>
      </c>
      <c r="R48" s="198"/>
      <c r="S48" s="198"/>
      <c r="T48" s="198"/>
      <c r="U48" s="198"/>
    </row>
    <row r="49" spans="1:21" s="12" customFormat="1" x14ac:dyDescent="0.25">
      <c r="A49" s="214" t="s">
        <v>766</v>
      </c>
      <c r="B49" s="64">
        <v>17.600000000000001</v>
      </c>
      <c r="C49" s="64">
        <v>33.75</v>
      </c>
      <c r="D49" s="64">
        <v>34.53</v>
      </c>
      <c r="E49" s="64">
        <v>5.43</v>
      </c>
      <c r="F49" s="64">
        <v>6.81</v>
      </c>
      <c r="G49" s="64">
        <v>36.29</v>
      </c>
      <c r="H49" s="64">
        <v>5.76</v>
      </c>
      <c r="I49" s="64">
        <v>4.0199999999999996</v>
      </c>
      <c r="J49" s="64">
        <v>0.74</v>
      </c>
      <c r="K49" s="64">
        <v>263.36</v>
      </c>
      <c r="L49" s="64">
        <v>39.53</v>
      </c>
      <c r="M49" s="64">
        <v>31.18</v>
      </c>
      <c r="N49" s="64">
        <v>961.8</v>
      </c>
      <c r="O49" s="64">
        <v>0</v>
      </c>
      <c r="P49" s="64">
        <v>0.48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4" t="s">
        <v>767</v>
      </c>
      <c r="B50" s="64">
        <v>18.36</v>
      </c>
      <c r="C50" s="64">
        <v>34.74</v>
      </c>
      <c r="D50" s="64">
        <v>35.270000000000003</v>
      </c>
      <c r="E50" s="64">
        <v>5.21</v>
      </c>
      <c r="F50" s="64">
        <v>7.67</v>
      </c>
      <c r="G50" s="64">
        <v>36.29</v>
      </c>
      <c r="H50" s="64">
        <v>5.76</v>
      </c>
      <c r="I50" s="64">
        <v>3.89</v>
      </c>
      <c r="J50" s="64">
        <v>0.6</v>
      </c>
      <c r="K50" s="64">
        <v>238.01</v>
      </c>
      <c r="L50" s="64">
        <v>38.479999999999997</v>
      </c>
      <c r="M50" s="64">
        <v>30.61</v>
      </c>
      <c r="N50" s="64">
        <v>996.2</v>
      </c>
      <c r="O50" s="64">
        <v>0</v>
      </c>
      <c r="P50" s="64">
        <v>0.49</v>
      </c>
      <c r="Q50" s="64">
        <v>9.6199999999999992</v>
      </c>
      <c r="R50" s="198"/>
      <c r="S50" s="198"/>
      <c r="T50" s="198"/>
      <c r="U50" s="198"/>
    </row>
    <row r="51" spans="1:21" s="12" customFormat="1" x14ac:dyDescent="0.25">
      <c r="A51" s="214" t="s">
        <v>768</v>
      </c>
      <c r="B51" s="64">
        <v>15.88</v>
      </c>
      <c r="C51" s="64">
        <v>34.15</v>
      </c>
      <c r="D51" s="64">
        <v>37.94</v>
      </c>
      <c r="E51" s="64">
        <v>5.17</v>
      </c>
      <c r="F51" s="64">
        <v>8.4600000000000009</v>
      </c>
      <c r="G51" s="64">
        <v>36.29</v>
      </c>
      <c r="H51" s="64">
        <v>5.76</v>
      </c>
      <c r="I51" s="64">
        <v>4.21</v>
      </c>
      <c r="J51" s="64">
        <v>0.76</v>
      </c>
      <c r="K51" s="64">
        <v>197.31</v>
      </c>
      <c r="L51" s="64">
        <v>36.549999999999997</v>
      </c>
      <c r="M51" s="64">
        <v>32.94</v>
      </c>
      <c r="N51" s="64">
        <v>1030.0999999999999</v>
      </c>
      <c r="O51" s="64">
        <v>0</v>
      </c>
      <c r="P51" s="64">
        <v>0.51</v>
      </c>
      <c r="Q51" s="64">
        <v>9.6</v>
      </c>
      <c r="R51" s="198"/>
      <c r="S51" s="198"/>
      <c r="T51" s="198"/>
      <c r="U51" s="198"/>
    </row>
    <row r="52" spans="1:21" s="12" customFormat="1" x14ac:dyDescent="0.25">
      <c r="A52" s="214" t="s">
        <v>769</v>
      </c>
      <c r="B52" s="64">
        <v>13.8</v>
      </c>
      <c r="C52" s="64">
        <v>32</v>
      </c>
      <c r="D52" s="64">
        <v>37</v>
      </c>
      <c r="E52" s="64">
        <v>5.44</v>
      </c>
      <c r="F52" s="64">
        <v>8.75</v>
      </c>
      <c r="G52" s="64">
        <v>36.29</v>
      </c>
      <c r="H52" s="64">
        <v>5.76</v>
      </c>
      <c r="I52" s="64">
        <v>4.0599999999999996</v>
      </c>
      <c r="J52" s="64">
        <v>0.6</v>
      </c>
      <c r="K52" s="64">
        <v>213.59</v>
      </c>
      <c r="L52" s="64">
        <v>37.18</v>
      </c>
      <c r="M52" s="64">
        <v>32.979999999999997</v>
      </c>
      <c r="N52" s="64">
        <v>1032.4000000000001</v>
      </c>
      <c r="O52" s="64">
        <v>0</v>
      </c>
      <c r="P52" s="64">
        <v>0.5</v>
      </c>
      <c r="Q52" s="64">
        <v>9.6</v>
      </c>
      <c r="R52" s="198"/>
      <c r="S52" s="198"/>
      <c r="T52" s="198"/>
      <c r="U52" s="198"/>
    </row>
    <row r="53" spans="1:21" s="12" customFormat="1" x14ac:dyDescent="0.25">
      <c r="A53" s="214" t="s">
        <v>770</v>
      </c>
      <c r="B53" s="64">
        <v>12.24</v>
      </c>
      <c r="C53" s="64">
        <v>33.99</v>
      </c>
      <c r="D53" s="64">
        <v>43.22</v>
      </c>
      <c r="E53" s="64">
        <v>4.97</v>
      </c>
      <c r="F53" s="64">
        <v>8.3699999999999992</v>
      </c>
      <c r="G53" s="64">
        <v>36.58</v>
      </c>
      <c r="H53" s="64">
        <v>4.03</v>
      </c>
      <c r="I53" s="64">
        <v>4.05</v>
      </c>
      <c r="J53" s="64">
        <v>0.76</v>
      </c>
      <c r="K53" s="64">
        <v>268.83</v>
      </c>
      <c r="L53" s="64">
        <v>39.590000000000003</v>
      </c>
      <c r="M53" s="64">
        <v>28.83</v>
      </c>
      <c r="N53" s="64">
        <v>1062.0999999999999</v>
      </c>
      <c r="O53" s="64">
        <v>0</v>
      </c>
      <c r="P53" s="64">
        <v>0.52</v>
      </c>
      <c r="Q53" s="64">
        <v>9.58</v>
      </c>
      <c r="R53" s="198"/>
      <c r="S53" s="198"/>
      <c r="T53" s="198"/>
      <c r="U53" s="198"/>
    </row>
    <row r="54" spans="1:21" s="12" customFormat="1" x14ac:dyDescent="0.25">
      <c r="A54" s="214" t="s">
        <v>771</v>
      </c>
      <c r="B54" s="64">
        <v>11.54</v>
      </c>
      <c r="C54" s="64">
        <v>30.6</v>
      </c>
      <c r="D54" s="64">
        <v>37.81</v>
      </c>
      <c r="E54" s="64">
        <v>5.28</v>
      </c>
      <c r="F54" s="64">
        <v>8.5</v>
      </c>
      <c r="G54" s="64">
        <v>36.58</v>
      </c>
      <c r="H54" s="64">
        <v>4.03</v>
      </c>
      <c r="I54" s="64">
        <v>4.09</v>
      </c>
      <c r="J54" s="64">
        <v>0.82</v>
      </c>
      <c r="K54" s="64">
        <v>228.61</v>
      </c>
      <c r="L54" s="64">
        <v>39.380000000000003</v>
      </c>
      <c r="M54" s="64">
        <v>28.35</v>
      </c>
      <c r="N54" s="64">
        <v>1081.7</v>
      </c>
      <c r="O54" s="64">
        <v>0</v>
      </c>
      <c r="P54" s="64">
        <v>0.48</v>
      </c>
      <c r="Q54" s="64">
        <v>9.57</v>
      </c>
      <c r="R54" s="198"/>
      <c r="S54" s="198"/>
      <c r="T54" s="198"/>
      <c r="U54" s="198"/>
    </row>
    <row r="55" spans="1:21" s="12" customFormat="1" x14ac:dyDescent="0.25">
      <c r="A55" s="214" t="s">
        <v>772</v>
      </c>
      <c r="B55" s="64">
        <v>9.82</v>
      </c>
      <c r="C55" s="64">
        <v>29.98</v>
      </c>
      <c r="D55" s="64">
        <v>39.270000000000003</v>
      </c>
      <c r="E55" s="64">
        <v>4.88</v>
      </c>
      <c r="F55" s="64">
        <v>8.9700000000000006</v>
      </c>
      <c r="G55" s="64">
        <v>36.58</v>
      </c>
      <c r="H55" s="64">
        <v>4.03</v>
      </c>
      <c r="I55" s="64">
        <v>3.83</v>
      </c>
      <c r="J55" s="64">
        <v>0.71</v>
      </c>
      <c r="K55" s="64">
        <v>196.75</v>
      </c>
      <c r="L55" s="64">
        <v>37.03</v>
      </c>
      <c r="M55" s="64">
        <v>31.24</v>
      </c>
      <c r="N55" s="64">
        <v>1079</v>
      </c>
      <c r="O55" s="64">
        <v>0</v>
      </c>
      <c r="P55" s="64">
        <v>0.48</v>
      </c>
      <c r="Q55" s="64">
        <v>9.56</v>
      </c>
      <c r="R55" s="198"/>
      <c r="S55" s="198"/>
      <c r="T55" s="198"/>
      <c r="U55" s="198"/>
    </row>
    <row r="56" spans="1:21" s="12" customFormat="1" x14ac:dyDescent="0.25">
      <c r="A56" s="214" t="s">
        <v>773</v>
      </c>
      <c r="B56" s="64">
        <v>9.59</v>
      </c>
      <c r="C56" s="64">
        <v>27.58</v>
      </c>
      <c r="D56" s="64">
        <v>35.01</v>
      </c>
      <c r="E56" s="64">
        <v>4.9400000000000004</v>
      </c>
      <c r="F56" s="64">
        <v>10.61</v>
      </c>
      <c r="G56" s="64">
        <v>36.58</v>
      </c>
      <c r="H56" s="64">
        <v>4.03</v>
      </c>
      <c r="I56" s="64">
        <v>4.0999999999999996</v>
      </c>
      <c r="J56" s="64">
        <v>0.57999999999999996</v>
      </c>
      <c r="K56" s="64">
        <v>219.06</v>
      </c>
      <c r="L56" s="64">
        <v>38.18</v>
      </c>
      <c r="M56" s="64">
        <v>29.13</v>
      </c>
      <c r="N56" s="64">
        <v>1080.5999999999999</v>
      </c>
      <c r="O56" s="64">
        <v>0</v>
      </c>
      <c r="P56" s="64">
        <v>0.42</v>
      </c>
      <c r="Q56" s="64">
        <v>9.58</v>
      </c>
      <c r="R56" s="198"/>
      <c r="S56" s="198"/>
      <c r="T56" s="198"/>
      <c r="U56" s="198"/>
    </row>
    <row r="57" spans="1:21" s="12" customFormat="1" x14ac:dyDescent="0.25">
      <c r="A57" s="214" t="s">
        <v>774</v>
      </c>
      <c r="B57" s="64">
        <v>9.35</v>
      </c>
      <c r="C57" s="64">
        <v>28.27</v>
      </c>
      <c r="D57" s="64">
        <v>36.700000000000003</v>
      </c>
      <c r="E57" s="64">
        <v>5.05</v>
      </c>
      <c r="F57" s="64">
        <v>8.83</v>
      </c>
      <c r="G57" s="64">
        <v>33.61</v>
      </c>
      <c r="H57" s="212" t="s">
        <v>42</v>
      </c>
      <c r="I57" s="64">
        <v>4.17</v>
      </c>
      <c r="J57" s="64">
        <v>0.76</v>
      </c>
      <c r="K57" s="64">
        <v>254.64</v>
      </c>
      <c r="L57" s="64">
        <v>39.46</v>
      </c>
      <c r="M57" s="64">
        <v>28.77</v>
      </c>
      <c r="N57" s="64">
        <v>1049.8</v>
      </c>
      <c r="O57" s="64">
        <v>0</v>
      </c>
      <c r="P57" s="64">
        <v>0.47</v>
      </c>
      <c r="Q57" s="64">
        <v>9.56</v>
      </c>
      <c r="R57" s="198"/>
      <c r="S57" s="198"/>
      <c r="T57" s="198"/>
      <c r="U57" s="198"/>
    </row>
    <row r="58" spans="1:21" s="12" customFormat="1" x14ac:dyDescent="0.25">
      <c r="A58" s="214" t="s">
        <v>775</v>
      </c>
      <c r="B58" s="64">
        <v>10.23</v>
      </c>
      <c r="C58" s="64">
        <v>29.02</v>
      </c>
      <c r="D58" s="64">
        <v>36.79</v>
      </c>
      <c r="E58" s="64">
        <v>5.14</v>
      </c>
      <c r="F58" s="64">
        <v>12.98</v>
      </c>
      <c r="G58" s="64">
        <v>33.61</v>
      </c>
      <c r="H58" s="212" t="s">
        <v>42</v>
      </c>
      <c r="I58" s="64">
        <v>4</v>
      </c>
      <c r="J58" s="64">
        <v>0.81</v>
      </c>
      <c r="K58" s="64">
        <v>265.74</v>
      </c>
      <c r="L58" s="64">
        <v>39.96</v>
      </c>
      <c r="M58" s="64">
        <v>28.28</v>
      </c>
      <c r="N58" s="64">
        <v>1061.5</v>
      </c>
      <c r="O58" s="64">
        <v>0</v>
      </c>
      <c r="P58" s="64">
        <v>0.44</v>
      </c>
      <c r="Q58" s="64">
        <v>9.5299999999999994</v>
      </c>
      <c r="R58" s="198"/>
      <c r="S58" s="198"/>
      <c r="T58" s="198"/>
      <c r="U58" s="198"/>
    </row>
    <row r="59" spans="1:21" s="12" customFormat="1" x14ac:dyDescent="0.25">
      <c r="A59" s="214" t="s">
        <v>776</v>
      </c>
      <c r="B59" s="64">
        <v>9.2899999999999991</v>
      </c>
      <c r="C59" s="64">
        <v>27.45</v>
      </c>
      <c r="D59" s="64">
        <v>35.229999999999997</v>
      </c>
      <c r="E59" s="64">
        <v>5.12</v>
      </c>
      <c r="F59" s="64">
        <v>10.16</v>
      </c>
      <c r="G59" s="64">
        <v>33.61</v>
      </c>
      <c r="H59" s="212" t="s">
        <v>42</v>
      </c>
      <c r="I59" s="64">
        <v>3.77</v>
      </c>
      <c r="J59" s="64">
        <v>0.93</v>
      </c>
      <c r="K59" s="64">
        <v>263.14999999999998</v>
      </c>
      <c r="L59" s="64">
        <v>41.24</v>
      </c>
      <c r="M59" s="64">
        <v>26.62</v>
      </c>
      <c r="N59" s="64">
        <v>1050.3</v>
      </c>
      <c r="O59" s="64">
        <v>0</v>
      </c>
      <c r="P59" s="64">
        <v>0.46</v>
      </c>
      <c r="Q59" s="64">
        <v>9.56</v>
      </c>
      <c r="R59" s="198"/>
      <c r="S59" s="198"/>
      <c r="T59" s="198"/>
      <c r="U59" s="198"/>
    </row>
    <row r="60" spans="1:21" s="12" customFormat="1" x14ac:dyDescent="0.25">
      <c r="A60" s="214" t="s">
        <v>777</v>
      </c>
      <c r="B60" s="64">
        <v>8.1199999999999992</v>
      </c>
      <c r="C60" s="64">
        <v>23.57</v>
      </c>
      <c r="D60" s="64">
        <v>29.6</v>
      </c>
      <c r="E60" s="64">
        <v>5.87</v>
      </c>
      <c r="F60" s="64">
        <v>14.12</v>
      </c>
      <c r="G60" s="64">
        <v>33.61</v>
      </c>
      <c r="H60" s="212" t="s">
        <v>42</v>
      </c>
      <c r="I60" s="64">
        <v>3.92</v>
      </c>
      <c r="J60" s="64">
        <v>0.34</v>
      </c>
      <c r="K60" s="64">
        <v>206.43</v>
      </c>
      <c r="L60" s="64">
        <v>39.82</v>
      </c>
      <c r="M60" s="64">
        <v>27.42</v>
      </c>
      <c r="N60" s="64">
        <v>1023.1</v>
      </c>
      <c r="O60" s="64">
        <v>0</v>
      </c>
      <c r="P60" s="64">
        <v>0.41</v>
      </c>
      <c r="Q60" s="64">
        <v>9.57</v>
      </c>
      <c r="R60" s="198"/>
      <c r="S60" s="198"/>
      <c r="T60" s="198"/>
      <c r="U60" s="198"/>
    </row>
    <row r="61" spans="1:21" s="12" customFormat="1" x14ac:dyDescent="0.25">
      <c r="A61" s="214" t="s">
        <v>778</v>
      </c>
      <c r="B61" s="64">
        <v>9.57</v>
      </c>
      <c r="C61" s="64">
        <v>28.96</v>
      </c>
      <c r="D61" s="64">
        <v>37.700000000000003</v>
      </c>
      <c r="E61" s="64">
        <v>6.73</v>
      </c>
      <c r="F61" s="64">
        <v>14.5</v>
      </c>
      <c r="G61" s="64">
        <v>32.549999999999997</v>
      </c>
      <c r="H61" s="212" t="s">
        <v>42</v>
      </c>
      <c r="I61" s="64">
        <v>4</v>
      </c>
      <c r="J61" s="64">
        <v>0.73</v>
      </c>
      <c r="K61" s="64">
        <v>270.86</v>
      </c>
      <c r="L61" s="64">
        <v>41.13</v>
      </c>
      <c r="M61" s="64">
        <v>26.27</v>
      </c>
      <c r="N61" s="64">
        <v>970.8</v>
      </c>
      <c r="O61" s="64">
        <v>0</v>
      </c>
      <c r="P61" s="64">
        <v>0.52</v>
      </c>
      <c r="Q61" s="64">
        <v>9.56</v>
      </c>
      <c r="R61" s="198"/>
      <c r="S61" s="198"/>
      <c r="T61" s="198"/>
      <c r="U61" s="198"/>
    </row>
    <row r="62" spans="1:21" s="12" customFormat="1" x14ac:dyDescent="0.25">
      <c r="A62" s="214" t="s">
        <v>779</v>
      </c>
      <c r="B62" s="64">
        <v>9.51</v>
      </c>
      <c r="C62" s="64">
        <v>28.93</v>
      </c>
      <c r="D62" s="64">
        <v>37.729999999999997</v>
      </c>
      <c r="E62" s="64">
        <v>10.43</v>
      </c>
      <c r="F62" s="64">
        <v>17.61</v>
      </c>
      <c r="G62" s="64">
        <v>32.549999999999997</v>
      </c>
      <c r="H62" s="212" t="s">
        <v>42</v>
      </c>
      <c r="I62" s="64">
        <v>3.99</v>
      </c>
      <c r="J62" s="64">
        <v>0.61</v>
      </c>
      <c r="K62" s="64">
        <v>231.76</v>
      </c>
      <c r="L62" s="64">
        <v>40.130000000000003</v>
      </c>
      <c r="M62" s="64">
        <v>26.36</v>
      </c>
      <c r="N62" s="64">
        <v>942.5</v>
      </c>
      <c r="O62" s="64">
        <v>0</v>
      </c>
      <c r="P62" s="64">
        <v>0.57999999999999996</v>
      </c>
      <c r="Q62" s="64">
        <v>9.5500000000000007</v>
      </c>
      <c r="R62" s="198"/>
      <c r="S62" s="198"/>
      <c r="T62" s="198"/>
      <c r="U62" s="198"/>
    </row>
    <row r="63" spans="1:21" s="12" customFormat="1" x14ac:dyDescent="0.25">
      <c r="A63" s="214" t="s">
        <v>780</v>
      </c>
      <c r="B63" s="64">
        <v>8.3699999999999992</v>
      </c>
      <c r="C63" s="64">
        <v>26.99</v>
      </c>
      <c r="D63" s="64">
        <v>35.75</v>
      </c>
      <c r="E63" s="64">
        <v>7.76</v>
      </c>
      <c r="F63" s="64">
        <v>18.899999999999999</v>
      </c>
      <c r="G63" s="64">
        <v>32.549999999999997</v>
      </c>
      <c r="H63" s="212" t="s">
        <v>42</v>
      </c>
      <c r="I63" s="64">
        <v>4.0599999999999996</v>
      </c>
      <c r="J63" s="64">
        <v>0.56999999999999995</v>
      </c>
      <c r="K63" s="64">
        <v>189.11</v>
      </c>
      <c r="L63" s="64">
        <v>38.6</v>
      </c>
      <c r="M63" s="64">
        <v>27.48</v>
      </c>
      <c r="N63" s="64">
        <v>600.1</v>
      </c>
      <c r="O63" s="64">
        <v>0</v>
      </c>
      <c r="P63" s="64">
        <v>0.55000000000000004</v>
      </c>
      <c r="Q63" s="64">
        <v>9.56</v>
      </c>
      <c r="R63" s="198"/>
      <c r="S63" s="198"/>
      <c r="T63" s="198"/>
      <c r="U63" s="198"/>
    </row>
    <row r="64" spans="1:21" s="12" customFormat="1" x14ac:dyDescent="0.25">
      <c r="A64" s="214" t="s">
        <v>781</v>
      </c>
      <c r="B64" s="64">
        <v>8.2899999999999991</v>
      </c>
      <c r="C64" s="64">
        <v>28.49</v>
      </c>
      <c r="D64" s="64">
        <v>38.76</v>
      </c>
      <c r="E64" s="64">
        <v>9.01</v>
      </c>
      <c r="F64" s="64">
        <v>19.16</v>
      </c>
      <c r="G64" s="64">
        <v>32.549999999999997</v>
      </c>
      <c r="H64" s="212" t="s">
        <v>42</v>
      </c>
      <c r="I64" s="64">
        <v>4.0199999999999996</v>
      </c>
      <c r="J64" s="64">
        <v>0.68</v>
      </c>
      <c r="K64" s="64">
        <v>253.92</v>
      </c>
      <c r="L64" s="64">
        <v>39.39</v>
      </c>
      <c r="M64" s="64">
        <v>27.16</v>
      </c>
      <c r="N64" s="64">
        <v>539.9</v>
      </c>
      <c r="O64" s="64">
        <v>0</v>
      </c>
      <c r="P64" s="64">
        <v>0.56000000000000005</v>
      </c>
      <c r="Q64" s="64">
        <v>9.5500000000000007</v>
      </c>
      <c r="R64" s="198"/>
      <c r="S64" s="198"/>
      <c r="T64" s="198"/>
      <c r="U64" s="198"/>
    </row>
    <row r="65" spans="1:21" s="12" customFormat="1" x14ac:dyDescent="0.25">
      <c r="A65" s="214" t="s">
        <v>782</v>
      </c>
      <c r="B65" s="64">
        <v>8.2100000000000009</v>
      </c>
      <c r="C65" s="64">
        <v>28.59</v>
      </c>
      <c r="D65" s="64">
        <v>39.07</v>
      </c>
      <c r="E65" s="64">
        <v>8.5</v>
      </c>
      <c r="F65" s="64">
        <v>16.940000000000001</v>
      </c>
      <c r="G65" s="64">
        <v>32.15</v>
      </c>
      <c r="H65" s="212" t="s">
        <v>42</v>
      </c>
      <c r="I65" s="64">
        <v>3.93</v>
      </c>
      <c r="J65" s="64">
        <v>0.92</v>
      </c>
      <c r="K65" s="64">
        <v>255.39</v>
      </c>
      <c r="L65" s="64">
        <v>40.25</v>
      </c>
      <c r="M65" s="64">
        <v>26.41</v>
      </c>
      <c r="N65" s="64">
        <v>566.70000000000005</v>
      </c>
      <c r="O65" s="64">
        <v>0</v>
      </c>
      <c r="P65" s="64">
        <v>0.59</v>
      </c>
      <c r="Q65" s="64">
        <v>9.5500000000000007</v>
      </c>
      <c r="R65" s="198"/>
      <c r="S65" s="198"/>
      <c r="T65" s="198"/>
      <c r="U65" s="198"/>
    </row>
    <row r="66" spans="1:21" s="12" customFormat="1" x14ac:dyDescent="0.25">
      <c r="A66" s="214" t="s">
        <v>783</v>
      </c>
      <c r="B66" s="64">
        <v>8.17</v>
      </c>
      <c r="C66" s="64">
        <v>27.65</v>
      </c>
      <c r="D66" s="64">
        <v>37.33</v>
      </c>
      <c r="E66" s="64">
        <v>9.93</v>
      </c>
      <c r="F66" s="64">
        <v>18.690000000000001</v>
      </c>
      <c r="G66" s="64">
        <v>32.15</v>
      </c>
      <c r="H66" s="212" t="s">
        <v>42</v>
      </c>
      <c r="I66" s="64">
        <v>3.99</v>
      </c>
      <c r="J66" s="64">
        <v>0.64</v>
      </c>
      <c r="K66" s="64">
        <v>241.87</v>
      </c>
      <c r="L66" s="64">
        <v>40.04</v>
      </c>
      <c r="M66" s="64">
        <v>26.07</v>
      </c>
      <c r="N66" s="64">
        <v>469.1</v>
      </c>
      <c r="O66" s="64">
        <v>0</v>
      </c>
      <c r="P66" s="64">
        <v>0.56999999999999995</v>
      </c>
      <c r="Q66" s="64">
        <v>9.5299999999999994</v>
      </c>
      <c r="R66" s="198"/>
      <c r="S66" s="198"/>
      <c r="T66" s="198"/>
      <c r="U66" s="198"/>
    </row>
    <row r="67" spans="1:21" s="12" customFormat="1" x14ac:dyDescent="0.25">
      <c r="A67" s="214" t="s">
        <v>784</v>
      </c>
      <c r="B67" s="64">
        <v>7.8</v>
      </c>
      <c r="C67" s="64">
        <v>25.59</v>
      </c>
      <c r="D67" s="64">
        <v>33.96</v>
      </c>
      <c r="E67" s="64">
        <v>14.12</v>
      </c>
      <c r="F67" s="64">
        <v>25.12</v>
      </c>
      <c r="G67" s="64">
        <v>32.15</v>
      </c>
      <c r="H67" s="212" t="s">
        <v>42</v>
      </c>
      <c r="I67" s="64">
        <v>4.04</v>
      </c>
      <c r="J67" s="64">
        <v>0.44</v>
      </c>
      <c r="K67" s="64">
        <v>224.15</v>
      </c>
      <c r="L67" s="64">
        <v>39.630000000000003</v>
      </c>
      <c r="M67" s="64">
        <v>25.64</v>
      </c>
      <c r="N67" s="64">
        <v>315.7</v>
      </c>
      <c r="O67" s="64">
        <v>0</v>
      </c>
      <c r="P67" s="64">
        <v>0.55000000000000004</v>
      </c>
      <c r="Q67" s="64">
        <v>9.51</v>
      </c>
      <c r="R67" s="198"/>
      <c r="S67" s="198"/>
      <c r="T67" s="198"/>
      <c r="U67" s="198"/>
    </row>
    <row r="68" spans="1:21" s="12" customFormat="1" x14ac:dyDescent="0.25">
      <c r="A68" s="214" t="s">
        <v>785</v>
      </c>
      <c r="B68" s="64">
        <v>9.32</v>
      </c>
      <c r="C68" s="64">
        <v>28.2</v>
      </c>
      <c r="D68" s="64">
        <v>36.61</v>
      </c>
      <c r="E68" s="64">
        <v>9.67</v>
      </c>
      <c r="F68" s="64">
        <v>16.579999999999998</v>
      </c>
      <c r="G68" s="64">
        <v>32.15</v>
      </c>
      <c r="H68" s="212" t="s">
        <v>42</v>
      </c>
      <c r="I68" s="64">
        <v>3.95</v>
      </c>
      <c r="J68" s="64">
        <v>0.81</v>
      </c>
      <c r="K68" s="64">
        <v>262.06</v>
      </c>
      <c r="L68" s="64">
        <v>40.520000000000003</v>
      </c>
      <c r="M68" s="64">
        <v>23.62</v>
      </c>
      <c r="N68" s="64">
        <v>316.8</v>
      </c>
      <c r="O68" s="64">
        <v>0</v>
      </c>
      <c r="P68" s="64">
        <v>0.56000000000000005</v>
      </c>
      <c r="Q68" s="64">
        <v>9.52</v>
      </c>
      <c r="R68" s="198"/>
      <c r="S68" s="198"/>
      <c r="T68" s="198"/>
      <c r="U68" s="198"/>
    </row>
    <row r="69" spans="1:21" s="12" customFormat="1" x14ac:dyDescent="0.25">
      <c r="A69" s="214" t="s">
        <v>786</v>
      </c>
      <c r="B69" s="64">
        <v>7.9</v>
      </c>
      <c r="C69" s="64">
        <v>25.53</v>
      </c>
      <c r="D69" s="64">
        <v>33.68</v>
      </c>
      <c r="E69" s="64">
        <v>8.6</v>
      </c>
      <c r="F69" s="64">
        <v>14.99</v>
      </c>
      <c r="G69" s="64">
        <v>36.44</v>
      </c>
      <c r="H69" s="64">
        <v>13.95</v>
      </c>
      <c r="I69" s="64">
        <v>4.0199999999999996</v>
      </c>
      <c r="J69" s="64">
        <v>0.73</v>
      </c>
      <c r="K69" s="64">
        <v>255.75</v>
      </c>
      <c r="L69" s="64">
        <v>40.1</v>
      </c>
      <c r="M69" s="64">
        <v>23.89</v>
      </c>
      <c r="N69" s="64">
        <v>425.6</v>
      </c>
      <c r="O69" s="64">
        <v>0</v>
      </c>
      <c r="P69" s="64">
        <v>0.54</v>
      </c>
      <c r="Q69" s="64">
        <v>9.52</v>
      </c>
      <c r="R69" s="198"/>
      <c r="S69" s="198"/>
      <c r="T69" s="198"/>
      <c r="U69" s="198"/>
    </row>
    <row r="70" spans="1:21" s="12" customFormat="1" x14ac:dyDescent="0.25">
      <c r="A70" s="214" t="s">
        <v>787</v>
      </c>
      <c r="B70" s="64">
        <v>9.1999999999999993</v>
      </c>
      <c r="C70" s="64">
        <v>29.15</v>
      </c>
      <c r="D70" s="64">
        <v>38.61</v>
      </c>
      <c r="E70" s="64">
        <v>8.56</v>
      </c>
      <c r="F70" s="64">
        <v>14.5</v>
      </c>
      <c r="G70" s="64">
        <v>36.44</v>
      </c>
      <c r="H70" s="64">
        <v>13.95</v>
      </c>
      <c r="I70" s="64">
        <v>3.96</v>
      </c>
      <c r="J70" s="64">
        <v>0.68</v>
      </c>
      <c r="K70" s="64">
        <v>255.67</v>
      </c>
      <c r="L70" s="64">
        <v>40.130000000000003</v>
      </c>
      <c r="M70" s="64">
        <v>23.61</v>
      </c>
      <c r="N70" s="64">
        <v>388.2</v>
      </c>
      <c r="O70" s="64">
        <v>0</v>
      </c>
      <c r="P70" s="64">
        <v>0.56000000000000005</v>
      </c>
      <c r="Q70" s="64">
        <v>9.51</v>
      </c>
      <c r="R70" s="198"/>
      <c r="S70" s="198"/>
      <c r="T70" s="198"/>
      <c r="U70" s="198"/>
    </row>
    <row r="71" spans="1:21" s="12" customFormat="1" x14ac:dyDescent="0.25">
      <c r="A71" s="214" t="s">
        <v>788</v>
      </c>
      <c r="B71" s="64">
        <v>9.09</v>
      </c>
      <c r="C71" s="64">
        <v>29.35</v>
      </c>
      <c r="D71" s="64">
        <v>39.18</v>
      </c>
      <c r="E71" s="64">
        <v>7.29</v>
      </c>
      <c r="F71" s="64">
        <v>15.43</v>
      </c>
      <c r="G71" s="64">
        <v>36.44</v>
      </c>
      <c r="H71" s="64">
        <v>13.95</v>
      </c>
      <c r="I71" s="64">
        <v>3.95</v>
      </c>
      <c r="J71" s="64">
        <v>0.73</v>
      </c>
      <c r="K71" s="64">
        <v>261.51</v>
      </c>
      <c r="L71" s="64">
        <v>39.85</v>
      </c>
      <c r="M71" s="64">
        <v>24.09</v>
      </c>
      <c r="N71" s="64">
        <v>427.9</v>
      </c>
      <c r="O71" s="64">
        <v>0</v>
      </c>
      <c r="P71" s="64">
        <v>0.56999999999999995</v>
      </c>
      <c r="Q71" s="64">
        <v>9.5299999999999994</v>
      </c>
      <c r="R71" s="198"/>
      <c r="S71" s="198"/>
      <c r="T71" s="198"/>
      <c r="U71" s="198"/>
    </row>
    <row r="72" spans="1:21" s="12" customFormat="1" x14ac:dyDescent="0.25">
      <c r="A72" s="214" t="s">
        <v>789</v>
      </c>
      <c r="B72" s="64">
        <v>8.4</v>
      </c>
      <c r="C72" s="64">
        <v>29.41</v>
      </c>
      <c r="D72" s="64">
        <v>40.340000000000003</v>
      </c>
      <c r="E72" s="64">
        <v>9.84</v>
      </c>
      <c r="F72" s="64">
        <v>19.91</v>
      </c>
      <c r="G72" s="64">
        <v>36.44</v>
      </c>
      <c r="H72" s="64">
        <v>13.95</v>
      </c>
      <c r="I72" s="64">
        <v>4.08</v>
      </c>
      <c r="J72" s="64">
        <v>0.56999999999999995</v>
      </c>
      <c r="K72" s="64">
        <v>255.57</v>
      </c>
      <c r="L72" s="64">
        <v>39.97</v>
      </c>
      <c r="M72" s="64">
        <v>24.14</v>
      </c>
      <c r="N72" s="64">
        <v>426.7</v>
      </c>
      <c r="O72" s="64">
        <v>0</v>
      </c>
      <c r="P72" s="64">
        <v>0.54</v>
      </c>
      <c r="Q72" s="64">
        <v>9.5299999999999994</v>
      </c>
      <c r="R72" s="198"/>
      <c r="S72" s="198"/>
      <c r="T72" s="198"/>
      <c r="U72" s="198"/>
    </row>
    <row r="73" spans="1:21" s="12" customFormat="1" x14ac:dyDescent="0.25">
      <c r="A73" s="214" t="s">
        <v>790</v>
      </c>
      <c r="B73" s="64">
        <v>9.58</v>
      </c>
      <c r="C73" s="64">
        <v>28.78</v>
      </c>
      <c r="D73" s="64">
        <v>37.33</v>
      </c>
      <c r="E73" s="64">
        <v>9.5500000000000007</v>
      </c>
      <c r="F73" s="64">
        <v>17.32</v>
      </c>
      <c r="G73" s="64">
        <v>36.729999999999997</v>
      </c>
      <c r="H73" s="64">
        <v>14.16</v>
      </c>
      <c r="I73" s="64">
        <v>3.96</v>
      </c>
      <c r="J73" s="64">
        <v>0.8</v>
      </c>
      <c r="K73" s="64">
        <v>267.41000000000003</v>
      </c>
      <c r="L73" s="64">
        <v>39.380000000000003</v>
      </c>
      <c r="M73" s="64">
        <v>25.05</v>
      </c>
      <c r="N73" s="64">
        <v>338</v>
      </c>
      <c r="O73" s="64">
        <v>0</v>
      </c>
      <c r="P73" s="64">
        <v>0.54</v>
      </c>
      <c r="Q73" s="64">
        <v>9.5399999999999991</v>
      </c>
      <c r="R73" s="198"/>
      <c r="S73" s="198"/>
      <c r="T73" s="198"/>
      <c r="U73" s="198"/>
    </row>
    <row r="74" spans="1:21" s="12" customFormat="1" x14ac:dyDescent="0.25">
      <c r="A74" s="214" t="s">
        <v>791</v>
      </c>
      <c r="B74" s="64">
        <v>9.16</v>
      </c>
      <c r="C74" s="64">
        <v>30.13</v>
      </c>
      <c r="D74" s="64">
        <v>40.549999999999997</v>
      </c>
      <c r="E74" s="64">
        <v>6.01</v>
      </c>
      <c r="F74" s="64">
        <v>13.48</v>
      </c>
      <c r="G74" s="64">
        <v>36.729999999999997</v>
      </c>
      <c r="H74" s="64">
        <v>14.16</v>
      </c>
      <c r="I74" s="64">
        <v>3.92</v>
      </c>
      <c r="J74" s="64">
        <v>0.8</v>
      </c>
      <c r="K74" s="64">
        <v>249.84</v>
      </c>
      <c r="L74" s="64">
        <v>39.15</v>
      </c>
      <c r="M74" s="64">
        <v>24.79</v>
      </c>
      <c r="N74" s="64">
        <v>261</v>
      </c>
      <c r="O74" s="64">
        <v>0</v>
      </c>
      <c r="P74" s="64">
        <v>0.55000000000000004</v>
      </c>
      <c r="Q74" s="64">
        <v>9.5399999999999991</v>
      </c>
      <c r="R74" s="198"/>
      <c r="S74" s="198"/>
      <c r="T74" s="198"/>
      <c r="U74" s="198"/>
    </row>
    <row r="75" spans="1:21" s="12" customFormat="1" x14ac:dyDescent="0.25">
      <c r="A75" s="214" t="s">
        <v>792</v>
      </c>
      <c r="B75" s="64">
        <v>9.2200000000000006</v>
      </c>
      <c r="C75" s="64">
        <v>31.77</v>
      </c>
      <c r="D75" s="64">
        <v>43.59</v>
      </c>
      <c r="E75" s="64">
        <v>9.58</v>
      </c>
      <c r="F75" s="64">
        <v>22.35</v>
      </c>
      <c r="G75" s="64">
        <v>36.729999999999997</v>
      </c>
      <c r="H75" s="64">
        <v>14.16</v>
      </c>
      <c r="I75" s="64">
        <v>4.0599999999999996</v>
      </c>
      <c r="J75" s="64">
        <v>0.49</v>
      </c>
      <c r="K75" s="64">
        <v>256.01</v>
      </c>
      <c r="L75" s="64">
        <v>38.72</v>
      </c>
      <c r="M75" s="64">
        <v>24.82</v>
      </c>
      <c r="N75" s="64">
        <v>155.69999999999999</v>
      </c>
      <c r="O75" s="64">
        <v>0</v>
      </c>
      <c r="P75" s="64">
        <v>0.49</v>
      </c>
      <c r="Q75" s="64">
        <v>9.52</v>
      </c>
      <c r="R75" s="198"/>
      <c r="S75" s="198"/>
      <c r="T75" s="198"/>
      <c r="U75" s="198"/>
    </row>
    <row r="76" spans="1:21" s="12" customFormat="1" x14ac:dyDescent="0.25">
      <c r="A76" s="214" t="s">
        <v>793</v>
      </c>
      <c r="B76" s="64">
        <v>12.16</v>
      </c>
      <c r="C76" s="64">
        <v>36.64</v>
      </c>
      <c r="D76" s="64">
        <v>48.4</v>
      </c>
      <c r="E76" s="64">
        <v>14.77</v>
      </c>
      <c r="F76" s="64">
        <v>23.88</v>
      </c>
      <c r="G76" s="64">
        <v>36.729999999999997</v>
      </c>
      <c r="H76" s="64">
        <v>14.16</v>
      </c>
      <c r="I76" s="64">
        <v>3.95</v>
      </c>
      <c r="J76" s="64">
        <v>0.64</v>
      </c>
      <c r="K76" s="64">
        <v>271.87</v>
      </c>
      <c r="L76" s="64">
        <v>38.799999999999997</v>
      </c>
      <c r="M76" s="64">
        <v>25.83</v>
      </c>
      <c r="N76" s="64">
        <v>137.6</v>
      </c>
      <c r="O76" s="64">
        <v>0</v>
      </c>
      <c r="P76" s="64">
        <v>0.6</v>
      </c>
      <c r="Q76" s="64">
        <v>9.51</v>
      </c>
      <c r="R76" s="198"/>
      <c r="S76" s="198"/>
      <c r="T76" s="198"/>
      <c r="U76" s="198"/>
    </row>
    <row r="77" spans="1:21" s="12" customFormat="1" x14ac:dyDescent="0.25">
      <c r="A77" s="214" t="s">
        <v>794</v>
      </c>
      <c r="B77" s="64">
        <v>8.93</v>
      </c>
      <c r="C77" s="64">
        <v>34.909999999999997</v>
      </c>
      <c r="D77" s="64">
        <v>50.06</v>
      </c>
      <c r="E77" s="64">
        <v>20.18</v>
      </c>
      <c r="F77" s="64">
        <v>23.55</v>
      </c>
      <c r="G77" s="64">
        <v>38.869999999999997</v>
      </c>
      <c r="H77" s="64">
        <v>14.47</v>
      </c>
      <c r="I77" s="64">
        <v>4.01</v>
      </c>
      <c r="J77" s="64">
        <v>0.53</v>
      </c>
      <c r="K77" s="64">
        <v>239.07</v>
      </c>
      <c r="L77" s="64">
        <v>38.47</v>
      </c>
      <c r="M77" s="64">
        <v>25.22</v>
      </c>
      <c r="N77" s="64">
        <v>125.9</v>
      </c>
      <c r="O77" s="64">
        <v>0</v>
      </c>
      <c r="P77" s="64">
        <v>0.61</v>
      </c>
      <c r="Q77" s="64">
        <v>9.52</v>
      </c>
      <c r="R77" s="198"/>
      <c r="S77" s="198"/>
      <c r="T77" s="198"/>
      <c r="U77" s="198"/>
    </row>
    <row r="78" spans="1:21" s="12" customFormat="1" x14ac:dyDescent="0.25">
      <c r="A78" s="214" t="s">
        <v>795</v>
      </c>
      <c r="B78" s="64">
        <v>10.6</v>
      </c>
      <c r="C78" s="64">
        <v>37.340000000000003</v>
      </c>
      <c r="D78" s="64">
        <v>52.15</v>
      </c>
      <c r="E78" s="64">
        <v>16.53</v>
      </c>
      <c r="F78" s="64">
        <v>19.59</v>
      </c>
      <c r="G78" s="64">
        <v>38.869999999999997</v>
      </c>
      <c r="H78" s="64">
        <v>14.47</v>
      </c>
      <c r="I78" s="64">
        <v>3.82</v>
      </c>
      <c r="J78" s="64">
        <v>0.54</v>
      </c>
      <c r="K78" s="64">
        <v>242.17</v>
      </c>
      <c r="L78" s="64">
        <v>38.18</v>
      </c>
      <c r="M78" s="64">
        <v>26.02</v>
      </c>
      <c r="N78" s="64">
        <v>120.9</v>
      </c>
      <c r="O78" s="64">
        <v>0</v>
      </c>
      <c r="P78" s="64">
        <v>0.76</v>
      </c>
      <c r="Q78" s="64">
        <v>9.5299999999999994</v>
      </c>
      <c r="R78" s="198"/>
      <c r="S78" s="198"/>
      <c r="T78" s="198"/>
      <c r="U78" s="198"/>
    </row>
    <row r="79" spans="1:21" s="12" customFormat="1" x14ac:dyDescent="0.25">
      <c r="A79" s="214" t="s">
        <v>796</v>
      </c>
      <c r="B79" s="64">
        <v>13.8</v>
      </c>
      <c r="C79" s="64">
        <v>52.5</v>
      </c>
      <c r="D79" s="64">
        <v>76.260000000000005</v>
      </c>
      <c r="E79" s="64">
        <v>15.68</v>
      </c>
      <c r="F79" s="64">
        <v>18.579999999999998</v>
      </c>
      <c r="G79" s="64">
        <v>38.869999999999997</v>
      </c>
      <c r="H79" s="64">
        <v>14.47</v>
      </c>
      <c r="I79" s="64">
        <v>3.95</v>
      </c>
      <c r="J79" s="64">
        <v>0.41</v>
      </c>
      <c r="K79" s="64">
        <v>247.76</v>
      </c>
      <c r="L79" s="64">
        <v>37.880000000000003</v>
      </c>
      <c r="M79" s="64">
        <v>26.2</v>
      </c>
      <c r="N79" s="64">
        <v>101</v>
      </c>
      <c r="O79" s="64">
        <v>0</v>
      </c>
      <c r="P79" s="64">
        <v>0.85</v>
      </c>
      <c r="Q79" s="64">
        <v>9.5299999999999994</v>
      </c>
      <c r="R79" s="198"/>
      <c r="S79" s="198"/>
      <c r="T79" s="198"/>
      <c r="U79" s="198"/>
    </row>
    <row r="80" spans="1:21" s="12" customFormat="1" x14ac:dyDescent="0.25">
      <c r="A80" s="214" t="s">
        <v>797</v>
      </c>
      <c r="B80" s="64">
        <v>7.88</v>
      </c>
      <c r="C80" s="64">
        <v>35.44</v>
      </c>
      <c r="D80" s="64">
        <v>52.67</v>
      </c>
      <c r="E80" s="64">
        <v>15.92</v>
      </c>
      <c r="F80" s="64">
        <v>24.3</v>
      </c>
      <c r="G80" s="64">
        <v>38.869999999999997</v>
      </c>
      <c r="H80" s="64">
        <v>14.47</v>
      </c>
      <c r="I80" s="64">
        <v>3.94</v>
      </c>
      <c r="J80" s="64">
        <v>0.46</v>
      </c>
      <c r="K80" s="64">
        <v>228.91</v>
      </c>
      <c r="L80" s="64">
        <v>37.5</v>
      </c>
      <c r="M80" s="64">
        <v>26.47</v>
      </c>
      <c r="N80" s="64">
        <v>85.7</v>
      </c>
      <c r="O80" s="64">
        <v>0</v>
      </c>
      <c r="P80" s="64">
        <v>0.63</v>
      </c>
      <c r="Q80" s="64">
        <v>9.5299999999999994</v>
      </c>
      <c r="R80" s="198"/>
      <c r="S80" s="198"/>
      <c r="T80" s="198"/>
      <c r="U80" s="198"/>
    </row>
    <row r="81" spans="1:26" s="12" customFormat="1" x14ac:dyDescent="0.25">
      <c r="A81" s="214" t="s">
        <v>798</v>
      </c>
      <c r="B81" s="64">
        <v>8.32</v>
      </c>
      <c r="C81" s="64">
        <v>36.03</v>
      </c>
      <c r="D81" s="64">
        <v>53.12</v>
      </c>
      <c r="E81" s="64">
        <v>14.31</v>
      </c>
      <c r="F81" s="64">
        <v>23.98</v>
      </c>
      <c r="G81" s="64">
        <v>39.08</v>
      </c>
      <c r="H81" s="64">
        <v>9.1999999999999993</v>
      </c>
      <c r="I81" s="64">
        <v>4.0599999999999996</v>
      </c>
      <c r="J81" s="64">
        <v>0.38</v>
      </c>
      <c r="K81" s="64">
        <v>226.77</v>
      </c>
      <c r="L81" s="64">
        <v>37.07</v>
      </c>
      <c r="M81" s="64">
        <v>27.66</v>
      </c>
      <c r="N81" s="64">
        <v>73.099999999999994</v>
      </c>
      <c r="O81" s="64">
        <v>0</v>
      </c>
      <c r="P81" s="64">
        <v>0.64</v>
      </c>
      <c r="Q81" s="64">
        <v>9.52</v>
      </c>
      <c r="R81" s="198"/>
      <c r="S81" s="198"/>
      <c r="T81" s="198"/>
      <c r="U81" s="198"/>
    </row>
    <row r="82" spans="1:26" s="12" customFormat="1" x14ac:dyDescent="0.25">
      <c r="A82" s="214" t="s">
        <v>799</v>
      </c>
      <c r="B82" s="64">
        <v>13.41</v>
      </c>
      <c r="C82" s="64">
        <v>58.66</v>
      </c>
      <c r="D82" s="64">
        <v>88.64</v>
      </c>
      <c r="E82" s="64">
        <v>11.78</v>
      </c>
      <c r="F82" s="64">
        <v>16.7</v>
      </c>
      <c r="G82" s="64">
        <v>39.08</v>
      </c>
      <c r="H82" s="64">
        <v>9.1999999999999993</v>
      </c>
      <c r="I82" s="64">
        <v>3.89</v>
      </c>
      <c r="J82" s="64">
        <v>0.23</v>
      </c>
      <c r="K82" s="64">
        <v>217.13</v>
      </c>
      <c r="L82" s="64">
        <v>36.51</v>
      </c>
      <c r="M82" s="64">
        <v>30.73</v>
      </c>
      <c r="N82" s="64">
        <v>64.099999999999994</v>
      </c>
      <c r="O82" s="64">
        <v>0</v>
      </c>
      <c r="P82" s="64">
        <v>0.84</v>
      </c>
      <c r="Q82" s="64">
        <v>9.5299999999999994</v>
      </c>
      <c r="R82" s="198"/>
      <c r="S82" s="198"/>
      <c r="T82" s="198"/>
      <c r="U82" s="198"/>
    </row>
    <row r="83" spans="1:26" s="12" customFormat="1" x14ac:dyDescent="0.25">
      <c r="A83" s="214" t="s">
        <v>800</v>
      </c>
      <c r="B83" s="64">
        <v>34.130000000000003</v>
      </c>
      <c r="C83" s="64">
        <v>87.7</v>
      </c>
      <c r="D83" s="64">
        <v>112.42</v>
      </c>
      <c r="E83" s="64">
        <v>9.15</v>
      </c>
      <c r="F83" s="64">
        <v>9.31</v>
      </c>
      <c r="G83" s="64">
        <v>39.08</v>
      </c>
      <c r="H83" s="64">
        <v>9.1999999999999993</v>
      </c>
      <c r="I83" s="64">
        <v>3.98</v>
      </c>
      <c r="J83" s="64">
        <v>0.11</v>
      </c>
      <c r="K83" s="64">
        <v>202.75</v>
      </c>
      <c r="L83" s="64">
        <v>35.479999999999997</v>
      </c>
      <c r="M83" s="64">
        <v>35.11</v>
      </c>
      <c r="N83" s="64">
        <v>61.1</v>
      </c>
      <c r="O83" s="64">
        <v>0</v>
      </c>
      <c r="P83" s="64">
        <v>1.3</v>
      </c>
      <c r="Q83" s="64">
        <v>9.52</v>
      </c>
      <c r="R83" s="198"/>
      <c r="S83" s="198"/>
      <c r="T83" s="198"/>
      <c r="U83" s="198"/>
    </row>
    <row r="84" spans="1:26" s="12" customFormat="1" x14ac:dyDescent="0.25">
      <c r="A84" s="214" t="s">
        <v>801</v>
      </c>
      <c r="B84" s="64">
        <v>114.92</v>
      </c>
      <c r="C84" s="64">
        <v>153.15</v>
      </c>
      <c r="D84" s="64">
        <v>113.69</v>
      </c>
      <c r="E84" s="64">
        <v>8.2799999999999994</v>
      </c>
      <c r="F84" s="64">
        <v>6.42</v>
      </c>
      <c r="G84" s="64">
        <v>39.08</v>
      </c>
      <c r="H84" s="64">
        <v>9.1999999999999993</v>
      </c>
      <c r="I84" s="64">
        <v>4.01</v>
      </c>
      <c r="J84" s="64">
        <v>0.25</v>
      </c>
      <c r="K84" s="64">
        <v>273.70999999999998</v>
      </c>
      <c r="L84" s="64">
        <v>34.770000000000003</v>
      </c>
      <c r="M84" s="64">
        <v>42.86</v>
      </c>
      <c r="N84" s="64">
        <v>60.8</v>
      </c>
      <c r="O84" s="64">
        <v>0</v>
      </c>
      <c r="P84" s="64">
        <v>2.78</v>
      </c>
      <c r="Q84" s="64">
        <v>9.5</v>
      </c>
      <c r="R84" s="198"/>
      <c r="S84" s="198"/>
      <c r="T84" s="198"/>
      <c r="U84" s="198"/>
    </row>
    <row r="85" spans="1:26" s="12" customFormat="1" x14ac:dyDescent="0.25">
      <c r="A85" s="214" t="s">
        <v>802</v>
      </c>
      <c r="B85" s="64">
        <v>104.02</v>
      </c>
      <c r="C85" s="64">
        <v>148.37</v>
      </c>
      <c r="D85" s="64">
        <v>121.27</v>
      </c>
      <c r="E85" s="64">
        <v>7.77</v>
      </c>
      <c r="F85" s="64">
        <v>5.32</v>
      </c>
      <c r="G85" s="64">
        <v>53.5</v>
      </c>
      <c r="H85" s="64">
        <v>21.65</v>
      </c>
      <c r="I85" s="64">
        <v>4.07</v>
      </c>
      <c r="J85" s="64">
        <v>0.19</v>
      </c>
      <c r="K85" s="64">
        <v>281.18</v>
      </c>
      <c r="L85" s="64">
        <v>34.14</v>
      </c>
      <c r="M85" s="64">
        <v>40.99</v>
      </c>
      <c r="N85" s="64">
        <v>60.7</v>
      </c>
      <c r="O85" s="64">
        <v>0</v>
      </c>
      <c r="P85" s="64">
        <v>1.88</v>
      </c>
      <c r="Q85" s="64">
        <v>9.49</v>
      </c>
      <c r="R85" s="198"/>
      <c r="S85" s="198"/>
      <c r="T85" s="198"/>
      <c r="U85" s="198"/>
    </row>
    <row r="86" spans="1:26" s="12" customFormat="1" x14ac:dyDescent="0.25">
      <c r="A86" s="214" t="s">
        <v>803</v>
      </c>
      <c r="B86" s="64">
        <v>148.54</v>
      </c>
      <c r="C86" s="64">
        <v>183.33</v>
      </c>
      <c r="D86" s="64">
        <v>119.86</v>
      </c>
      <c r="E86" s="64">
        <v>7.27</v>
      </c>
      <c r="F86" s="64">
        <v>5.21</v>
      </c>
      <c r="G86" s="64">
        <v>53.5</v>
      </c>
      <c r="H86" s="64">
        <v>21.65</v>
      </c>
      <c r="I86" s="64">
        <v>3.94</v>
      </c>
      <c r="J86" s="64">
        <v>0.14000000000000001</v>
      </c>
      <c r="K86" s="64">
        <v>50.75</v>
      </c>
      <c r="L86" s="64">
        <v>33.700000000000003</v>
      </c>
      <c r="M86" s="64">
        <v>43.21</v>
      </c>
      <c r="N86" s="64">
        <v>60.5</v>
      </c>
      <c r="O86" s="64">
        <v>0</v>
      </c>
      <c r="P86" s="64">
        <v>1.93</v>
      </c>
      <c r="Q86" s="64">
        <v>9.5</v>
      </c>
      <c r="R86" s="198"/>
      <c r="S86" s="198"/>
      <c r="T86" s="198"/>
      <c r="U86" s="198"/>
    </row>
    <row r="87" spans="1:26" s="12" customFormat="1" x14ac:dyDescent="0.25">
      <c r="A87" s="214" t="s">
        <v>804</v>
      </c>
      <c r="B87" s="64">
        <v>188.45</v>
      </c>
      <c r="C87" s="64">
        <v>216.16</v>
      </c>
      <c r="D87" s="64">
        <v>121.43</v>
      </c>
      <c r="E87" s="64">
        <v>7.46</v>
      </c>
      <c r="F87" s="64">
        <v>5.21</v>
      </c>
      <c r="G87" s="64">
        <v>53.5</v>
      </c>
      <c r="H87" s="64">
        <v>21.65</v>
      </c>
      <c r="I87" s="64">
        <v>4.0199999999999996</v>
      </c>
      <c r="J87" s="64">
        <v>0.11</v>
      </c>
      <c r="K87" s="64">
        <v>190.7</v>
      </c>
      <c r="L87" s="64">
        <v>33.520000000000003</v>
      </c>
      <c r="M87" s="64">
        <v>42.14</v>
      </c>
      <c r="N87" s="64">
        <v>60.3</v>
      </c>
      <c r="O87" s="64">
        <v>0</v>
      </c>
      <c r="P87" s="64">
        <v>1.54</v>
      </c>
      <c r="Q87" s="64">
        <v>9.49</v>
      </c>
      <c r="R87" s="198"/>
      <c r="S87" s="198"/>
      <c r="T87" s="198"/>
      <c r="U87" s="198"/>
    </row>
    <row r="88" spans="1:26" s="12" customFormat="1" x14ac:dyDescent="0.25">
      <c r="A88" s="214" t="s">
        <v>805</v>
      </c>
      <c r="B88" s="64">
        <v>160.9</v>
      </c>
      <c r="C88" s="64">
        <v>190.67</v>
      </c>
      <c r="D88" s="64">
        <v>114.93</v>
      </c>
      <c r="E88" s="64">
        <v>7.19</v>
      </c>
      <c r="F88" s="64">
        <v>4.92</v>
      </c>
      <c r="G88" s="64">
        <v>53.5</v>
      </c>
      <c r="H88" s="64">
        <v>21.65</v>
      </c>
      <c r="I88" s="64">
        <v>4.18</v>
      </c>
      <c r="J88" s="64">
        <v>0.19</v>
      </c>
      <c r="K88" s="64">
        <v>273.11</v>
      </c>
      <c r="L88" s="64">
        <v>33.39</v>
      </c>
      <c r="M88" s="64">
        <v>46.54</v>
      </c>
      <c r="N88" s="64">
        <v>60.4</v>
      </c>
      <c r="O88" s="64">
        <v>0</v>
      </c>
      <c r="P88" s="64">
        <v>2.21</v>
      </c>
      <c r="Q88" s="64">
        <v>9.52</v>
      </c>
      <c r="R88" s="198"/>
      <c r="S88" s="198"/>
      <c r="T88" s="198"/>
      <c r="U88" s="198"/>
    </row>
    <row r="89" spans="1:26" s="12" customFormat="1" x14ac:dyDescent="0.25">
      <c r="A89" s="214" t="s">
        <v>806</v>
      </c>
      <c r="B89" s="64">
        <v>72.400000000000006</v>
      </c>
      <c r="C89" s="64">
        <v>116.39</v>
      </c>
      <c r="D89" s="64">
        <v>108.59</v>
      </c>
      <c r="E89" s="64">
        <v>6.5</v>
      </c>
      <c r="F89" s="64">
        <v>5.17</v>
      </c>
      <c r="G89" s="64">
        <v>72.58</v>
      </c>
      <c r="H89" s="64">
        <v>24.47</v>
      </c>
      <c r="I89" s="64">
        <v>3.92</v>
      </c>
      <c r="J89" s="64">
        <v>0.3</v>
      </c>
      <c r="K89" s="64">
        <v>214.33</v>
      </c>
      <c r="L89" s="64">
        <v>33.020000000000003</v>
      </c>
      <c r="M89" s="64">
        <v>45.35</v>
      </c>
      <c r="N89" s="64">
        <v>59.9</v>
      </c>
      <c r="O89" s="64">
        <v>0</v>
      </c>
      <c r="P89" s="64">
        <v>1.72</v>
      </c>
      <c r="Q89" s="64">
        <v>9.5399999999999991</v>
      </c>
      <c r="R89" s="198"/>
      <c r="S89" s="198"/>
      <c r="T89" s="198"/>
      <c r="U89" s="198"/>
    </row>
    <row r="90" spans="1:26" s="12" customFormat="1" x14ac:dyDescent="0.25">
      <c r="A90" s="214" t="s">
        <v>807</v>
      </c>
      <c r="B90" s="64">
        <v>56.66</v>
      </c>
      <c r="C90" s="64">
        <v>77.05</v>
      </c>
      <c r="D90" s="64">
        <v>57.46</v>
      </c>
      <c r="E90" s="64">
        <v>6.11</v>
      </c>
      <c r="F90" s="64">
        <v>7.25</v>
      </c>
      <c r="G90" s="64">
        <v>72.58</v>
      </c>
      <c r="H90" s="64">
        <v>24.47</v>
      </c>
      <c r="I90" s="64">
        <v>4.07</v>
      </c>
      <c r="J90" s="64">
        <v>0.94</v>
      </c>
      <c r="K90" s="64">
        <v>153.81</v>
      </c>
      <c r="L90" s="64">
        <v>33.909999999999997</v>
      </c>
      <c r="M90" s="64">
        <v>39.58</v>
      </c>
      <c r="N90" s="64">
        <v>58.2</v>
      </c>
      <c r="O90" s="64">
        <v>0</v>
      </c>
      <c r="P90" s="64">
        <v>1.21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4" t="s">
        <v>808</v>
      </c>
      <c r="B91" s="64">
        <v>37.26</v>
      </c>
      <c r="C91" s="64">
        <v>62.79</v>
      </c>
      <c r="D91" s="64">
        <v>59.94</v>
      </c>
      <c r="E91" s="64">
        <v>5.9</v>
      </c>
      <c r="F91" s="64">
        <v>10.47</v>
      </c>
      <c r="G91" s="64">
        <v>72.58</v>
      </c>
      <c r="H91" s="64">
        <v>24.47</v>
      </c>
      <c r="I91" s="64">
        <v>4.01</v>
      </c>
      <c r="J91" s="64">
        <v>0.77</v>
      </c>
      <c r="K91" s="64">
        <v>155.41</v>
      </c>
      <c r="L91" s="64">
        <v>33.880000000000003</v>
      </c>
      <c r="M91" s="64">
        <v>39.909999999999997</v>
      </c>
      <c r="N91" s="64">
        <v>59.8</v>
      </c>
      <c r="O91" s="64">
        <v>0</v>
      </c>
      <c r="P91" s="64">
        <v>0.9</v>
      </c>
      <c r="Q91" s="64">
        <v>9.66</v>
      </c>
      <c r="R91" s="198"/>
      <c r="S91" s="198"/>
      <c r="T91" s="198"/>
      <c r="U91" s="198"/>
    </row>
    <row r="92" spans="1:26" s="12" customFormat="1" x14ac:dyDescent="0.25">
      <c r="A92" s="214" t="s">
        <v>809</v>
      </c>
      <c r="B92" s="64">
        <v>30.72</v>
      </c>
      <c r="C92" s="64">
        <v>61.39</v>
      </c>
      <c r="D92" s="64">
        <v>67.3</v>
      </c>
      <c r="E92" s="64">
        <v>5.54</v>
      </c>
      <c r="F92" s="64">
        <v>10.58</v>
      </c>
      <c r="G92" s="64">
        <v>72.58</v>
      </c>
      <c r="H92" s="64">
        <v>24.47</v>
      </c>
      <c r="I92" s="64">
        <v>3.92</v>
      </c>
      <c r="J92" s="64">
        <v>0.46</v>
      </c>
      <c r="K92" s="64">
        <v>180.69</v>
      </c>
      <c r="L92" s="64">
        <v>33.56</v>
      </c>
      <c r="M92" s="64">
        <v>41.63</v>
      </c>
      <c r="N92" s="64">
        <v>60.2</v>
      </c>
      <c r="O92" s="64">
        <v>0</v>
      </c>
      <c r="P92" s="64">
        <v>0.8</v>
      </c>
      <c r="Q92" s="64">
        <v>9.73</v>
      </c>
      <c r="R92" s="198"/>
      <c r="S92" s="198"/>
      <c r="T92" s="198"/>
      <c r="U92" s="198"/>
    </row>
    <row r="93" spans="1:26" s="12" customFormat="1" x14ac:dyDescent="0.25">
      <c r="A93" s="214" t="s">
        <v>810</v>
      </c>
      <c r="B93" s="64">
        <v>26.37</v>
      </c>
      <c r="C93" s="64">
        <v>51.16</v>
      </c>
      <c r="D93" s="64">
        <v>54.38</v>
      </c>
      <c r="E93" s="64">
        <v>5.56</v>
      </c>
      <c r="F93" s="64">
        <v>11.92</v>
      </c>
      <c r="G93" s="64">
        <v>70.22</v>
      </c>
      <c r="H93" s="64">
        <v>18.97</v>
      </c>
      <c r="I93" s="64">
        <v>3.99</v>
      </c>
      <c r="J93" s="64">
        <v>0.7</v>
      </c>
      <c r="K93" s="64">
        <v>152.27000000000001</v>
      </c>
      <c r="L93" s="64">
        <v>33.32</v>
      </c>
      <c r="M93" s="64">
        <v>42.88</v>
      </c>
      <c r="N93" s="64">
        <v>59.9</v>
      </c>
      <c r="O93" s="64">
        <v>0</v>
      </c>
      <c r="P93" s="64">
        <v>0.74</v>
      </c>
      <c r="Q93" s="64">
        <v>9.69</v>
      </c>
      <c r="R93" s="198"/>
      <c r="S93" s="198"/>
      <c r="T93" s="198"/>
      <c r="U93" s="198"/>
    </row>
    <row r="94" spans="1:26" s="12" customFormat="1" x14ac:dyDescent="0.25">
      <c r="A94" s="214" t="s">
        <v>811</v>
      </c>
      <c r="B94" s="64">
        <v>16.71</v>
      </c>
      <c r="C94" s="64">
        <v>50.82</v>
      </c>
      <c r="D94" s="64">
        <v>68.59</v>
      </c>
      <c r="E94" s="64">
        <v>5.44</v>
      </c>
      <c r="F94" s="64">
        <v>11.65</v>
      </c>
      <c r="G94" s="64">
        <v>70.22</v>
      </c>
      <c r="H94" s="64">
        <v>18.97</v>
      </c>
      <c r="I94" s="64">
        <v>4.1100000000000003</v>
      </c>
      <c r="J94" s="64">
        <v>0.33</v>
      </c>
      <c r="K94" s="64">
        <v>215.93</v>
      </c>
      <c r="L94" s="64">
        <v>32.950000000000003</v>
      </c>
      <c r="M94" s="64">
        <v>43.97</v>
      </c>
      <c r="N94" s="64">
        <v>60.5</v>
      </c>
      <c r="O94" s="64">
        <v>0</v>
      </c>
      <c r="P94" s="64">
        <v>0.66</v>
      </c>
      <c r="Q94" s="64">
        <v>9.6999999999999993</v>
      </c>
      <c r="R94" s="198"/>
      <c r="S94" s="198"/>
      <c r="T94" s="198"/>
      <c r="U94" s="198"/>
    </row>
    <row r="95" spans="1:26" s="12" customFormat="1" x14ac:dyDescent="0.25">
      <c r="A95" s="214" t="s">
        <v>812</v>
      </c>
      <c r="B95" s="64">
        <v>19.5</v>
      </c>
      <c r="C95" s="64">
        <v>60.55</v>
      </c>
      <c r="D95" s="64">
        <v>82.9</v>
      </c>
      <c r="E95" s="64">
        <v>5.5</v>
      </c>
      <c r="F95" s="64">
        <v>10.14</v>
      </c>
      <c r="G95" s="64">
        <v>70.22</v>
      </c>
      <c r="H95" s="64">
        <v>18.97</v>
      </c>
      <c r="I95" s="64">
        <v>4.0999999999999996</v>
      </c>
      <c r="J95" s="64">
        <v>0.23</v>
      </c>
      <c r="K95" s="64">
        <v>221.32</v>
      </c>
      <c r="L95" s="64">
        <v>32.69</v>
      </c>
      <c r="M95" s="64">
        <v>44.34</v>
      </c>
      <c r="N95" s="64">
        <v>60.6</v>
      </c>
      <c r="O95" s="64">
        <v>0</v>
      </c>
      <c r="P95" s="64">
        <v>0.64</v>
      </c>
      <c r="Q95" s="64">
        <v>9.73</v>
      </c>
      <c r="R95" s="198"/>
      <c r="S95" s="198"/>
      <c r="T95" s="198"/>
      <c r="U95" s="198"/>
    </row>
    <row r="96" spans="1:26" s="12" customFormat="1" x14ac:dyDescent="0.25">
      <c r="A96" s="214" t="s">
        <v>813</v>
      </c>
      <c r="B96" s="64">
        <v>21.91</v>
      </c>
      <c r="C96" s="64">
        <v>59.49</v>
      </c>
      <c r="D96" s="64">
        <v>77.19</v>
      </c>
      <c r="E96" s="64">
        <v>5.6</v>
      </c>
      <c r="F96" s="64">
        <v>9.56</v>
      </c>
      <c r="G96" s="64">
        <v>70.22</v>
      </c>
      <c r="H96" s="64">
        <v>18.97</v>
      </c>
      <c r="I96" s="64">
        <v>3.92</v>
      </c>
      <c r="J96" s="64">
        <v>0.25</v>
      </c>
      <c r="K96" s="64">
        <v>176.27</v>
      </c>
      <c r="L96" s="64">
        <v>32.29</v>
      </c>
      <c r="M96" s="64">
        <v>45.58</v>
      </c>
      <c r="N96" s="64">
        <v>60.5</v>
      </c>
      <c r="O96" s="64">
        <v>0</v>
      </c>
      <c r="P96" s="64">
        <v>0.56999999999999995</v>
      </c>
      <c r="Q96" s="64">
        <v>9.6999999999999993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814</v>
      </c>
      <c r="B97" s="64">
        <v>17.22</v>
      </c>
      <c r="C97" s="64">
        <v>52.32</v>
      </c>
      <c r="D97" s="64">
        <v>70.66</v>
      </c>
      <c r="E97" s="64">
        <v>5.5</v>
      </c>
      <c r="F97" s="64">
        <v>10.7</v>
      </c>
      <c r="G97" s="64">
        <v>61.2</v>
      </c>
      <c r="H97" s="64">
        <v>17.27</v>
      </c>
      <c r="I97" s="64">
        <v>4.04</v>
      </c>
      <c r="J97" s="64">
        <v>0.17</v>
      </c>
      <c r="K97" s="64">
        <v>209.87</v>
      </c>
      <c r="L97" s="64">
        <v>31.88</v>
      </c>
      <c r="M97" s="64">
        <v>47.1</v>
      </c>
      <c r="N97" s="64">
        <v>60.7</v>
      </c>
      <c r="O97" s="64">
        <v>0</v>
      </c>
      <c r="P97" s="64">
        <v>0.56999999999999995</v>
      </c>
      <c r="Q97" s="64">
        <v>9.68</v>
      </c>
      <c r="R97" s="198"/>
      <c r="S97" s="198"/>
      <c r="T97" s="198"/>
      <c r="U97" s="198"/>
    </row>
    <row r="98" spans="1:33" s="12" customFormat="1" x14ac:dyDescent="0.25">
      <c r="A98" s="214" t="s">
        <v>815</v>
      </c>
      <c r="B98" s="64">
        <v>25.16</v>
      </c>
      <c r="C98" s="64">
        <v>61.95</v>
      </c>
      <c r="D98" s="64">
        <v>76.91</v>
      </c>
      <c r="E98" s="64">
        <v>5.54</v>
      </c>
      <c r="F98" s="64">
        <v>8.74</v>
      </c>
      <c r="G98" s="64">
        <v>61.2</v>
      </c>
      <c r="H98" s="64">
        <v>17.27</v>
      </c>
      <c r="I98" s="64">
        <v>3.86</v>
      </c>
      <c r="J98" s="64">
        <v>0.19</v>
      </c>
      <c r="K98" s="64">
        <v>246.31</v>
      </c>
      <c r="L98" s="64">
        <v>31.87</v>
      </c>
      <c r="M98" s="64">
        <v>46.45</v>
      </c>
      <c r="N98" s="64">
        <v>60.3</v>
      </c>
      <c r="O98" s="64">
        <v>0</v>
      </c>
      <c r="P98" s="64">
        <v>0.63</v>
      </c>
      <c r="Q98" s="64">
        <v>9.69</v>
      </c>
      <c r="R98" s="198"/>
      <c r="S98" s="198"/>
      <c r="T98" s="198"/>
      <c r="U98" s="198"/>
    </row>
    <row r="99" spans="1:33" s="12" customFormat="1" x14ac:dyDescent="0.25">
      <c r="A99" s="214" t="s">
        <v>816</v>
      </c>
      <c r="B99" s="64">
        <v>18.100000000000001</v>
      </c>
      <c r="C99" s="64">
        <v>47.29</v>
      </c>
      <c r="D99" s="64">
        <v>59.68</v>
      </c>
      <c r="E99" s="64">
        <v>5.29</v>
      </c>
      <c r="F99" s="64">
        <v>10.61</v>
      </c>
      <c r="G99" s="64">
        <v>61.2</v>
      </c>
      <c r="H99" s="64">
        <v>17.27</v>
      </c>
      <c r="I99" s="64">
        <v>4.01</v>
      </c>
      <c r="J99" s="64">
        <v>0.43</v>
      </c>
      <c r="K99" s="64">
        <v>160.94</v>
      </c>
      <c r="L99" s="64">
        <v>31.74</v>
      </c>
      <c r="M99" s="64">
        <v>46.23</v>
      </c>
      <c r="N99" s="64">
        <v>59.9</v>
      </c>
      <c r="O99" s="64">
        <v>0</v>
      </c>
      <c r="P99" s="64">
        <v>0.53</v>
      </c>
      <c r="Q99" s="64">
        <v>9.68</v>
      </c>
      <c r="R99" s="198"/>
      <c r="S99" s="198"/>
      <c r="T99" s="198"/>
      <c r="U99" s="198"/>
    </row>
    <row r="100" spans="1:33" s="12" customFormat="1" x14ac:dyDescent="0.25">
      <c r="A100" s="214" t="s">
        <v>817</v>
      </c>
      <c r="B100" s="64">
        <v>20.3</v>
      </c>
      <c r="C100" s="64">
        <v>50.92</v>
      </c>
      <c r="D100" s="64">
        <v>63.25</v>
      </c>
      <c r="E100" s="64">
        <v>5.07</v>
      </c>
      <c r="F100" s="64">
        <v>10.46</v>
      </c>
      <c r="G100" s="64">
        <v>61.2</v>
      </c>
      <c r="H100" s="64">
        <v>17.27</v>
      </c>
      <c r="I100" s="64">
        <v>4.2</v>
      </c>
      <c r="J100" s="64">
        <v>0.25</v>
      </c>
      <c r="K100" s="64">
        <v>245.88</v>
      </c>
      <c r="L100" s="64">
        <v>31.46</v>
      </c>
      <c r="M100" s="64">
        <v>47.36</v>
      </c>
      <c r="N100" s="64">
        <v>60.6</v>
      </c>
      <c r="O100" s="64">
        <v>0</v>
      </c>
      <c r="P100" s="64">
        <v>0.52</v>
      </c>
      <c r="Q100" s="64">
        <v>9.68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818</v>
      </c>
      <c r="B101" s="64">
        <v>21.34</v>
      </c>
      <c r="C101" s="64">
        <v>47.28</v>
      </c>
      <c r="D101" s="64">
        <v>54.69</v>
      </c>
      <c r="E101" s="64">
        <v>4.79</v>
      </c>
      <c r="F101" s="64">
        <v>9.9499999999999993</v>
      </c>
      <c r="G101" s="64">
        <v>58.8</v>
      </c>
      <c r="H101" s="64">
        <v>18.66</v>
      </c>
      <c r="I101" s="64">
        <v>3.99</v>
      </c>
      <c r="J101" s="64">
        <v>0.17</v>
      </c>
      <c r="K101" s="64">
        <v>212.33</v>
      </c>
      <c r="L101" s="64">
        <v>31.06</v>
      </c>
      <c r="M101" s="64">
        <v>47.65</v>
      </c>
      <c r="N101" s="64">
        <v>60.6</v>
      </c>
      <c r="O101" s="64">
        <v>0</v>
      </c>
      <c r="P101" s="64">
        <v>0.61</v>
      </c>
      <c r="Q101" s="64">
        <v>9.68</v>
      </c>
      <c r="R101" s="198"/>
      <c r="S101" s="198"/>
      <c r="T101" s="198"/>
      <c r="U101" s="198"/>
    </row>
    <row r="102" spans="1:33" s="12" customFormat="1" x14ac:dyDescent="0.25">
      <c r="A102" s="214" t="s">
        <v>819</v>
      </c>
      <c r="B102" s="64">
        <v>20.66</v>
      </c>
      <c r="C102" s="64">
        <v>51.84</v>
      </c>
      <c r="D102" s="64">
        <v>64.47</v>
      </c>
      <c r="E102" s="64">
        <v>4.88</v>
      </c>
      <c r="F102" s="64">
        <v>8.94</v>
      </c>
      <c r="G102" s="64">
        <v>58.8</v>
      </c>
      <c r="H102" s="64">
        <v>18.66</v>
      </c>
      <c r="I102" s="64">
        <v>3.98</v>
      </c>
      <c r="J102" s="64">
        <v>0.34</v>
      </c>
      <c r="K102" s="64">
        <v>208.17</v>
      </c>
      <c r="L102" s="64">
        <v>31.07</v>
      </c>
      <c r="M102" s="64">
        <v>48.71</v>
      </c>
      <c r="N102" s="64">
        <v>60.1</v>
      </c>
      <c r="O102" s="64">
        <v>0</v>
      </c>
      <c r="P102" s="64">
        <v>0.47</v>
      </c>
      <c r="Q102" s="64">
        <v>9.69</v>
      </c>
      <c r="R102" s="198"/>
      <c r="S102" s="198"/>
      <c r="T102" s="198"/>
      <c r="U102" s="198"/>
    </row>
    <row r="103" spans="1:33" s="12" customFormat="1" x14ac:dyDescent="0.25">
      <c r="A103" s="214" t="s">
        <v>820</v>
      </c>
      <c r="B103" s="64">
        <v>25.34</v>
      </c>
      <c r="C103" s="64">
        <v>48.67</v>
      </c>
      <c r="D103" s="64">
        <v>51.21</v>
      </c>
      <c r="E103" s="64">
        <v>4.91</v>
      </c>
      <c r="F103" s="64">
        <v>8.8000000000000007</v>
      </c>
      <c r="G103" s="64">
        <v>58.8</v>
      </c>
      <c r="H103" s="64">
        <v>18.66</v>
      </c>
      <c r="I103" s="64">
        <v>4.12</v>
      </c>
      <c r="J103" s="64">
        <v>0.26</v>
      </c>
      <c r="K103" s="64">
        <v>212.68</v>
      </c>
      <c r="L103" s="64">
        <v>30.93</v>
      </c>
      <c r="M103" s="64">
        <v>49.38</v>
      </c>
      <c r="N103" s="64">
        <v>60.6</v>
      </c>
      <c r="O103" s="64">
        <v>0</v>
      </c>
      <c r="P103" s="64">
        <v>0.56999999999999995</v>
      </c>
      <c r="Q103" s="64">
        <v>9.68</v>
      </c>
      <c r="R103" s="198"/>
      <c r="S103" s="198"/>
      <c r="T103" s="198"/>
      <c r="U103" s="198"/>
    </row>
    <row r="104" spans="1:33" s="12" customFormat="1" x14ac:dyDescent="0.25">
      <c r="A104" s="214" t="s">
        <v>821</v>
      </c>
      <c r="B104" s="64">
        <v>21.99</v>
      </c>
      <c r="C104" s="64">
        <v>45.35</v>
      </c>
      <c r="D104" s="64">
        <v>50</v>
      </c>
      <c r="E104" s="64">
        <v>4.13</v>
      </c>
      <c r="F104" s="64">
        <v>8.43</v>
      </c>
      <c r="G104" s="64">
        <v>58.8</v>
      </c>
      <c r="H104" s="64">
        <v>18.66</v>
      </c>
      <c r="I104" s="64">
        <v>4.0599999999999996</v>
      </c>
      <c r="J104" s="64">
        <v>0.31</v>
      </c>
      <c r="K104" s="64">
        <v>252.44</v>
      </c>
      <c r="L104" s="64">
        <v>30.53</v>
      </c>
      <c r="M104" s="64">
        <v>50.79</v>
      </c>
      <c r="N104" s="64">
        <v>60.7</v>
      </c>
      <c r="O104" s="64">
        <v>0</v>
      </c>
      <c r="P104" s="64">
        <v>0.5</v>
      </c>
      <c r="Q104" s="64">
        <v>9.65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7.8</v>
      </c>
      <c r="C106" s="67">
        <f>MIN(C9:C104)</f>
        <v>23.57</v>
      </c>
      <c r="D106" s="67">
        <f t="shared" ref="D106:Q106" si="0">MIN(D9:D104)</f>
        <v>28.2</v>
      </c>
      <c r="E106" s="67">
        <f t="shared" si="0"/>
        <v>4.13</v>
      </c>
      <c r="F106" s="67">
        <f t="shared" si="0"/>
        <v>4.92</v>
      </c>
      <c r="G106" s="67">
        <f t="shared" si="0"/>
        <v>28.31</v>
      </c>
      <c r="H106" s="67">
        <f t="shared" si="0"/>
        <v>4.03</v>
      </c>
      <c r="I106" s="67">
        <f t="shared" si="0"/>
        <v>3.77</v>
      </c>
      <c r="J106" s="67">
        <f t="shared" si="0"/>
        <v>0.06</v>
      </c>
      <c r="K106" s="67">
        <f t="shared" si="0"/>
        <v>50.75</v>
      </c>
      <c r="L106" s="67">
        <f t="shared" si="0"/>
        <v>27.34</v>
      </c>
      <c r="M106" s="67">
        <f t="shared" si="0"/>
        <v>23.61</v>
      </c>
      <c r="N106" s="67">
        <f t="shared" si="0"/>
        <v>49.5</v>
      </c>
      <c r="O106" s="67">
        <f t="shared" si="0"/>
        <v>0</v>
      </c>
      <c r="P106" s="67">
        <f t="shared" si="0"/>
        <v>0.3</v>
      </c>
      <c r="Q106" s="67">
        <f t="shared" si="0"/>
        <v>9.49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188.45</v>
      </c>
      <c r="C107" s="66">
        <f t="shared" ref="C107:Q107" si="1">MAX(C9:C104)</f>
        <v>216.16</v>
      </c>
      <c r="D107" s="66">
        <f t="shared" si="1"/>
        <v>121.43</v>
      </c>
      <c r="E107" s="66">
        <f t="shared" si="1"/>
        <v>20.18</v>
      </c>
      <c r="F107" s="66">
        <f t="shared" si="1"/>
        <v>25.12</v>
      </c>
      <c r="G107" s="66">
        <f t="shared" si="1"/>
        <v>72.58</v>
      </c>
      <c r="H107" s="66">
        <f t="shared" si="1"/>
        <v>24.47</v>
      </c>
      <c r="I107" s="66">
        <f t="shared" si="1"/>
        <v>4.21</v>
      </c>
      <c r="J107" s="66">
        <f t="shared" si="1"/>
        <v>1.87</v>
      </c>
      <c r="K107" s="66">
        <f t="shared" si="1"/>
        <v>289.68</v>
      </c>
      <c r="L107" s="66">
        <f t="shared" si="1"/>
        <v>41.24</v>
      </c>
      <c r="M107" s="66">
        <f t="shared" si="1"/>
        <v>79.77</v>
      </c>
      <c r="N107" s="66">
        <f t="shared" si="1"/>
        <v>1081.7</v>
      </c>
      <c r="O107" s="66">
        <f t="shared" si="1"/>
        <v>0</v>
      </c>
      <c r="P107" s="66">
        <f t="shared" si="1"/>
        <v>2.78</v>
      </c>
      <c r="Q107" s="66">
        <f t="shared" si="1"/>
        <v>9.73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24.324895833333333</v>
      </c>
      <c r="C108" s="67">
        <f t="shared" ref="C108:Q108" si="2">AVERAGE(C9:C104)</f>
        <v>45.643229166666664</v>
      </c>
      <c r="D108" s="67">
        <f t="shared" si="2"/>
        <v>46.974270833333343</v>
      </c>
      <c r="E108" s="67">
        <f t="shared" si="2"/>
        <v>6.611041666666666</v>
      </c>
      <c r="F108" s="67">
        <f t="shared" si="2"/>
        <v>10.635833333333336</v>
      </c>
      <c r="G108" s="67">
        <f t="shared" si="2"/>
        <v>42.686145833333306</v>
      </c>
      <c r="H108" s="67">
        <f t="shared" si="2"/>
        <v>13.393333333333336</v>
      </c>
      <c r="I108" s="67">
        <f t="shared" si="2"/>
        <v>3.992500000000001</v>
      </c>
      <c r="J108" s="67">
        <f t="shared" si="2"/>
        <v>0.54322916666666643</v>
      </c>
      <c r="K108" s="67">
        <f t="shared" si="2"/>
        <v>222.14020833333339</v>
      </c>
      <c r="L108" s="67">
        <f t="shared" si="2"/>
        <v>33.653020833333336</v>
      </c>
      <c r="M108" s="67">
        <f t="shared" si="2"/>
        <v>45.506145833333306</v>
      </c>
      <c r="N108" s="67">
        <f t="shared" si="2"/>
        <v>303.57083333333333</v>
      </c>
      <c r="O108" s="67">
        <f t="shared" si="2"/>
        <v>0</v>
      </c>
      <c r="P108" s="67">
        <f t="shared" si="2"/>
        <v>0.64604166666666674</v>
      </c>
      <c r="Q108" s="67">
        <f t="shared" si="2"/>
        <v>9.5992708333333283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30.451119208358609</v>
      </c>
      <c r="C109" s="67">
        <f t="shared" ref="C109:Q109" si="3">STDEV(C9:C104)</f>
        <v>34.695878975517701</v>
      </c>
      <c r="D109" s="67">
        <f t="shared" si="3"/>
        <v>23.634075566515634</v>
      </c>
      <c r="E109" s="67">
        <f t="shared" si="3"/>
        <v>3.1366759070095243</v>
      </c>
      <c r="F109" s="67">
        <f t="shared" si="3"/>
        <v>5.1507962934036007</v>
      </c>
      <c r="G109" s="67">
        <f t="shared" si="3"/>
        <v>12.566951844948271</v>
      </c>
      <c r="H109" s="67">
        <f t="shared" si="3"/>
        <v>5.4099315928537619</v>
      </c>
      <c r="I109" s="67">
        <f t="shared" si="3"/>
        <v>8.6133311607188595E-2</v>
      </c>
      <c r="J109" s="67">
        <f t="shared" si="3"/>
        <v>0.28852618157827636</v>
      </c>
      <c r="K109" s="67">
        <f t="shared" si="3"/>
        <v>52.339357797864992</v>
      </c>
      <c r="L109" s="67">
        <f t="shared" si="3"/>
        <v>4.784143132824429</v>
      </c>
      <c r="M109" s="67">
        <f t="shared" si="3"/>
        <v>17.236293677176686</v>
      </c>
      <c r="N109" s="67">
        <f t="shared" si="3"/>
        <v>359.59437116274461</v>
      </c>
      <c r="O109" s="67">
        <f t="shared" si="3"/>
        <v>0</v>
      </c>
      <c r="P109" s="67">
        <f t="shared" si="3"/>
        <v>0.40259808655561896</v>
      </c>
      <c r="Q109" s="67">
        <f t="shared" si="3"/>
        <v>5.9863789101710273E-2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D110" si="4">COUNT(C9:C104)</f>
        <v>96</v>
      </c>
      <c r="D110" s="66">
        <f t="shared" si="4"/>
        <v>96</v>
      </c>
      <c r="E110" s="66">
        <f t="shared" ref="E110:Q110" si="5">COUNT(E9:E104)</f>
        <v>96</v>
      </c>
      <c r="F110" s="66">
        <f t="shared" si="5"/>
        <v>96</v>
      </c>
      <c r="G110" s="66">
        <f>COUNT(G9:G104)</f>
        <v>96</v>
      </c>
      <c r="H110" s="66">
        <f>COUNT(H9:H104)+12</f>
        <v>96</v>
      </c>
      <c r="I110" s="66">
        <f>COUNT(I9:I104)</f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822</v>
      </c>
      <c r="B9" s="64">
        <v>16.86</v>
      </c>
      <c r="C9" s="64">
        <v>35.200000000000003</v>
      </c>
      <c r="D9" s="64">
        <v>38.450000000000003</v>
      </c>
      <c r="E9" s="64">
        <v>4.84</v>
      </c>
      <c r="F9" s="64">
        <v>12.36</v>
      </c>
      <c r="G9" s="64">
        <v>48.27</v>
      </c>
      <c r="H9" s="64">
        <v>9.4</v>
      </c>
      <c r="I9" s="64">
        <v>3.94</v>
      </c>
      <c r="J9" s="64">
        <v>0.22</v>
      </c>
      <c r="K9" s="64">
        <v>277.75</v>
      </c>
      <c r="L9" s="64">
        <v>30.08</v>
      </c>
      <c r="M9" s="64">
        <v>51.87</v>
      </c>
      <c r="N9" s="64">
        <v>60.8</v>
      </c>
      <c r="O9" s="64">
        <v>0</v>
      </c>
      <c r="P9" s="64">
        <v>0.43</v>
      </c>
      <c r="Q9" s="64">
        <v>9.65</v>
      </c>
      <c r="R9" s="198"/>
      <c r="S9" s="198"/>
      <c r="T9" s="198"/>
      <c r="U9" s="198"/>
    </row>
    <row r="10" spans="1:21" s="12" customFormat="1" x14ac:dyDescent="0.25">
      <c r="A10" s="214" t="s">
        <v>823</v>
      </c>
      <c r="B10" s="64">
        <v>14.46</v>
      </c>
      <c r="C10" s="64">
        <v>29.62</v>
      </c>
      <c r="D10" s="64">
        <v>31.45</v>
      </c>
      <c r="E10" s="64">
        <v>4.46</v>
      </c>
      <c r="F10" s="64">
        <v>13.65</v>
      </c>
      <c r="G10" s="64">
        <v>48.27</v>
      </c>
      <c r="H10" s="64">
        <v>9.4</v>
      </c>
      <c r="I10" s="64">
        <v>4</v>
      </c>
      <c r="J10" s="64">
        <v>0.19</v>
      </c>
      <c r="K10" s="64">
        <v>214.63</v>
      </c>
      <c r="L10" s="64">
        <v>29.95</v>
      </c>
      <c r="M10" s="64">
        <v>52.68</v>
      </c>
      <c r="N10" s="64">
        <v>60.6</v>
      </c>
      <c r="O10" s="64">
        <v>0</v>
      </c>
      <c r="P10" s="64">
        <v>0.38</v>
      </c>
      <c r="Q10" s="64">
        <v>9.65</v>
      </c>
      <c r="R10" s="198"/>
      <c r="S10" s="198"/>
      <c r="T10" s="198"/>
      <c r="U10" s="198"/>
    </row>
    <row r="11" spans="1:21" s="12" customFormat="1" x14ac:dyDescent="0.25">
      <c r="A11" s="214" t="s">
        <v>824</v>
      </c>
      <c r="B11" s="64">
        <v>22.02</v>
      </c>
      <c r="C11" s="64">
        <v>35.75</v>
      </c>
      <c r="D11" s="64">
        <v>31.58</v>
      </c>
      <c r="E11" s="64">
        <v>4.6100000000000003</v>
      </c>
      <c r="F11" s="64">
        <v>11.02</v>
      </c>
      <c r="G11" s="64">
        <v>48.27</v>
      </c>
      <c r="H11" s="64">
        <v>9.4</v>
      </c>
      <c r="I11" s="64">
        <v>4.0599999999999996</v>
      </c>
      <c r="J11" s="64">
        <v>0.27</v>
      </c>
      <c r="K11" s="64">
        <v>236.9</v>
      </c>
      <c r="L11" s="64">
        <v>29.91</v>
      </c>
      <c r="M11" s="64">
        <v>54.64</v>
      </c>
      <c r="N11" s="64">
        <v>60.7</v>
      </c>
      <c r="O11" s="64">
        <v>0</v>
      </c>
      <c r="P11" s="64">
        <v>0.5</v>
      </c>
      <c r="Q11" s="64">
        <v>9.64</v>
      </c>
      <c r="R11" s="198"/>
      <c r="S11" s="198"/>
      <c r="T11" s="198"/>
      <c r="U11" s="198"/>
    </row>
    <row r="12" spans="1:21" s="12" customFormat="1" x14ac:dyDescent="0.25">
      <c r="A12" s="214" t="s">
        <v>825</v>
      </c>
      <c r="B12" s="64">
        <v>20.2</v>
      </c>
      <c r="C12" s="64">
        <v>35.11</v>
      </c>
      <c r="D12" s="64">
        <v>33.130000000000003</v>
      </c>
      <c r="E12" s="64">
        <v>4.46</v>
      </c>
      <c r="F12" s="64">
        <v>10.51</v>
      </c>
      <c r="G12" s="64">
        <v>48.27</v>
      </c>
      <c r="H12" s="64">
        <v>9.4</v>
      </c>
      <c r="I12" s="64">
        <v>3.97</v>
      </c>
      <c r="J12" s="64">
        <v>0.34</v>
      </c>
      <c r="K12" s="64">
        <v>188.01</v>
      </c>
      <c r="L12" s="64">
        <v>29.99</v>
      </c>
      <c r="M12" s="64">
        <v>54.92</v>
      </c>
      <c r="N12" s="64">
        <v>60.3</v>
      </c>
      <c r="O12" s="64">
        <v>0</v>
      </c>
      <c r="P12" s="64">
        <v>0.43</v>
      </c>
      <c r="Q12" s="64">
        <v>9.6300000000000008</v>
      </c>
      <c r="R12" s="198"/>
      <c r="S12" s="198"/>
      <c r="T12" s="198"/>
      <c r="U12" s="198"/>
    </row>
    <row r="13" spans="1:21" s="12" customFormat="1" x14ac:dyDescent="0.25">
      <c r="A13" s="214" t="s">
        <v>826</v>
      </c>
      <c r="B13" s="64">
        <v>14.49</v>
      </c>
      <c r="C13" s="64">
        <v>33.31</v>
      </c>
      <c r="D13" s="64">
        <v>38.46</v>
      </c>
      <c r="E13" s="64">
        <v>4.33</v>
      </c>
      <c r="F13" s="64">
        <v>10.54</v>
      </c>
      <c r="G13" s="64">
        <v>42.26</v>
      </c>
      <c r="H13" s="64">
        <v>14.33</v>
      </c>
      <c r="I13" s="64">
        <v>4.26</v>
      </c>
      <c r="J13" s="64">
        <v>0.35</v>
      </c>
      <c r="K13" s="64">
        <v>173.9</v>
      </c>
      <c r="L13" s="64">
        <v>29.76</v>
      </c>
      <c r="M13" s="64">
        <v>56.08</v>
      </c>
      <c r="N13" s="64">
        <v>60.5</v>
      </c>
      <c r="O13" s="64">
        <v>0</v>
      </c>
      <c r="P13" s="64">
        <v>0.34</v>
      </c>
      <c r="Q13" s="64">
        <v>9.6199999999999992</v>
      </c>
      <c r="R13" s="198"/>
      <c r="S13" s="198"/>
      <c r="T13" s="198"/>
      <c r="U13" s="198"/>
    </row>
    <row r="14" spans="1:21" s="12" customFormat="1" x14ac:dyDescent="0.25">
      <c r="A14" s="214" t="s">
        <v>827</v>
      </c>
      <c r="B14" s="64">
        <v>26.46</v>
      </c>
      <c r="C14" s="64">
        <v>40.57</v>
      </c>
      <c r="D14" s="64">
        <v>33.979999999999997</v>
      </c>
      <c r="E14" s="64">
        <v>4.33</v>
      </c>
      <c r="F14" s="64">
        <v>9.08</v>
      </c>
      <c r="G14" s="64">
        <v>42.26</v>
      </c>
      <c r="H14" s="64">
        <v>14.33</v>
      </c>
      <c r="I14" s="64">
        <v>3.91</v>
      </c>
      <c r="J14" s="64">
        <v>0.22</v>
      </c>
      <c r="K14" s="64">
        <v>218.87</v>
      </c>
      <c r="L14" s="64">
        <v>29.61</v>
      </c>
      <c r="M14" s="64">
        <v>57.91</v>
      </c>
      <c r="N14" s="64">
        <v>60.7</v>
      </c>
      <c r="O14" s="64">
        <v>0</v>
      </c>
      <c r="P14" s="64">
        <v>0.52</v>
      </c>
      <c r="Q14" s="64">
        <v>9.64</v>
      </c>
      <c r="R14" s="198"/>
      <c r="S14" s="198"/>
      <c r="T14" s="198"/>
      <c r="U14" s="198"/>
    </row>
    <row r="15" spans="1:21" s="12" customFormat="1" x14ac:dyDescent="0.25">
      <c r="A15" s="214" t="s">
        <v>828</v>
      </c>
      <c r="B15" s="64">
        <v>18.45</v>
      </c>
      <c r="C15" s="64">
        <v>40.26</v>
      </c>
      <c r="D15" s="64">
        <v>45.68</v>
      </c>
      <c r="E15" s="64">
        <v>4.37</v>
      </c>
      <c r="F15" s="64">
        <v>8.67</v>
      </c>
      <c r="G15" s="64">
        <v>42.26</v>
      </c>
      <c r="H15" s="64">
        <v>14.33</v>
      </c>
      <c r="I15" s="64">
        <v>3.95</v>
      </c>
      <c r="J15" s="64">
        <v>0.13</v>
      </c>
      <c r="K15" s="64">
        <v>238.23</v>
      </c>
      <c r="L15" s="64">
        <v>29.13</v>
      </c>
      <c r="M15" s="64">
        <v>61.83</v>
      </c>
      <c r="N15" s="64">
        <v>61.2</v>
      </c>
      <c r="O15" s="64">
        <v>0</v>
      </c>
      <c r="P15" s="64">
        <v>0.33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4" t="s">
        <v>829</v>
      </c>
      <c r="B16" s="64">
        <v>25.46</v>
      </c>
      <c r="C16" s="64">
        <v>46.66</v>
      </c>
      <c r="D16" s="64">
        <v>47.18</v>
      </c>
      <c r="E16" s="64">
        <v>4.1900000000000004</v>
      </c>
      <c r="F16" s="64">
        <v>7.84</v>
      </c>
      <c r="G16" s="64">
        <v>42.26</v>
      </c>
      <c r="H16" s="64">
        <v>14.33</v>
      </c>
      <c r="I16" s="64">
        <v>4.09</v>
      </c>
      <c r="J16" s="64">
        <v>0.24</v>
      </c>
      <c r="K16" s="64">
        <v>246.31</v>
      </c>
      <c r="L16" s="64">
        <v>28.78</v>
      </c>
      <c r="M16" s="64">
        <v>65.489999999999995</v>
      </c>
      <c r="N16" s="64">
        <v>61.1</v>
      </c>
      <c r="O16" s="64">
        <v>0</v>
      </c>
      <c r="P16" s="64">
        <v>0.35</v>
      </c>
      <c r="Q16" s="64">
        <v>9.65</v>
      </c>
      <c r="R16" s="198"/>
      <c r="S16" s="198"/>
      <c r="T16" s="198"/>
      <c r="U16" s="198"/>
    </row>
    <row r="17" spans="1:21" s="12" customFormat="1" x14ac:dyDescent="0.25">
      <c r="A17" s="214" t="s">
        <v>830</v>
      </c>
      <c r="B17" s="64">
        <v>15.07</v>
      </c>
      <c r="C17" s="64">
        <v>33.22</v>
      </c>
      <c r="D17" s="64">
        <v>37.4</v>
      </c>
      <c r="E17" s="64">
        <v>4.42</v>
      </c>
      <c r="F17" s="64">
        <v>9.81</v>
      </c>
      <c r="G17" s="64">
        <v>38.76</v>
      </c>
      <c r="H17" s="64">
        <v>13.31</v>
      </c>
      <c r="I17" s="64">
        <v>3.96</v>
      </c>
      <c r="J17" s="64">
        <v>0.22</v>
      </c>
      <c r="K17" s="64">
        <v>178.5</v>
      </c>
      <c r="L17" s="64">
        <v>28.99</v>
      </c>
      <c r="M17" s="64">
        <v>61.63</v>
      </c>
      <c r="N17" s="64">
        <v>60.3</v>
      </c>
      <c r="O17" s="64">
        <v>0</v>
      </c>
      <c r="P17" s="64">
        <v>0.28999999999999998</v>
      </c>
      <c r="Q17" s="64">
        <v>9.65</v>
      </c>
      <c r="R17" s="198"/>
      <c r="S17" s="198"/>
      <c r="T17" s="198"/>
      <c r="U17" s="198"/>
    </row>
    <row r="18" spans="1:21" s="12" customFormat="1" x14ac:dyDescent="0.25">
      <c r="A18" s="214" t="s">
        <v>831</v>
      </c>
      <c r="B18" s="64">
        <v>14.75</v>
      </c>
      <c r="C18" s="64">
        <v>31.38</v>
      </c>
      <c r="D18" s="64">
        <v>34.369999999999997</v>
      </c>
      <c r="E18" s="64">
        <v>4.12</v>
      </c>
      <c r="F18" s="64">
        <v>10.61</v>
      </c>
      <c r="G18" s="64">
        <v>38.76</v>
      </c>
      <c r="H18" s="64">
        <v>13.31</v>
      </c>
      <c r="I18" s="64">
        <v>4.0599999999999996</v>
      </c>
      <c r="J18" s="64">
        <v>0.1</v>
      </c>
      <c r="K18" s="64">
        <v>218.79</v>
      </c>
      <c r="L18" s="64">
        <v>29.31</v>
      </c>
      <c r="M18" s="64">
        <v>58.97</v>
      </c>
      <c r="N18" s="64">
        <v>60.7</v>
      </c>
      <c r="O18" s="64">
        <v>0</v>
      </c>
      <c r="P18" s="64">
        <v>0.28999999999999998</v>
      </c>
      <c r="Q18" s="64">
        <v>9.65</v>
      </c>
      <c r="R18" s="198"/>
      <c r="S18" s="198"/>
      <c r="T18" s="198"/>
      <c r="U18" s="198"/>
    </row>
    <row r="19" spans="1:21" s="12" customFormat="1" x14ac:dyDescent="0.25">
      <c r="A19" s="214" t="s">
        <v>832</v>
      </c>
      <c r="B19" s="64">
        <v>19.2</v>
      </c>
      <c r="C19" s="64">
        <v>36.950000000000003</v>
      </c>
      <c r="D19" s="64">
        <v>38.21</v>
      </c>
      <c r="E19" s="64">
        <v>4.1500000000000004</v>
      </c>
      <c r="F19" s="64">
        <v>9.1</v>
      </c>
      <c r="G19" s="64">
        <v>38.76</v>
      </c>
      <c r="H19" s="64">
        <v>13.31</v>
      </c>
      <c r="I19" s="64">
        <v>3.98</v>
      </c>
      <c r="J19" s="64">
        <v>0.23</v>
      </c>
      <c r="K19" s="64">
        <v>261.11</v>
      </c>
      <c r="L19" s="64">
        <v>28.97</v>
      </c>
      <c r="M19" s="64">
        <v>63.63</v>
      </c>
      <c r="N19" s="64">
        <v>61.1</v>
      </c>
      <c r="O19" s="64">
        <v>0</v>
      </c>
      <c r="P19" s="64">
        <v>0.31</v>
      </c>
      <c r="Q19" s="64">
        <v>9.64</v>
      </c>
      <c r="R19" s="198"/>
      <c r="S19" s="198"/>
      <c r="T19" s="198"/>
      <c r="U19" s="198"/>
    </row>
    <row r="20" spans="1:21" s="12" customFormat="1" x14ac:dyDescent="0.25">
      <c r="A20" s="214" t="s">
        <v>833</v>
      </c>
      <c r="B20" s="64">
        <v>20</v>
      </c>
      <c r="C20" s="64">
        <v>38.869999999999997</v>
      </c>
      <c r="D20" s="64">
        <v>40.65</v>
      </c>
      <c r="E20" s="64">
        <v>4.3</v>
      </c>
      <c r="F20" s="64">
        <v>8.18</v>
      </c>
      <c r="G20" s="64">
        <v>38.76</v>
      </c>
      <c r="H20" s="64">
        <v>13.31</v>
      </c>
      <c r="I20" s="64">
        <v>4.03</v>
      </c>
      <c r="J20" s="64">
        <v>0.19</v>
      </c>
      <c r="K20" s="64">
        <v>292.19</v>
      </c>
      <c r="L20" s="64">
        <v>28.41</v>
      </c>
      <c r="M20" s="64">
        <v>68.84</v>
      </c>
      <c r="N20" s="64">
        <v>61.3</v>
      </c>
      <c r="O20" s="64">
        <v>0</v>
      </c>
      <c r="P20" s="64">
        <v>0.33</v>
      </c>
      <c r="Q20" s="64">
        <v>9.6300000000000008</v>
      </c>
      <c r="R20" s="198"/>
      <c r="S20" s="198"/>
      <c r="T20" s="198"/>
      <c r="U20" s="198"/>
    </row>
    <row r="21" spans="1:21" s="12" customFormat="1" x14ac:dyDescent="0.25">
      <c r="A21" s="214" t="s">
        <v>834</v>
      </c>
      <c r="B21" s="64">
        <v>24.44</v>
      </c>
      <c r="C21" s="64">
        <v>38.450000000000003</v>
      </c>
      <c r="D21" s="64">
        <v>33.020000000000003</v>
      </c>
      <c r="E21" s="64">
        <v>4.3600000000000003</v>
      </c>
      <c r="F21" s="64">
        <v>7.59</v>
      </c>
      <c r="G21" s="64">
        <v>35.630000000000003</v>
      </c>
      <c r="H21" s="64">
        <v>9.83</v>
      </c>
      <c r="I21" s="64">
        <v>4.0599999999999996</v>
      </c>
      <c r="J21" s="64">
        <v>0.63</v>
      </c>
      <c r="K21" s="64">
        <v>259.17</v>
      </c>
      <c r="L21" s="64">
        <v>28.19</v>
      </c>
      <c r="M21" s="64">
        <v>70.77</v>
      </c>
      <c r="N21" s="64">
        <v>60.4</v>
      </c>
      <c r="O21" s="64">
        <v>0</v>
      </c>
      <c r="P21" s="64">
        <v>0.44</v>
      </c>
      <c r="Q21" s="64">
        <v>9.6199999999999992</v>
      </c>
      <c r="R21" s="198"/>
      <c r="S21" s="198"/>
      <c r="T21" s="198"/>
      <c r="U21" s="198"/>
    </row>
    <row r="22" spans="1:21" s="12" customFormat="1" x14ac:dyDescent="0.25">
      <c r="A22" s="214" t="s">
        <v>835</v>
      </c>
      <c r="B22" s="64">
        <v>21.75</v>
      </c>
      <c r="C22" s="64">
        <v>34.090000000000003</v>
      </c>
      <c r="D22" s="64">
        <v>28.8</v>
      </c>
      <c r="E22" s="64">
        <v>4.21</v>
      </c>
      <c r="F22" s="64">
        <v>8.69</v>
      </c>
      <c r="G22" s="64">
        <v>35.630000000000003</v>
      </c>
      <c r="H22" s="64">
        <v>9.83</v>
      </c>
      <c r="I22" s="64">
        <v>4.12</v>
      </c>
      <c r="J22" s="64">
        <v>0.3</v>
      </c>
      <c r="K22" s="64">
        <v>201.18</v>
      </c>
      <c r="L22" s="64">
        <v>28.84</v>
      </c>
      <c r="M22" s="64">
        <v>63.41</v>
      </c>
      <c r="N22" s="64">
        <v>60</v>
      </c>
      <c r="O22" s="64">
        <v>0</v>
      </c>
      <c r="P22" s="64">
        <v>0.4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4" t="s">
        <v>836</v>
      </c>
      <c r="B23" s="64">
        <v>22.99</v>
      </c>
      <c r="C23" s="64">
        <v>36.96</v>
      </c>
      <c r="D23" s="64">
        <v>32.409999999999997</v>
      </c>
      <c r="E23" s="64">
        <v>4.7699999999999996</v>
      </c>
      <c r="F23" s="64">
        <v>6.76</v>
      </c>
      <c r="G23" s="64">
        <v>35.630000000000003</v>
      </c>
      <c r="H23" s="64">
        <v>9.83</v>
      </c>
      <c r="I23" s="64">
        <v>4.01</v>
      </c>
      <c r="J23" s="64">
        <v>0.25</v>
      </c>
      <c r="K23" s="64">
        <v>176.02</v>
      </c>
      <c r="L23" s="64">
        <v>29.28</v>
      </c>
      <c r="M23" s="64">
        <v>60.93</v>
      </c>
      <c r="N23" s="64">
        <v>60.7</v>
      </c>
      <c r="O23" s="64">
        <v>0</v>
      </c>
      <c r="P23" s="64">
        <v>0.4</v>
      </c>
      <c r="Q23" s="64">
        <v>9.64</v>
      </c>
      <c r="R23" s="198"/>
      <c r="S23" s="198"/>
      <c r="T23" s="198"/>
      <c r="U23" s="198"/>
    </row>
    <row r="24" spans="1:21" s="12" customFormat="1" x14ac:dyDescent="0.25">
      <c r="A24" s="214" t="s">
        <v>837</v>
      </c>
      <c r="B24" s="64">
        <v>25.48</v>
      </c>
      <c r="C24" s="64">
        <v>37.5</v>
      </c>
      <c r="D24" s="64">
        <v>29.61</v>
      </c>
      <c r="E24" s="64">
        <v>4.6399999999999997</v>
      </c>
      <c r="F24" s="64">
        <v>6.66</v>
      </c>
      <c r="G24" s="64">
        <v>35.630000000000003</v>
      </c>
      <c r="H24" s="64">
        <v>9.83</v>
      </c>
      <c r="I24" s="64">
        <v>4.07</v>
      </c>
      <c r="J24" s="64">
        <v>0.87</v>
      </c>
      <c r="K24" s="64">
        <v>160.38</v>
      </c>
      <c r="L24" s="64">
        <v>29.07</v>
      </c>
      <c r="M24" s="64">
        <v>62.35</v>
      </c>
      <c r="N24" s="64">
        <v>60.5</v>
      </c>
      <c r="O24" s="64">
        <v>0</v>
      </c>
      <c r="P24" s="64">
        <v>0.46</v>
      </c>
      <c r="Q24" s="64">
        <v>9.65</v>
      </c>
      <c r="R24" s="198"/>
      <c r="S24" s="198"/>
      <c r="T24" s="198"/>
      <c r="U24" s="198"/>
    </row>
    <row r="25" spans="1:21" s="12" customFormat="1" x14ac:dyDescent="0.25">
      <c r="A25" s="214" t="s">
        <v>838</v>
      </c>
      <c r="B25" s="64">
        <v>23.81</v>
      </c>
      <c r="C25" s="64">
        <v>36.270000000000003</v>
      </c>
      <c r="D25" s="64">
        <v>29.84</v>
      </c>
      <c r="E25" s="64">
        <v>4.32</v>
      </c>
      <c r="F25" s="64">
        <v>6.87</v>
      </c>
      <c r="G25" s="64">
        <v>28.41</v>
      </c>
      <c r="H25" s="64">
        <v>3.03</v>
      </c>
      <c r="I25" s="64">
        <v>4.08</v>
      </c>
      <c r="J25" s="64">
        <v>0.33</v>
      </c>
      <c r="K25" s="64">
        <v>207.19</v>
      </c>
      <c r="L25" s="64">
        <v>28.82</v>
      </c>
      <c r="M25" s="64">
        <v>64.25</v>
      </c>
      <c r="N25" s="64">
        <v>61.3</v>
      </c>
      <c r="O25" s="64">
        <v>0</v>
      </c>
      <c r="P25" s="64">
        <v>0.43</v>
      </c>
      <c r="Q25" s="64">
        <v>9.66</v>
      </c>
      <c r="R25" s="198"/>
      <c r="S25" s="198"/>
      <c r="T25" s="198"/>
      <c r="U25" s="198"/>
    </row>
    <row r="26" spans="1:21" s="12" customFormat="1" x14ac:dyDescent="0.25">
      <c r="A26" s="214" t="s">
        <v>839</v>
      </c>
      <c r="B26" s="64">
        <v>20.81</v>
      </c>
      <c r="C26" s="64">
        <v>36.17</v>
      </c>
      <c r="D26" s="64">
        <v>34.229999999999997</v>
      </c>
      <c r="E26" s="64">
        <v>4.25</v>
      </c>
      <c r="F26" s="64">
        <v>6.6</v>
      </c>
      <c r="G26" s="64">
        <v>28.33</v>
      </c>
      <c r="H26" s="64">
        <v>2.95</v>
      </c>
      <c r="I26" s="64">
        <v>3.77</v>
      </c>
      <c r="J26" s="64">
        <v>0.5</v>
      </c>
      <c r="K26" s="64">
        <v>173.84</v>
      </c>
      <c r="L26" s="64">
        <v>28.61</v>
      </c>
      <c r="M26" s="64">
        <v>63.81</v>
      </c>
      <c r="N26" s="64">
        <v>60.9</v>
      </c>
      <c r="O26" s="64">
        <v>0</v>
      </c>
      <c r="P26" s="64">
        <v>0.38</v>
      </c>
      <c r="Q26" s="64">
        <v>9.65</v>
      </c>
      <c r="R26" s="198"/>
      <c r="S26" s="198"/>
      <c r="T26" s="198"/>
      <c r="U26" s="198"/>
    </row>
    <row r="27" spans="1:21" s="12" customFormat="1" x14ac:dyDescent="0.25">
      <c r="A27" s="214" t="s">
        <v>840</v>
      </c>
      <c r="B27" s="64">
        <v>21.85</v>
      </c>
      <c r="C27" s="64">
        <v>37.71</v>
      </c>
      <c r="D27" s="64">
        <v>35.58</v>
      </c>
      <c r="E27" s="64">
        <v>4.43</v>
      </c>
      <c r="F27" s="64">
        <v>6.21</v>
      </c>
      <c r="G27" s="64">
        <v>28.33</v>
      </c>
      <c r="H27" s="64">
        <v>2.95</v>
      </c>
      <c r="I27" s="64">
        <v>3.99</v>
      </c>
      <c r="J27" s="64">
        <v>0.38</v>
      </c>
      <c r="K27" s="64">
        <v>201.27</v>
      </c>
      <c r="L27" s="64">
        <v>28.5</v>
      </c>
      <c r="M27" s="64">
        <v>63.46</v>
      </c>
      <c r="N27" s="64">
        <v>61.1</v>
      </c>
      <c r="O27" s="64">
        <v>0</v>
      </c>
      <c r="P27" s="64">
        <v>0.42</v>
      </c>
      <c r="Q27" s="64">
        <v>9.6300000000000008</v>
      </c>
      <c r="R27" s="198"/>
      <c r="S27" s="198"/>
      <c r="T27" s="198"/>
      <c r="U27" s="198"/>
    </row>
    <row r="28" spans="1:21" s="12" customFormat="1" x14ac:dyDescent="0.25">
      <c r="A28" s="214" t="s">
        <v>841</v>
      </c>
      <c r="B28" s="64">
        <v>20.43</v>
      </c>
      <c r="C28" s="64">
        <v>34.520000000000003</v>
      </c>
      <c r="D28" s="64">
        <v>31.66</v>
      </c>
      <c r="E28" s="64">
        <v>4.88</v>
      </c>
      <c r="F28" s="64">
        <v>6.68</v>
      </c>
      <c r="G28" s="64">
        <v>28.33</v>
      </c>
      <c r="H28" s="64">
        <v>2.95</v>
      </c>
      <c r="I28" s="64">
        <v>4.09</v>
      </c>
      <c r="J28" s="64">
        <v>0.49</v>
      </c>
      <c r="K28" s="64">
        <v>219.32</v>
      </c>
      <c r="L28" s="64">
        <v>28.25</v>
      </c>
      <c r="M28" s="64">
        <v>63.27</v>
      </c>
      <c r="N28" s="64">
        <v>61.2</v>
      </c>
      <c r="O28" s="64">
        <v>0</v>
      </c>
      <c r="P28" s="64">
        <v>0.39</v>
      </c>
      <c r="Q28" s="64">
        <v>9.64</v>
      </c>
      <c r="R28" s="198"/>
      <c r="S28" s="198"/>
      <c r="T28" s="198"/>
      <c r="U28" s="198"/>
    </row>
    <row r="29" spans="1:21" s="12" customFormat="1" x14ac:dyDescent="0.25">
      <c r="A29" s="214" t="s">
        <v>842</v>
      </c>
      <c r="B29" s="64">
        <v>21.13</v>
      </c>
      <c r="C29" s="64">
        <v>35</v>
      </c>
      <c r="D29" s="64">
        <v>31.5</v>
      </c>
      <c r="E29" s="64">
        <v>4.24</v>
      </c>
      <c r="F29" s="64">
        <v>6.23</v>
      </c>
      <c r="G29" s="64">
        <v>28.07</v>
      </c>
      <c r="H29" s="64">
        <v>7.32</v>
      </c>
      <c r="I29" s="64">
        <v>4.01</v>
      </c>
      <c r="J29" s="64">
        <v>0.36</v>
      </c>
      <c r="K29" s="64">
        <v>205.95</v>
      </c>
      <c r="L29" s="64">
        <v>27.95</v>
      </c>
      <c r="M29" s="64">
        <v>65.040000000000006</v>
      </c>
      <c r="N29" s="64">
        <v>61.5</v>
      </c>
      <c r="O29" s="64">
        <v>0</v>
      </c>
      <c r="P29" s="64">
        <v>0.4</v>
      </c>
      <c r="Q29" s="64">
        <v>9.6300000000000008</v>
      </c>
      <c r="R29" s="198"/>
      <c r="S29" s="198"/>
      <c r="T29" s="198"/>
      <c r="U29" s="198"/>
    </row>
    <row r="30" spans="1:21" s="12" customFormat="1" x14ac:dyDescent="0.25">
      <c r="A30" s="214" t="s">
        <v>843</v>
      </c>
      <c r="B30" s="64">
        <v>19.53</v>
      </c>
      <c r="C30" s="64">
        <v>33.75</v>
      </c>
      <c r="D30" s="64">
        <v>31.57</v>
      </c>
      <c r="E30" s="64">
        <v>4.3099999999999996</v>
      </c>
      <c r="F30" s="64">
        <v>6.27</v>
      </c>
      <c r="G30" s="64">
        <v>28.07</v>
      </c>
      <c r="H30" s="64">
        <v>7.37</v>
      </c>
      <c r="I30" s="64">
        <v>3.95</v>
      </c>
      <c r="J30" s="64">
        <v>0.38</v>
      </c>
      <c r="K30" s="64">
        <v>243.43</v>
      </c>
      <c r="L30" s="64">
        <v>27.75</v>
      </c>
      <c r="M30" s="64">
        <v>66.86</v>
      </c>
      <c r="N30" s="64">
        <v>63.5</v>
      </c>
      <c r="O30" s="64">
        <v>0</v>
      </c>
      <c r="P30" s="64">
        <v>0.4</v>
      </c>
      <c r="Q30" s="64">
        <v>9.6300000000000008</v>
      </c>
      <c r="R30" s="198"/>
      <c r="S30" s="198"/>
      <c r="T30" s="198"/>
      <c r="U30" s="198"/>
    </row>
    <row r="31" spans="1:21" s="12" customFormat="1" x14ac:dyDescent="0.25">
      <c r="A31" s="214" t="s">
        <v>844</v>
      </c>
      <c r="B31" s="64">
        <v>20.22</v>
      </c>
      <c r="C31" s="64">
        <v>33.549999999999997</v>
      </c>
      <c r="D31" s="64">
        <v>30.13</v>
      </c>
      <c r="E31" s="64">
        <v>4.16</v>
      </c>
      <c r="F31" s="64">
        <v>6.25</v>
      </c>
      <c r="G31" s="64">
        <v>28.07</v>
      </c>
      <c r="H31" s="64">
        <v>7.37</v>
      </c>
      <c r="I31" s="64">
        <v>4</v>
      </c>
      <c r="J31" s="64">
        <v>0.39</v>
      </c>
      <c r="K31" s="64">
        <v>237.97</v>
      </c>
      <c r="L31" s="64">
        <v>27.64</v>
      </c>
      <c r="M31" s="64">
        <v>68.73</v>
      </c>
      <c r="N31" s="64">
        <v>74.400000000000006</v>
      </c>
      <c r="O31" s="64">
        <v>0</v>
      </c>
      <c r="P31" s="64">
        <v>0.41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4" t="s">
        <v>845</v>
      </c>
      <c r="B32" s="64">
        <v>20.149999999999999</v>
      </c>
      <c r="C32" s="64">
        <v>35.39</v>
      </c>
      <c r="D32" s="64">
        <v>33.76</v>
      </c>
      <c r="E32" s="64">
        <v>4.1500000000000004</v>
      </c>
      <c r="F32" s="64">
        <v>6.08</v>
      </c>
      <c r="G32" s="64">
        <v>28.07</v>
      </c>
      <c r="H32" s="64">
        <v>7.37</v>
      </c>
      <c r="I32" s="64">
        <v>4.1100000000000003</v>
      </c>
      <c r="J32" s="64">
        <v>0.37</v>
      </c>
      <c r="K32" s="64">
        <v>200.87</v>
      </c>
      <c r="L32" s="64">
        <v>27.87</v>
      </c>
      <c r="M32" s="64">
        <v>68.78</v>
      </c>
      <c r="N32" s="64">
        <v>97.9</v>
      </c>
      <c r="O32" s="64">
        <v>0</v>
      </c>
      <c r="P32" s="64">
        <v>0.38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4" t="s">
        <v>846</v>
      </c>
      <c r="B33" s="64">
        <v>17.95</v>
      </c>
      <c r="C33" s="64">
        <v>34.6</v>
      </c>
      <c r="D33" s="64">
        <v>35.630000000000003</v>
      </c>
      <c r="E33" s="64">
        <v>4.0599999999999996</v>
      </c>
      <c r="F33" s="64">
        <v>7.73</v>
      </c>
      <c r="G33" s="64">
        <v>30.4</v>
      </c>
      <c r="H33" s="64">
        <v>8.84</v>
      </c>
      <c r="I33" s="64">
        <v>3.97</v>
      </c>
      <c r="J33" s="64">
        <v>0.4</v>
      </c>
      <c r="K33" s="64">
        <v>232.31</v>
      </c>
      <c r="L33" s="64">
        <v>28.37</v>
      </c>
      <c r="M33" s="64">
        <v>66.77</v>
      </c>
      <c r="N33" s="64">
        <v>133.4</v>
      </c>
      <c r="O33" s="64">
        <v>0</v>
      </c>
      <c r="P33" s="64">
        <v>0.36</v>
      </c>
      <c r="Q33" s="64">
        <v>9.67</v>
      </c>
      <c r="R33" s="198"/>
      <c r="S33" s="198"/>
      <c r="T33" s="198"/>
      <c r="U33" s="198"/>
    </row>
    <row r="34" spans="1:21" s="12" customFormat="1" x14ac:dyDescent="0.25">
      <c r="A34" s="214" t="s">
        <v>847</v>
      </c>
      <c r="B34" s="64">
        <v>18.54</v>
      </c>
      <c r="C34" s="64">
        <v>33.03</v>
      </c>
      <c r="D34" s="64">
        <v>31.71</v>
      </c>
      <c r="E34" s="64">
        <v>3.62</v>
      </c>
      <c r="F34" s="64">
        <v>7.86</v>
      </c>
      <c r="G34" s="64">
        <v>30.43</v>
      </c>
      <c r="H34" s="64">
        <v>8.86</v>
      </c>
      <c r="I34" s="64">
        <v>4.01</v>
      </c>
      <c r="J34" s="64">
        <v>0.5</v>
      </c>
      <c r="K34" s="64">
        <v>183.81</v>
      </c>
      <c r="L34" s="64">
        <v>28.95</v>
      </c>
      <c r="M34" s="64">
        <v>64.36</v>
      </c>
      <c r="N34" s="64">
        <v>175.5</v>
      </c>
      <c r="O34" s="64">
        <v>0</v>
      </c>
      <c r="P34" s="64">
        <v>0.38</v>
      </c>
      <c r="Q34" s="64">
        <v>9.6300000000000008</v>
      </c>
      <c r="R34" s="198"/>
      <c r="S34" s="198"/>
      <c r="T34" s="198"/>
      <c r="U34" s="198"/>
    </row>
    <row r="35" spans="1:21" s="12" customFormat="1" x14ac:dyDescent="0.25">
      <c r="A35" s="214" t="s">
        <v>848</v>
      </c>
      <c r="B35" s="64">
        <v>18.59</v>
      </c>
      <c r="C35" s="64">
        <v>34.49</v>
      </c>
      <c r="D35" s="64">
        <v>34.43</v>
      </c>
      <c r="E35" s="64">
        <v>4.03</v>
      </c>
      <c r="F35" s="64">
        <v>7.58</v>
      </c>
      <c r="G35" s="64">
        <v>30.43</v>
      </c>
      <c r="H35" s="64">
        <v>8.86</v>
      </c>
      <c r="I35" s="64">
        <v>4.03</v>
      </c>
      <c r="J35" s="64">
        <v>0.47</v>
      </c>
      <c r="K35" s="64">
        <v>202.93</v>
      </c>
      <c r="L35" s="64">
        <v>29.55</v>
      </c>
      <c r="M35" s="64">
        <v>62.23</v>
      </c>
      <c r="N35" s="64">
        <v>220.9</v>
      </c>
      <c r="O35" s="64">
        <v>0</v>
      </c>
      <c r="P35" s="64">
        <v>0.4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4" t="s">
        <v>849</v>
      </c>
      <c r="B36" s="64">
        <v>17.52</v>
      </c>
      <c r="C36" s="64">
        <v>32.57</v>
      </c>
      <c r="D36" s="64">
        <v>32.4</v>
      </c>
      <c r="E36" s="64">
        <v>4.51</v>
      </c>
      <c r="F36" s="64">
        <v>7.41</v>
      </c>
      <c r="G36" s="64">
        <v>30.43</v>
      </c>
      <c r="H36" s="64">
        <v>8.86</v>
      </c>
      <c r="I36" s="64">
        <v>4.12</v>
      </c>
      <c r="J36" s="64">
        <v>0.67</v>
      </c>
      <c r="K36" s="64">
        <v>201.99</v>
      </c>
      <c r="L36" s="64">
        <v>29.92</v>
      </c>
      <c r="M36" s="64">
        <v>60.91</v>
      </c>
      <c r="N36" s="64">
        <v>279.89999999999998</v>
      </c>
      <c r="O36" s="64">
        <v>0</v>
      </c>
      <c r="P36" s="64">
        <v>0.38</v>
      </c>
      <c r="Q36" s="64">
        <v>9.61</v>
      </c>
      <c r="R36" s="198"/>
      <c r="S36" s="198"/>
      <c r="T36" s="198"/>
      <c r="U36" s="198"/>
    </row>
    <row r="37" spans="1:21" s="12" customFormat="1" x14ac:dyDescent="0.25">
      <c r="A37" s="214" t="s">
        <v>850</v>
      </c>
      <c r="B37" s="64">
        <v>16.87</v>
      </c>
      <c r="C37" s="64">
        <v>32.340000000000003</v>
      </c>
      <c r="D37" s="64">
        <v>32.94</v>
      </c>
      <c r="E37" s="64">
        <v>4.5199999999999996</v>
      </c>
      <c r="F37" s="64">
        <v>7.72</v>
      </c>
      <c r="G37" s="64">
        <v>31.89</v>
      </c>
      <c r="H37" s="64">
        <v>3.19</v>
      </c>
      <c r="I37" s="64">
        <v>4.1500000000000004</v>
      </c>
      <c r="J37" s="64">
        <v>0.6</v>
      </c>
      <c r="K37" s="64">
        <v>227.04</v>
      </c>
      <c r="L37" s="64">
        <v>30.64</v>
      </c>
      <c r="M37" s="64">
        <v>58.26</v>
      </c>
      <c r="N37" s="64">
        <v>338.6</v>
      </c>
      <c r="O37" s="64">
        <v>0</v>
      </c>
      <c r="P37" s="64">
        <v>0.43</v>
      </c>
      <c r="Q37" s="64">
        <v>9.6</v>
      </c>
      <c r="R37" s="198"/>
      <c r="S37" s="198"/>
      <c r="T37" s="198"/>
      <c r="U37" s="198"/>
    </row>
    <row r="38" spans="1:21" s="12" customFormat="1" x14ac:dyDescent="0.25">
      <c r="A38" s="214" t="s">
        <v>851</v>
      </c>
      <c r="B38" s="64">
        <v>16.68</v>
      </c>
      <c r="C38" s="64">
        <v>31.71</v>
      </c>
      <c r="D38" s="64">
        <v>32.04</v>
      </c>
      <c r="E38" s="64">
        <v>4.13</v>
      </c>
      <c r="F38" s="64">
        <v>8.1</v>
      </c>
      <c r="G38" s="64">
        <v>31.89</v>
      </c>
      <c r="H38" s="64">
        <v>3.19</v>
      </c>
      <c r="I38" s="64">
        <v>4.09</v>
      </c>
      <c r="J38" s="64">
        <v>0.59</v>
      </c>
      <c r="K38" s="64">
        <v>209.19</v>
      </c>
      <c r="L38" s="64">
        <v>31.51</v>
      </c>
      <c r="M38" s="64">
        <v>55.27</v>
      </c>
      <c r="N38" s="64">
        <v>395.6</v>
      </c>
      <c r="O38" s="64">
        <v>0</v>
      </c>
      <c r="P38" s="64">
        <v>0.47</v>
      </c>
      <c r="Q38" s="64">
        <v>9.6</v>
      </c>
      <c r="R38" s="198"/>
      <c r="S38" s="198"/>
      <c r="T38" s="198"/>
      <c r="U38" s="198"/>
    </row>
    <row r="39" spans="1:21" s="12" customFormat="1" x14ac:dyDescent="0.25">
      <c r="A39" s="214" t="s">
        <v>852</v>
      </c>
      <c r="B39" s="64">
        <v>16.02</v>
      </c>
      <c r="C39" s="64">
        <v>31.5</v>
      </c>
      <c r="D39" s="64">
        <v>32.65</v>
      </c>
      <c r="E39" s="64">
        <v>4.21</v>
      </c>
      <c r="F39" s="64">
        <v>9.4600000000000009</v>
      </c>
      <c r="G39" s="64">
        <v>31.89</v>
      </c>
      <c r="H39" s="64">
        <v>3.19</v>
      </c>
      <c r="I39" s="64">
        <v>4.03</v>
      </c>
      <c r="J39" s="64">
        <v>0.56000000000000005</v>
      </c>
      <c r="K39" s="64">
        <v>185.48</v>
      </c>
      <c r="L39" s="64">
        <v>32.46</v>
      </c>
      <c r="M39" s="64">
        <v>52.7</v>
      </c>
      <c r="N39" s="64">
        <v>457.3</v>
      </c>
      <c r="O39" s="64">
        <v>0</v>
      </c>
      <c r="P39" s="64">
        <v>0.47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14" t="s">
        <v>853</v>
      </c>
      <c r="B40" s="64">
        <v>19.02</v>
      </c>
      <c r="C40" s="64">
        <v>36</v>
      </c>
      <c r="D40" s="64">
        <v>36.67</v>
      </c>
      <c r="E40" s="64">
        <v>5.32</v>
      </c>
      <c r="F40" s="64">
        <v>7.63</v>
      </c>
      <c r="G40" s="64">
        <v>31.89</v>
      </c>
      <c r="H40" s="64">
        <v>3.19</v>
      </c>
      <c r="I40" s="64">
        <v>3.94</v>
      </c>
      <c r="J40" s="64">
        <v>0.56000000000000005</v>
      </c>
      <c r="K40" s="64">
        <v>260.18</v>
      </c>
      <c r="L40" s="64">
        <v>34.880000000000003</v>
      </c>
      <c r="M40" s="64">
        <v>46.58</v>
      </c>
      <c r="N40" s="64">
        <v>515.1</v>
      </c>
      <c r="O40" s="64">
        <v>0</v>
      </c>
      <c r="P40" s="64">
        <v>0.5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4" t="s">
        <v>854</v>
      </c>
      <c r="B41" s="64">
        <v>18.84</v>
      </c>
      <c r="C41" s="64">
        <v>37.07</v>
      </c>
      <c r="D41" s="64">
        <v>39</v>
      </c>
      <c r="E41" s="64">
        <v>5.88</v>
      </c>
      <c r="F41" s="64">
        <v>7.14</v>
      </c>
      <c r="G41" s="64">
        <v>28.11</v>
      </c>
      <c r="H41" s="64">
        <v>3.44</v>
      </c>
      <c r="I41" s="64">
        <v>3.87</v>
      </c>
      <c r="J41" s="64">
        <v>0.64</v>
      </c>
      <c r="K41" s="64">
        <v>233.67</v>
      </c>
      <c r="L41" s="64">
        <v>35.24</v>
      </c>
      <c r="M41" s="64">
        <v>43.35</v>
      </c>
      <c r="N41" s="64">
        <v>578.70000000000005</v>
      </c>
      <c r="O41" s="64">
        <v>0</v>
      </c>
      <c r="P41" s="64">
        <v>0.51</v>
      </c>
      <c r="Q41" s="64">
        <v>9.58</v>
      </c>
      <c r="R41" s="198"/>
      <c r="S41" s="198"/>
      <c r="T41" s="198"/>
      <c r="U41" s="198"/>
    </row>
    <row r="42" spans="1:21" s="12" customFormat="1" x14ac:dyDescent="0.25">
      <c r="A42" s="214" t="s">
        <v>855</v>
      </c>
      <c r="B42" s="64">
        <v>17.920000000000002</v>
      </c>
      <c r="C42" s="64">
        <v>35.119999999999997</v>
      </c>
      <c r="D42" s="64">
        <v>36.65</v>
      </c>
      <c r="E42" s="64">
        <v>5.65</v>
      </c>
      <c r="F42" s="64">
        <v>7.17</v>
      </c>
      <c r="G42" s="64">
        <v>28.11</v>
      </c>
      <c r="H42" s="64">
        <v>3.44</v>
      </c>
      <c r="I42" s="64">
        <v>4.0999999999999996</v>
      </c>
      <c r="J42" s="64">
        <v>0.57999999999999996</v>
      </c>
      <c r="K42" s="64">
        <v>251.35</v>
      </c>
      <c r="L42" s="64">
        <v>35.65</v>
      </c>
      <c r="M42" s="64">
        <v>41.28</v>
      </c>
      <c r="N42" s="64">
        <v>635.5</v>
      </c>
      <c r="O42" s="64">
        <v>0</v>
      </c>
      <c r="P42" s="64">
        <v>0.51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4" t="s">
        <v>856</v>
      </c>
      <c r="B43" s="64">
        <v>16.22</v>
      </c>
      <c r="C43" s="64">
        <v>34.06</v>
      </c>
      <c r="D43" s="64">
        <v>37.24</v>
      </c>
      <c r="E43" s="64">
        <v>6.25</v>
      </c>
      <c r="F43" s="64">
        <v>9.2200000000000006</v>
      </c>
      <c r="G43" s="64">
        <v>28.11</v>
      </c>
      <c r="H43" s="64">
        <v>3.44</v>
      </c>
      <c r="I43" s="64">
        <v>4.1100000000000003</v>
      </c>
      <c r="J43" s="64">
        <v>0.53</v>
      </c>
      <c r="K43" s="64">
        <v>241.64</v>
      </c>
      <c r="L43" s="64">
        <v>37.19</v>
      </c>
      <c r="M43" s="64">
        <v>37.89</v>
      </c>
      <c r="N43" s="64">
        <v>688.6</v>
      </c>
      <c r="O43" s="64">
        <v>0</v>
      </c>
      <c r="P43" s="64">
        <v>0.53</v>
      </c>
      <c r="Q43" s="64">
        <v>9.6</v>
      </c>
      <c r="R43" s="198"/>
      <c r="S43" s="198"/>
      <c r="T43" s="198"/>
      <c r="U43" s="198"/>
    </row>
    <row r="44" spans="1:21" s="12" customFormat="1" x14ac:dyDescent="0.25">
      <c r="A44" s="214" t="s">
        <v>857</v>
      </c>
      <c r="B44" s="64">
        <v>15.89</v>
      </c>
      <c r="C44" s="64">
        <v>35.909999999999997</v>
      </c>
      <c r="D44" s="64">
        <v>41.29</v>
      </c>
      <c r="E44" s="64">
        <v>5.79</v>
      </c>
      <c r="F44" s="64">
        <v>9.3000000000000007</v>
      </c>
      <c r="G44" s="64">
        <v>28.11</v>
      </c>
      <c r="H44" s="64">
        <v>3.44</v>
      </c>
      <c r="I44" s="64">
        <v>4.12</v>
      </c>
      <c r="J44" s="64">
        <v>0.61</v>
      </c>
      <c r="K44" s="64">
        <v>256.74</v>
      </c>
      <c r="L44" s="64">
        <v>38.51</v>
      </c>
      <c r="M44" s="64">
        <v>35.450000000000003</v>
      </c>
      <c r="N44" s="64">
        <v>732.8</v>
      </c>
      <c r="O44" s="64">
        <v>0</v>
      </c>
      <c r="P44" s="64">
        <v>0.54</v>
      </c>
      <c r="Q44" s="64">
        <v>9.6</v>
      </c>
      <c r="R44" s="198"/>
      <c r="S44" s="198"/>
      <c r="T44" s="198"/>
      <c r="U44" s="198"/>
    </row>
    <row r="45" spans="1:21" s="12" customFormat="1" x14ac:dyDescent="0.25">
      <c r="A45" s="214" t="s">
        <v>858</v>
      </c>
      <c r="B45" s="64">
        <v>13.47</v>
      </c>
      <c r="C45" s="64">
        <v>32.69</v>
      </c>
      <c r="D45" s="64">
        <v>38.840000000000003</v>
      </c>
      <c r="E45" s="64">
        <v>6.44</v>
      </c>
      <c r="F45" s="64">
        <v>9.84</v>
      </c>
      <c r="G45" s="64">
        <v>32.25</v>
      </c>
      <c r="H45" s="64">
        <v>5.47</v>
      </c>
      <c r="I45" s="64">
        <v>4.07</v>
      </c>
      <c r="J45" s="64">
        <v>0.66</v>
      </c>
      <c r="K45" s="64">
        <v>260.82</v>
      </c>
      <c r="L45" s="64">
        <v>39.28</v>
      </c>
      <c r="M45" s="64">
        <v>35.1</v>
      </c>
      <c r="N45" s="64">
        <v>766.4</v>
      </c>
      <c r="O45" s="64">
        <v>0</v>
      </c>
      <c r="P45" s="64">
        <v>0.56999999999999995</v>
      </c>
      <c r="Q45" s="64">
        <v>9.6</v>
      </c>
      <c r="R45" s="198"/>
      <c r="S45" s="198"/>
      <c r="T45" s="198"/>
      <c r="U45" s="198"/>
    </row>
    <row r="46" spans="1:21" s="12" customFormat="1" x14ac:dyDescent="0.25">
      <c r="A46" s="214" t="s">
        <v>859</v>
      </c>
      <c r="B46" s="64">
        <v>13.35</v>
      </c>
      <c r="C46" s="64">
        <v>33.630000000000003</v>
      </c>
      <c r="D46" s="64">
        <v>40.840000000000003</v>
      </c>
      <c r="E46" s="64">
        <v>5.83</v>
      </c>
      <c r="F46" s="64">
        <v>7.03</v>
      </c>
      <c r="G46" s="64">
        <v>32.25</v>
      </c>
      <c r="H46" s="64">
        <v>5.47</v>
      </c>
      <c r="I46" s="64">
        <v>3.91</v>
      </c>
      <c r="J46" s="64">
        <v>0.73</v>
      </c>
      <c r="K46" s="64">
        <v>252.92</v>
      </c>
      <c r="L46" s="64">
        <v>38.89</v>
      </c>
      <c r="M46" s="64">
        <v>35.79</v>
      </c>
      <c r="N46" s="64">
        <v>817</v>
      </c>
      <c r="O46" s="64">
        <v>0</v>
      </c>
      <c r="P46" s="64">
        <v>0.56000000000000005</v>
      </c>
      <c r="Q46" s="64">
        <v>9.58</v>
      </c>
      <c r="R46" s="198"/>
      <c r="S46" s="198"/>
      <c r="T46" s="198"/>
      <c r="U46" s="198"/>
    </row>
    <row r="47" spans="1:21" s="12" customFormat="1" x14ac:dyDescent="0.25">
      <c r="A47" s="214" t="s">
        <v>860</v>
      </c>
      <c r="B47" s="64">
        <v>11.86</v>
      </c>
      <c r="C47" s="64">
        <v>31.99</v>
      </c>
      <c r="D47" s="64">
        <v>39.97</v>
      </c>
      <c r="E47" s="64">
        <v>5.77</v>
      </c>
      <c r="F47" s="64">
        <v>8.2200000000000006</v>
      </c>
      <c r="G47" s="64">
        <v>32.25</v>
      </c>
      <c r="H47" s="64">
        <v>5.47</v>
      </c>
      <c r="I47" s="64">
        <v>4.09</v>
      </c>
      <c r="J47" s="64">
        <v>0.61</v>
      </c>
      <c r="K47" s="64">
        <v>258.3</v>
      </c>
      <c r="L47" s="64">
        <v>39.25</v>
      </c>
      <c r="M47" s="64">
        <v>35.1</v>
      </c>
      <c r="N47" s="64">
        <v>839.2</v>
      </c>
      <c r="O47" s="64">
        <v>0</v>
      </c>
      <c r="P47" s="64">
        <v>0.56000000000000005</v>
      </c>
      <c r="Q47" s="64">
        <v>9.57</v>
      </c>
      <c r="R47" s="198"/>
      <c r="S47" s="198"/>
      <c r="T47" s="198"/>
      <c r="U47" s="198"/>
    </row>
    <row r="48" spans="1:21" s="12" customFormat="1" x14ac:dyDescent="0.25">
      <c r="A48" s="214" t="s">
        <v>861</v>
      </c>
      <c r="B48" s="64">
        <v>10.45</v>
      </c>
      <c r="C48" s="64">
        <v>32.19</v>
      </c>
      <c r="D48" s="64">
        <v>42.53</v>
      </c>
      <c r="E48" s="64">
        <v>5.55</v>
      </c>
      <c r="F48" s="64">
        <v>8.01</v>
      </c>
      <c r="G48" s="64">
        <v>32.25</v>
      </c>
      <c r="H48" s="64">
        <v>5.47</v>
      </c>
      <c r="I48" s="64">
        <v>4.07</v>
      </c>
      <c r="J48" s="64">
        <v>0.78</v>
      </c>
      <c r="K48" s="64">
        <v>251.81</v>
      </c>
      <c r="L48" s="64">
        <v>39.64</v>
      </c>
      <c r="M48" s="64">
        <v>33.24</v>
      </c>
      <c r="N48" s="64">
        <v>837.1</v>
      </c>
      <c r="O48" s="64">
        <v>0</v>
      </c>
      <c r="P48" s="64">
        <v>0.56999999999999995</v>
      </c>
      <c r="Q48" s="64">
        <v>9.5500000000000007</v>
      </c>
      <c r="R48" s="198"/>
      <c r="S48" s="198"/>
      <c r="T48" s="198"/>
      <c r="U48" s="198"/>
    </row>
    <row r="49" spans="1:21" s="12" customFormat="1" x14ac:dyDescent="0.25">
      <c r="A49" s="214" t="s">
        <v>862</v>
      </c>
      <c r="B49" s="64">
        <v>9.61</v>
      </c>
      <c r="C49" s="64">
        <v>30.34</v>
      </c>
      <c r="D49" s="64">
        <v>40.28</v>
      </c>
      <c r="E49" s="64">
        <v>6.52</v>
      </c>
      <c r="F49" s="64">
        <v>10.28</v>
      </c>
      <c r="G49" s="64">
        <v>34.57</v>
      </c>
      <c r="H49" s="64">
        <v>19.09</v>
      </c>
      <c r="I49" s="64">
        <v>4.01</v>
      </c>
      <c r="J49" s="64">
        <v>0.65</v>
      </c>
      <c r="K49" s="64">
        <v>229.94</v>
      </c>
      <c r="L49" s="64">
        <v>38.409999999999997</v>
      </c>
      <c r="M49" s="64">
        <v>35.729999999999997</v>
      </c>
      <c r="N49" s="64">
        <v>896.3</v>
      </c>
      <c r="O49" s="64">
        <v>0</v>
      </c>
      <c r="P49" s="64">
        <v>0.56999999999999995</v>
      </c>
      <c r="Q49" s="64">
        <v>9.5399999999999991</v>
      </c>
      <c r="R49" s="198"/>
      <c r="S49" s="198"/>
      <c r="T49" s="198"/>
      <c r="U49" s="198"/>
    </row>
    <row r="50" spans="1:21" s="12" customFormat="1" x14ac:dyDescent="0.25">
      <c r="A50" s="214" t="s">
        <v>863</v>
      </c>
      <c r="B50" s="64">
        <v>10.41</v>
      </c>
      <c r="C50" s="64">
        <v>33.33</v>
      </c>
      <c r="D50" s="64">
        <v>44.76</v>
      </c>
      <c r="E50" s="64">
        <v>6.85</v>
      </c>
      <c r="F50" s="64">
        <v>7.66</v>
      </c>
      <c r="G50" s="64">
        <v>34.6</v>
      </c>
      <c r="H50" s="64">
        <v>19.09</v>
      </c>
      <c r="I50" s="64">
        <v>3.99</v>
      </c>
      <c r="J50" s="64">
        <v>0.82</v>
      </c>
      <c r="K50" s="64">
        <v>257.70999999999998</v>
      </c>
      <c r="L50" s="64">
        <v>40.03</v>
      </c>
      <c r="M50" s="64">
        <v>32.74</v>
      </c>
      <c r="N50" s="64">
        <v>920.2</v>
      </c>
      <c r="O50" s="64">
        <v>0</v>
      </c>
      <c r="P50" s="64">
        <v>0.6</v>
      </c>
      <c r="Q50" s="64">
        <v>9.57</v>
      </c>
      <c r="R50" s="198"/>
      <c r="S50" s="198"/>
      <c r="T50" s="198"/>
      <c r="U50" s="198"/>
    </row>
    <row r="51" spans="1:21" s="12" customFormat="1" x14ac:dyDescent="0.25">
      <c r="A51" s="214" t="s">
        <v>864</v>
      </c>
      <c r="B51" s="64">
        <v>9.15</v>
      </c>
      <c r="C51" s="64">
        <v>33.21</v>
      </c>
      <c r="D51" s="64">
        <v>46.46</v>
      </c>
      <c r="E51" s="64">
        <v>7.6</v>
      </c>
      <c r="F51" s="64">
        <v>13.05</v>
      </c>
      <c r="G51" s="64">
        <v>34.6</v>
      </c>
      <c r="H51" s="64">
        <v>19.09</v>
      </c>
      <c r="I51" s="64">
        <v>3.82</v>
      </c>
      <c r="J51" s="64">
        <v>0.8</v>
      </c>
      <c r="K51" s="64">
        <v>247.83</v>
      </c>
      <c r="L51" s="64">
        <v>40.43</v>
      </c>
      <c r="M51" s="64">
        <v>31.36</v>
      </c>
      <c r="N51" s="64">
        <v>989.1</v>
      </c>
      <c r="O51" s="64">
        <v>0</v>
      </c>
      <c r="P51" s="64">
        <v>0.68</v>
      </c>
      <c r="Q51" s="64">
        <v>9.56</v>
      </c>
      <c r="R51" s="198"/>
      <c r="S51" s="198"/>
      <c r="T51" s="198"/>
      <c r="U51" s="198"/>
    </row>
    <row r="52" spans="1:21" s="12" customFormat="1" x14ac:dyDescent="0.25">
      <c r="A52" s="214" t="s">
        <v>865</v>
      </c>
      <c r="B52" s="64">
        <v>8.3800000000000008</v>
      </c>
      <c r="C52" s="64">
        <v>31.97</v>
      </c>
      <c r="D52" s="64">
        <v>45.27</v>
      </c>
      <c r="E52" s="64">
        <v>6.99</v>
      </c>
      <c r="F52" s="64">
        <v>13.29</v>
      </c>
      <c r="G52" s="64">
        <v>34.6</v>
      </c>
      <c r="H52" s="64">
        <v>19.09</v>
      </c>
      <c r="I52" s="64">
        <v>4.04</v>
      </c>
      <c r="J52" s="64">
        <v>0.86</v>
      </c>
      <c r="K52" s="64">
        <v>242.54</v>
      </c>
      <c r="L52" s="64">
        <v>39.119999999999997</v>
      </c>
      <c r="M52" s="64">
        <v>32.520000000000003</v>
      </c>
      <c r="N52" s="64">
        <v>1018.3</v>
      </c>
      <c r="O52" s="64">
        <v>0</v>
      </c>
      <c r="P52" s="64">
        <v>0.65</v>
      </c>
      <c r="Q52" s="64">
        <v>9.52</v>
      </c>
      <c r="R52" s="198"/>
      <c r="S52" s="198"/>
      <c r="T52" s="198"/>
      <c r="U52" s="198"/>
    </row>
    <row r="53" spans="1:21" s="12" customFormat="1" x14ac:dyDescent="0.25">
      <c r="A53" s="214" t="s">
        <v>866</v>
      </c>
      <c r="B53" s="64">
        <v>8.2200000000000006</v>
      </c>
      <c r="C53" s="64">
        <v>31.82</v>
      </c>
      <c r="D53" s="64">
        <v>45.24</v>
      </c>
      <c r="E53" s="64">
        <v>7.36</v>
      </c>
      <c r="F53" s="64">
        <v>11.09</v>
      </c>
      <c r="G53" s="64">
        <v>38.14</v>
      </c>
      <c r="H53" s="64">
        <v>16.96</v>
      </c>
      <c r="I53" s="64">
        <v>3.91</v>
      </c>
      <c r="J53" s="64">
        <v>0.94</v>
      </c>
      <c r="K53" s="64">
        <v>253.97</v>
      </c>
      <c r="L53" s="64">
        <v>39.44</v>
      </c>
      <c r="M53" s="64">
        <v>32.71</v>
      </c>
      <c r="N53" s="64">
        <v>1039.7</v>
      </c>
      <c r="O53" s="64">
        <v>0</v>
      </c>
      <c r="P53" s="64">
        <v>0.65</v>
      </c>
      <c r="Q53" s="64">
        <v>9.51</v>
      </c>
      <c r="R53" s="198"/>
      <c r="S53" s="198"/>
      <c r="T53" s="198"/>
      <c r="U53" s="198"/>
    </row>
    <row r="54" spans="1:21" s="12" customFormat="1" x14ac:dyDescent="0.25">
      <c r="A54" s="214" t="s">
        <v>867</v>
      </c>
      <c r="B54" s="64">
        <v>8.1999999999999993</v>
      </c>
      <c r="C54" s="64">
        <v>30.27</v>
      </c>
      <c r="D54" s="64">
        <v>42.3</v>
      </c>
      <c r="E54" s="64">
        <v>7.51</v>
      </c>
      <c r="F54" s="64">
        <v>12.44</v>
      </c>
      <c r="G54" s="64">
        <v>38.18</v>
      </c>
      <c r="H54" s="64">
        <v>16.96</v>
      </c>
      <c r="I54" s="64">
        <v>4.0199999999999996</v>
      </c>
      <c r="J54" s="64">
        <v>0.95</v>
      </c>
      <c r="K54" s="64">
        <v>254.55</v>
      </c>
      <c r="L54" s="64">
        <v>41.05</v>
      </c>
      <c r="M54" s="64">
        <v>30.17</v>
      </c>
      <c r="N54" s="64">
        <v>1036.2</v>
      </c>
      <c r="O54" s="64">
        <v>0</v>
      </c>
      <c r="P54" s="64">
        <v>0.65</v>
      </c>
      <c r="Q54" s="64">
        <v>9.5</v>
      </c>
      <c r="R54" s="198"/>
      <c r="S54" s="198"/>
      <c r="T54" s="198"/>
      <c r="U54" s="198"/>
    </row>
    <row r="55" spans="1:21" s="12" customFormat="1" x14ac:dyDescent="0.25">
      <c r="A55" s="214" t="s">
        <v>868</v>
      </c>
      <c r="B55" s="64">
        <v>7.8</v>
      </c>
      <c r="C55" s="64">
        <v>30.06</v>
      </c>
      <c r="D55" s="64">
        <v>42.52</v>
      </c>
      <c r="E55" s="64">
        <v>7.29</v>
      </c>
      <c r="F55" s="64">
        <v>13.15</v>
      </c>
      <c r="G55" s="64">
        <v>38.18</v>
      </c>
      <c r="H55" s="64">
        <v>16.96</v>
      </c>
      <c r="I55" s="64">
        <v>3.89</v>
      </c>
      <c r="J55" s="64">
        <v>0.65</v>
      </c>
      <c r="K55" s="64">
        <v>244.66</v>
      </c>
      <c r="L55" s="64">
        <v>40.31</v>
      </c>
      <c r="M55" s="64">
        <v>31.23</v>
      </c>
      <c r="N55" s="64">
        <v>1039.5</v>
      </c>
      <c r="O55" s="64">
        <v>0</v>
      </c>
      <c r="P55" s="64">
        <v>0.68</v>
      </c>
      <c r="Q55" s="64">
        <v>9.52</v>
      </c>
      <c r="R55" s="198"/>
      <c r="S55" s="198"/>
      <c r="T55" s="198"/>
      <c r="U55" s="198"/>
    </row>
    <row r="56" spans="1:21" s="12" customFormat="1" x14ac:dyDescent="0.25">
      <c r="A56" s="214" t="s">
        <v>869</v>
      </c>
      <c r="B56" s="64">
        <v>7.96</v>
      </c>
      <c r="C56" s="64">
        <v>30.35</v>
      </c>
      <c r="D56" s="64">
        <v>42.82</v>
      </c>
      <c r="E56" s="64">
        <v>8.2100000000000009</v>
      </c>
      <c r="F56" s="64">
        <v>14.54</v>
      </c>
      <c r="G56" s="64">
        <v>38.18</v>
      </c>
      <c r="H56" s="64">
        <v>16.96</v>
      </c>
      <c r="I56" s="64">
        <v>4.05</v>
      </c>
      <c r="J56" s="64">
        <v>0.68</v>
      </c>
      <c r="K56" s="64">
        <v>243.17</v>
      </c>
      <c r="L56" s="64">
        <v>40.01</v>
      </c>
      <c r="M56" s="64">
        <v>30.61</v>
      </c>
      <c r="N56" s="64">
        <v>1069.3</v>
      </c>
      <c r="O56" s="64">
        <v>0</v>
      </c>
      <c r="P56" s="64">
        <v>0.63</v>
      </c>
      <c r="Q56" s="64">
        <v>9.52</v>
      </c>
      <c r="R56" s="198"/>
      <c r="S56" s="198"/>
      <c r="T56" s="198"/>
      <c r="U56" s="198"/>
    </row>
    <row r="57" spans="1:21" s="12" customFormat="1" x14ac:dyDescent="0.25">
      <c r="A57" s="214" t="s">
        <v>870</v>
      </c>
      <c r="B57" s="64">
        <v>8.9</v>
      </c>
      <c r="C57" s="64">
        <v>28.92</v>
      </c>
      <c r="D57" s="64">
        <v>38.65</v>
      </c>
      <c r="E57" s="64">
        <v>9.67</v>
      </c>
      <c r="F57" s="64">
        <v>17.27</v>
      </c>
      <c r="G57" s="64">
        <v>40.090000000000003</v>
      </c>
      <c r="H57" s="64">
        <v>14.17</v>
      </c>
      <c r="I57" s="64">
        <v>4.0599999999999996</v>
      </c>
      <c r="J57" s="64">
        <v>0.69</v>
      </c>
      <c r="K57" s="64">
        <v>236.16</v>
      </c>
      <c r="L57" s="64">
        <v>39.979999999999997</v>
      </c>
      <c r="M57" s="64">
        <v>30.27</v>
      </c>
      <c r="N57" s="64">
        <v>1035.0999999999999</v>
      </c>
      <c r="O57" s="64">
        <v>0</v>
      </c>
      <c r="P57" s="64">
        <v>0.6</v>
      </c>
      <c r="Q57" s="64">
        <v>9.5299999999999994</v>
      </c>
      <c r="R57" s="198"/>
      <c r="S57" s="198"/>
      <c r="T57" s="198"/>
      <c r="U57" s="198"/>
    </row>
    <row r="58" spans="1:21" s="12" customFormat="1" x14ac:dyDescent="0.25">
      <c r="A58" s="214" t="s">
        <v>871</v>
      </c>
      <c r="B58" s="64">
        <v>7.42</v>
      </c>
      <c r="C58" s="64">
        <v>27.47</v>
      </c>
      <c r="D58" s="64">
        <v>38.130000000000003</v>
      </c>
      <c r="E58" s="64">
        <v>6.52</v>
      </c>
      <c r="F58" s="64">
        <v>10.1</v>
      </c>
      <c r="G58" s="64">
        <v>40.090000000000003</v>
      </c>
      <c r="H58" s="64">
        <v>14.17</v>
      </c>
      <c r="I58" s="64">
        <v>3.99</v>
      </c>
      <c r="J58" s="64">
        <v>0.62</v>
      </c>
      <c r="K58" s="64">
        <v>255.57</v>
      </c>
      <c r="L58" s="64">
        <v>40.770000000000003</v>
      </c>
      <c r="M58" s="64">
        <v>29.6</v>
      </c>
      <c r="N58" s="64">
        <v>1019.9</v>
      </c>
      <c r="O58" s="64">
        <v>0</v>
      </c>
      <c r="P58" s="64">
        <v>0.61</v>
      </c>
      <c r="Q58" s="64">
        <v>9.52</v>
      </c>
      <c r="R58" s="198"/>
      <c r="S58" s="198"/>
      <c r="T58" s="198"/>
      <c r="U58" s="198"/>
    </row>
    <row r="59" spans="1:21" s="12" customFormat="1" x14ac:dyDescent="0.25">
      <c r="A59" s="214" t="s">
        <v>872</v>
      </c>
      <c r="B59" s="64">
        <v>7.36</v>
      </c>
      <c r="C59" s="64">
        <v>26.98</v>
      </c>
      <c r="D59" s="64">
        <v>37.29</v>
      </c>
      <c r="E59" s="64">
        <v>6.42</v>
      </c>
      <c r="F59" s="64">
        <v>10.46</v>
      </c>
      <c r="G59" s="64">
        <v>40.090000000000003</v>
      </c>
      <c r="H59" s="64">
        <v>14.17</v>
      </c>
      <c r="I59" s="64">
        <v>4.0999999999999996</v>
      </c>
      <c r="J59" s="64">
        <v>0.82</v>
      </c>
      <c r="K59" s="64">
        <v>230.52</v>
      </c>
      <c r="L59" s="64">
        <v>40.479999999999997</v>
      </c>
      <c r="M59" s="64">
        <v>28.45</v>
      </c>
      <c r="N59" s="64">
        <v>1031.0999999999999</v>
      </c>
      <c r="O59" s="64">
        <v>0</v>
      </c>
      <c r="P59" s="64">
        <v>0.56999999999999995</v>
      </c>
      <c r="Q59" s="64">
        <v>9.51</v>
      </c>
      <c r="R59" s="198"/>
      <c r="S59" s="198"/>
      <c r="T59" s="198"/>
      <c r="U59" s="198"/>
    </row>
    <row r="60" spans="1:21" s="12" customFormat="1" x14ac:dyDescent="0.25">
      <c r="A60" s="214" t="s">
        <v>873</v>
      </c>
      <c r="B60" s="64">
        <v>7.06</v>
      </c>
      <c r="C60" s="64">
        <v>24.01</v>
      </c>
      <c r="D60" s="64">
        <v>32.07</v>
      </c>
      <c r="E60" s="64">
        <v>6.27</v>
      </c>
      <c r="F60" s="64">
        <v>12.14</v>
      </c>
      <c r="G60" s="64">
        <v>40.090000000000003</v>
      </c>
      <c r="H60" s="64">
        <v>14.17</v>
      </c>
      <c r="I60" s="64">
        <v>4.08</v>
      </c>
      <c r="J60" s="64">
        <v>0.91</v>
      </c>
      <c r="K60" s="64">
        <v>168.21</v>
      </c>
      <c r="L60" s="64">
        <v>39.22</v>
      </c>
      <c r="M60" s="64">
        <v>29.98</v>
      </c>
      <c r="N60" s="64">
        <v>1004.7</v>
      </c>
      <c r="O60" s="64">
        <v>0</v>
      </c>
      <c r="P60" s="64">
        <v>0.5</v>
      </c>
      <c r="Q60" s="64">
        <v>9.5500000000000007</v>
      </c>
      <c r="R60" s="198"/>
      <c r="S60" s="198"/>
      <c r="T60" s="198"/>
      <c r="U60" s="198"/>
    </row>
    <row r="61" spans="1:21" s="12" customFormat="1" x14ac:dyDescent="0.25">
      <c r="A61" s="214" t="s">
        <v>874</v>
      </c>
      <c r="B61" s="64">
        <v>7.05</v>
      </c>
      <c r="C61" s="64">
        <v>22.6</v>
      </c>
      <c r="D61" s="64">
        <v>29.39</v>
      </c>
      <c r="E61" s="64">
        <v>5.97</v>
      </c>
      <c r="F61" s="64">
        <v>13.38</v>
      </c>
      <c r="G61" s="64">
        <v>36.07</v>
      </c>
      <c r="H61" s="64">
        <v>9.6</v>
      </c>
      <c r="I61" s="64">
        <v>4.0199999999999996</v>
      </c>
      <c r="J61" s="64">
        <v>0.97</v>
      </c>
      <c r="K61" s="64">
        <v>176.83</v>
      </c>
      <c r="L61" s="64">
        <v>38.950000000000003</v>
      </c>
      <c r="M61" s="64">
        <v>30.32</v>
      </c>
      <c r="N61" s="64">
        <v>985.8</v>
      </c>
      <c r="O61" s="64">
        <v>0</v>
      </c>
      <c r="P61" s="64">
        <v>0.45</v>
      </c>
      <c r="Q61" s="64">
        <v>9.5299999999999994</v>
      </c>
      <c r="R61" s="198"/>
      <c r="S61" s="198"/>
      <c r="T61" s="198"/>
      <c r="U61" s="198"/>
    </row>
    <row r="62" spans="1:21" s="12" customFormat="1" x14ac:dyDescent="0.25">
      <c r="A62" s="214" t="s">
        <v>875</v>
      </c>
      <c r="B62" s="64">
        <v>7.06</v>
      </c>
      <c r="C62" s="64">
        <v>21.88</v>
      </c>
      <c r="D62" s="64">
        <v>27.99</v>
      </c>
      <c r="E62" s="64">
        <v>5.31</v>
      </c>
      <c r="F62" s="64">
        <v>12.61</v>
      </c>
      <c r="G62" s="64">
        <v>36.07</v>
      </c>
      <c r="H62" s="64">
        <v>9.6</v>
      </c>
      <c r="I62" s="64">
        <v>3.94</v>
      </c>
      <c r="J62" s="64">
        <v>1.94</v>
      </c>
      <c r="K62" s="64">
        <v>149.66</v>
      </c>
      <c r="L62" s="64">
        <v>38.5</v>
      </c>
      <c r="M62" s="64">
        <v>30.45</v>
      </c>
      <c r="N62" s="64">
        <v>710</v>
      </c>
      <c r="O62" s="64">
        <v>0</v>
      </c>
      <c r="P62" s="64">
        <v>0.46</v>
      </c>
      <c r="Q62" s="64">
        <v>9.51</v>
      </c>
      <c r="R62" s="198"/>
      <c r="S62" s="198"/>
      <c r="T62" s="198"/>
      <c r="U62" s="198"/>
    </row>
    <row r="63" spans="1:21" s="12" customFormat="1" x14ac:dyDescent="0.25">
      <c r="A63" s="214" t="s">
        <v>876</v>
      </c>
      <c r="B63" s="64">
        <v>7.01</v>
      </c>
      <c r="C63" s="64">
        <v>22.88</v>
      </c>
      <c r="D63" s="64">
        <v>29.98</v>
      </c>
      <c r="E63" s="64">
        <v>5.85</v>
      </c>
      <c r="F63" s="64">
        <v>11.28</v>
      </c>
      <c r="G63" s="64">
        <v>36.07</v>
      </c>
      <c r="H63" s="64">
        <v>9.6</v>
      </c>
      <c r="I63" s="64">
        <v>4.01</v>
      </c>
      <c r="J63" s="64">
        <v>1.31</v>
      </c>
      <c r="K63" s="64">
        <v>160.16999999999999</v>
      </c>
      <c r="L63" s="64">
        <v>38.700000000000003</v>
      </c>
      <c r="M63" s="64">
        <v>29.29</v>
      </c>
      <c r="N63" s="64">
        <v>676.3</v>
      </c>
      <c r="O63" s="64">
        <v>0</v>
      </c>
      <c r="P63" s="64">
        <v>0.43</v>
      </c>
      <c r="Q63" s="64">
        <v>9.51</v>
      </c>
      <c r="R63" s="198"/>
      <c r="S63" s="198"/>
      <c r="T63" s="198"/>
      <c r="U63" s="198"/>
    </row>
    <row r="64" spans="1:21" s="12" customFormat="1" x14ac:dyDescent="0.25">
      <c r="A64" s="214" t="s">
        <v>877</v>
      </c>
      <c r="B64" s="64">
        <v>8.0299999999999994</v>
      </c>
      <c r="C64" s="64">
        <v>25.66</v>
      </c>
      <c r="D64" s="64">
        <v>33.74</v>
      </c>
      <c r="E64" s="64">
        <v>6.56</v>
      </c>
      <c r="F64" s="64">
        <v>21.09</v>
      </c>
      <c r="G64" s="64">
        <v>36.07</v>
      </c>
      <c r="H64" s="64">
        <v>9.6</v>
      </c>
      <c r="I64" s="64">
        <v>4.01</v>
      </c>
      <c r="J64" s="64">
        <v>0.24</v>
      </c>
      <c r="K64" s="64">
        <v>198.28</v>
      </c>
      <c r="L64" s="64">
        <v>39.69</v>
      </c>
      <c r="M64" s="64">
        <v>28.6</v>
      </c>
      <c r="N64" s="64">
        <v>460.9</v>
      </c>
      <c r="O64" s="64">
        <v>0</v>
      </c>
      <c r="P64" s="64">
        <v>0.36</v>
      </c>
      <c r="Q64" s="64">
        <v>9.52</v>
      </c>
      <c r="R64" s="198"/>
      <c r="S64" s="198"/>
      <c r="T64" s="198"/>
      <c r="U64" s="198"/>
    </row>
    <row r="65" spans="1:21" s="12" customFormat="1" x14ac:dyDescent="0.25">
      <c r="A65" s="214" t="s">
        <v>878</v>
      </c>
      <c r="B65" s="64">
        <v>8.76</v>
      </c>
      <c r="C65" s="64">
        <v>24.34</v>
      </c>
      <c r="D65" s="64">
        <v>30.08</v>
      </c>
      <c r="E65" s="64">
        <v>7.45</v>
      </c>
      <c r="F65" s="64">
        <v>19.510000000000002</v>
      </c>
      <c r="G65" s="64">
        <v>35.03</v>
      </c>
      <c r="H65" s="64">
        <v>8.8000000000000007</v>
      </c>
      <c r="I65" s="64">
        <v>3.7</v>
      </c>
      <c r="J65" s="64">
        <v>0.38</v>
      </c>
      <c r="K65" s="64">
        <v>190.22</v>
      </c>
      <c r="L65" s="64">
        <v>39.659999999999997</v>
      </c>
      <c r="M65" s="64">
        <v>28.21</v>
      </c>
      <c r="N65" s="64">
        <v>443.9</v>
      </c>
      <c r="O65" s="64">
        <v>0</v>
      </c>
      <c r="P65" s="64">
        <v>0.38</v>
      </c>
      <c r="Q65" s="64">
        <v>9.51</v>
      </c>
      <c r="R65" s="198"/>
      <c r="S65" s="198"/>
      <c r="T65" s="198"/>
      <c r="U65" s="198"/>
    </row>
    <row r="66" spans="1:21" s="12" customFormat="1" x14ac:dyDescent="0.25">
      <c r="A66" s="214" t="s">
        <v>879</v>
      </c>
      <c r="B66" s="64">
        <v>7.65</v>
      </c>
      <c r="C66" s="64">
        <v>23.47</v>
      </c>
      <c r="D66" s="64">
        <v>30.13</v>
      </c>
      <c r="E66" s="64">
        <v>6.9</v>
      </c>
      <c r="F66" s="64">
        <v>15.77</v>
      </c>
      <c r="G66" s="64">
        <v>35.03</v>
      </c>
      <c r="H66" s="64">
        <v>8.7899999999999991</v>
      </c>
      <c r="I66" s="64">
        <v>3.99</v>
      </c>
      <c r="J66" s="64">
        <v>0.91</v>
      </c>
      <c r="K66" s="64">
        <v>158.56</v>
      </c>
      <c r="L66" s="64">
        <v>39.590000000000003</v>
      </c>
      <c r="M66" s="64">
        <v>27.83</v>
      </c>
      <c r="N66" s="64">
        <v>495.3</v>
      </c>
      <c r="O66" s="64">
        <v>0</v>
      </c>
      <c r="P66" s="64">
        <v>0.36</v>
      </c>
      <c r="Q66" s="64">
        <v>9.51</v>
      </c>
      <c r="R66" s="198"/>
      <c r="S66" s="198"/>
      <c r="T66" s="198"/>
      <c r="U66" s="198"/>
    </row>
    <row r="67" spans="1:21" s="12" customFormat="1" x14ac:dyDescent="0.25">
      <c r="A67" s="214" t="s">
        <v>880</v>
      </c>
      <c r="B67" s="64">
        <v>7.22</v>
      </c>
      <c r="C67" s="64">
        <v>21.79</v>
      </c>
      <c r="D67" s="64">
        <v>27.58</v>
      </c>
      <c r="E67" s="64">
        <v>6.38</v>
      </c>
      <c r="F67" s="64">
        <v>16.84</v>
      </c>
      <c r="G67" s="64">
        <v>35.03</v>
      </c>
      <c r="H67" s="64">
        <v>8.7899999999999991</v>
      </c>
      <c r="I67" s="64">
        <v>3.83</v>
      </c>
      <c r="J67" s="64">
        <v>1.48</v>
      </c>
      <c r="K67" s="64">
        <v>141.05000000000001</v>
      </c>
      <c r="L67" s="64">
        <v>39.130000000000003</v>
      </c>
      <c r="M67" s="64">
        <v>28.04</v>
      </c>
      <c r="N67" s="64">
        <v>341.7</v>
      </c>
      <c r="O67" s="64">
        <v>0</v>
      </c>
      <c r="P67" s="64">
        <v>0.36</v>
      </c>
      <c r="Q67" s="64">
        <v>9.49</v>
      </c>
      <c r="R67" s="198"/>
      <c r="S67" s="198"/>
      <c r="T67" s="198"/>
      <c r="U67" s="198"/>
    </row>
    <row r="68" spans="1:21" s="12" customFormat="1" x14ac:dyDescent="0.25">
      <c r="A68" s="214" t="s">
        <v>881</v>
      </c>
      <c r="B68" s="64">
        <v>7.16</v>
      </c>
      <c r="C68" s="64">
        <v>23.99</v>
      </c>
      <c r="D68" s="64">
        <v>31.87</v>
      </c>
      <c r="E68" s="64">
        <v>6.56</v>
      </c>
      <c r="F68" s="64">
        <v>22.26</v>
      </c>
      <c r="G68" s="64">
        <v>35.03</v>
      </c>
      <c r="H68" s="64">
        <v>8.7899999999999991</v>
      </c>
      <c r="I68" s="64">
        <v>3.87</v>
      </c>
      <c r="J68" s="64">
        <v>0.91</v>
      </c>
      <c r="K68" s="64">
        <v>169.48</v>
      </c>
      <c r="L68" s="64">
        <v>38.75</v>
      </c>
      <c r="M68" s="64">
        <v>28.26</v>
      </c>
      <c r="N68" s="64">
        <v>298</v>
      </c>
      <c r="O68" s="64">
        <v>0</v>
      </c>
      <c r="P68" s="64">
        <v>0.26</v>
      </c>
      <c r="Q68" s="64">
        <v>9.48</v>
      </c>
      <c r="R68" s="198"/>
      <c r="S68" s="198"/>
      <c r="T68" s="198"/>
      <c r="U68" s="198"/>
    </row>
    <row r="69" spans="1:21" s="12" customFormat="1" x14ac:dyDescent="0.25">
      <c r="A69" s="214" t="s">
        <v>882</v>
      </c>
      <c r="B69" s="64">
        <v>8.17</v>
      </c>
      <c r="C69" s="64">
        <v>24.09</v>
      </c>
      <c r="D69" s="64">
        <v>30.51</v>
      </c>
      <c r="E69" s="64">
        <v>7.99</v>
      </c>
      <c r="F69" s="64">
        <v>21.47</v>
      </c>
      <c r="G69" s="64">
        <v>22.77</v>
      </c>
      <c r="H69" s="64">
        <v>6.95</v>
      </c>
      <c r="I69" s="64">
        <v>4.04</v>
      </c>
      <c r="J69" s="64">
        <v>0.88</v>
      </c>
      <c r="K69" s="64">
        <v>158.41</v>
      </c>
      <c r="L69" s="64">
        <v>38.979999999999997</v>
      </c>
      <c r="M69" s="64">
        <v>27.87</v>
      </c>
      <c r="N69" s="64">
        <v>376.5</v>
      </c>
      <c r="O69" s="64">
        <v>0</v>
      </c>
      <c r="P69" s="64">
        <v>0.23</v>
      </c>
      <c r="Q69" s="64">
        <v>9.4600000000000009</v>
      </c>
      <c r="R69" s="198"/>
      <c r="S69" s="198"/>
      <c r="T69" s="198"/>
      <c r="U69" s="198"/>
    </row>
    <row r="70" spans="1:21" s="12" customFormat="1" x14ac:dyDescent="0.25">
      <c r="A70" s="214" t="s">
        <v>883</v>
      </c>
      <c r="B70" s="64">
        <v>7.33</v>
      </c>
      <c r="C70" s="64">
        <v>21.74</v>
      </c>
      <c r="D70" s="64">
        <v>27.3</v>
      </c>
      <c r="E70" s="64">
        <v>7.86</v>
      </c>
      <c r="F70" s="64">
        <v>24.44</v>
      </c>
      <c r="G70" s="64">
        <v>22.77</v>
      </c>
      <c r="H70" s="64">
        <v>6.95</v>
      </c>
      <c r="I70" s="64">
        <v>3.94</v>
      </c>
      <c r="J70" s="64">
        <v>0.47</v>
      </c>
      <c r="K70" s="64">
        <v>180.03</v>
      </c>
      <c r="L70" s="64">
        <v>39.200000000000003</v>
      </c>
      <c r="M70" s="64">
        <v>27.58</v>
      </c>
      <c r="N70" s="64">
        <v>412.6</v>
      </c>
      <c r="O70" s="64">
        <v>0</v>
      </c>
      <c r="P70" s="64">
        <v>0.2</v>
      </c>
      <c r="Q70" s="64">
        <v>9.4499999999999993</v>
      </c>
      <c r="R70" s="198"/>
      <c r="S70" s="198"/>
      <c r="T70" s="198"/>
      <c r="U70" s="198"/>
    </row>
    <row r="71" spans="1:21" s="12" customFormat="1" x14ac:dyDescent="0.25">
      <c r="A71" s="214" t="s">
        <v>884</v>
      </c>
      <c r="B71" s="64">
        <v>7.5</v>
      </c>
      <c r="C71" s="64">
        <v>20.29</v>
      </c>
      <c r="D71" s="64">
        <v>24.28</v>
      </c>
      <c r="E71" s="64">
        <v>7.57</v>
      </c>
      <c r="F71" s="64">
        <v>20.47</v>
      </c>
      <c r="G71" s="64">
        <v>22.77</v>
      </c>
      <c r="H71" s="64">
        <v>6.95</v>
      </c>
      <c r="I71" s="64">
        <v>3.99</v>
      </c>
      <c r="J71" s="64">
        <v>1.26</v>
      </c>
      <c r="K71" s="64">
        <v>146.86000000000001</v>
      </c>
      <c r="L71" s="64">
        <v>39.5</v>
      </c>
      <c r="M71" s="64">
        <v>26.25</v>
      </c>
      <c r="N71" s="64">
        <v>457.4</v>
      </c>
      <c r="O71" s="64">
        <v>0</v>
      </c>
      <c r="P71" s="64">
        <v>0.22</v>
      </c>
      <c r="Q71" s="64">
        <v>9.44</v>
      </c>
      <c r="R71" s="198"/>
      <c r="S71" s="198"/>
      <c r="T71" s="198"/>
      <c r="U71" s="198"/>
    </row>
    <row r="72" spans="1:21" s="12" customFormat="1" x14ac:dyDescent="0.25">
      <c r="A72" s="214" t="s">
        <v>885</v>
      </c>
      <c r="B72" s="64">
        <v>6.76</v>
      </c>
      <c r="C72" s="64">
        <v>26.46</v>
      </c>
      <c r="D72" s="64">
        <v>37.22</v>
      </c>
      <c r="E72" s="64">
        <v>4.7300000000000004</v>
      </c>
      <c r="F72" s="64">
        <v>9.31</v>
      </c>
      <c r="G72" s="64">
        <v>22.77</v>
      </c>
      <c r="H72" s="64">
        <v>6.95</v>
      </c>
      <c r="I72" s="64">
        <v>4.1399999999999997</v>
      </c>
      <c r="J72" s="64">
        <v>0.9</v>
      </c>
      <c r="K72" s="64">
        <v>172.52</v>
      </c>
      <c r="L72" s="64">
        <v>39.4</v>
      </c>
      <c r="M72" s="64">
        <v>26.32</v>
      </c>
      <c r="N72" s="64">
        <v>436.6</v>
      </c>
      <c r="O72" s="64">
        <v>0</v>
      </c>
      <c r="P72" s="64">
        <v>0.23</v>
      </c>
      <c r="Q72" s="64">
        <v>9.48</v>
      </c>
      <c r="R72" s="198"/>
      <c r="S72" s="198"/>
      <c r="T72" s="198"/>
      <c r="U72" s="198"/>
    </row>
    <row r="73" spans="1:21" s="12" customFormat="1" x14ac:dyDescent="0.25">
      <c r="A73" s="214" t="s">
        <v>886</v>
      </c>
      <c r="B73" s="64">
        <v>6.55</v>
      </c>
      <c r="C73" s="64">
        <v>22.43</v>
      </c>
      <c r="D73" s="64">
        <v>29.82</v>
      </c>
      <c r="E73" s="64">
        <v>5.91</v>
      </c>
      <c r="F73" s="64">
        <v>20.51</v>
      </c>
      <c r="G73" s="64">
        <v>29.15</v>
      </c>
      <c r="H73" s="64">
        <v>4.43</v>
      </c>
      <c r="I73" s="64">
        <v>4</v>
      </c>
      <c r="J73" s="64">
        <v>1.01</v>
      </c>
      <c r="K73" s="64">
        <v>163.04</v>
      </c>
      <c r="L73" s="64">
        <v>39.270000000000003</v>
      </c>
      <c r="M73" s="64">
        <v>26.24</v>
      </c>
      <c r="N73" s="64">
        <v>386.7</v>
      </c>
      <c r="O73" s="64">
        <v>0</v>
      </c>
      <c r="P73" s="64">
        <v>0.2</v>
      </c>
      <c r="Q73" s="64">
        <v>9.48</v>
      </c>
      <c r="R73" s="198"/>
      <c r="S73" s="198"/>
      <c r="T73" s="198"/>
      <c r="U73" s="198"/>
    </row>
    <row r="74" spans="1:21" s="12" customFormat="1" x14ac:dyDescent="0.25">
      <c r="A74" s="214" t="s">
        <v>887</v>
      </c>
      <c r="B74" s="64">
        <v>6.85</v>
      </c>
      <c r="C74" s="64">
        <v>24.42</v>
      </c>
      <c r="D74" s="64">
        <v>33.17</v>
      </c>
      <c r="E74" s="64">
        <v>6.28</v>
      </c>
      <c r="F74" s="64">
        <v>22.12</v>
      </c>
      <c r="G74" s="64">
        <v>29.15</v>
      </c>
      <c r="H74" s="64">
        <v>4.43</v>
      </c>
      <c r="I74" s="64">
        <v>3.93</v>
      </c>
      <c r="J74" s="64">
        <v>1.26</v>
      </c>
      <c r="K74" s="64">
        <v>157.97999999999999</v>
      </c>
      <c r="L74" s="64">
        <v>39.14</v>
      </c>
      <c r="M74" s="64">
        <v>27.04</v>
      </c>
      <c r="N74" s="64">
        <v>293</v>
      </c>
      <c r="O74" s="64">
        <v>0</v>
      </c>
      <c r="P74" s="64">
        <v>0.18</v>
      </c>
      <c r="Q74" s="64">
        <v>9.49</v>
      </c>
      <c r="R74" s="198"/>
      <c r="S74" s="198"/>
      <c r="T74" s="198"/>
      <c r="U74" s="198"/>
    </row>
    <row r="75" spans="1:21" s="12" customFormat="1" x14ac:dyDescent="0.25">
      <c r="A75" s="214" t="s">
        <v>888</v>
      </c>
      <c r="B75" s="64">
        <v>7.64</v>
      </c>
      <c r="C75" s="64">
        <v>25.71</v>
      </c>
      <c r="D75" s="64">
        <v>34.42</v>
      </c>
      <c r="E75" s="64">
        <v>6.21</v>
      </c>
      <c r="F75" s="64">
        <v>17.02</v>
      </c>
      <c r="G75" s="64">
        <v>29.15</v>
      </c>
      <c r="H75" s="64">
        <v>4.43</v>
      </c>
      <c r="I75" s="64">
        <v>3.8</v>
      </c>
      <c r="J75" s="64">
        <v>1.29</v>
      </c>
      <c r="K75" s="64">
        <v>159.29</v>
      </c>
      <c r="L75" s="64">
        <v>38.99</v>
      </c>
      <c r="M75" s="64">
        <v>27.26</v>
      </c>
      <c r="N75" s="64">
        <v>203.9</v>
      </c>
      <c r="O75" s="64">
        <v>0</v>
      </c>
      <c r="P75" s="64">
        <v>0.2</v>
      </c>
      <c r="Q75" s="64">
        <v>9.4499999999999993</v>
      </c>
      <c r="R75" s="198"/>
      <c r="S75" s="198"/>
      <c r="T75" s="198"/>
      <c r="U75" s="198"/>
    </row>
    <row r="76" spans="1:21" s="12" customFormat="1" x14ac:dyDescent="0.25">
      <c r="A76" s="214" t="s">
        <v>889</v>
      </c>
      <c r="B76" s="64">
        <v>6.9</v>
      </c>
      <c r="C76" s="64">
        <v>26.11</v>
      </c>
      <c r="D76" s="64">
        <v>36.33</v>
      </c>
      <c r="E76" s="64">
        <v>5.87</v>
      </c>
      <c r="F76" s="64">
        <v>18.100000000000001</v>
      </c>
      <c r="G76" s="64">
        <v>29.15</v>
      </c>
      <c r="H76" s="64">
        <v>4.43</v>
      </c>
      <c r="I76" s="64">
        <v>4.05</v>
      </c>
      <c r="J76" s="64">
        <v>1.21</v>
      </c>
      <c r="K76" s="64">
        <v>161.31</v>
      </c>
      <c r="L76" s="64">
        <v>38.83</v>
      </c>
      <c r="M76" s="64">
        <v>28.05</v>
      </c>
      <c r="N76" s="64">
        <v>174.6</v>
      </c>
      <c r="O76" s="64">
        <v>0</v>
      </c>
      <c r="P76" s="64">
        <v>0.19</v>
      </c>
      <c r="Q76" s="64">
        <v>9.44</v>
      </c>
      <c r="R76" s="198"/>
      <c r="S76" s="198"/>
      <c r="T76" s="198"/>
      <c r="U76" s="198"/>
    </row>
    <row r="77" spans="1:21" s="12" customFormat="1" x14ac:dyDescent="0.25">
      <c r="A77" s="214" t="s">
        <v>890</v>
      </c>
      <c r="B77" s="64">
        <v>7.25</v>
      </c>
      <c r="C77" s="64">
        <v>28.98</v>
      </c>
      <c r="D77" s="64">
        <v>41.29</v>
      </c>
      <c r="E77" s="64">
        <v>5.61</v>
      </c>
      <c r="F77" s="64">
        <v>19.53</v>
      </c>
      <c r="G77" s="64">
        <v>28.61</v>
      </c>
      <c r="H77" s="64">
        <v>5.33</v>
      </c>
      <c r="I77" s="64">
        <v>4.0599999999999996</v>
      </c>
      <c r="J77" s="64">
        <v>0.72</v>
      </c>
      <c r="K77" s="64">
        <v>184.94</v>
      </c>
      <c r="L77" s="64">
        <v>38.659999999999997</v>
      </c>
      <c r="M77" s="64">
        <v>28.45</v>
      </c>
      <c r="N77" s="64">
        <v>152.5</v>
      </c>
      <c r="O77" s="64">
        <v>0</v>
      </c>
      <c r="P77" s="64">
        <v>0.21</v>
      </c>
      <c r="Q77" s="64">
        <v>9.4700000000000006</v>
      </c>
      <c r="R77" s="198"/>
      <c r="S77" s="198"/>
      <c r="T77" s="198"/>
      <c r="U77" s="198"/>
    </row>
    <row r="78" spans="1:21" s="12" customFormat="1" x14ac:dyDescent="0.25">
      <c r="A78" s="214" t="s">
        <v>891</v>
      </c>
      <c r="B78" s="64">
        <v>7.07</v>
      </c>
      <c r="C78" s="64">
        <v>27.16</v>
      </c>
      <c r="D78" s="64">
        <v>38.090000000000003</v>
      </c>
      <c r="E78" s="64">
        <v>6.33</v>
      </c>
      <c r="F78" s="64">
        <v>16.64</v>
      </c>
      <c r="G78" s="64">
        <v>28.61</v>
      </c>
      <c r="H78" s="64">
        <v>5.33</v>
      </c>
      <c r="I78" s="64">
        <v>4.01</v>
      </c>
      <c r="J78" s="64">
        <v>0.72</v>
      </c>
      <c r="K78" s="64">
        <v>185.03</v>
      </c>
      <c r="L78" s="64">
        <v>38.479999999999997</v>
      </c>
      <c r="M78" s="64">
        <v>29.21</v>
      </c>
      <c r="N78" s="64">
        <v>135.80000000000001</v>
      </c>
      <c r="O78" s="64">
        <v>0</v>
      </c>
      <c r="P78" s="64">
        <v>0.22</v>
      </c>
      <c r="Q78" s="64">
        <v>9.49</v>
      </c>
      <c r="R78" s="198"/>
      <c r="S78" s="198"/>
      <c r="T78" s="198"/>
      <c r="U78" s="198"/>
    </row>
    <row r="79" spans="1:21" s="12" customFormat="1" x14ac:dyDescent="0.25">
      <c r="A79" s="214" t="s">
        <v>892</v>
      </c>
      <c r="B79" s="64">
        <v>7.1</v>
      </c>
      <c r="C79" s="64">
        <v>26.4</v>
      </c>
      <c r="D79" s="64">
        <v>36.58</v>
      </c>
      <c r="E79" s="64">
        <v>5.92</v>
      </c>
      <c r="F79" s="64">
        <v>16.75</v>
      </c>
      <c r="G79" s="64">
        <v>28.61</v>
      </c>
      <c r="H79" s="64">
        <v>5.33</v>
      </c>
      <c r="I79" s="64">
        <v>3.85</v>
      </c>
      <c r="J79" s="64">
        <v>1.43</v>
      </c>
      <c r="K79" s="64">
        <v>152.47999999999999</v>
      </c>
      <c r="L79" s="64">
        <v>37.94</v>
      </c>
      <c r="M79" s="64">
        <v>29.69</v>
      </c>
      <c r="N79" s="64">
        <v>110</v>
      </c>
      <c r="O79" s="64">
        <v>0</v>
      </c>
      <c r="P79" s="64">
        <v>0.21</v>
      </c>
      <c r="Q79" s="64">
        <v>9.51</v>
      </c>
      <c r="R79" s="198"/>
      <c r="S79" s="198"/>
      <c r="T79" s="198"/>
      <c r="U79" s="198"/>
    </row>
    <row r="80" spans="1:21" s="12" customFormat="1" x14ac:dyDescent="0.25">
      <c r="A80" s="214" t="s">
        <v>893</v>
      </c>
      <c r="B80" s="64">
        <v>7.31</v>
      </c>
      <c r="C80" s="64">
        <v>28.86</v>
      </c>
      <c r="D80" s="64">
        <v>40.96</v>
      </c>
      <c r="E80" s="64">
        <v>6.55</v>
      </c>
      <c r="F80" s="64">
        <v>22.84</v>
      </c>
      <c r="G80" s="64">
        <v>28.61</v>
      </c>
      <c r="H80" s="64">
        <v>5.33</v>
      </c>
      <c r="I80" s="64">
        <v>3.88</v>
      </c>
      <c r="J80" s="64">
        <v>0.83</v>
      </c>
      <c r="K80" s="64">
        <v>159.29</v>
      </c>
      <c r="L80" s="64">
        <v>37.82</v>
      </c>
      <c r="M80" s="64">
        <v>30.11</v>
      </c>
      <c r="N80" s="64">
        <v>94.1</v>
      </c>
      <c r="O80" s="64">
        <v>0</v>
      </c>
      <c r="P80" s="64">
        <v>0.24</v>
      </c>
      <c r="Q80" s="64">
        <v>9.51</v>
      </c>
      <c r="R80" s="198"/>
      <c r="S80" s="198"/>
      <c r="T80" s="198"/>
      <c r="U80" s="198"/>
    </row>
    <row r="81" spans="1:26" s="12" customFormat="1" x14ac:dyDescent="0.25">
      <c r="A81" s="214" t="s">
        <v>894</v>
      </c>
      <c r="B81" s="64">
        <v>7.24</v>
      </c>
      <c r="C81" s="64">
        <v>28.38</v>
      </c>
      <c r="D81" s="64">
        <v>40.15</v>
      </c>
      <c r="E81" s="64">
        <v>6.5</v>
      </c>
      <c r="F81" s="64">
        <v>23.84</v>
      </c>
      <c r="G81" s="64">
        <v>32.6</v>
      </c>
      <c r="H81" s="64">
        <v>8.91</v>
      </c>
      <c r="I81" s="64">
        <v>4.09</v>
      </c>
      <c r="J81" s="64">
        <v>0.91</v>
      </c>
      <c r="K81" s="64">
        <v>150.06</v>
      </c>
      <c r="L81" s="64">
        <v>37.549999999999997</v>
      </c>
      <c r="M81" s="64">
        <v>30.63</v>
      </c>
      <c r="N81" s="64">
        <v>73.900000000000006</v>
      </c>
      <c r="O81" s="64">
        <v>0</v>
      </c>
      <c r="P81" s="64">
        <v>0.25</v>
      </c>
      <c r="Q81" s="64">
        <v>9.52</v>
      </c>
      <c r="R81" s="198"/>
      <c r="S81" s="198"/>
      <c r="T81" s="198"/>
      <c r="U81" s="198"/>
    </row>
    <row r="82" spans="1:26" s="12" customFormat="1" x14ac:dyDescent="0.25">
      <c r="A82" s="214" t="s">
        <v>895</v>
      </c>
      <c r="B82" s="64">
        <v>8.14</v>
      </c>
      <c r="C82" s="64">
        <v>36.86</v>
      </c>
      <c r="D82" s="64">
        <v>55</v>
      </c>
      <c r="E82" s="64">
        <v>6.52</v>
      </c>
      <c r="F82" s="64">
        <v>19.989999999999998</v>
      </c>
      <c r="G82" s="64">
        <v>32.6</v>
      </c>
      <c r="H82" s="64">
        <v>8.91</v>
      </c>
      <c r="I82" s="64">
        <v>4.1100000000000003</v>
      </c>
      <c r="J82" s="64">
        <v>0.38</v>
      </c>
      <c r="K82" s="64">
        <v>231.19</v>
      </c>
      <c r="L82" s="64">
        <v>37.229999999999997</v>
      </c>
      <c r="M82" s="64">
        <v>30.9</v>
      </c>
      <c r="N82" s="64">
        <v>59.1</v>
      </c>
      <c r="O82" s="64">
        <v>0</v>
      </c>
      <c r="P82" s="64">
        <v>0.36</v>
      </c>
      <c r="Q82" s="64">
        <v>9.5</v>
      </c>
      <c r="R82" s="198"/>
      <c r="S82" s="198"/>
      <c r="T82" s="198"/>
      <c r="U82" s="198"/>
    </row>
    <row r="83" spans="1:26" s="12" customFormat="1" x14ac:dyDescent="0.25">
      <c r="A83" s="214" t="s">
        <v>896</v>
      </c>
      <c r="B83" s="64">
        <v>15.91</v>
      </c>
      <c r="C83" s="64">
        <v>51.81</v>
      </c>
      <c r="D83" s="64">
        <v>71.7</v>
      </c>
      <c r="E83" s="64">
        <v>7.07</v>
      </c>
      <c r="F83" s="64">
        <v>16.71</v>
      </c>
      <c r="G83" s="64">
        <v>32.6</v>
      </c>
      <c r="H83" s="64">
        <v>8.91</v>
      </c>
      <c r="I83" s="64">
        <v>4.05</v>
      </c>
      <c r="J83" s="64">
        <v>0.31</v>
      </c>
      <c r="K83" s="64">
        <v>232.17</v>
      </c>
      <c r="L83" s="64">
        <v>36.74</v>
      </c>
      <c r="M83" s="64">
        <v>32.409999999999997</v>
      </c>
      <c r="N83" s="64">
        <v>55.2</v>
      </c>
      <c r="O83" s="64">
        <v>0</v>
      </c>
      <c r="P83" s="64">
        <v>0.84</v>
      </c>
      <c r="Q83" s="64">
        <v>9.49</v>
      </c>
      <c r="R83" s="198"/>
      <c r="S83" s="198"/>
      <c r="T83" s="198"/>
      <c r="U83" s="198"/>
    </row>
    <row r="84" spans="1:26" s="12" customFormat="1" x14ac:dyDescent="0.25">
      <c r="A84" s="214" t="s">
        <v>897</v>
      </c>
      <c r="B84" s="64">
        <v>10.84</v>
      </c>
      <c r="C84" s="64">
        <v>38.869999999999997</v>
      </c>
      <c r="D84" s="64">
        <v>54.71</v>
      </c>
      <c r="E84" s="64">
        <v>6.72</v>
      </c>
      <c r="F84" s="64">
        <v>19.86</v>
      </c>
      <c r="G84" s="64">
        <v>32.6</v>
      </c>
      <c r="H84" s="64">
        <v>8.91</v>
      </c>
      <c r="I84" s="64">
        <v>3.94</v>
      </c>
      <c r="J84" s="64">
        <v>0.41</v>
      </c>
      <c r="K84" s="64">
        <v>230.82</v>
      </c>
      <c r="L84" s="64">
        <v>36.49</v>
      </c>
      <c r="M84" s="64">
        <v>32.67</v>
      </c>
      <c r="N84" s="64">
        <v>54.4</v>
      </c>
      <c r="O84" s="64">
        <v>0</v>
      </c>
      <c r="P84" s="64">
        <v>0.59</v>
      </c>
      <c r="Q84" s="64">
        <v>9.49</v>
      </c>
      <c r="R84" s="198"/>
      <c r="S84" s="198"/>
      <c r="T84" s="198"/>
      <c r="U84" s="198"/>
    </row>
    <row r="85" spans="1:26" s="12" customFormat="1" x14ac:dyDescent="0.25">
      <c r="A85" s="214" t="s">
        <v>898</v>
      </c>
      <c r="B85" s="64">
        <v>46.4</v>
      </c>
      <c r="C85" s="64">
        <v>88.81</v>
      </c>
      <c r="D85" s="64">
        <v>95.71</v>
      </c>
      <c r="E85" s="64">
        <v>6.92</v>
      </c>
      <c r="F85" s="64">
        <v>10.79</v>
      </c>
      <c r="G85" s="64">
        <v>35.22</v>
      </c>
      <c r="H85" s="64">
        <v>7.29</v>
      </c>
      <c r="I85" s="64">
        <v>3.98</v>
      </c>
      <c r="J85" s="64">
        <v>0.28999999999999998</v>
      </c>
      <c r="K85" s="64">
        <v>261.68</v>
      </c>
      <c r="L85" s="64">
        <v>35.83</v>
      </c>
      <c r="M85" s="64">
        <v>36.85</v>
      </c>
      <c r="N85" s="64">
        <v>55.2</v>
      </c>
      <c r="O85" s="64">
        <v>0</v>
      </c>
      <c r="P85" s="64">
        <v>1.37</v>
      </c>
      <c r="Q85" s="64">
        <v>9.49</v>
      </c>
      <c r="R85" s="198"/>
      <c r="S85" s="198"/>
      <c r="T85" s="198"/>
      <c r="U85" s="198"/>
    </row>
    <row r="86" spans="1:26" s="12" customFormat="1" x14ac:dyDescent="0.25">
      <c r="A86" s="214" t="s">
        <v>899</v>
      </c>
      <c r="B86" s="64">
        <v>25.65</v>
      </c>
      <c r="C86" s="64">
        <v>62.74</v>
      </c>
      <c r="D86" s="64">
        <v>77.67</v>
      </c>
      <c r="E86" s="64">
        <v>7.42</v>
      </c>
      <c r="F86" s="64">
        <v>14.61</v>
      </c>
      <c r="G86" s="64">
        <v>35.22</v>
      </c>
      <c r="H86" s="64">
        <v>7.27</v>
      </c>
      <c r="I86" s="64">
        <v>3.67</v>
      </c>
      <c r="J86" s="64">
        <v>0.28000000000000003</v>
      </c>
      <c r="K86" s="64">
        <v>233.93</v>
      </c>
      <c r="L86" s="64">
        <v>35.36</v>
      </c>
      <c r="M86" s="64">
        <v>34.479999999999997</v>
      </c>
      <c r="N86" s="64">
        <v>54.4</v>
      </c>
      <c r="O86" s="64">
        <v>0</v>
      </c>
      <c r="P86" s="64">
        <v>0.98</v>
      </c>
      <c r="Q86" s="64">
        <v>9.4700000000000006</v>
      </c>
      <c r="R86" s="198"/>
      <c r="S86" s="198"/>
      <c r="T86" s="198"/>
      <c r="U86" s="198"/>
    </row>
    <row r="87" spans="1:26" s="12" customFormat="1" x14ac:dyDescent="0.25">
      <c r="A87" s="214" t="s">
        <v>900</v>
      </c>
      <c r="B87" s="64">
        <v>13.37</v>
      </c>
      <c r="C87" s="64">
        <v>56.68</v>
      </c>
      <c r="D87" s="64">
        <v>84.91</v>
      </c>
      <c r="E87" s="64">
        <v>7.66</v>
      </c>
      <c r="F87" s="64">
        <v>12.66</v>
      </c>
      <c r="G87" s="64">
        <v>35.22</v>
      </c>
      <c r="H87" s="64">
        <v>7.27</v>
      </c>
      <c r="I87" s="64">
        <v>3.92</v>
      </c>
      <c r="J87" s="64">
        <v>0.55000000000000004</v>
      </c>
      <c r="K87" s="64">
        <v>167.94</v>
      </c>
      <c r="L87" s="64">
        <v>35.58</v>
      </c>
      <c r="M87" s="64">
        <v>33.89</v>
      </c>
      <c r="N87" s="64">
        <v>54</v>
      </c>
      <c r="O87" s="64">
        <v>0</v>
      </c>
      <c r="P87" s="64">
        <v>0.61</v>
      </c>
      <c r="Q87" s="64">
        <v>9.51</v>
      </c>
      <c r="R87" s="198"/>
      <c r="S87" s="198"/>
      <c r="T87" s="198"/>
      <c r="U87" s="198"/>
    </row>
    <row r="88" spans="1:26" s="12" customFormat="1" x14ac:dyDescent="0.25">
      <c r="A88" s="214" t="s">
        <v>901</v>
      </c>
      <c r="B88" s="64">
        <v>11.32</v>
      </c>
      <c r="C88" s="64">
        <v>50.42</v>
      </c>
      <c r="D88" s="64">
        <v>76.069999999999993</v>
      </c>
      <c r="E88" s="64">
        <v>7.28</v>
      </c>
      <c r="F88" s="64">
        <v>12.96</v>
      </c>
      <c r="G88" s="64">
        <v>35.22</v>
      </c>
      <c r="H88" s="64">
        <v>7.27</v>
      </c>
      <c r="I88" s="64">
        <v>4.12</v>
      </c>
      <c r="J88" s="64">
        <v>0.42</v>
      </c>
      <c r="K88" s="64">
        <v>158.19</v>
      </c>
      <c r="L88" s="64">
        <v>34.99</v>
      </c>
      <c r="M88" s="64">
        <v>36.26</v>
      </c>
      <c r="N88" s="64">
        <v>54.7</v>
      </c>
      <c r="O88" s="64">
        <v>0</v>
      </c>
      <c r="P88" s="64">
        <v>0.56999999999999995</v>
      </c>
      <c r="Q88" s="64">
        <v>9.5</v>
      </c>
      <c r="R88" s="198"/>
      <c r="S88" s="198"/>
      <c r="T88" s="198"/>
      <c r="U88" s="198"/>
    </row>
    <row r="89" spans="1:26" s="12" customFormat="1" x14ac:dyDescent="0.25">
      <c r="A89" s="214" t="s">
        <v>902</v>
      </c>
      <c r="B89" s="64">
        <v>12.66</v>
      </c>
      <c r="C89" s="64">
        <v>47.06</v>
      </c>
      <c r="D89" s="64">
        <v>67.599999999999994</v>
      </c>
      <c r="E89" s="64">
        <v>6.84</v>
      </c>
      <c r="F89" s="64">
        <v>14.22</v>
      </c>
      <c r="G89" s="64">
        <v>38.9</v>
      </c>
      <c r="H89" s="64">
        <v>7.07</v>
      </c>
      <c r="I89" s="64">
        <v>4.13</v>
      </c>
      <c r="J89" s="64">
        <v>0.65</v>
      </c>
      <c r="K89" s="64">
        <v>158.99</v>
      </c>
      <c r="L89" s="64">
        <v>34.659999999999997</v>
      </c>
      <c r="M89" s="64">
        <v>36.299999999999997</v>
      </c>
      <c r="N89" s="64">
        <v>54.2</v>
      </c>
      <c r="O89" s="64">
        <v>0</v>
      </c>
      <c r="P89" s="64">
        <v>0.56999999999999995</v>
      </c>
      <c r="Q89" s="64">
        <v>9.51</v>
      </c>
      <c r="R89" s="198"/>
      <c r="S89" s="198"/>
      <c r="T89" s="198"/>
      <c r="U89" s="198"/>
    </row>
    <row r="90" spans="1:26" s="12" customFormat="1" x14ac:dyDescent="0.25">
      <c r="A90" s="214" t="s">
        <v>903</v>
      </c>
      <c r="B90" s="64">
        <v>13.33</v>
      </c>
      <c r="C90" s="64">
        <v>55.83</v>
      </c>
      <c r="D90" s="64">
        <v>83.34</v>
      </c>
      <c r="E90" s="64">
        <v>6.83</v>
      </c>
      <c r="F90" s="64">
        <v>12.04</v>
      </c>
      <c r="G90" s="64">
        <v>38.9</v>
      </c>
      <c r="H90" s="64">
        <v>7.07</v>
      </c>
      <c r="I90" s="64">
        <v>4.03</v>
      </c>
      <c r="J90" s="64">
        <v>0.35</v>
      </c>
      <c r="K90" s="64">
        <v>233.01</v>
      </c>
      <c r="L90" s="64">
        <v>34.49</v>
      </c>
      <c r="M90" s="64">
        <v>36.020000000000003</v>
      </c>
      <c r="N90" s="64">
        <v>54.7</v>
      </c>
      <c r="O90" s="64">
        <v>0</v>
      </c>
      <c r="P90" s="64">
        <v>0.54</v>
      </c>
      <c r="Q90" s="64">
        <v>9.51</v>
      </c>
      <c r="R90" s="198"/>
      <c r="S90" s="198"/>
      <c r="T90" s="198"/>
      <c r="U90" s="198"/>
    </row>
    <row r="91" spans="1:26" s="12" customFormat="1" x14ac:dyDescent="0.25">
      <c r="A91" s="214" t="s">
        <v>904</v>
      </c>
      <c r="B91" s="64">
        <v>16.829999999999998</v>
      </c>
      <c r="C91" s="64">
        <v>52.11</v>
      </c>
      <c r="D91" s="64">
        <v>70.86</v>
      </c>
      <c r="E91" s="64">
        <v>7.06</v>
      </c>
      <c r="F91" s="64">
        <v>13.14</v>
      </c>
      <c r="G91" s="64">
        <v>38.9</v>
      </c>
      <c r="H91" s="64">
        <v>7.07</v>
      </c>
      <c r="I91" s="64">
        <v>4.0199999999999996</v>
      </c>
      <c r="J91" s="64">
        <v>0.46</v>
      </c>
      <c r="K91" s="64">
        <v>240.55</v>
      </c>
      <c r="L91" s="64">
        <v>34.11</v>
      </c>
      <c r="M91" s="64">
        <v>36.86</v>
      </c>
      <c r="N91" s="64">
        <v>54.6</v>
      </c>
      <c r="O91" s="64">
        <v>0</v>
      </c>
      <c r="P91" s="64">
        <v>0.54</v>
      </c>
      <c r="Q91" s="64">
        <v>9.52</v>
      </c>
      <c r="R91" s="198"/>
      <c r="S91" s="198"/>
      <c r="T91" s="198"/>
      <c r="U91" s="198"/>
    </row>
    <row r="92" spans="1:26" s="12" customFormat="1" x14ac:dyDescent="0.25">
      <c r="A92" s="214" t="s">
        <v>905</v>
      </c>
      <c r="B92" s="64">
        <v>14.99</v>
      </c>
      <c r="C92" s="64">
        <v>43.42</v>
      </c>
      <c r="D92" s="64">
        <v>57.05</v>
      </c>
      <c r="E92" s="64">
        <v>7.06</v>
      </c>
      <c r="F92" s="64">
        <v>15.4</v>
      </c>
      <c r="G92" s="64">
        <v>38.9</v>
      </c>
      <c r="H92" s="64">
        <v>7.07</v>
      </c>
      <c r="I92" s="64">
        <v>3.97</v>
      </c>
      <c r="J92" s="64">
        <v>0.39</v>
      </c>
      <c r="K92" s="64">
        <v>241.16</v>
      </c>
      <c r="L92" s="64">
        <v>34.01</v>
      </c>
      <c r="M92" s="64">
        <v>37.450000000000003</v>
      </c>
      <c r="N92" s="64">
        <v>54.3</v>
      </c>
      <c r="O92" s="64">
        <v>0</v>
      </c>
      <c r="P92" s="64">
        <v>0.67</v>
      </c>
      <c r="Q92" s="64">
        <v>9.52</v>
      </c>
      <c r="R92" s="198"/>
      <c r="S92" s="198"/>
      <c r="T92" s="198"/>
      <c r="U92" s="198"/>
    </row>
    <row r="93" spans="1:26" s="12" customFormat="1" x14ac:dyDescent="0.25">
      <c r="A93" s="214" t="s">
        <v>906</v>
      </c>
      <c r="B93" s="64">
        <v>13.62</v>
      </c>
      <c r="C93" s="64">
        <v>39.11</v>
      </c>
      <c r="D93" s="64">
        <v>50.89</v>
      </c>
      <c r="E93" s="64">
        <v>6.93</v>
      </c>
      <c r="F93" s="64">
        <v>16.54</v>
      </c>
      <c r="G93" s="64">
        <v>41.63</v>
      </c>
      <c r="H93" s="64">
        <v>12.41</v>
      </c>
      <c r="I93" s="64">
        <v>4.04</v>
      </c>
      <c r="J93" s="64">
        <v>0.35</v>
      </c>
      <c r="K93" s="64">
        <v>221.69</v>
      </c>
      <c r="L93" s="64">
        <v>33.979999999999997</v>
      </c>
      <c r="M93" s="64">
        <v>37.54</v>
      </c>
      <c r="N93" s="64">
        <v>54.3</v>
      </c>
      <c r="O93" s="64">
        <v>0</v>
      </c>
      <c r="P93" s="64">
        <v>0.6</v>
      </c>
      <c r="Q93" s="64">
        <v>9.52</v>
      </c>
      <c r="R93" s="198"/>
      <c r="S93" s="198"/>
      <c r="T93" s="198"/>
      <c r="U93" s="198"/>
    </row>
    <row r="94" spans="1:26" s="12" customFormat="1" x14ac:dyDescent="0.25">
      <c r="A94" s="214" t="s">
        <v>907</v>
      </c>
      <c r="B94" s="64">
        <v>12.1</v>
      </c>
      <c r="C94" s="64">
        <v>51.29</v>
      </c>
      <c r="D94" s="64">
        <v>76.540000000000006</v>
      </c>
      <c r="E94" s="64">
        <v>6.61</v>
      </c>
      <c r="F94" s="64">
        <v>12.24</v>
      </c>
      <c r="G94" s="64">
        <v>41.63</v>
      </c>
      <c r="H94" s="64">
        <v>12.41</v>
      </c>
      <c r="I94" s="64">
        <v>3.9</v>
      </c>
      <c r="J94" s="64">
        <v>0.32</v>
      </c>
      <c r="K94" s="64">
        <v>192.49</v>
      </c>
      <c r="L94" s="64">
        <v>33.71</v>
      </c>
      <c r="M94" s="64">
        <v>38.799999999999997</v>
      </c>
      <c r="N94" s="64">
        <v>54.5</v>
      </c>
      <c r="O94" s="64">
        <v>0</v>
      </c>
      <c r="P94" s="64">
        <v>0.55000000000000004</v>
      </c>
      <c r="Q94" s="64">
        <v>9.52</v>
      </c>
      <c r="R94" s="198"/>
      <c r="S94" s="198"/>
      <c r="T94" s="198"/>
      <c r="U94" s="198"/>
    </row>
    <row r="95" spans="1:26" s="12" customFormat="1" x14ac:dyDescent="0.25">
      <c r="A95" s="214" t="s">
        <v>908</v>
      </c>
      <c r="B95" s="64">
        <v>9.3699999999999992</v>
      </c>
      <c r="C95" s="64">
        <v>36.090000000000003</v>
      </c>
      <c r="D95" s="64">
        <v>51.65</v>
      </c>
      <c r="E95" s="64">
        <v>6.84</v>
      </c>
      <c r="F95" s="64">
        <v>15.13</v>
      </c>
      <c r="G95" s="64">
        <v>41.63</v>
      </c>
      <c r="H95" s="64">
        <v>12.41</v>
      </c>
      <c r="I95" s="64">
        <v>4</v>
      </c>
      <c r="J95" s="64">
        <v>0.46</v>
      </c>
      <c r="K95" s="64">
        <v>182.47</v>
      </c>
      <c r="L95" s="64">
        <v>33.68</v>
      </c>
      <c r="M95" s="64">
        <v>38.229999999999997</v>
      </c>
      <c r="N95" s="64">
        <v>54.1</v>
      </c>
      <c r="O95" s="64">
        <v>0</v>
      </c>
      <c r="P95" s="64">
        <v>0.44</v>
      </c>
      <c r="Q95" s="64">
        <v>9.52</v>
      </c>
      <c r="R95" s="198"/>
      <c r="S95" s="198"/>
      <c r="T95" s="198"/>
      <c r="U95" s="198"/>
    </row>
    <row r="96" spans="1:26" s="12" customFormat="1" x14ac:dyDescent="0.25">
      <c r="A96" s="214" t="s">
        <v>909</v>
      </c>
      <c r="B96" s="64">
        <v>9.09</v>
      </c>
      <c r="C96" s="64">
        <v>32.83</v>
      </c>
      <c r="D96" s="64">
        <v>45.84</v>
      </c>
      <c r="E96" s="64">
        <v>6.72</v>
      </c>
      <c r="F96" s="64">
        <v>16.760000000000002</v>
      </c>
      <c r="G96" s="64">
        <v>41.63</v>
      </c>
      <c r="H96" s="64">
        <v>12.41</v>
      </c>
      <c r="I96" s="64">
        <v>4.05</v>
      </c>
      <c r="J96" s="64">
        <v>0.71</v>
      </c>
      <c r="K96" s="64">
        <v>147.07</v>
      </c>
      <c r="L96" s="64">
        <v>33.51</v>
      </c>
      <c r="M96" s="64">
        <v>39</v>
      </c>
      <c r="N96" s="64">
        <v>54.2</v>
      </c>
      <c r="O96" s="64">
        <v>0</v>
      </c>
      <c r="P96" s="64">
        <v>0.38</v>
      </c>
      <c r="Q96" s="64">
        <v>9.5399999999999991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910</v>
      </c>
      <c r="B97" s="64">
        <v>84.57</v>
      </c>
      <c r="C97" s="64">
        <v>117.38</v>
      </c>
      <c r="D97" s="64">
        <v>91.81</v>
      </c>
      <c r="E97" s="64">
        <v>6.64</v>
      </c>
      <c r="F97" s="64">
        <v>8.26</v>
      </c>
      <c r="G97" s="64">
        <v>39.909999999999997</v>
      </c>
      <c r="H97" s="64">
        <v>11.34</v>
      </c>
      <c r="I97" s="64">
        <v>4.0599999999999996</v>
      </c>
      <c r="J97" s="64">
        <v>0.21</v>
      </c>
      <c r="K97" s="64">
        <v>278.26</v>
      </c>
      <c r="L97" s="64">
        <v>33.020000000000003</v>
      </c>
      <c r="M97" s="64">
        <v>41.38</v>
      </c>
      <c r="N97" s="64">
        <v>35.6</v>
      </c>
      <c r="O97" s="64">
        <v>0</v>
      </c>
      <c r="P97" s="64">
        <v>1.21</v>
      </c>
      <c r="Q97" s="64">
        <v>9.52</v>
      </c>
      <c r="R97" s="198"/>
      <c r="S97" s="198"/>
      <c r="T97" s="198"/>
      <c r="U97" s="198"/>
    </row>
    <row r="98" spans="1:33" s="12" customFormat="1" x14ac:dyDescent="0.25">
      <c r="A98" s="214" t="s">
        <v>911</v>
      </c>
      <c r="B98" s="64">
        <v>45.58</v>
      </c>
      <c r="C98" s="64">
        <v>85.74</v>
      </c>
      <c r="D98" s="64">
        <v>91.09</v>
      </c>
      <c r="E98" s="64">
        <v>6.29</v>
      </c>
      <c r="F98" s="64">
        <v>6.24</v>
      </c>
      <c r="G98" s="64">
        <v>39.909999999999997</v>
      </c>
      <c r="H98" s="64">
        <v>11.34</v>
      </c>
      <c r="I98" s="64">
        <v>4.03</v>
      </c>
      <c r="J98" s="64">
        <v>0.28999999999999998</v>
      </c>
      <c r="K98" s="64">
        <v>139.24</v>
      </c>
      <c r="L98" s="64">
        <v>32.630000000000003</v>
      </c>
      <c r="M98" s="64">
        <v>42.25</v>
      </c>
      <c r="N98" s="64">
        <v>28</v>
      </c>
      <c r="O98" s="64">
        <v>0</v>
      </c>
      <c r="P98" s="64">
        <v>0.72</v>
      </c>
      <c r="Q98" s="64">
        <v>9.5</v>
      </c>
      <c r="R98" s="198"/>
      <c r="S98" s="198"/>
      <c r="T98" s="198"/>
      <c r="U98" s="198"/>
    </row>
    <row r="99" spans="1:33" s="12" customFormat="1" x14ac:dyDescent="0.25">
      <c r="A99" s="214" t="s">
        <v>912</v>
      </c>
      <c r="B99" s="64">
        <v>16.86</v>
      </c>
      <c r="C99" s="64">
        <v>42.21</v>
      </c>
      <c r="D99" s="64">
        <v>51.86</v>
      </c>
      <c r="E99" s="64">
        <v>6.18</v>
      </c>
      <c r="F99" s="64">
        <v>11.03</v>
      </c>
      <c r="G99" s="64">
        <v>39.909999999999997</v>
      </c>
      <c r="H99" s="64">
        <v>11.34</v>
      </c>
      <c r="I99" s="64">
        <v>3.8</v>
      </c>
      <c r="J99" s="64">
        <v>0.6</v>
      </c>
      <c r="K99" s="64">
        <v>152.77000000000001</v>
      </c>
      <c r="L99" s="64">
        <v>32.85</v>
      </c>
      <c r="M99" s="64">
        <v>40.880000000000003</v>
      </c>
      <c r="N99" s="64">
        <v>27.5</v>
      </c>
      <c r="O99" s="64">
        <v>0</v>
      </c>
      <c r="P99" s="64">
        <v>0.46</v>
      </c>
      <c r="Q99" s="64">
        <v>9.49</v>
      </c>
      <c r="R99" s="198"/>
      <c r="S99" s="198"/>
      <c r="T99" s="198"/>
      <c r="U99" s="198"/>
    </row>
    <row r="100" spans="1:33" s="12" customFormat="1" x14ac:dyDescent="0.25">
      <c r="A100" s="214" t="s">
        <v>913</v>
      </c>
      <c r="B100" s="64">
        <v>17.59</v>
      </c>
      <c r="C100" s="64">
        <v>44.05</v>
      </c>
      <c r="D100" s="64">
        <v>54.26</v>
      </c>
      <c r="E100" s="64">
        <v>5.65</v>
      </c>
      <c r="F100" s="64">
        <v>9.89</v>
      </c>
      <c r="G100" s="64">
        <v>39.909999999999997</v>
      </c>
      <c r="H100" s="64">
        <v>11.34</v>
      </c>
      <c r="I100" s="64">
        <v>4.01</v>
      </c>
      <c r="J100" s="64">
        <v>0.87</v>
      </c>
      <c r="K100" s="64">
        <v>166.43</v>
      </c>
      <c r="L100" s="64">
        <v>32.81</v>
      </c>
      <c r="M100" s="64">
        <v>41.14</v>
      </c>
      <c r="N100" s="64">
        <v>27.5</v>
      </c>
      <c r="O100" s="64">
        <v>0</v>
      </c>
      <c r="P100" s="64">
        <v>0.5</v>
      </c>
      <c r="Q100" s="64">
        <v>9.52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914</v>
      </c>
      <c r="B101" s="64">
        <v>15.6</v>
      </c>
      <c r="C101" s="64">
        <v>36.85</v>
      </c>
      <c r="D101" s="64">
        <v>43.54</v>
      </c>
      <c r="E101" s="64">
        <v>5.43</v>
      </c>
      <c r="F101" s="64">
        <v>10.15</v>
      </c>
      <c r="G101" s="64">
        <v>43.02</v>
      </c>
      <c r="H101" s="64">
        <v>12.05</v>
      </c>
      <c r="I101" s="64">
        <v>4.03</v>
      </c>
      <c r="J101" s="64">
        <v>0.77</v>
      </c>
      <c r="K101" s="64">
        <v>163.46</v>
      </c>
      <c r="L101" s="64">
        <v>32.85</v>
      </c>
      <c r="M101" s="64">
        <v>40.96</v>
      </c>
      <c r="N101" s="64">
        <v>27.9</v>
      </c>
      <c r="O101" s="64">
        <v>0</v>
      </c>
      <c r="P101" s="64">
        <v>0.48</v>
      </c>
      <c r="Q101" s="64">
        <v>9.5399999999999991</v>
      </c>
      <c r="R101" s="198"/>
      <c r="S101" s="198"/>
      <c r="T101" s="198"/>
      <c r="U101" s="198"/>
    </row>
    <row r="102" spans="1:33" s="12" customFormat="1" x14ac:dyDescent="0.25">
      <c r="A102" s="214" t="s">
        <v>915</v>
      </c>
      <c r="B102" s="64">
        <v>12.06</v>
      </c>
      <c r="C102" s="64">
        <v>29.17</v>
      </c>
      <c r="D102" s="64">
        <v>34.270000000000003</v>
      </c>
      <c r="E102" s="64">
        <v>5.94</v>
      </c>
      <c r="F102" s="64">
        <v>13.72</v>
      </c>
      <c r="G102" s="64">
        <v>43.02</v>
      </c>
      <c r="H102" s="64">
        <v>12.05</v>
      </c>
      <c r="I102" s="64">
        <v>3.98</v>
      </c>
      <c r="J102" s="64">
        <v>0.72</v>
      </c>
      <c r="K102" s="64">
        <v>151.85</v>
      </c>
      <c r="L102" s="64">
        <v>32.68</v>
      </c>
      <c r="M102" s="64">
        <v>41.59</v>
      </c>
      <c r="N102" s="64">
        <v>28.1</v>
      </c>
      <c r="O102" s="64">
        <v>0</v>
      </c>
      <c r="P102" s="64">
        <v>0.41</v>
      </c>
      <c r="Q102" s="64">
        <v>9.56</v>
      </c>
      <c r="R102" s="198"/>
      <c r="S102" s="198"/>
      <c r="T102" s="198"/>
      <c r="U102" s="198"/>
    </row>
    <row r="103" spans="1:33" s="12" customFormat="1" x14ac:dyDescent="0.25">
      <c r="A103" s="214" t="s">
        <v>916</v>
      </c>
      <c r="B103" s="64">
        <v>10.43</v>
      </c>
      <c r="C103" s="64">
        <v>28.72</v>
      </c>
      <c r="D103" s="64">
        <v>35.89</v>
      </c>
      <c r="E103" s="64">
        <v>5.95</v>
      </c>
      <c r="F103" s="64">
        <v>15.71</v>
      </c>
      <c r="G103" s="64">
        <v>43.02</v>
      </c>
      <c r="H103" s="64">
        <v>12.05</v>
      </c>
      <c r="I103" s="64">
        <v>3.81</v>
      </c>
      <c r="J103" s="64">
        <v>0.54</v>
      </c>
      <c r="K103" s="64">
        <v>170.34</v>
      </c>
      <c r="L103" s="64">
        <v>32.46</v>
      </c>
      <c r="M103" s="64">
        <v>42.73</v>
      </c>
      <c r="N103" s="64">
        <v>28.4</v>
      </c>
      <c r="O103" s="64">
        <v>0</v>
      </c>
      <c r="P103" s="64">
        <v>0.34</v>
      </c>
      <c r="Q103" s="64">
        <v>9.5299999999999994</v>
      </c>
      <c r="R103" s="198"/>
      <c r="S103" s="198"/>
      <c r="T103" s="198"/>
      <c r="U103" s="198"/>
    </row>
    <row r="104" spans="1:33" s="12" customFormat="1" x14ac:dyDescent="0.25">
      <c r="A104" s="214" t="s">
        <v>917</v>
      </c>
      <c r="B104" s="64">
        <v>12.68</v>
      </c>
      <c r="C104" s="64">
        <v>27.99</v>
      </c>
      <c r="D104" s="64">
        <v>31.07</v>
      </c>
      <c r="E104" s="64">
        <v>6.3</v>
      </c>
      <c r="F104" s="64">
        <v>13.88</v>
      </c>
      <c r="G104" s="64">
        <v>43.02</v>
      </c>
      <c r="H104" s="64">
        <v>12.05</v>
      </c>
      <c r="I104" s="64">
        <v>3.98</v>
      </c>
      <c r="J104" s="64">
        <v>0.93</v>
      </c>
      <c r="K104" s="64">
        <v>150.53</v>
      </c>
      <c r="L104" s="64">
        <v>32.26</v>
      </c>
      <c r="M104" s="64">
        <v>43.03</v>
      </c>
      <c r="N104" s="64">
        <v>28</v>
      </c>
      <c r="O104" s="64">
        <v>0</v>
      </c>
      <c r="P104" s="64">
        <v>0.37</v>
      </c>
      <c r="Q104" s="64">
        <v>9.5500000000000007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6.55</v>
      </c>
      <c r="C106" s="67">
        <f>MIN(C9:C104)</f>
        <v>20.29</v>
      </c>
      <c r="D106" s="67">
        <f t="shared" ref="D106:Q106" si="0">MIN(D9:D104)</f>
        <v>24.28</v>
      </c>
      <c r="E106" s="67">
        <f t="shared" si="0"/>
        <v>3.62</v>
      </c>
      <c r="F106" s="67">
        <f t="shared" si="0"/>
        <v>6.08</v>
      </c>
      <c r="G106" s="67">
        <f t="shared" si="0"/>
        <v>22.77</v>
      </c>
      <c r="H106" s="67">
        <f t="shared" si="0"/>
        <v>2.95</v>
      </c>
      <c r="I106" s="67">
        <f t="shared" si="0"/>
        <v>3.67</v>
      </c>
      <c r="J106" s="67">
        <f t="shared" si="0"/>
        <v>0.1</v>
      </c>
      <c r="K106" s="67">
        <f t="shared" si="0"/>
        <v>139.24</v>
      </c>
      <c r="L106" s="67">
        <f t="shared" si="0"/>
        <v>27.64</v>
      </c>
      <c r="M106" s="67">
        <f t="shared" si="0"/>
        <v>26.24</v>
      </c>
      <c r="N106" s="67">
        <f t="shared" si="0"/>
        <v>27.5</v>
      </c>
      <c r="O106" s="67">
        <f t="shared" si="0"/>
        <v>0</v>
      </c>
      <c r="P106" s="67">
        <f t="shared" si="0"/>
        <v>0.18</v>
      </c>
      <c r="Q106" s="67">
        <f t="shared" si="0"/>
        <v>9.44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84.57</v>
      </c>
      <c r="C107" s="66">
        <f t="shared" ref="C107:Q107" si="1">MAX(C9:C104)</f>
        <v>117.38</v>
      </c>
      <c r="D107" s="66">
        <f t="shared" si="1"/>
        <v>95.71</v>
      </c>
      <c r="E107" s="66">
        <f t="shared" si="1"/>
        <v>9.67</v>
      </c>
      <c r="F107" s="66">
        <f t="shared" si="1"/>
        <v>24.44</v>
      </c>
      <c r="G107" s="66">
        <f t="shared" si="1"/>
        <v>48.27</v>
      </c>
      <c r="H107" s="66">
        <f t="shared" si="1"/>
        <v>19.09</v>
      </c>
      <c r="I107" s="66">
        <f t="shared" si="1"/>
        <v>4.26</v>
      </c>
      <c r="J107" s="66">
        <f t="shared" si="1"/>
        <v>1.94</v>
      </c>
      <c r="K107" s="66">
        <f t="shared" si="1"/>
        <v>292.19</v>
      </c>
      <c r="L107" s="66">
        <f t="shared" si="1"/>
        <v>41.05</v>
      </c>
      <c r="M107" s="66">
        <f t="shared" si="1"/>
        <v>70.77</v>
      </c>
      <c r="N107" s="66">
        <f t="shared" si="1"/>
        <v>1069.3</v>
      </c>
      <c r="O107" s="66">
        <f t="shared" si="1"/>
        <v>0</v>
      </c>
      <c r="P107" s="66">
        <f t="shared" si="1"/>
        <v>1.37</v>
      </c>
      <c r="Q107" s="66">
        <f t="shared" si="1"/>
        <v>9.67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15.12781249999999</v>
      </c>
      <c r="C108" s="67">
        <f t="shared" ref="C108:Q108" si="2">AVERAGE(C9:C104)</f>
        <v>35.80802083333333</v>
      </c>
      <c r="D108" s="67">
        <f t="shared" si="2"/>
        <v>42.265416666666688</v>
      </c>
      <c r="E108" s="67">
        <f t="shared" si="2"/>
        <v>5.8462500000000004</v>
      </c>
      <c r="F108" s="67">
        <f t="shared" si="2"/>
        <v>12.238125000000005</v>
      </c>
      <c r="G108" s="67">
        <f t="shared" si="2"/>
        <v>34.990624999999994</v>
      </c>
      <c r="H108" s="67">
        <f t="shared" si="2"/>
        <v>9.2720833333333328</v>
      </c>
      <c r="I108" s="67">
        <f t="shared" si="2"/>
        <v>3.9988541666666677</v>
      </c>
      <c r="J108" s="67">
        <f t="shared" si="2"/>
        <v>0.61583333333333312</v>
      </c>
      <c r="K108" s="67">
        <f t="shared" si="2"/>
        <v>206.13031249999995</v>
      </c>
      <c r="L108" s="67">
        <f t="shared" si="2"/>
        <v>34.640624999999993</v>
      </c>
      <c r="M108" s="67">
        <f t="shared" si="2"/>
        <v>42.678333333333335</v>
      </c>
      <c r="N108" s="67">
        <f t="shared" si="2"/>
        <v>320.79270833333334</v>
      </c>
      <c r="O108" s="67">
        <f t="shared" si="2"/>
        <v>0</v>
      </c>
      <c r="P108" s="67">
        <f t="shared" si="2"/>
        <v>0.46333333333333315</v>
      </c>
      <c r="Q108" s="67">
        <f t="shared" si="2"/>
        <v>9.5556250000000009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10.249821071929953</v>
      </c>
      <c r="C109" s="67">
        <f t="shared" ref="C109:Q109" si="3">STDEV(C9:C104)</f>
        <v>13.993667411390577</v>
      </c>
      <c r="D109" s="67">
        <f t="shared" si="3"/>
        <v>15.69976224537819</v>
      </c>
      <c r="E109" s="67">
        <f t="shared" si="3"/>
        <v>1.2525462487521868</v>
      </c>
      <c r="F109" s="67">
        <f t="shared" si="3"/>
        <v>4.8552433539747195</v>
      </c>
      <c r="G109" s="67">
        <f t="shared" si="3"/>
        <v>5.9348834622531728</v>
      </c>
      <c r="H109" s="67">
        <f t="shared" si="3"/>
        <v>4.2363944244248799</v>
      </c>
      <c r="I109" s="67">
        <f t="shared" si="3"/>
        <v>9.9428575704707062E-2</v>
      </c>
      <c r="J109" s="67">
        <f t="shared" si="3"/>
        <v>0.3363728090477392</v>
      </c>
      <c r="K109" s="67">
        <f t="shared" si="3"/>
        <v>40.259162656420116</v>
      </c>
      <c r="L109" s="67">
        <f t="shared" si="3"/>
        <v>4.4058293472219816</v>
      </c>
      <c r="M109" s="67">
        <f t="shared" si="3"/>
        <v>14.150229060200404</v>
      </c>
      <c r="N109" s="67">
        <f t="shared" si="3"/>
        <v>351.08539979080854</v>
      </c>
      <c r="O109" s="67">
        <f t="shared" si="3"/>
        <v>0</v>
      </c>
      <c r="P109" s="67">
        <f t="shared" si="3"/>
        <v>0.1929421329483707</v>
      </c>
      <c r="Q109" s="67">
        <f t="shared" si="3"/>
        <v>6.3508184304735302E-2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918</v>
      </c>
      <c r="B9" s="64">
        <v>13.74</v>
      </c>
      <c r="C9" s="64">
        <v>30</v>
      </c>
      <c r="D9" s="64">
        <v>33.29</v>
      </c>
      <c r="E9" s="64">
        <v>6.6</v>
      </c>
      <c r="F9" s="64">
        <v>9.17</v>
      </c>
      <c r="G9" s="64">
        <v>39.67</v>
      </c>
      <c r="H9" s="64">
        <v>12.53</v>
      </c>
      <c r="I9" s="64">
        <v>4.07</v>
      </c>
      <c r="J9" s="64">
        <v>1.03</v>
      </c>
      <c r="K9" s="64">
        <v>158.16</v>
      </c>
      <c r="L9" s="64">
        <v>32.17</v>
      </c>
      <c r="M9" s="64">
        <v>42.77</v>
      </c>
      <c r="N9" s="64">
        <v>28.1</v>
      </c>
      <c r="O9" s="64">
        <v>0</v>
      </c>
      <c r="P9" s="64">
        <v>0.48</v>
      </c>
      <c r="Q9" s="64">
        <v>9.5500000000000007</v>
      </c>
      <c r="R9" s="198"/>
      <c r="S9" s="198"/>
      <c r="T9" s="198"/>
      <c r="U9" s="198"/>
    </row>
    <row r="10" spans="1:21" s="12" customFormat="1" x14ac:dyDescent="0.25">
      <c r="A10" s="214" t="s">
        <v>919</v>
      </c>
      <c r="B10" s="64">
        <v>13.46</v>
      </c>
      <c r="C10" s="64">
        <v>29.93</v>
      </c>
      <c r="D10" s="64">
        <v>33.56</v>
      </c>
      <c r="E10" s="64">
        <v>6.72</v>
      </c>
      <c r="F10" s="64">
        <v>9.73</v>
      </c>
      <c r="G10" s="64">
        <v>39.67</v>
      </c>
      <c r="H10" s="64">
        <v>12.53</v>
      </c>
      <c r="I10" s="64">
        <v>4</v>
      </c>
      <c r="J10" s="64">
        <v>1.21</v>
      </c>
      <c r="K10" s="64">
        <v>157.01</v>
      </c>
      <c r="L10" s="64">
        <v>31.91</v>
      </c>
      <c r="M10" s="64">
        <v>44.08</v>
      </c>
      <c r="N10" s="64">
        <v>28.4</v>
      </c>
      <c r="O10" s="64">
        <v>0</v>
      </c>
      <c r="P10" s="64">
        <v>0.43</v>
      </c>
      <c r="Q10" s="64">
        <v>9.56</v>
      </c>
      <c r="R10" s="198"/>
      <c r="S10" s="198"/>
      <c r="T10" s="198"/>
      <c r="U10" s="198"/>
    </row>
    <row r="11" spans="1:21" s="12" customFormat="1" x14ac:dyDescent="0.25">
      <c r="A11" s="214" t="s">
        <v>920</v>
      </c>
      <c r="B11" s="64">
        <v>11.49</v>
      </c>
      <c r="C11" s="64">
        <v>26.9</v>
      </c>
      <c r="D11" s="64">
        <v>30.81</v>
      </c>
      <c r="E11" s="64">
        <v>6.33</v>
      </c>
      <c r="F11" s="64">
        <v>11.93</v>
      </c>
      <c r="G11" s="64">
        <v>39.67</v>
      </c>
      <c r="H11" s="64">
        <v>12.53</v>
      </c>
      <c r="I11" s="64">
        <v>3.98</v>
      </c>
      <c r="J11" s="64">
        <v>0.89</v>
      </c>
      <c r="K11" s="64">
        <v>166.29</v>
      </c>
      <c r="L11" s="64">
        <v>31.59</v>
      </c>
      <c r="M11" s="64">
        <v>46.15</v>
      </c>
      <c r="N11" s="64">
        <v>28.5</v>
      </c>
      <c r="O11" s="64">
        <v>0</v>
      </c>
      <c r="P11" s="64">
        <v>0.38</v>
      </c>
      <c r="Q11" s="64">
        <v>9.5500000000000007</v>
      </c>
      <c r="R11" s="198"/>
      <c r="S11" s="198"/>
      <c r="T11" s="198"/>
      <c r="U11" s="198"/>
    </row>
    <row r="12" spans="1:21" s="12" customFormat="1" x14ac:dyDescent="0.25">
      <c r="A12" s="214" t="s">
        <v>921</v>
      </c>
      <c r="B12" s="64">
        <v>11.34</v>
      </c>
      <c r="C12" s="64">
        <v>25.62</v>
      </c>
      <c r="D12" s="64">
        <v>28.58</v>
      </c>
      <c r="E12" s="64">
        <v>6.7</v>
      </c>
      <c r="F12" s="64">
        <v>13.55</v>
      </c>
      <c r="G12" s="64">
        <v>39.67</v>
      </c>
      <c r="H12" s="64">
        <v>12.53</v>
      </c>
      <c r="I12" s="64">
        <v>3.94</v>
      </c>
      <c r="J12" s="64">
        <v>1.01</v>
      </c>
      <c r="K12" s="64">
        <v>158.86000000000001</v>
      </c>
      <c r="L12" s="64">
        <v>31.3</v>
      </c>
      <c r="M12" s="64">
        <v>47.19</v>
      </c>
      <c r="N12" s="64">
        <v>28.3</v>
      </c>
      <c r="O12" s="64">
        <v>0</v>
      </c>
      <c r="P12" s="64">
        <v>0.33</v>
      </c>
      <c r="Q12" s="64">
        <v>9.5500000000000007</v>
      </c>
      <c r="R12" s="198"/>
      <c r="S12" s="198"/>
      <c r="T12" s="198"/>
      <c r="U12" s="198"/>
    </row>
    <row r="13" spans="1:21" s="12" customFormat="1" x14ac:dyDescent="0.25">
      <c r="A13" s="214" t="s">
        <v>922</v>
      </c>
      <c r="B13" s="64">
        <v>11.36</v>
      </c>
      <c r="C13" s="64">
        <v>25.72</v>
      </c>
      <c r="D13" s="64">
        <v>28.75</v>
      </c>
      <c r="E13" s="64">
        <v>6.29</v>
      </c>
      <c r="F13" s="64">
        <v>11.49</v>
      </c>
      <c r="G13" s="64">
        <v>37.590000000000003</v>
      </c>
      <c r="H13" s="64">
        <v>10.59</v>
      </c>
      <c r="I13" s="64">
        <v>4.0999999999999996</v>
      </c>
      <c r="J13" s="64">
        <v>0.83</v>
      </c>
      <c r="K13" s="64">
        <v>158.03</v>
      </c>
      <c r="L13" s="64">
        <v>30.94</v>
      </c>
      <c r="M13" s="64">
        <v>48.02</v>
      </c>
      <c r="N13" s="64">
        <v>28.5</v>
      </c>
      <c r="O13" s="64">
        <v>0</v>
      </c>
      <c r="P13" s="64">
        <v>0.23</v>
      </c>
      <c r="Q13" s="64">
        <v>9.5500000000000007</v>
      </c>
      <c r="R13" s="198"/>
      <c r="S13" s="198"/>
      <c r="T13" s="198"/>
      <c r="U13" s="198"/>
    </row>
    <row r="14" spans="1:21" s="12" customFormat="1" x14ac:dyDescent="0.25">
      <c r="A14" s="214" t="s">
        <v>923</v>
      </c>
      <c r="B14" s="64">
        <v>10.76</v>
      </c>
      <c r="C14" s="64">
        <v>25.56</v>
      </c>
      <c r="D14" s="64">
        <v>29.37</v>
      </c>
      <c r="E14" s="64">
        <v>6.66</v>
      </c>
      <c r="F14" s="64">
        <v>10.76</v>
      </c>
      <c r="G14" s="64">
        <v>37.590000000000003</v>
      </c>
      <c r="H14" s="64">
        <v>10.59</v>
      </c>
      <c r="I14" s="64">
        <v>4.07</v>
      </c>
      <c r="J14" s="64">
        <v>0.98</v>
      </c>
      <c r="K14" s="64">
        <v>156.16</v>
      </c>
      <c r="L14" s="64">
        <v>30.61</v>
      </c>
      <c r="M14" s="64">
        <v>49.55</v>
      </c>
      <c r="N14" s="64">
        <v>28.3</v>
      </c>
      <c r="O14" s="64">
        <v>0</v>
      </c>
      <c r="P14" s="64">
        <v>0.28000000000000003</v>
      </c>
      <c r="Q14" s="64">
        <v>9.5500000000000007</v>
      </c>
      <c r="R14" s="198"/>
      <c r="S14" s="198"/>
      <c r="T14" s="198"/>
      <c r="U14" s="198"/>
    </row>
    <row r="15" spans="1:21" s="12" customFormat="1" x14ac:dyDescent="0.25">
      <c r="A15" s="214" t="s">
        <v>924</v>
      </c>
      <c r="B15" s="64">
        <v>11.24</v>
      </c>
      <c r="C15" s="64">
        <v>26.68</v>
      </c>
      <c r="D15" s="64">
        <v>30.76</v>
      </c>
      <c r="E15" s="64">
        <v>6.96</v>
      </c>
      <c r="F15" s="64">
        <v>10.57</v>
      </c>
      <c r="G15" s="64">
        <v>37.590000000000003</v>
      </c>
      <c r="H15" s="64">
        <v>10.59</v>
      </c>
      <c r="I15" s="64">
        <v>4</v>
      </c>
      <c r="J15" s="64">
        <v>0.38</v>
      </c>
      <c r="K15" s="64">
        <v>202.32</v>
      </c>
      <c r="L15" s="64">
        <v>30.42</v>
      </c>
      <c r="M15" s="64">
        <v>50.47</v>
      </c>
      <c r="N15" s="64">
        <v>28.7</v>
      </c>
      <c r="O15" s="64">
        <v>0</v>
      </c>
      <c r="P15" s="64">
        <v>0.27</v>
      </c>
      <c r="Q15" s="64">
        <v>9.56</v>
      </c>
      <c r="R15" s="198"/>
      <c r="S15" s="198"/>
      <c r="T15" s="198"/>
      <c r="U15" s="198"/>
    </row>
    <row r="16" spans="1:21" s="12" customFormat="1" x14ac:dyDescent="0.25">
      <c r="A16" s="214" t="s">
        <v>925</v>
      </c>
      <c r="B16" s="64">
        <v>8.68</v>
      </c>
      <c r="C16" s="64">
        <v>22.74</v>
      </c>
      <c r="D16" s="64">
        <v>27.15</v>
      </c>
      <c r="E16" s="64">
        <v>7.1</v>
      </c>
      <c r="F16" s="64">
        <v>13.56</v>
      </c>
      <c r="G16" s="64">
        <v>37.590000000000003</v>
      </c>
      <c r="H16" s="64">
        <v>10.59</v>
      </c>
      <c r="I16" s="64">
        <v>3.98</v>
      </c>
      <c r="J16" s="64">
        <v>0.34</v>
      </c>
      <c r="K16" s="64">
        <v>226.08</v>
      </c>
      <c r="L16" s="64">
        <v>30.29</v>
      </c>
      <c r="M16" s="64">
        <v>51.89</v>
      </c>
      <c r="N16" s="64">
        <v>28.6</v>
      </c>
      <c r="O16" s="64">
        <v>0</v>
      </c>
      <c r="P16" s="64">
        <v>0.21</v>
      </c>
      <c r="Q16" s="64">
        <v>9.56</v>
      </c>
      <c r="R16" s="198"/>
      <c r="S16" s="198"/>
      <c r="T16" s="198"/>
      <c r="U16" s="198"/>
    </row>
    <row r="17" spans="1:21" s="12" customFormat="1" x14ac:dyDescent="0.25">
      <c r="A17" s="214" t="s">
        <v>926</v>
      </c>
      <c r="B17" s="64">
        <v>8.33</v>
      </c>
      <c r="C17" s="64">
        <v>22.08</v>
      </c>
      <c r="D17" s="64">
        <v>26.43</v>
      </c>
      <c r="E17" s="64">
        <v>6.95</v>
      </c>
      <c r="F17" s="64">
        <v>14.75</v>
      </c>
      <c r="G17" s="64">
        <v>32.06</v>
      </c>
      <c r="H17" s="64">
        <v>11.32</v>
      </c>
      <c r="I17" s="64">
        <v>4.0999999999999996</v>
      </c>
      <c r="J17" s="64">
        <v>0.31</v>
      </c>
      <c r="K17" s="64">
        <v>227.47</v>
      </c>
      <c r="L17" s="64">
        <v>30.13</v>
      </c>
      <c r="M17" s="64">
        <v>52.71</v>
      </c>
      <c r="N17" s="64">
        <v>28.5</v>
      </c>
      <c r="O17" s="64">
        <v>0</v>
      </c>
      <c r="P17" s="64">
        <v>0.17</v>
      </c>
      <c r="Q17" s="64">
        <v>9.5500000000000007</v>
      </c>
      <c r="R17" s="198"/>
      <c r="S17" s="198"/>
      <c r="T17" s="198"/>
      <c r="U17" s="198"/>
    </row>
    <row r="18" spans="1:21" s="12" customFormat="1" x14ac:dyDescent="0.25">
      <c r="A18" s="214" t="s">
        <v>927</v>
      </c>
      <c r="B18" s="64">
        <v>9.33</v>
      </c>
      <c r="C18" s="64">
        <v>23.66</v>
      </c>
      <c r="D18" s="64">
        <v>27.9</v>
      </c>
      <c r="E18" s="64">
        <v>6.7</v>
      </c>
      <c r="F18" s="64">
        <v>12.05</v>
      </c>
      <c r="G18" s="64">
        <v>32.06</v>
      </c>
      <c r="H18" s="64">
        <v>11.32</v>
      </c>
      <c r="I18" s="64">
        <v>4.04</v>
      </c>
      <c r="J18" s="64">
        <v>0.37</v>
      </c>
      <c r="K18" s="64">
        <v>213</v>
      </c>
      <c r="L18" s="64">
        <v>29.83</v>
      </c>
      <c r="M18" s="64">
        <v>53.68</v>
      </c>
      <c r="N18" s="64">
        <v>28.3</v>
      </c>
      <c r="O18" s="64">
        <v>0</v>
      </c>
      <c r="P18" s="64">
        <v>0.23</v>
      </c>
      <c r="Q18" s="64">
        <v>9.5500000000000007</v>
      </c>
      <c r="R18" s="198"/>
      <c r="S18" s="198"/>
      <c r="T18" s="198"/>
      <c r="U18" s="198"/>
    </row>
    <row r="19" spans="1:21" s="12" customFormat="1" x14ac:dyDescent="0.25">
      <c r="A19" s="214" t="s">
        <v>928</v>
      </c>
      <c r="B19" s="64">
        <v>9.64</v>
      </c>
      <c r="C19" s="64">
        <v>25.88</v>
      </c>
      <c r="D19" s="64">
        <v>31.69</v>
      </c>
      <c r="E19" s="64">
        <v>6.7</v>
      </c>
      <c r="F19" s="64">
        <v>11.28</v>
      </c>
      <c r="G19" s="64">
        <v>32.06</v>
      </c>
      <c r="H19" s="64">
        <v>11.32</v>
      </c>
      <c r="I19" s="64">
        <v>4.08</v>
      </c>
      <c r="J19" s="64">
        <v>0.44</v>
      </c>
      <c r="K19" s="64">
        <v>182.18</v>
      </c>
      <c r="L19" s="64">
        <v>29.61</v>
      </c>
      <c r="M19" s="64">
        <v>54.31</v>
      </c>
      <c r="N19" s="64">
        <v>28.4</v>
      </c>
      <c r="O19" s="64">
        <v>0</v>
      </c>
      <c r="P19" s="64">
        <v>0.22</v>
      </c>
      <c r="Q19" s="64">
        <v>9.5500000000000007</v>
      </c>
      <c r="R19" s="198"/>
      <c r="S19" s="198"/>
      <c r="T19" s="198"/>
      <c r="U19" s="198"/>
    </row>
    <row r="20" spans="1:21" s="12" customFormat="1" x14ac:dyDescent="0.25">
      <c r="A20" s="214" t="s">
        <v>929</v>
      </c>
      <c r="B20" s="64">
        <v>8.52</v>
      </c>
      <c r="C20" s="64">
        <v>21.62</v>
      </c>
      <c r="D20" s="64">
        <v>25.25</v>
      </c>
      <c r="E20" s="64">
        <v>6.61</v>
      </c>
      <c r="F20" s="64">
        <v>12.01</v>
      </c>
      <c r="G20" s="64">
        <v>32.06</v>
      </c>
      <c r="H20" s="64">
        <v>11.32</v>
      </c>
      <c r="I20" s="64">
        <v>3.94</v>
      </c>
      <c r="J20" s="64">
        <v>0.34</v>
      </c>
      <c r="K20" s="64">
        <v>239.99</v>
      </c>
      <c r="L20" s="64">
        <v>29.47</v>
      </c>
      <c r="M20" s="64">
        <v>56.03</v>
      </c>
      <c r="N20" s="64">
        <v>28.7</v>
      </c>
      <c r="O20" s="64">
        <v>0</v>
      </c>
      <c r="P20" s="64">
        <v>0.21</v>
      </c>
      <c r="Q20" s="64">
        <v>9.56</v>
      </c>
      <c r="R20" s="198"/>
      <c r="S20" s="198"/>
      <c r="T20" s="198"/>
      <c r="U20" s="198"/>
    </row>
    <row r="21" spans="1:21" s="12" customFormat="1" x14ac:dyDescent="0.25">
      <c r="A21" s="214" t="s">
        <v>930</v>
      </c>
      <c r="B21" s="64">
        <v>8.0500000000000007</v>
      </c>
      <c r="C21" s="64">
        <v>20.9</v>
      </c>
      <c r="D21" s="64">
        <v>24.59</v>
      </c>
      <c r="E21" s="64">
        <v>6.38</v>
      </c>
      <c r="F21" s="64">
        <v>13.75</v>
      </c>
      <c r="G21" s="64">
        <v>31.78</v>
      </c>
      <c r="H21" s="64">
        <v>9.44</v>
      </c>
      <c r="I21" s="64">
        <v>4.1500000000000004</v>
      </c>
      <c r="J21" s="64">
        <v>0.28999999999999998</v>
      </c>
      <c r="K21" s="64">
        <v>227.12</v>
      </c>
      <c r="L21" s="64">
        <v>29.42</v>
      </c>
      <c r="M21" s="64">
        <v>56.86</v>
      </c>
      <c r="N21" s="64">
        <v>28.4</v>
      </c>
      <c r="O21" s="64">
        <v>0</v>
      </c>
      <c r="P21" s="64">
        <v>0.18</v>
      </c>
      <c r="Q21" s="64">
        <v>9.5399999999999991</v>
      </c>
      <c r="R21" s="198"/>
      <c r="S21" s="198"/>
      <c r="T21" s="198"/>
      <c r="U21" s="198"/>
    </row>
    <row r="22" spans="1:21" s="12" customFormat="1" x14ac:dyDescent="0.25">
      <c r="A22" s="214" t="s">
        <v>931</v>
      </c>
      <c r="B22" s="64">
        <v>7.89</v>
      </c>
      <c r="C22" s="64">
        <v>20.62</v>
      </c>
      <c r="D22" s="64">
        <v>24.31</v>
      </c>
      <c r="E22" s="64">
        <v>6.37</v>
      </c>
      <c r="F22" s="64">
        <v>12.01</v>
      </c>
      <c r="G22" s="64">
        <v>31.78</v>
      </c>
      <c r="H22" s="64">
        <v>9.44</v>
      </c>
      <c r="I22" s="64">
        <v>3.92</v>
      </c>
      <c r="J22" s="64">
        <v>0.19</v>
      </c>
      <c r="K22" s="64">
        <v>197.9</v>
      </c>
      <c r="L22" s="64">
        <v>28.93</v>
      </c>
      <c r="M22" s="64">
        <v>59.07</v>
      </c>
      <c r="N22" s="64">
        <v>28.7</v>
      </c>
      <c r="O22" s="64">
        <v>0</v>
      </c>
      <c r="P22" s="64">
        <v>0.2</v>
      </c>
      <c r="Q22" s="64">
        <v>9.56</v>
      </c>
      <c r="R22" s="198"/>
      <c r="S22" s="198"/>
      <c r="T22" s="198"/>
      <c r="U22" s="198"/>
    </row>
    <row r="23" spans="1:21" s="12" customFormat="1" x14ac:dyDescent="0.25">
      <c r="A23" s="214" t="s">
        <v>932</v>
      </c>
      <c r="B23" s="64">
        <v>7.61</v>
      </c>
      <c r="C23" s="64">
        <v>20.61</v>
      </c>
      <c r="D23" s="64">
        <v>24.71</v>
      </c>
      <c r="E23" s="64">
        <v>6.87</v>
      </c>
      <c r="F23" s="64">
        <v>11.1</v>
      </c>
      <c r="G23" s="64">
        <v>31.78</v>
      </c>
      <c r="H23" s="64">
        <v>9.44</v>
      </c>
      <c r="I23" s="64">
        <v>3.93</v>
      </c>
      <c r="J23" s="64">
        <v>0.18</v>
      </c>
      <c r="K23" s="64">
        <v>241.82</v>
      </c>
      <c r="L23" s="64">
        <v>28.8</v>
      </c>
      <c r="M23" s="64">
        <v>59.02</v>
      </c>
      <c r="N23" s="64">
        <v>28.6</v>
      </c>
      <c r="O23" s="64">
        <v>0</v>
      </c>
      <c r="P23" s="64">
        <v>0.21</v>
      </c>
      <c r="Q23" s="64">
        <v>9.57</v>
      </c>
      <c r="R23" s="198"/>
      <c r="S23" s="198"/>
      <c r="T23" s="198"/>
      <c r="U23" s="198"/>
    </row>
    <row r="24" spans="1:21" s="12" customFormat="1" x14ac:dyDescent="0.25">
      <c r="A24" s="214" t="s">
        <v>933</v>
      </c>
      <c r="B24" s="64">
        <v>7.67</v>
      </c>
      <c r="C24" s="64">
        <v>21.48</v>
      </c>
      <c r="D24" s="64">
        <v>26.29</v>
      </c>
      <c r="E24" s="64">
        <v>6.53</v>
      </c>
      <c r="F24" s="64">
        <v>11.65</v>
      </c>
      <c r="G24" s="64">
        <v>31.78</v>
      </c>
      <c r="H24" s="64">
        <v>9.44</v>
      </c>
      <c r="I24" s="64">
        <v>4.08</v>
      </c>
      <c r="J24" s="64">
        <v>0.56999999999999995</v>
      </c>
      <c r="K24" s="64">
        <v>164.82</v>
      </c>
      <c r="L24" s="64">
        <v>28.89</v>
      </c>
      <c r="M24" s="64">
        <v>59.46</v>
      </c>
      <c r="N24" s="64">
        <v>28.1</v>
      </c>
      <c r="O24" s="64">
        <v>0</v>
      </c>
      <c r="P24" s="64">
        <v>0.2</v>
      </c>
      <c r="Q24" s="64">
        <v>9.56</v>
      </c>
      <c r="R24" s="198"/>
      <c r="S24" s="198"/>
      <c r="T24" s="198"/>
      <c r="U24" s="198"/>
    </row>
    <row r="25" spans="1:21" s="12" customFormat="1" x14ac:dyDescent="0.25">
      <c r="A25" s="214" t="s">
        <v>934</v>
      </c>
      <c r="B25" s="64">
        <v>9.34</v>
      </c>
      <c r="C25" s="64">
        <v>24.42</v>
      </c>
      <c r="D25" s="64">
        <v>29.35</v>
      </c>
      <c r="E25" s="64">
        <v>6.26</v>
      </c>
      <c r="F25" s="64">
        <v>9.69</v>
      </c>
      <c r="G25" s="64">
        <v>30.15</v>
      </c>
      <c r="H25" s="64">
        <v>7.71</v>
      </c>
      <c r="I25" s="64">
        <v>4</v>
      </c>
      <c r="J25" s="64">
        <v>0.81</v>
      </c>
      <c r="K25" s="64">
        <v>161.41</v>
      </c>
      <c r="L25" s="64">
        <v>29.1</v>
      </c>
      <c r="M25" s="64">
        <v>59.5</v>
      </c>
      <c r="N25" s="64">
        <v>28</v>
      </c>
      <c r="O25" s="64">
        <v>0</v>
      </c>
      <c r="P25" s="64">
        <v>0.25</v>
      </c>
      <c r="Q25" s="64">
        <v>9.56</v>
      </c>
      <c r="R25" s="198"/>
      <c r="S25" s="198"/>
      <c r="T25" s="198"/>
      <c r="U25" s="198"/>
    </row>
    <row r="26" spans="1:21" s="12" customFormat="1" x14ac:dyDescent="0.25">
      <c r="A26" s="214" t="s">
        <v>935</v>
      </c>
      <c r="B26" s="64">
        <v>10.07</v>
      </c>
      <c r="C26" s="64">
        <v>25.68</v>
      </c>
      <c r="D26" s="64">
        <v>30.64</v>
      </c>
      <c r="E26" s="64">
        <v>6.31</v>
      </c>
      <c r="F26" s="64">
        <v>10.17</v>
      </c>
      <c r="G26" s="64">
        <v>30.15</v>
      </c>
      <c r="H26" s="64">
        <v>7.71</v>
      </c>
      <c r="I26" s="64">
        <v>4.0999999999999996</v>
      </c>
      <c r="J26" s="64">
        <v>0.44</v>
      </c>
      <c r="K26" s="64">
        <v>177.81</v>
      </c>
      <c r="L26" s="64">
        <v>28.7</v>
      </c>
      <c r="M26" s="64">
        <v>60.93</v>
      </c>
      <c r="N26" s="64">
        <v>28.5</v>
      </c>
      <c r="O26" s="64">
        <v>0</v>
      </c>
      <c r="P26" s="64">
        <v>0.23</v>
      </c>
      <c r="Q26" s="64">
        <v>9.57</v>
      </c>
      <c r="R26" s="198"/>
      <c r="S26" s="198"/>
      <c r="T26" s="198"/>
      <c r="U26" s="198"/>
    </row>
    <row r="27" spans="1:21" s="12" customFormat="1" x14ac:dyDescent="0.25">
      <c r="A27" s="214" t="s">
        <v>936</v>
      </c>
      <c r="B27" s="64">
        <v>10.29</v>
      </c>
      <c r="C27" s="64">
        <v>28.87</v>
      </c>
      <c r="D27" s="64">
        <v>36.409999999999997</v>
      </c>
      <c r="E27" s="64">
        <v>6.38</v>
      </c>
      <c r="F27" s="64">
        <v>9.7200000000000006</v>
      </c>
      <c r="G27" s="64">
        <v>30.15</v>
      </c>
      <c r="H27" s="64">
        <v>7.71</v>
      </c>
      <c r="I27" s="64">
        <v>4.05</v>
      </c>
      <c r="J27" s="64">
        <v>0.33</v>
      </c>
      <c r="K27" s="64">
        <v>205.17</v>
      </c>
      <c r="L27" s="64">
        <v>28.58</v>
      </c>
      <c r="M27" s="64">
        <v>61.57</v>
      </c>
      <c r="N27" s="64">
        <v>28.6</v>
      </c>
      <c r="O27" s="64">
        <v>0</v>
      </c>
      <c r="P27" s="64">
        <v>0.26</v>
      </c>
      <c r="Q27" s="64">
        <v>9.56</v>
      </c>
      <c r="R27" s="198"/>
      <c r="S27" s="198"/>
      <c r="T27" s="198"/>
      <c r="U27" s="198"/>
    </row>
    <row r="28" spans="1:21" s="12" customFormat="1" x14ac:dyDescent="0.25">
      <c r="A28" s="214" t="s">
        <v>937</v>
      </c>
      <c r="B28" s="64">
        <v>9.1199999999999992</v>
      </c>
      <c r="C28" s="64">
        <v>25.38</v>
      </c>
      <c r="D28" s="64">
        <v>31.52</v>
      </c>
      <c r="E28" s="64">
        <v>6.76</v>
      </c>
      <c r="F28" s="64">
        <v>9.36</v>
      </c>
      <c r="G28" s="64">
        <v>30.15</v>
      </c>
      <c r="H28" s="64">
        <v>7.71</v>
      </c>
      <c r="I28" s="64">
        <v>4.05</v>
      </c>
      <c r="J28" s="64">
        <v>0.45</v>
      </c>
      <c r="K28" s="64">
        <v>203.08</v>
      </c>
      <c r="L28" s="64">
        <v>28.57</v>
      </c>
      <c r="M28" s="64">
        <v>61.88</v>
      </c>
      <c r="N28" s="64">
        <v>28.3</v>
      </c>
      <c r="O28" s="64">
        <v>0</v>
      </c>
      <c r="P28" s="64">
        <v>0.25</v>
      </c>
      <c r="Q28" s="64">
        <v>9.57</v>
      </c>
      <c r="R28" s="198"/>
      <c r="S28" s="198"/>
      <c r="T28" s="198"/>
      <c r="U28" s="198"/>
    </row>
    <row r="29" spans="1:21" s="12" customFormat="1" x14ac:dyDescent="0.25">
      <c r="A29" s="214" t="s">
        <v>938</v>
      </c>
      <c r="B29" s="64">
        <v>8.8800000000000008</v>
      </c>
      <c r="C29" s="64">
        <v>24.31</v>
      </c>
      <c r="D29" s="64">
        <v>29.84</v>
      </c>
      <c r="E29" s="64">
        <v>6.37</v>
      </c>
      <c r="F29" s="64">
        <v>9.9700000000000006</v>
      </c>
      <c r="G29" s="64">
        <v>28.38</v>
      </c>
      <c r="H29" s="64">
        <v>8.61</v>
      </c>
      <c r="I29" s="64">
        <v>4</v>
      </c>
      <c r="J29" s="64">
        <v>0.39</v>
      </c>
      <c r="K29" s="64">
        <v>214.17</v>
      </c>
      <c r="L29" s="64">
        <v>28.69</v>
      </c>
      <c r="M29" s="64">
        <v>61.85</v>
      </c>
      <c r="N29" s="64">
        <v>28.9</v>
      </c>
      <c r="O29" s="64">
        <v>0</v>
      </c>
      <c r="P29" s="64">
        <v>0.26</v>
      </c>
      <c r="Q29" s="64">
        <v>9.56</v>
      </c>
      <c r="R29" s="198"/>
      <c r="S29" s="198"/>
      <c r="T29" s="198"/>
      <c r="U29" s="198"/>
    </row>
    <row r="30" spans="1:21" s="12" customFormat="1" x14ac:dyDescent="0.25">
      <c r="A30" s="214" t="s">
        <v>939</v>
      </c>
      <c r="B30" s="64">
        <v>12.44</v>
      </c>
      <c r="C30" s="64">
        <v>32.049999999999997</v>
      </c>
      <c r="D30" s="64">
        <v>39.21</v>
      </c>
      <c r="E30" s="64">
        <v>6.81</v>
      </c>
      <c r="F30" s="64">
        <v>8.8699999999999992</v>
      </c>
      <c r="G30" s="64">
        <v>28.36</v>
      </c>
      <c r="H30" s="64">
        <v>8.61</v>
      </c>
      <c r="I30" s="64">
        <v>3.86</v>
      </c>
      <c r="J30" s="64">
        <v>0.28999999999999998</v>
      </c>
      <c r="K30" s="64">
        <v>179.94</v>
      </c>
      <c r="L30" s="64">
        <v>28.26</v>
      </c>
      <c r="M30" s="64">
        <v>64.400000000000006</v>
      </c>
      <c r="N30" s="64">
        <v>31.4</v>
      </c>
      <c r="O30" s="64">
        <v>0</v>
      </c>
      <c r="P30" s="64">
        <v>0.28000000000000003</v>
      </c>
      <c r="Q30" s="64">
        <v>9.56</v>
      </c>
      <c r="R30" s="198"/>
      <c r="S30" s="198"/>
      <c r="T30" s="198"/>
      <c r="U30" s="198"/>
    </row>
    <row r="31" spans="1:21" s="12" customFormat="1" x14ac:dyDescent="0.25">
      <c r="A31" s="214" t="s">
        <v>940</v>
      </c>
      <c r="B31" s="64">
        <v>10.68</v>
      </c>
      <c r="C31" s="64">
        <v>28.36</v>
      </c>
      <c r="D31" s="64">
        <v>34.83</v>
      </c>
      <c r="E31" s="64">
        <v>6.61</v>
      </c>
      <c r="F31" s="64">
        <v>8.2799999999999994</v>
      </c>
      <c r="G31" s="64">
        <v>28.36</v>
      </c>
      <c r="H31" s="64">
        <v>8.61</v>
      </c>
      <c r="I31" s="64">
        <v>4.12</v>
      </c>
      <c r="J31" s="64">
        <v>0.69</v>
      </c>
      <c r="K31" s="64">
        <v>166.9</v>
      </c>
      <c r="L31" s="64">
        <v>28.5</v>
      </c>
      <c r="M31" s="64">
        <v>63.98</v>
      </c>
      <c r="N31" s="64">
        <v>40.799999999999997</v>
      </c>
      <c r="O31" s="64">
        <v>0</v>
      </c>
      <c r="P31" s="64">
        <v>0.25</v>
      </c>
      <c r="Q31" s="64">
        <v>9.56</v>
      </c>
      <c r="R31" s="198"/>
      <c r="S31" s="198"/>
      <c r="T31" s="198"/>
      <c r="U31" s="198"/>
    </row>
    <row r="32" spans="1:21" s="12" customFormat="1" x14ac:dyDescent="0.25">
      <c r="A32" s="214" t="s">
        <v>941</v>
      </c>
      <c r="B32" s="64">
        <v>10.84</v>
      </c>
      <c r="C32" s="64">
        <v>27.54</v>
      </c>
      <c r="D32" s="64">
        <v>33.020000000000003</v>
      </c>
      <c r="E32" s="64">
        <v>6.58</v>
      </c>
      <c r="F32" s="64">
        <v>9.19</v>
      </c>
      <c r="G32" s="64">
        <v>28.36</v>
      </c>
      <c r="H32" s="64">
        <v>8.61</v>
      </c>
      <c r="I32" s="64">
        <v>4</v>
      </c>
      <c r="J32" s="64">
        <v>0.3</v>
      </c>
      <c r="K32" s="64">
        <v>212.53</v>
      </c>
      <c r="L32" s="64">
        <v>28.68</v>
      </c>
      <c r="M32" s="64">
        <v>63.73</v>
      </c>
      <c r="N32" s="64">
        <v>60.6</v>
      </c>
      <c r="O32" s="64">
        <v>0</v>
      </c>
      <c r="P32" s="64">
        <v>0.26</v>
      </c>
      <c r="Q32" s="64">
        <v>9.56</v>
      </c>
      <c r="R32" s="198"/>
      <c r="S32" s="198"/>
      <c r="T32" s="198"/>
      <c r="U32" s="198"/>
    </row>
    <row r="33" spans="1:21" s="12" customFormat="1" x14ac:dyDescent="0.25">
      <c r="A33" s="214" t="s">
        <v>942</v>
      </c>
      <c r="B33" s="64">
        <v>14.48</v>
      </c>
      <c r="C33" s="64">
        <v>31.43</v>
      </c>
      <c r="D33" s="64">
        <v>34.89</v>
      </c>
      <c r="E33" s="64">
        <v>6.4</v>
      </c>
      <c r="F33" s="64">
        <v>7.15</v>
      </c>
      <c r="G33" s="64">
        <v>29.1</v>
      </c>
      <c r="H33" s="64">
        <v>10.85</v>
      </c>
      <c r="I33" s="64">
        <v>3.92</v>
      </c>
      <c r="J33" s="64">
        <v>0.7</v>
      </c>
      <c r="K33" s="64">
        <v>160.26</v>
      </c>
      <c r="L33" s="64">
        <v>29.07</v>
      </c>
      <c r="M33" s="64">
        <v>62.69</v>
      </c>
      <c r="N33" s="64">
        <v>90.8</v>
      </c>
      <c r="O33" s="64">
        <v>0</v>
      </c>
      <c r="P33" s="64">
        <v>0.28000000000000003</v>
      </c>
      <c r="Q33" s="64">
        <v>9.57</v>
      </c>
      <c r="R33" s="198"/>
      <c r="S33" s="198"/>
      <c r="T33" s="198"/>
      <c r="U33" s="198"/>
    </row>
    <row r="34" spans="1:21" s="12" customFormat="1" x14ac:dyDescent="0.25">
      <c r="A34" s="214" t="s">
        <v>943</v>
      </c>
      <c r="B34" s="64">
        <v>14.05</v>
      </c>
      <c r="C34" s="64">
        <v>32.61</v>
      </c>
      <c r="D34" s="64">
        <v>37.799999999999997</v>
      </c>
      <c r="E34" s="64">
        <v>6.23</v>
      </c>
      <c r="F34" s="64">
        <v>7.74</v>
      </c>
      <c r="G34" s="64">
        <v>29.1</v>
      </c>
      <c r="H34" s="64">
        <v>10.87</v>
      </c>
      <c r="I34" s="64">
        <v>4.1100000000000003</v>
      </c>
      <c r="J34" s="64">
        <v>0.39</v>
      </c>
      <c r="K34" s="64">
        <v>208.88</v>
      </c>
      <c r="L34" s="64">
        <v>29.84</v>
      </c>
      <c r="M34" s="64">
        <v>59.98</v>
      </c>
      <c r="N34" s="64">
        <v>128.69999999999999</v>
      </c>
      <c r="O34" s="64">
        <v>0</v>
      </c>
      <c r="P34" s="64">
        <v>0.28000000000000003</v>
      </c>
      <c r="Q34" s="64">
        <v>9.57</v>
      </c>
      <c r="R34" s="198"/>
      <c r="S34" s="198"/>
      <c r="T34" s="198"/>
      <c r="U34" s="198"/>
    </row>
    <row r="35" spans="1:21" s="12" customFormat="1" x14ac:dyDescent="0.25">
      <c r="A35" s="214" t="s">
        <v>944</v>
      </c>
      <c r="B35" s="64">
        <v>13.08</v>
      </c>
      <c r="C35" s="64">
        <v>28.79</v>
      </c>
      <c r="D35" s="64">
        <v>31.97</v>
      </c>
      <c r="E35" s="64">
        <v>6.4</v>
      </c>
      <c r="F35" s="64">
        <v>8.86</v>
      </c>
      <c r="G35" s="64">
        <v>29.1</v>
      </c>
      <c r="H35" s="64">
        <v>10.87</v>
      </c>
      <c r="I35" s="64">
        <v>3.88</v>
      </c>
      <c r="J35" s="64">
        <v>0.83</v>
      </c>
      <c r="K35" s="64">
        <v>156.74</v>
      </c>
      <c r="L35" s="64">
        <v>30.34</v>
      </c>
      <c r="M35" s="64">
        <v>58.18</v>
      </c>
      <c r="N35" s="64">
        <v>175.9</v>
      </c>
      <c r="O35" s="64">
        <v>0</v>
      </c>
      <c r="P35" s="64">
        <v>0.27</v>
      </c>
      <c r="Q35" s="64">
        <v>9.57</v>
      </c>
      <c r="R35" s="198"/>
      <c r="S35" s="198"/>
      <c r="T35" s="198"/>
      <c r="U35" s="198"/>
    </row>
    <row r="36" spans="1:21" s="12" customFormat="1" x14ac:dyDescent="0.25">
      <c r="A36" s="214" t="s">
        <v>945</v>
      </c>
      <c r="B36" s="64">
        <v>12.96</v>
      </c>
      <c r="C36" s="64">
        <v>27.81</v>
      </c>
      <c r="D36" s="64">
        <v>30.29</v>
      </c>
      <c r="E36" s="64">
        <v>6.43</v>
      </c>
      <c r="F36" s="64">
        <v>8.52</v>
      </c>
      <c r="G36" s="64">
        <v>29.1</v>
      </c>
      <c r="H36" s="64">
        <v>10.87</v>
      </c>
      <c r="I36" s="64">
        <v>3.95</v>
      </c>
      <c r="J36" s="64">
        <v>0.71</v>
      </c>
      <c r="K36" s="64">
        <v>156.68</v>
      </c>
      <c r="L36" s="64">
        <v>30.94</v>
      </c>
      <c r="M36" s="64">
        <v>56.48</v>
      </c>
      <c r="N36" s="64">
        <v>227.1</v>
      </c>
      <c r="O36" s="64">
        <v>0</v>
      </c>
      <c r="P36" s="64">
        <v>0.26</v>
      </c>
      <c r="Q36" s="64">
        <v>9.57</v>
      </c>
      <c r="R36" s="198"/>
      <c r="S36" s="198"/>
      <c r="T36" s="198"/>
      <c r="U36" s="198"/>
    </row>
    <row r="37" spans="1:21" s="12" customFormat="1" x14ac:dyDescent="0.25">
      <c r="A37" s="214" t="s">
        <v>946</v>
      </c>
      <c r="B37" s="64">
        <v>11.87</v>
      </c>
      <c r="C37" s="64">
        <v>26.85</v>
      </c>
      <c r="D37" s="64">
        <v>30.13</v>
      </c>
      <c r="E37" s="64">
        <v>6.26</v>
      </c>
      <c r="F37" s="64">
        <v>9.07</v>
      </c>
      <c r="G37" s="64">
        <v>31</v>
      </c>
      <c r="H37" s="64">
        <v>10</v>
      </c>
      <c r="I37" s="64">
        <v>4.05</v>
      </c>
      <c r="J37" s="64">
        <v>1.1499999999999999</v>
      </c>
      <c r="K37" s="64">
        <v>152.49</v>
      </c>
      <c r="L37" s="64">
        <v>31.44</v>
      </c>
      <c r="M37" s="64">
        <v>55.75</v>
      </c>
      <c r="N37" s="64">
        <v>281.60000000000002</v>
      </c>
      <c r="O37" s="64">
        <v>0</v>
      </c>
      <c r="P37" s="64">
        <v>0.3</v>
      </c>
      <c r="Q37" s="64">
        <v>9.57</v>
      </c>
      <c r="R37" s="198"/>
      <c r="S37" s="198"/>
      <c r="T37" s="198"/>
      <c r="U37" s="198"/>
    </row>
    <row r="38" spans="1:21" s="12" customFormat="1" x14ac:dyDescent="0.25">
      <c r="A38" s="214" t="s">
        <v>947</v>
      </c>
      <c r="B38" s="64">
        <v>12.96</v>
      </c>
      <c r="C38" s="64">
        <v>29.42</v>
      </c>
      <c r="D38" s="64">
        <v>33.369999999999997</v>
      </c>
      <c r="E38" s="64">
        <v>6.29</v>
      </c>
      <c r="F38" s="64">
        <v>9.0299999999999994</v>
      </c>
      <c r="G38" s="64">
        <v>31</v>
      </c>
      <c r="H38" s="64">
        <v>9.99</v>
      </c>
      <c r="I38" s="64">
        <v>3.89</v>
      </c>
      <c r="J38" s="64">
        <v>0.49</v>
      </c>
      <c r="K38" s="64">
        <v>203.89</v>
      </c>
      <c r="L38" s="64">
        <v>32.229999999999997</v>
      </c>
      <c r="M38" s="64">
        <v>53.32</v>
      </c>
      <c r="N38" s="64">
        <v>333.6</v>
      </c>
      <c r="O38" s="64">
        <v>0</v>
      </c>
      <c r="P38" s="64">
        <v>0.33</v>
      </c>
      <c r="Q38" s="64">
        <v>9.57</v>
      </c>
      <c r="R38" s="198"/>
      <c r="S38" s="198"/>
      <c r="T38" s="198"/>
      <c r="U38" s="198"/>
    </row>
    <row r="39" spans="1:21" s="12" customFormat="1" x14ac:dyDescent="0.25">
      <c r="A39" s="214" t="s">
        <v>948</v>
      </c>
      <c r="B39" s="64">
        <v>11.85</v>
      </c>
      <c r="C39" s="64">
        <v>26.81</v>
      </c>
      <c r="D39" s="64">
        <v>30.08</v>
      </c>
      <c r="E39" s="64">
        <v>6.17</v>
      </c>
      <c r="F39" s="64">
        <v>9.16</v>
      </c>
      <c r="G39" s="64">
        <v>31</v>
      </c>
      <c r="H39" s="64">
        <v>9.99</v>
      </c>
      <c r="I39" s="64">
        <v>4.1500000000000004</v>
      </c>
      <c r="J39" s="64">
        <v>0.47</v>
      </c>
      <c r="K39" s="64">
        <v>236.8</v>
      </c>
      <c r="L39" s="64">
        <v>33.479999999999997</v>
      </c>
      <c r="M39" s="64">
        <v>49.91</v>
      </c>
      <c r="N39" s="64">
        <v>387</v>
      </c>
      <c r="O39" s="64">
        <v>0</v>
      </c>
      <c r="P39" s="64">
        <v>0.32</v>
      </c>
      <c r="Q39" s="64">
        <v>9.56</v>
      </c>
      <c r="R39" s="198"/>
      <c r="S39" s="198"/>
      <c r="T39" s="198"/>
      <c r="U39" s="198"/>
    </row>
    <row r="40" spans="1:21" s="12" customFormat="1" x14ac:dyDescent="0.25">
      <c r="A40" s="214" t="s">
        <v>949</v>
      </c>
      <c r="B40" s="64">
        <v>12.18</v>
      </c>
      <c r="C40" s="64">
        <v>29.75</v>
      </c>
      <c r="D40" s="64">
        <v>35.19</v>
      </c>
      <c r="E40" s="64">
        <v>5.4</v>
      </c>
      <c r="F40" s="64">
        <v>9.67</v>
      </c>
      <c r="G40" s="64">
        <v>31</v>
      </c>
      <c r="H40" s="64">
        <v>9.99</v>
      </c>
      <c r="I40" s="64">
        <v>3.98</v>
      </c>
      <c r="J40" s="64">
        <v>0.37</v>
      </c>
      <c r="K40" s="64">
        <v>196.82</v>
      </c>
      <c r="L40" s="64">
        <v>34.229999999999997</v>
      </c>
      <c r="M40" s="64">
        <v>48.64</v>
      </c>
      <c r="N40" s="64">
        <v>439.7</v>
      </c>
      <c r="O40" s="64">
        <v>0</v>
      </c>
      <c r="P40" s="64">
        <v>0.35</v>
      </c>
      <c r="Q40" s="64">
        <v>9.57</v>
      </c>
      <c r="R40" s="198"/>
      <c r="S40" s="198"/>
      <c r="T40" s="198"/>
      <c r="U40" s="198"/>
    </row>
    <row r="41" spans="1:21" s="12" customFormat="1" x14ac:dyDescent="0.25">
      <c r="A41" s="214" t="s">
        <v>950</v>
      </c>
      <c r="B41" s="64">
        <v>10.58</v>
      </c>
      <c r="C41" s="64">
        <v>26.52</v>
      </c>
      <c r="D41" s="64">
        <v>31.47</v>
      </c>
      <c r="E41" s="64">
        <v>4.75</v>
      </c>
      <c r="F41" s="64">
        <v>8.6199999999999992</v>
      </c>
      <c r="G41" s="64">
        <v>30.54</v>
      </c>
      <c r="H41" s="64">
        <v>8.3000000000000007</v>
      </c>
      <c r="I41" s="64">
        <v>4.1100000000000003</v>
      </c>
      <c r="J41" s="64">
        <v>0.95</v>
      </c>
      <c r="K41" s="64">
        <v>168.08</v>
      </c>
      <c r="L41" s="64">
        <v>33.76</v>
      </c>
      <c r="M41" s="64">
        <v>50.59</v>
      </c>
      <c r="N41" s="64">
        <v>492.5</v>
      </c>
      <c r="O41" s="64">
        <v>0</v>
      </c>
      <c r="P41" s="64">
        <v>0.33</v>
      </c>
      <c r="Q41" s="64">
        <v>9.56</v>
      </c>
      <c r="R41" s="198"/>
      <c r="S41" s="198"/>
      <c r="T41" s="198"/>
      <c r="U41" s="198"/>
    </row>
    <row r="42" spans="1:21" s="12" customFormat="1" x14ac:dyDescent="0.25">
      <c r="A42" s="214" t="s">
        <v>951</v>
      </c>
      <c r="B42" s="64">
        <v>10.27</v>
      </c>
      <c r="C42" s="64">
        <v>26.87</v>
      </c>
      <c r="D42" s="64">
        <v>32.61</v>
      </c>
      <c r="E42" s="64">
        <v>5.15</v>
      </c>
      <c r="F42" s="64">
        <v>10.87</v>
      </c>
      <c r="G42" s="64">
        <v>30.54</v>
      </c>
      <c r="H42" s="64">
        <v>8.3000000000000007</v>
      </c>
      <c r="I42" s="64">
        <v>4.13</v>
      </c>
      <c r="J42" s="64">
        <v>0.74</v>
      </c>
      <c r="K42" s="64">
        <v>181.04</v>
      </c>
      <c r="L42" s="64">
        <v>34.68</v>
      </c>
      <c r="M42" s="64">
        <v>48.94</v>
      </c>
      <c r="N42" s="64">
        <v>547.1</v>
      </c>
      <c r="O42" s="64">
        <v>0</v>
      </c>
      <c r="P42" s="64">
        <v>0.33</v>
      </c>
      <c r="Q42" s="64">
        <v>9.56</v>
      </c>
      <c r="R42" s="198"/>
      <c r="S42" s="198"/>
      <c r="T42" s="198"/>
      <c r="U42" s="198"/>
    </row>
    <row r="43" spans="1:21" s="12" customFormat="1" x14ac:dyDescent="0.25">
      <c r="A43" s="214" t="s">
        <v>952</v>
      </c>
      <c r="B43" s="64">
        <v>9.4700000000000006</v>
      </c>
      <c r="C43" s="64">
        <v>26.11</v>
      </c>
      <c r="D43" s="64">
        <v>32.4</v>
      </c>
      <c r="E43" s="64">
        <v>5.09</v>
      </c>
      <c r="F43" s="64">
        <v>12.89</v>
      </c>
      <c r="G43" s="64">
        <v>30.54</v>
      </c>
      <c r="H43" s="64">
        <v>8.3000000000000007</v>
      </c>
      <c r="I43" s="64">
        <v>4.01</v>
      </c>
      <c r="J43" s="64">
        <v>0.62</v>
      </c>
      <c r="K43" s="64">
        <v>242.05</v>
      </c>
      <c r="L43" s="64">
        <v>35.380000000000003</v>
      </c>
      <c r="M43" s="64">
        <v>47.42</v>
      </c>
      <c r="N43" s="64">
        <v>593.70000000000005</v>
      </c>
      <c r="O43" s="64">
        <v>0</v>
      </c>
      <c r="P43" s="64">
        <v>0.32</v>
      </c>
      <c r="Q43" s="64">
        <v>9.59</v>
      </c>
      <c r="R43" s="198"/>
      <c r="S43" s="198"/>
      <c r="T43" s="198"/>
      <c r="U43" s="198"/>
    </row>
    <row r="44" spans="1:21" s="12" customFormat="1" x14ac:dyDescent="0.25">
      <c r="A44" s="214" t="s">
        <v>953</v>
      </c>
      <c r="B44" s="64">
        <v>8.4600000000000009</v>
      </c>
      <c r="C44" s="64">
        <v>24.71</v>
      </c>
      <c r="D44" s="64">
        <v>31.26</v>
      </c>
      <c r="E44" s="64">
        <v>5.61</v>
      </c>
      <c r="F44" s="64">
        <v>12.42</v>
      </c>
      <c r="G44" s="64">
        <v>30.54</v>
      </c>
      <c r="H44" s="64">
        <v>8.3000000000000007</v>
      </c>
      <c r="I44" s="64">
        <v>3.97</v>
      </c>
      <c r="J44" s="64">
        <v>0.76</v>
      </c>
      <c r="K44" s="64">
        <v>231.4</v>
      </c>
      <c r="L44" s="64">
        <v>36.32</v>
      </c>
      <c r="M44" s="64">
        <v>42.82</v>
      </c>
      <c r="N44" s="64">
        <v>642</v>
      </c>
      <c r="O44" s="64">
        <v>0</v>
      </c>
      <c r="P44" s="64">
        <v>0.32</v>
      </c>
      <c r="Q44" s="64">
        <v>9.58</v>
      </c>
      <c r="R44" s="198"/>
      <c r="S44" s="198"/>
      <c r="T44" s="198"/>
      <c r="U44" s="198"/>
    </row>
    <row r="45" spans="1:21" s="12" customFormat="1" x14ac:dyDescent="0.25">
      <c r="A45" s="214" t="s">
        <v>954</v>
      </c>
      <c r="B45" s="64">
        <v>9.1300000000000008</v>
      </c>
      <c r="C45" s="64">
        <v>26.51</v>
      </c>
      <c r="D45" s="64">
        <v>33.68</v>
      </c>
      <c r="E45" s="64">
        <v>5.19</v>
      </c>
      <c r="F45" s="64">
        <v>9.2799999999999994</v>
      </c>
      <c r="G45" s="64">
        <v>30.08</v>
      </c>
      <c r="H45" s="64">
        <v>12.37</v>
      </c>
      <c r="I45" s="64">
        <v>3.96</v>
      </c>
      <c r="J45" s="64">
        <v>0.84</v>
      </c>
      <c r="K45" s="64">
        <v>254.65</v>
      </c>
      <c r="L45" s="64">
        <v>38.07</v>
      </c>
      <c r="M45" s="64">
        <v>38.44</v>
      </c>
      <c r="N45" s="64">
        <v>680.6</v>
      </c>
      <c r="O45" s="64">
        <v>0</v>
      </c>
      <c r="P45" s="64">
        <v>0.35</v>
      </c>
      <c r="Q45" s="64">
        <v>9.5500000000000007</v>
      </c>
      <c r="R45" s="198"/>
      <c r="S45" s="198"/>
      <c r="T45" s="198"/>
      <c r="U45" s="198"/>
    </row>
    <row r="46" spans="1:21" s="12" customFormat="1" x14ac:dyDescent="0.25">
      <c r="A46" s="214" t="s">
        <v>955</v>
      </c>
      <c r="B46" s="64">
        <v>9.2100000000000009</v>
      </c>
      <c r="C46" s="64">
        <v>28.42</v>
      </c>
      <c r="D46" s="64">
        <v>37.22</v>
      </c>
      <c r="E46" s="64">
        <v>5.39</v>
      </c>
      <c r="F46" s="64">
        <v>8.7799999999999994</v>
      </c>
      <c r="G46" s="64">
        <v>30.08</v>
      </c>
      <c r="H46" s="64">
        <v>12.37</v>
      </c>
      <c r="I46" s="64">
        <v>3.98</v>
      </c>
      <c r="J46" s="64">
        <v>0.94</v>
      </c>
      <c r="K46" s="64">
        <v>247.47</v>
      </c>
      <c r="L46" s="64">
        <v>38</v>
      </c>
      <c r="M46" s="64">
        <v>38.299999999999997</v>
      </c>
      <c r="N46" s="64">
        <v>723.7</v>
      </c>
      <c r="O46" s="64">
        <v>0</v>
      </c>
      <c r="P46" s="64">
        <v>0.36</v>
      </c>
      <c r="Q46" s="64">
        <v>9.5299999999999994</v>
      </c>
      <c r="R46" s="198"/>
      <c r="S46" s="198"/>
      <c r="T46" s="198"/>
      <c r="U46" s="198"/>
    </row>
    <row r="47" spans="1:21" s="12" customFormat="1" x14ac:dyDescent="0.25">
      <c r="A47" s="214" t="s">
        <v>956</v>
      </c>
      <c r="B47" s="64">
        <v>8.24</v>
      </c>
      <c r="C47" s="64">
        <v>27.57</v>
      </c>
      <c r="D47" s="64">
        <v>37.06</v>
      </c>
      <c r="E47" s="64">
        <v>5.39</v>
      </c>
      <c r="F47" s="64">
        <v>8.5399999999999991</v>
      </c>
      <c r="G47" s="64">
        <v>30.08</v>
      </c>
      <c r="H47" s="64">
        <v>12.37</v>
      </c>
      <c r="I47" s="64">
        <v>3.89</v>
      </c>
      <c r="J47" s="64">
        <v>1</v>
      </c>
      <c r="K47" s="64">
        <v>244.12</v>
      </c>
      <c r="L47" s="64">
        <v>37.9</v>
      </c>
      <c r="M47" s="64">
        <v>38.409999999999997</v>
      </c>
      <c r="N47" s="64">
        <v>757.7</v>
      </c>
      <c r="O47" s="64">
        <v>0</v>
      </c>
      <c r="P47" s="64">
        <v>0.35</v>
      </c>
      <c r="Q47" s="64">
        <v>9.5299999999999994</v>
      </c>
      <c r="R47" s="198"/>
      <c r="S47" s="198"/>
      <c r="T47" s="198"/>
      <c r="U47" s="198"/>
    </row>
    <row r="48" spans="1:21" s="12" customFormat="1" x14ac:dyDescent="0.25">
      <c r="A48" s="214" t="s">
        <v>957</v>
      </c>
      <c r="B48" s="64">
        <v>7.67</v>
      </c>
      <c r="C48" s="64">
        <v>26.27</v>
      </c>
      <c r="D48" s="64">
        <v>35.46</v>
      </c>
      <c r="E48" s="64">
        <v>5.53</v>
      </c>
      <c r="F48" s="64">
        <v>8.5299999999999994</v>
      </c>
      <c r="G48" s="64">
        <v>30.08</v>
      </c>
      <c r="H48" s="64">
        <v>12.37</v>
      </c>
      <c r="I48" s="64">
        <v>4</v>
      </c>
      <c r="J48" s="64">
        <v>0.97</v>
      </c>
      <c r="K48" s="64">
        <v>249.99</v>
      </c>
      <c r="L48" s="64">
        <v>37.93</v>
      </c>
      <c r="M48" s="64">
        <v>38.43</v>
      </c>
      <c r="N48" s="64">
        <v>804.3</v>
      </c>
      <c r="O48" s="64">
        <v>0</v>
      </c>
      <c r="P48" s="64">
        <v>0.35</v>
      </c>
      <c r="Q48" s="64">
        <v>9.5299999999999994</v>
      </c>
      <c r="R48" s="198"/>
      <c r="S48" s="198"/>
      <c r="T48" s="198"/>
      <c r="U48" s="198"/>
    </row>
    <row r="49" spans="1:21" s="12" customFormat="1" x14ac:dyDescent="0.25">
      <c r="A49" s="214" t="s">
        <v>958</v>
      </c>
      <c r="B49" s="64">
        <v>8.9600000000000009</v>
      </c>
      <c r="C49" s="64">
        <v>27.65</v>
      </c>
      <c r="D49" s="64">
        <v>36.130000000000003</v>
      </c>
      <c r="E49" s="64">
        <v>5.29</v>
      </c>
      <c r="F49" s="64">
        <v>9.85</v>
      </c>
      <c r="G49" s="64">
        <v>30.12</v>
      </c>
      <c r="H49" s="64">
        <v>13.42</v>
      </c>
      <c r="I49" s="64">
        <v>3.9</v>
      </c>
      <c r="J49" s="64">
        <v>0.86</v>
      </c>
      <c r="K49" s="64">
        <v>254.91</v>
      </c>
      <c r="L49" s="64">
        <v>40.020000000000003</v>
      </c>
      <c r="M49" s="64">
        <v>35.380000000000003</v>
      </c>
      <c r="N49" s="64">
        <v>839.8</v>
      </c>
      <c r="O49" s="64">
        <v>0</v>
      </c>
      <c r="P49" s="64">
        <v>0.36</v>
      </c>
      <c r="Q49" s="64">
        <v>9.5299999999999994</v>
      </c>
      <c r="R49" s="198"/>
      <c r="S49" s="198"/>
      <c r="T49" s="198"/>
      <c r="U49" s="198"/>
    </row>
    <row r="50" spans="1:21" s="12" customFormat="1" x14ac:dyDescent="0.25">
      <c r="A50" s="214" t="s">
        <v>959</v>
      </c>
      <c r="B50" s="64">
        <v>7.87</v>
      </c>
      <c r="C50" s="64">
        <v>26.62</v>
      </c>
      <c r="D50" s="64">
        <v>35.81</v>
      </c>
      <c r="E50" s="64">
        <v>5.55</v>
      </c>
      <c r="F50" s="64">
        <v>8.7100000000000009</v>
      </c>
      <c r="G50" s="64">
        <v>30.12</v>
      </c>
      <c r="H50" s="64">
        <v>13.43</v>
      </c>
      <c r="I50" s="64">
        <v>4.0599999999999996</v>
      </c>
      <c r="J50" s="64">
        <v>0.99</v>
      </c>
      <c r="K50" s="64">
        <v>247.12</v>
      </c>
      <c r="L50" s="64">
        <v>38.42</v>
      </c>
      <c r="M50" s="64">
        <v>37.54</v>
      </c>
      <c r="N50" s="64">
        <v>856.3</v>
      </c>
      <c r="O50" s="64">
        <v>0</v>
      </c>
      <c r="P50" s="64">
        <v>0.35</v>
      </c>
      <c r="Q50" s="64">
        <v>9.5299999999999994</v>
      </c>
      <c r="R50" s="198"/>
      <c r="S50" s="198"/>
      <c r="T50" s="198"/>
      <c r="U50" s="198"/>
    </row>
    <row r="51" spans="1:21" s="12" customFormat="1" x14ac:dyDescent="0.25">
      <c r="A51" s="214" t="s">
        <v>960</v>
      </c>
      <c r="B51" s="64">
        <v>7.17</v>
      </c>
      <c r="C51" s="64">
        <v>27.45</v>
      </c>
      <c r="D51" s="64">
        <v>38.47</v>
      </c>
      <c r="E51" s="64">
        <v>5.05</v>
      </c>
      <c r="F51" s="64">
        <v>9</v>
      </c>
      <c r="G51" s="64">
        <v>30.12</v>
      </c>
      <c r="H51" s="64">
        <v>13.43</v>
      </c>
      <c r="I51" s="64">
        <v>4.0599999999999996</v>
      </c>
      <c r="J51" s="64">
        <v>0.84</v>
      </c>
      <c r="K51" s="64">
        <v>245.31</v>
      </c>
      <c r="L51" s="64">
        <v>38.61</v>
      </c>
      <c r="M51" s="64">
        <v>36.76</v>
      </c>
      <c r="N51" s="64">
        <v>873.9</v>
      </c>
      <c r="O51" s="64">
        <v>0</v>
      </c>
      <c r="P51" s="64">
        <v>0.36</v>
      </c>
      <c r="Q51" s="64">
        <v>9.5299999999999994</v>
      </c>
      <c r="R51" s="198"/>
      <c r="S51" s="198"/>
      <c r="T51" s="198"/>
      <c r="U51" s="198"/>
    </row>
    <row r="52" spans="1:21" s="12" customFormat="1" x14ac:dyDescent="0.25">
      <c r="A52" s="214" t="s">
        <v>961</v>
      </c>
      <c r="B52" s="64">
        <v>6.74</v>
      </c>
      <c r="C52" s="64">
        <v>25.09</v>
      </c>
      <c r="D52" s="64">
        <v>34.64</v>
      </c>
      <c r="E52" s="64">
        <v>4.92</v>
      </c>
      <c r="F52" s="64">
        <v>9.49</v>
      </c>
      <c r="G52" s="64">
        <v>30.12</v>
      </c>
      <c r="H52" s="64">
        <v>13.43</v>
      </c>
      <c r="I52" s="64">
        <v>4.0199999999999996</v>
      </c>
      <c r="J52" s="64">
        <v>0.96</v>
      </c>
      <c r="K52" s="64">
        <v>245.23</v>
      </c>
      <c r="L52" s="64">
        <v>39.270000000000003</v>
      </c>
      <c r="M52" s="64">
        <v>35.270000000000003</v>
      </c>
      <c r="N52" s="64">
        <v>873.9</v>
      </c>
      <c r="O52" s="64">
        <v>0</v>
      </c>
      <c r="P52" s="64">
        <v>0.37</v>
      </c>
      <c r="Q52" s="64">
        <v>9.52</v>
      </c>
      <c r="R52" s="198"/>
      <c r="S52" s="198"/>
      <c r="T52" s="198"/>
      <c r="U52" s="198"/>
    </row>
    <row r="53" spans="1:21" s="12" customFormat="1" x14ac:dyDescent="0.25">
      <c r="A53" s="214" t="s">
        <v>962</v>
      </c>
      <c r="B53" s="64">
        <v>6.98</v>
      </c>
      <c r="C53" s="64">
        <v>24.33</v>
      </c>
      <c r="D53" s="64">
        <v>32.79</v>
      </c>
      <c r="E53" s="64">
        <v>5.41</v>
      </c>
      <c r="F53" s="64">
        <v>11.24</v>
      </c>
      <c r="G53" s="64">
        <v>21.99</v>
      </c>
      <c r="H53" s="64">
        <v>15.28</v>
      </c>
      <c r="I53" s="64">
        <v>3.88</v>
      </c>
      <c r="J53" s="64">
        <v>0.76</v>
      </c>
      <c r="K53" s="64">
        <v>259.97000000000003</v>
      </c>
      <c r="L53" s="64">
        <v>40.57</v>
      </c>
      <c r="M53" s="64">
        <v>33.619999999999997</v>
      </c>
      <c r="N53" s="64">
        <v>905</v>
      </c>
      <c r="O53" s="64">
        <v>0</v>
      </c>
      <c r="P53" s="64">
        <v>0.39</v>
      </c>
      <c r="Q53" s="64">
        <v>9.52</v>
      </c>
      <c r="R53" s="198"/>
      <c r="S53" s="198"/>
      <c r="T53" s="198"/>
      <c r="U53" s="198"/>
    </row>
    <row r="54" spans="1:21" s="12" customFormat="1" x14ac:dyDescent="0.25">
      <c r="A54" s="214" t="s">
        <v>963</v>
      </c>
      <c r="B54" s="64">
        <v>7.27</v>
      </c>
      <c r="C54" s="64">
        <v>25.28</v>
      </c>
      <c r="D54" s="64">
        <v>34.17</v>
      </c>
      <c r="E54" s="64">
        <v>5.87</v>
      </c>
      <c r="F54" s="64">
        <v>11.86</v>
      </c>
      <c r="G54" s="64">
        <v>21.99</v>
      </c>
      <c r="H54" s="64">
        <v>15.3</v>
      </c>
      <c r="I54" s="64">
        <v>4.12</v>
      </c>
      <c r="J54" s="64">
        <v>0.56000000000000005</v>
      </c>
      <c r="K54" s="64">
        <v>228.71</v>
      </c>
      <c r="L54" s="64">
        <v>40.700000000000003</v>
      </c>
      <c r="M54" s="64">
        <v>32.700000000000003</v>
      </c>
      <c r="N54" s="64">
        <v>915.8</v>
      </c>
      <c r="O54" s="64">
        <v>0</v>
      </c>
      <c r="P54" s="64">
        <v>0.39</v>
      </c>
      <c r="Q54" s="64">
        <v>9.51</v>
      </c>
      <c r="R54" s="198"/>
      <c r="S54" s="198"/>
      <c r="T54" s="198"/>
      <c r="U54" s="198"/>
    </row>
    <row r="55" spans="1:21" s="12" customFormat="1" x14ac:dyDescent="0.25">
      <c r="A55" s="214" t="s">
        <v>964</v>
      </c>
      <c r="B55" s="64">
        <v>6.72</v>
      </c>
      <c r="C55" s="64">
        <v>24.52</v>
      </c>
      <c r="D55" s="64">
        <v>33.58</v>
      </c>
      <c r="E55" s="64">
        <v>5.53</v>
      </c>
      <c r="F55" s="64">
        <v>11.51</v>
      </c>
      <c r="G55" s="64">
        <v>21.99</v>
      </c>
      <c r="H55" s="64">
        <v>15.3</v>
      </c>
      <c r="I55" s="64">
        <v>4</v>
      </c>
      <c r="J55" s="64">
        <v>0.72</v>
      </c>
      <c r="K55" s="64">
        <v>255.03</v>
      </c>
      <c r="L55" s="64">
        <v>40.68</v>
      </c>
      <c r="M55" s="64">
        <v>32.79</v>
      </c>
      <c r="N55" s="64">
        <v>906.3</v>
      </c>
      <c r="O55" s="64">
        <v>0</v>
      </c>
      <c r="P55" s="64">
        <v>0.4</v>
      </c>
      <c r="Q55" s="64">
        <v>9.51</v>
      </c>
      <c r="R55" s="198"/>
      <c r="S55" s="198"/>
      <c r="T55" s="198"/>
      <c r="U55" s="198"/>
    </row>
    <row r="56" spans="1:21" s="12" customFormat="1" x14ac:dyDescent="0.25">
      <c r="A56" s="214" t="s">
        <v>965</v>
      </c>
      <c r="B56" s="64">
        <v>7.4</v>
      </c>
      <c r="C56" s="64">
        <v>30.27</v>
      </c>
      <c r="D56" s="64">
        <v>43.52</v>
      </c>
      <c r="E56" s="64">
        <v>5.52</v>
      </c>
      <c r="F56" s="64">
        <v>13.52</v>
      </c>
      <c r="G56" s="64">
        <v>21.99</v>
      </c>
      <c r="H56" s="64">
        <v>15.3</v>
      </c>
      <c r="I56" s="64">
        <v>3.96</v>
      </c>
      <c r="J56" s="64">
        <v>0.73</v>
      </c>
      <c r="K56" s="64">
        <v>235.63</v>
      </c>
      <c r="L56" s="64">
        <v>41.1</v>
      </c>
      <c r="M56" s="64">
        <v>30.85</v>
      </c>
      <c r="N56" s="64">
        <v>919.2</v>
      </c>
      <c r="O56" s="64">
        <v>0</v>
      </c>
      <c r="P56" s="64">
        <v>0.4</v>
      </c>
      <c r="Q56" s="64">
        <v>9.51</v>
      </c>
      <c r="R56" s="198"/>
      <c r="S56" s="198"/>
      <c r="T56" s="198"/>
      <c r="U56" s="198"/>
    </row>
    <row r="57" spans="1:21" s="12" customFormat="1" x14ac:dyDescent="0.25">
      <c r="A57" s="214" t="s">
        <v>966</v>
      </c>
      <c r="B57" s="64">
        <v>6.72</v>
      </c>
      <c r="C57" s="64">
        <v>27.87</v>
      </c>
      <c r="D57" s="64">
        <v>39.97</v>
      </c>
      <c r="E57" s="64">
        <v>5.34</v>
      </c>
      <c r="F57" s="64">
        <v>12.23</v>
      </c>
      <c r="G57" s="64">
        <v>45.94</v>
      </c>
      <c r="H57" s="64">
        <v>16.09</v>
      </c>
      <c r="I57" s="64">
        <v>4.17</v>
      </c>
      <c r="J57" s="64">
        <v>0.89</v>
      </c>
      <c r="K57" s="64">
        <v>258.79000000000002</v>
      </c>
      <c r="L57" s="64">
        <v>41.54</v>
      </c>
      <c r="M57" s="64">
        <v>29.86</v>
      </c>
      <c r="N57" s="64">
        <v>908.7</v>
      </c>
      <c r="O57" s="64">
        <v>0</v>
      </c>
      <c r="P57" s="64">
        <v>0.36</v>
      </c>
      <c r="Q57" s="64">
        <v>9.5299999999999994</v>
      </c>
      <c r="R57" s="198"/>
      <c r="S57" s="198"/>
      <c r="T57" s="198"/>
      <c r="U57" s="198"/>
    </row>
    <row r="58" spans="1:21" s="12" customFormat="1" x14ac:dyDescent="0.25">
      <c r="A58" s="214" t="s">
        <v>967</v>
      </c>
      <c r="B58" s="64">
        <v>7.71</v>
      </c>
      <c r="C58" s="64">
        <v>24.87</v>
      </c>
      <c r="D58" s="64">
        <v>32.72</v>
      </c>
      <c r="E58" s="64">
        <v>6.36</v>
      </c>
      <c r="F58" s="64">
        <v>17.84</v>
      </c>
      <c r="G58" s="64">
        <v>45.94</v>
      </c>
      <c r="H58" s="64">
        <v>16.09</v>
      </c>
      <c r="I58" s="64">
        <v>4.07</v>
      </c>
      <c r="J58" s="64">
        <v>0.48</v>
      </c>
      <c r="K58" s="64">
        <v>209.57</v>
      </c>
      <c r="L58" s="64">
        <v>41.4</v>
      </c>
      <c r="M58" s="64">
        <v>29.68</v>
      </c>
      <c r="N58" s="64">
        <v>903.2</v>
      </c>
      <c r="O58" s="64">
        <v>0</v>
      </c>
      <c r="P58" s="64">
        <v>0.34</v>
      </c>
      <c r="Q58" s="64">
        <v>9.5299999999999994</v>
      </c>
      <c r="R58" s="198"/>
      <c r="S58" s="198"/>
      <c r="T58" s="198"/>
      <c r="U58" s="198"/>
    </row>
    <row r="59" spans="1:21" s="12" customFormat="1" x14ac:dyDescent="0.25">
      <c r="A59" s="214" t="s">
        <v>968</v>
      </c>
      <c r="B59" s="64">
        <v>7.87</v>
      </c>
      <c r="C59" s="64">
        <v>25.92</v>
      </c>
      <c r="D59" s="64">
        <v>34.479999999999997</v>
      </c>
      <c r="E59" s="64">
        <v>6.81</v>
      </c>
      <c r="F59" s="64">
        <v>19.43</v>
      </c>
      <c r="G59" s="64">
        <v>45.94</v>
      </c>
      <c r="H59" s="64">
        <v>16.09</v>
      </c>
      <c r="I59" s="64">
        <v>4.1100000000000003</v>
      </c>
      <c r="J59" s="64">
        <v>0.4</v>
      </c>
      <c r="K59" s="64">
        <v>244.83</v>
      </c>
      <c r="L59" s="64">
        <v>42.05</v>
      </c>
      <c r="M59" s="64">
        <v>28.64</v>
      </c>
      <c r="N59" s="64">
        <v>894.9</v>
      </c>
      <c r="O59" s="64">
        <v>0</v>
      </c>
      <c r="P59" s="64">
        <v>0.35</v>
      </c>
      <c r="Q59" s="64">
        <v>9.5500000000000007</v>
      </c>
      <c r="R59" s="198"/>
      <c r="S59" s="198"/>
      <c r="T59" s="198"/>
      <c r="U59" s="198"/>
    </row>
    <row r="60" spans="1:21" s="12" customFormat="1" x14ac:dyDescent="0.25">
      <c r="A60" s="214" t="s">
        <v>969</v>
      </c>
      <c r="B60" s="64">
        <v>3.55</v>
      </c>
      <c r="C60" s="64">
        <v>4.71</v>
      </c>
      <c r="D60" s="64">
        <v>2.58</v>
      </c>
      <c r="E60" s="64">
        <v>7.85</v>
      </c>
      <c r="F60" s="64">
        <v>16.77</v>
      </c>
      <c r="G60" s="26" t="s">
        <v>40</v>
      </c>
      <c r="H60" s="26" t="s">
        <v>40</v>
      </c>
      <c r="I60" s="64">
        <v>3.95</v>
      </c>
      <c r="J60" s="64">
        <v>1.08</v>
      </c>
      <c r="K60" s="64">
        <v>160.74</v>
      </c>
      <c r="L60" s="64">
        <v>40.229999999999997</v>
      </c>
      <c r="M60" s="64">
        <v>30.59</v>
      </c>
      <c r="N60" s="64">
        <v>860.6</v>
      </c>
      <c r="O60" s="64">
        <v>0</v>
      </c>
      <c r="P60" s="64">
        <v>0.28999999999999998</v>
      </c>
      <c r="Q60" s="64">
        <v>9.56</v>
      </c>
      <c r="R60" s="198"/>
      <c r="S60" s="198"/>
      <c r="T60" s="198"/>
      <c r="U60" s="198"/>
    </row>
    <row r="61" spans="1:21" s="12" customFormat="1" x14ac:dyDescent="0.25">
      <c r="A61" s="214" t="s">
        <v>970</v>
      </c>
      <c r="B61" s="64">
        <v>2.81</v>
      </c>
      <c r="C61" s="64">
        <v>23.63</v>
      </c>
      <c r="D61" s="64">
        <v>39.47</v>
      </c>
      <c r="E61" s="64">
        <v>4.6500000000000004</v>
      </c>
      <c r="F61" s="64">
        <v>16.72</v>
      </c>
      <c r="G61" s="26" t="s">
        <v>40</v>
      </c>
      <c r="H61" s="26" t="s">
        <v>40</v>
      </c>
      <c r="I61" s="64">
        <v>3.89</v>
      </c>
      <c r="J61" s="64">
        <v>0.77</v>
      </c>
      <c r="K61" s="64">
        <v>200.17</v>
      </c>
      <c r="L61" s="64">
        <v>39.49</v>
      </c>
      <c r="M61" s="64">
        <v>30.25</v>
      </c>
      <c r="N61" s="64">
        <v>836.8</v>
      </c>
      <c r="O61" s="64">
        <v>0</v>
      </c>
      <c r="P61" s="64">
        <v>0.28000000000000003</v>
      </c>
      <c r="Q61" s="64">
        <v>9.56</v>
      </c>
      <c r="R61" s="198"/>
      <c r="S61" s="198"/>
      <c r="T61" s="198"/>
      <c r="U61" s="198"/>
    </row>
    <row r="62" spans="1:21" s="12" customFormat="1" x14ac:dyDescent="0.25">
      <c r="A62" s="214" t="s">
        <v>971</v>
      </c>
      <c r="B62" s="26" t="s">
        <v>40</v>
      </c>
      <c r="C62" s="26" t="s">
        <v>40</v>
      </c>
      <c r="D62" s="26" t="s">
        <v>40</v>
      </c>
      <c r="E62" s="64">
        <v>5.71</v>
      </c>
      <c r="F62" s="64">
        <v>23.33</v>
      </c>
      <c r="G62" s="26" t="s">
        <v>40</v>
      </c>
      <c r="H62" s="26" t="s">
        <v>40</v>
      </c>
      <c r="I62" s="64">
        <v>3.98</v>
      </c>
      <c r="J62" s="64">
        <v>0.71</v>
      </c>
      <c r="K62" s="64">
        <v>130.41</v>
      </c>
      <c r="L62" s="64">
        <v>39.07</v>
      </c>
      <c r="M62" s="64">
        <v>30.89</v>
      </c>
      <c r="N62" s="64">
        <v>811.8</v>
      </c>
      <c r="O62" s="64">
        <v>0</v>
      </c>
      <c r="P62" s="64">
        <v>0.25</v>
      </c>
      <c r="Q62" s="64">
        <v>9.5299999999999994</v>
      </c>
      <c r="R62" s="198"/>
      <c r="S62" s="198"/>
      <c r="T62" s="198"/>
      <c r="U62" s="198"/>
    </row>
    <row r="63" spans="1:21" s="12" customFormat="1" x14ac:dyDescent="0.25">
      <c r="A63" s="214" t="s">
        <v>972</v>
      </c>
      <c r="B63" s="26" t="s">
        <v>40</v>
      </c>
      <c r="C63" s="26" t="s">
        <v>40</v>
      </c>
      <c r="D63" s="26" t="s">
        <v>40</v>
      </c>
      <c r="E63" s="64">
        <v>7.85</v>
      </c>
      <c r="F63" s="64">
        <v>24.19</v>
      </c>
      <c r="G63" s="26" t="s">
        <v>40</v>
      </c>
      <c r="H63" s="26" t="s">
        <v>40</v>
      </c>
      <c r="I63" s="64">
        <v>4.07</v>
      </c>
      <c r="J63" s="64">
        <v>0.27</v>
      </c>
      <c r="K63" s="64">
        <v>270.01</v>
      </c>
      <c r="L63" s="64">
        <v>39.78</v>
      </c>
      <c r="M63" s="64">
        <v>30.51</v>
      </c>
      <c r="N63" s="64">
        <v>561.5</v>
      </c>
      <c r="O63" s="64">
        <v>0</v>
      </c>
      <c r="P63" s="64">
        <v>0.31</v>
      </c>
      <c r="Q63" s="64">
        <v>9.5</v>
      </c>
      <c r="R63" s="198"/>
      <c r="S63" s="198"/>
      <c r="T63" s="198"/>
      <c r="U63" s="198"/>
    </row>
    <row r="64" spans="1:21" s="12" customFormat="1" x14ac:dyDescent="0.25">
      <c r="A64" s="214" t="s">
        <v>973</v>
      </c>
      <c r="B64" s="64">
        <v>0.59</v>
      </c>
      <c r="C64" s="64">
        <v>20.76</v>
      </c>
      <c r="D64" s="64">
        <v>38.840000000000003</v>
      </c>
      <c r="E64" s="64">
        <v>4</v>
      </c>
      <c r="F64" s="64">
        <v>16.48</v>
      </c>
      <c r="G64" s="64">
        <v>4.38</v>
      </c>
      <c r="H64" s="64">
        <v>0.78</v>
      </c>
      <c r="I64" s="64">
        <v>4.2</v>
      </c>
      <c r="J64" s="64">
        <v>0.75</v>
      </c>
      <c r="K64" s="64">
        <v>260.82</v>
      </c>
      <c r="L64" s="64">
        <v>42</v>
      </c>
      <c r="M64" s="64">
        <v>27.29</v>
      </c>
      <c r="N64" s="64">
        <v>490.5</v>
      </c>
      <c r="O64" s="64">
        <v>0</v>
      </c>
      <c r="P64" s="64">
        <v>0.31</v>
      </c>
      <c r="Q64" s="64">
        <v>9.51</v>
      </c>
      <c r="R64" s="198"/>
      <c r="S64" s="198"/>
      <c r="T64" s="198"/>
      <c r="U64" s="198"/>
    </row>
    <row r="65" spans="1:21" s="12" customFormat="1" x14ac:dyDescent="0.25">
      <c r="A65" s="214" t="s">
        <v>974</v>
      </c>
      <c r="B65" s="64">
        <v>0.44</v>
      </c>
      <c r="C65" s="64">
        <v>17.940000000000001</v>
      </c>
      <c r="D65" s="64">
        <v>33.65</v>
      </c>
      <c r="E65" s="64">
        <v>3.21</v>
      </c>
      <c r="F65" s="64">
        <v>18.809999999999999</v>
      </c>
      <c r="G65" s="64">
        <v>49.64</v>
      </c>
      <c r="H65" s="64">
        <v>11.74</v>
      </c>
      <c r="I65" s="64">
        <v>4.16</v>
      </c>
      <c r="J65" s="64">
        <v>0.36</v>
      </c>
      <c r="K65" s="64">
        <v>222.65</v>
      </c>
      <c r="L65" s="64">
        <v>40.6</v>
      </c>
      <c r="M65" s="64">
        <v>28.48</v>
      </c>
      <c r="N65" s="64">
        <v>405.5</v>
      </c>
      <c r="O65" s="64">
        <v>0</v>
      </c>
      <c r="P65" s="64">
        <v>0.32</v>
      </c>
      <c r="Q65" s="64">
        <v>9.52</v>
      </c>
      <c r="R65" s="198"/>
      <c r="S65" s="198"/>
      <c r="T65" s="198"/>
      <c r="U65" s="198"/>
    </row>
    <row r="66" spans="1:21" s="12" customFormat="1" x14ac:dyDescent="0.25">
      <c r="A66" s="214" t="s">
        <v>975</v>
      </c>
      <c r="B66" s="64">
        <v>1.45</v>
      </c>
      <c r="C66" s="64">
        <v>21</v>
      </c>
      <c r="D66" s="64">
        <v>37.97</v>
      </c>
      <c r="E66" s="26" t="s">
        <v>40</v>
      </c>
      <c r="F66" s="64">
        <v>20.64</v>
      </c>
      <c r="G66" s="64">
        <v>49.64</v>
      </c>
      <c r="H66" s="64">
        <v>11.74</v>
      </c>
      <c r="I66" s="64">
        <v>3.98</v>
      </c>
      <c r="J66" s="64">
        <v>0.27</v>
      </c>
      <c r="K66" s="64">
        <v>227.37</v>
      </c>
      <c r="L66" s="64">
        <v>40.28</v>
      </c>
      <c r="M66" s="64">
        <v>29.01</v>
      </c>
      <c r="N66" s="64">
        <v>389.6</v>
      </c>
      <c r="O66" s="64">
        <v>0</v>
      </c>
      <c r="P66" s="64">
        <v>0.34</v>
      </c>
      <c r="Q66" s="64">
        <v>9.5299999999999994</v>
      </c>
      <c r="R66" s="198"/>
      <c r="S66" s="198"/>
      <c r="T66" s="198"/>
      <c r="U66" s="198"/>
    </row>
    <row r="67" spans="1:21" s="12" customFormat="1" x14ac:dyDescent="0.25">
      <c r="A67" s="214" t="s">
        <v>976</v>
      </c>
      <c r="B67" s="64">
        <v>0.8</v>
      </c>
      <c r="C67" s="64">
        <v>18.82</v>
      </c>
      <c r="D67" s="64">
        <v>34.79</v>
      </c>
      <c r="E67" s="26" t="s">
        <v>40</v>
      </c>
      <c r="F67" s="64">
        <v>16.989999999999998</v>
      </c>
      <c r="G67" s="64">
        <v>49.64</v>
      </c>
      <c r="H67" s="64">
        <v>11.74</v>
      </c>
      <c r="I67" s="64">
        <v>3.88</v>
      </c>
      <c r="J67" s="64">
        <v>0.51</v>
      </c>
      <c r="K67" s="64">
        <v>229.02</v>
      </c>
      <c r="L67" s="64">
        <v>39.99</v>
      </c>
      <c r="M67" s="64">
        <v>28.91</v>
      </c>
      <c r="N67" s="64">
        <v>297.3</v>
      </c>
      <c r="O67" s="64">
        <v>0</v>
      </c>
      <c r="P67" s="64">
        <v>0.3</v>
      </c>
      <c r="Q67" s="64">
        <v>9.5399999999999991</v>
      </c>
      <c r="R67" s="198"/>
      <c r="S67" s="198"/>
      <c r="T67" s="198"/>
      <c r="U67" s="198"/>
    </row>
    <row r="68" spans="1:21" s="12" customFormat="1" x14ac:dyDescent="0.25">
      <c r="A68" s="214" t="s">
        <v>977</v>
      </c>
      <c r="B68" s="64">
        <v>0.77</v>
      </c>
      <c r="C68" s="64">
        <v>22.58</v>
      </c>
      <c r="D68" s="64">
        <v>42.03</v>
      </c>
      <c r="E68" s="26" t="s">
        <v>40</v>
      </c>
      <c r="F68" s="64">
        <v>19.34</v>
      </c>
      <c r="G68" s="64">
        <v>48.94</v>
      </c>
      <c r="H68" s="64">
        <v>11.66</v>
      </c>
      <c r="I68" s="64">
        <v>4.1100000000000003</v>
      </c>
      <c r="J68" s="64">
        <v>0.5</v>
      </c>
      <c r="K68" s="64">
        <v>252.81</v>
      </c>
      <c r="L68" s="64">
        <v>40.049999999999997</v>
      </c>
      <c r="M68" s="64">
        <v>29.36</v>
      </c>
      <c r="N68" s="64">
        <v>280.10000000000002</v>
      </c>
      <c r="O68" s="64">
        <v>0</v>
      </c>
      <c r="P68" s="64">
        <v>0.33</v>
      </c>
      <c r="Q68" s="64">
        <v>9.52</v>
      </c>
      <c r="R68" s="198"/>
      <c r="S68" s="198"/>
      <c r="T68" s="198"/>
      <c r="U68" s="198"/>
    </row>
    <row r="69" spans="1:21" s="12" customFormat="1" x14ac:dyDescent="0.25">
      <c r="A69" s="214" t="s">
        <v>978</v>
      </c>
      <c r="B69" s="64">
        <v>1.22</v>
      </c>
      <c r="C69" s="64">
        <v>23.63</v>
      </c>
      <c r="D69" s="64">
        <v>43.35</v>
      </c>
      <c r="E69" s="26" t="s">
        <v>40</v>
      </c>
      <c r="F69" s="64">
        <v>17.03</v>
      </c>
      <c r="G69" s="64">
        <v>41.7</v>
      </c>
      <c r="H69" s="64">
        <v>10.56</v>
      </c>
      <c r="I69" s="64">
        <v>4.0999999999999996</v>
      </c>
      <c r="J69" s="64">
        <v>0.89</v>
      </c>
      <c r="K69" s="64">
        <v>160.83000000000001</v>
      </c>
      <c r="L69" s="64">
        <v>40.15</v>
      </c>
      <c r="M69" s="64">
        <v>30.6</v>
      </c>
      <c r="N69" s="64">
        <v>338.5</v>
      </c>
      <c r="O69" s="64">
        <v>0</v>
      </c>
      <c r="P69" s="64">
        <v>0.33</v>
      </c>
      <c r="Q69" s="64">
        <v>9.52</v>
      </c>
      <c r="R69" s="198"/>
      <c r="S69" s="198"/>
      <c r="T69" s="198"/>
      <c r="U69" s="198"/>
    </row>
    <row r="70" spans="1:21" s="12" customFormat="1" x14ac:dyDescent="0.25">
      <c r="A70" s="214" t="s">
        <v>979</v>
      </c>
      <c r="B70" s="64">
        <v>1.68</v>
      </c>
      <c r="C70" s="64">
        <v>21.56</v>
      </c>
      <c r="D70" s="64">
        <v>38.68</v>
      </c>
      <c r="E70" s="64">
        <v>2.1</v>
      </c>
      <c r="F70" s="64">
        <v>11.69</v>
      </c>
      <c r="G70" s="64">
        <v>41.7</v>
      </c>
      <c r="H70" s="64">
        <v>10.56</v>
      </c>
      <c r="I70" s="64">
        <v>4</v>
      </c>
      <c r="J70" s="64">
        <v>2.71</v>
      </c>
      <c r="K70" s="64">
        <v>155.11000000000001</v>
      </c>
      <c r="L70" s="64">
        <v>36.090000000000003</v>
      </c>
      <c r="M70" s="64">
        <v>41.12</v>
      </c>
      <c r="N70" s="64">
        <v>301.8</v>
      </c>
      <c r="O70" s="64">
        <v>0</v>
      </c>
      <c r="P70" s="64">
        <v>0.32</v>
      </c>
      <c r="Q70" s="64">
        <v>9.5</v>
      </c>
      <c r="R70" s="198"/>
      <c r="S70" s="198"/>
      <c r="T70" s="198"/>
      <c r="U70" s="198"/>
    </row>
    <row r="71" spans="1:21" s="12" customFormat="1" x14ac:dyDescent="0.25">
      <c r="A71" s="214" t="s">
        <v>980</v>
      </c>
      <c r="B71" s="64">
        <v>3.85</v>
      </c>
      <c r="C71" s="64">
        <v>22.65</v>
      </c>
      <c r="D71" s="64">
        <v>37.43</v>
      </c>
      <c r="E71" s="64">
        <v>0.02</v>
      </c>
      <c r="F71" s="64">
        <v>3.32</v>
      </c>
      <c r="G71" s="64">
        <v>41.7</v>
      </c>
      <c r="H71" s="64">
        <v>10.56</v>
      </c>
      <c r="I71" s="64">
        <v>3.83</v>
      </c>
      <c r="J71" s="64">
        <v>1.82</v>
      </c>
      <c r="K71" s="64">
        <v>160.19999999999999</v>
      </c>
      <c r="L71" s="64">
        <v>35.03</v>
      </c>
      <c r="M71" s="64">
        <v>44.53</v>
      </c>
      <c r="N71" s="64">
        <v>197.7</v>
      </c>
      <c r="O71" s="64">
        <v>0</v>
      </c>
      <c r="P71" s="64">
        <v>4.4800000000000004</v>
      </c>
      <c r="Q71" s="64">
        <v>9.49</v>
      </c>
      <c r="R71" s="198"/>
      <c r="S71" s="198"/>
      <c r="T71" s="198"/>
      <c r="U71" s="198"/>
    </row>
    <row r="72" spans="1:21" s="12" customFormat="1" x14ac:dyDescent="0.25">
      <c r="A72" s="214" t="s">
        <v>981</v>
      </c>
      <c r="B72" s="64">
        <v>3.9</v>
      </c>
      <c r="C72" s="64">
        <v>21.23</v>
      </c>
      <c r="D72" s="64">
        <v>34.65</v>
      </c>
      <c r="E72" s="64">
        <v>3.33</v>
      </c>
      <c r="F72" s="64">
        <v>123.54</v>
      </c>
      <c r="G72" s="64">
        <v>41.66</v>
      </c>
      <c r="H72" s="64">
        <v>10.64</v>
      </c>
      <c r="I72" s="64">
        <v>3.85</v>
      </c>
      <c r="J72" s="64">
        <v>1.37</v>
      </c>
      <c r="K72" s="64">
        <v>157.34</v>
      </c>
      <c r="L72" s="64">
        <v>34.58</v>
      </c>
      <c r="M72" s="64">
        <v>46.76</v>
      </c>
      <c r="N72" s="64">
        <v>239.8</v>
      </c>
      <c r="O72" s="64">
        <v>0</v>
      </c>
      <c r="P72" s="64">
        <v>0.23</v>
      </c>
      <c r="Q72" s="64">
        <v>9.4700000000000006</v>
      </c>
      <c r="R72" s="198"/>
      <c r="S72" s="198"/>
      <c r="T72" s="198"/>
      <c r="U72" s="198"/>
    </row>
    <row r="73" spans="1:21" s="12" customFormat="1" x14ac:dyDescent="0.25">
      <c r="A73" s="214" t="s">
        <v>982</v>
      </c>
      <c r="B73" s="64">
        <v>4.0199999999999996</v>
      </c>
      <c r="C73" s="64">
        <v>20.94</v>
      </c>
      <c r="D73" s="64">
        <v>33.92</v>
      </c>
      <c r="E73" s="64">
        <v>5.64</v>
      </c>
      <c r="F73" s="64">
        <v>115.69</v>
      </c>
      <c r="G73" s="64">
        <v>41.18</v>
      </c>
      <c r="H73" s="64">
        <v>11.76</v>
      </c>
      <c r="I73" s="64">
        <v>4.0199999999999996</v>
      </c>
      <c r="J73" s="64">
        <v>1.38</v>
      </c>
      <c r="K73" s="64">
        <v>159.69</v>
      </c>
      <c r="L73" s="64">
        <v>34.71</v>
      </c>
      <c r="M73" s="64">
        <v>40.5</v>
      </c>
      <c r="N73" s="64">
        <v>304.8</v>
      </c>
      <c r="O73" s="64">
        <v>0</v>
      </c>
      <c r="P73" s="64">
        <v>0.23</v>
      </c>
      <c r="Q73" s="64">
        <v>9.4499999999999993</v>
      </c>
      <c r="R73" s="198"/>
      <c r="S73" s="198"/>
      <c r="T73" s="198"/>
      <c r="U73" s="198"/>
    </row>
    <row r="74" spans="1:21" s="12" customFormat="1" x14ac:dyDescent="0.25">
      <c r="A74" s="214" t="s">
        <v>983</v>
      </c>
      <c r="B74" s="64">
        <v>4.3099999999999996</v>
      </c>
      <c r="C74" s="64">
        <v>21.44</v>
      </c>
      <c r="D74" s="64">
        <v>34.409999999999997</v>
      </c>
      <c r="E74" s="64">
        <v>5.79</v>
      </c>
      <c r="F74" s="64">
        <v>112.95</v>
      </c>
      <c r="G74" s="64">
        <v>41.18</v>
      </c>
      <c r="H74" s="64">
        <v>11.76</v>
      </c>
      <c r="I74" s="64">
        <v>4.12</v>
      </c>
      <c r="J74" s="64">
        <v>1.43</v>
      </c>
      <c r="K74" s="64">
        <v>151.61000000000001</v>
      </c>
      <c r="L74" s="64">
        <v>34.5</v>
      </c>
      <c r="M74" s="64">
        <v>37.65</v>
      </c>
      <c r="N74" s="64">
        <v>201.3</v>
      </c>
      <c r="O74" s="64">
        <v>0</v>
      </c>
      <c r="P74" s="64">
        <v>0.21</v>
      </c>
      <c r="Q74" s="64">
        <v>9.44</v>
      </c>
      <c r="R74" s="198"/>
      <c r="S74" s="198"/>
      <c r="T74" s="198"/>
      <c r="U74" s="198"/>
    </row>
    <row r="75" spans="1:21" s="12" customFormat="1" x14ac:dyDescent="0.25">
      <c r="A75" s="214" t="s">
        <v>984</v>
      </c>
      <c r="B75" s="64">
        <v>4.0999999999999996</v>
      </c>
      <c r="C75" s="64">
        <v>20.239999999999998</v>
      </c>
      <c r="D75" s="64">
        <v>32.44</v>
      </c>
      <c r="E75" s="64">
        <v>5.64</v>
      </c>
      <c r="F75" s="64">
        <v>111.91</v>
      </c>
      <c r="G75" s="64">
        <v>41.18</v>
      </c>
      <c r="H75" s="64">
        <v>11.76</v>
      </c>
      <c r="I75" s="64">
        <v>4.01</v>
      </c>
      <c r="J75" s="64">
        <v>1.58</v>
      </c>
      <c r="K75" s="64">
        <v>165.41</v>
      </c>
      <c r="L75" s="64">
        <v>33.729999999999997</v>
      </c>
      <c r="M75" s="64">
        <v>41.74</v>
      </c>
      <c r="N75" s="64">
        <v>185.6</v>
      </c>
      <c r="O75" s="64">
        <v>0</v>
      </c>
      <c r="P75" s="64">
        <v>0.21</v>
      </c>
      <c r="Q75" s="64">
        <v>9.43</v>
      </c>
      <c r="R75" s="198"/>
      <c r="S75" s="198"/>
      <c r="T75" s="198"/>
      <c r="U75" s="198"/>
    </row>
    <row r="76" spans="1:21" s="12" customFormat="1" x14ac:dyDescent="0.25">
      <c r="A76" s="214" t="s">
        <v>985</v>
      </c>
      <c r="B76" s="64">
        <v>3.97</v>
      </c>
      <c r="C76" s="64">
        <v>19.32</v>
      </c>
      <c r="D76" s="64">
        <v>30.89</v>
      </c>
      <c r="E76" s="64">
        <v>5.75</v>
      </c>
      <c r="F76" s="64">
        <v>4.5</v>
      </c>
      <c r="G76" s="64">
        <v>41.33</v>
      </c>
      <c r="H76" s="64">
        <v>11.73</v>
      </c>
      <c r="I76" s="64">
        <v>3.96</v>
      </c>
      <c r="J76" s="64">
        <v>1.66</v>
      </c>
      <c r="K76" s="64">
        <v>153.13999999999999</v>
      </c>
      <c r="L76" s="64">
        <v>33.229999999999997</v>
      </c>
      <c r="M76" s="64">
        <v>43.76</v>
      </c>
      <c r="N76" s="64">
        <v>158.6</v>
      </c>
      <c r="O76" s="64">
        <v>0</v>
      </c>
      <c r="P76" s="64">
        <v>0.2</v>
      </c>
      <c r="Q76" s="64">
        <v>9.43</v>
      </c>
      <c r="R76" s="198"/>
      <c r="S76" s="198"/>
      <c r="T76" s="198"/>
      <c r="U76" s="198"/>
    </row>
    <row r="77" spans="1:21" s="12" customFormat="1" x14ac:dyDescent="0.25">
      <c r="A77" s="214" t="s">
        <v>986</v>
      </c>
      <c r="B77" s="64">
        <v>4.0599999999999996</v>
      </c>
      <c r="C77" s="64">
        <v>19.149999999999999</v>
      </c>
      <c r="D77" s="64">
        <v>30.42</v>
      </c>
      <c r="E77" s="64">
        <v>5.43</v>
      </c>
      <c r="F77" s="64">
        <v>3.62</v>
      </c>
      <c r="G77" s="64">
        <v>43.18</v>
      </c>
      <c r="H77" s="64">
        <v>11.26</v>
      </c>
      <c r="I77" s="64">
        <v>4.0599999999999996</v>
      </c>
      <c r="J77" s="64">
        <v>1.38</v>
      </c>
      <c r="K77" s="64">
        <v>167.1</v>
      </c>
      <c r="L77" s="64">
        <v>32.68</v>
      </c>
      <c r="M77" s="64">
        <v>45.52</v>
      </c>
      <c r="N77" s="64">
        <v>126.2</v>
      </c>
      <c r="O77" s="64">
        <v>0</v>
      </c>
      <c r="P77" s="64">
        <v>0.2</v>
      </c>
      <c r="Q77" s="64">
        <v>9.42</v>
      </c>
      <c r="R77" s="198"/>
      <c r="S77" s="198"/>
      <c r="T77" s="198"/>
      <c r="U77" s="198"/>
    </row>
    <row r="78" spans="1:21" s="12" customFormat="1" x14ac:dyDescent="0.25">
      <c r="A78" s="214" t="s">
        <v>987</v>
      </c>
      <c r="B78" s="64">
        <v>4.24</v>
      </c>
      <c r="C78" s="64">
        <v>21.35</v>
      </c>
      <c r="D78" s="64">
        <v>34.35</v>
      </c>
      <c r="E78" s="64">
        <v>5.79</v>
      </c>
      <c r="F78" s="64">
        <v>1.79</v>
      </c>
      <c r="G78" s="64">
        <v>43.18</v>
      </c>
      <c r="H78" s="64">
        <v>11.26</v>
      </c>
      <c r="I78" s="64">
        <v>4</v>
      </c>
      <c r="J78" s="64">
        <v>2.42</v>
      </c>
      <c r="K78" s="64">
        <v>158.81</v>
      </c>
      <c r="L78" s="64">
        <v>32.75</v>
      </c>
      <c r="M78" s="64">
        <v>46.11</v>
      </c>
      <c r="N78" s="64">
        <v>136.30000000000001</v>
      </c>
      <c r="O78" s="64">
        <v>0</v>
      </c>
      <c r="P78" s="64">
        <v>0.2</v>
      </c>
      <c r="Q78" s="64">
        <v>9.4600000000000009</v>
      </c>
      <c r="R78" s="198"/>
      <c r="S78" s="198"/>
      <c r="T78" s="198"/>
      <c r="U78" s="198"/>
    </row>
    <row r="79" spans="1:21" s="12" customFormat="1" x14ac:dyDescent="0.25">
      <c r="A79" s="214" t="s">
        <v>988</v>
      </c>
      <c r="B79" s="64">
        <v>4.72</v>
      </c>
      <c r="C79" s="64">
        <v>21.77</v>
      </c>
      <c r="D79" s="64">
        <v>34.42</v>
      </c>
      <c r="E79" s="64">
        <v>5.78</v>
      </c>
      <c r="F79" s="64">
        <v>1.95</v>
      </c>
      <c r="G79" s="64">
        <v>43.18</v>
      </c>
      <c r="H79" s="64">
        <v>11.26</v>
      </c>
      <c r="I79" s="64">
        <v>3.93</v>
      </c>
      <c r="J79" s="64">
        <v>2.02</v>
      </c>
      <c r="K79" s="64">
        <v>147.06</v>
      </c>
      <c r="L79" s="64">
        <v>32.590000000000003</v>
      </c>
      <c r="M79" s="64">
        <v>46.52</v>
      </c>
      <c r="N79" s="64">
        <v>116.7</v>
      </c>
      <c r="O79" s="64">
        <v>0</v>
      </c>
      <c r="P79" s="64">
        <v>0.2</v>
      </c>
      <c r="Q79" s="64">
        <v>9.48</v>
      </c>
      <c r="R79" s="198"/>
      <c r="S79" s="198"/>
      <c r="T79" s="198"/>
      <c r="U79" s="198"/>
    </row>
    <row r="80" spans="1:21" s="12" customFormat="1" x14ac:dyDescent="0.25">
      <c r="A80" s="214" t="s">
        <v>989</v>
      </c>
      <c r="B80" s="64">
        <v>5.16</v>
      </c>
      <c r="C80" s="64">
        <v>21.2</v>
      </c>
      <c r="D80" s="64">
        <v>32.67</v>
      </c>
      <c r="E80" s="64">
        <v>5.67</v>
      </c>
      <c r="F80" s="64">
        <v>1.85</v>
      </c>
      <c r="G80" s="64">
        <v>43.26</v>
      </c>
      <c r="H80" s="64">
        <v>11.11</v>
      </c>
      <c r="I80" s="64">
        <v>4.1500000000000004</v>
      </c>
      <c r="J80" s="64">
        <v>1.7</v>
      </c>
      <c r="K80" s="64">
        <v>156.51</v>
      </c>
      <c r="L80" s="64">
        <v>32.67</v>
      </c>
      <c r="M80" s="64">
        <v>45.81</v>
      </c>
      <c r="N80" s="64">
        <v>87</v>
      </c>
      <c r="O80" s="64">
        <v>0</v>
      </c>
      <c r="P80" s="64">
        <v>0.2</v>
      </c>
      <c r="Q80" s="64">
        <v>9.4700000000000006</v>
      </c>
      <c r="R80" s="198"/>
      <c r="S80" s="198"/>
      <c r="T80" s="198"/>
      <c r="U80" s="198"/>
    </row>
    <row r="81" spans="1:26" s="12" customFormat="1" x14ac:dyDescent="0.25">
      <c r="A81" s="214" t="s">
        <v>990</v>
      </c>
      <c r="B81" s="64">
        <v>5.51</v>
      </c>
      <c r="C81" s="64">
        <v>21.37</v>
      </c>
      <c r="D81" s="64">
        <v>32.44</v>
      </c>
      <c r="E81" s="64">
        <v>5.2</v>
      </c>
      <c r="F81" s="64">
        <v>1.03</v>
      </c>
      <c r="G81" s="64">
        <v>44.33</v>
      </c>
      <c r="H81" s="64">
        <v>9.0299999999999994</v>
      </c>
      <c r="I81" s="64">
        <v>4.12</v>
      </c>
      <c r="J81" s="64">
        <v>1.79</v>
      </c>
      <c r="K81" s="64">
        <v>150.59</v>
      </c>
      <c r="L81" s="64">
        <v>32.619999999999997</v>
      </c>
      <c r="M81" s="64">
        <v>46.37</v>
      </c>
      <c r="N81" s="64">
        <v>64.3</v>
      </c>
      <c r="O81" s="64">
        <v>0</v>
      </c>
      <c r="P81" s="64">
        <v>0.2</v>
      </c>
      <c r="Q81" s="64">
        <v>9.4700000000000006</v>
      </c>
      <c r="R81" s="198"/>
      <c r="S81" s="198"/>
      <c r="T81" s="198"/>
      <c r="U81" s="198"/>
    </row>
    <row r="82" spans="1:26" s="12" customFormat="1" x14ac:dyDescent="0.25">
      <c r="A82" s="214" t="s">
        <v>991</v>
      </c>
      <c r="B82" s="64">
        <v>5.7</v>
      </c>
      <c r="C82" s="64">
        <v>21.75</v>
      </c>
      <c r="D82" s="64">
        <v>32.880000000000003</v>
      </c>
      <c r="E82" s="64">
        <v>5.48</v>
      </c>
      <c r="F82" s="64">
        <v>2.92</v>
      </c>
      <c r="G82" s="64">
        <v>44.33</v>
      </c>
      <c r="H82" s="64">
        <v>9.0299999999999994</v>
      </c>
      <c r="I82" s="64">
        <v>3.98</v>
      </c>
      <c r="J82" s="64">
        <v>1.6</v>
      </c>
      <c r="K82" s="64">
        <v>162</v>
      </c>
      <c r="L82" s="64">
        <v>32.58</v>
      </c>
      <c r="M82" s="64">
        <v>47.9</v>
      </c>
      <c r="N82" s="64">
        <v>42.4</v>
      </c>
      <c r="O82" s="64">
        <v>0</v>
      </c>
      <c r="P82" s="64">
        <v>0.21</v>
      </c>
      <c r="Q82" s="64">
        <v>9.4600000000000009</v>
      </c>
      <c r="R82" s="198"/>
      <c r="S82" s="198"/>
      <c r="T82" s="198"/>
      <c r="U82" s="198"/>
    </row>
    <row r="83" spans="1:26" s="12" customFormat="1" x14ac:dyDescent="0.25">
      <c r="A83" s="214" t="s">
        <v>992</v>
      </c>
      <c r="B83" s="64">
        <v>5.79</v>
      </c>
      <c r="C83" s="64">
        <v>22.36</v>
      </c>
      <c r="D83" s="64">
        <v>33.9</v>
      </c>
      <c r="E83" s="64">
        <v>5.71</v>
      </c>
      <c r="F83" s="64">
        <v>5.03</v>
      </c>
      <c r="G83" s="64">
        <v>44.33</v>
      </c>
      <c r="H83" s="64">
        <v>9.0299999999999994</v>
      </c>
      <c r="I83" s="64">
        <v>3.87</v>
      </c>
      <c r="J83" s="64">
        <v>1.29</v>
      </c>
      <c r="K83" s="64">
        <v>160.31</v>
      </c>
      <c r="L83" s="64">
        <v>32.32</v>
      </c>
      <c r="M83" s="64">
        <v>49.91</v>
      </c>
      <c r="N83" s="64">
        <v>29.4</v>
      </c>
      <c r="O83" s="64">
        <v>0</v>
      </c>
      <c r="P83" s="64">
        <v>0.22</v>
      </c>
      <c r="Q83" s="64">
        <v>9.4600000000000009</v>
      </c>
      <c r="R83" s="198"/>
      <c r="S83" s="198"/>
      <c r="T83" s="198"/>
      <c r="U83" s="198"/>
    </row>
    <row r="84" spans="1:26" s="12" customFormat="1" x14ac:dyDescent="0.25">
      <c r="A84" s="214" t="s">
        <v>993</v>
      </c>
      <c r="B84" s="64">
        <v>5.74</v>
      </c>
      <c r="C84" s="64">
        <v>23.66</v>
      </c>
      <c r="D84" s="64">
        <v>36.49</v>
      </c>
      <c r="E84" s="64">
        <v>5.85</v>
      </c>
      <c r="F84" s="64">
        <v>8.52</v>
      </c>
      <c r="G84" s="64">
        <v>44.08</v>
      </c>
      <c r="H84" s="64">
        <v>8.9600000000000009</v>
      </c>
      <c r="I84" s="64">
        <v>3.91</v>
      </c>
      <c r="J84" s="64">
        <v>0.84</v>
      </c>
      <c r="K84" s="64">
        <v>192.28</v>
      </c>
      <c r="L84" s="64">
        <v>32.24</v>
      </c>
      <c r="M84" s="64">
        <v>50.84</v>
      </c>
      <c r="N84" s="64">
        <v>28.8</v>
      </c>
      <c r="O84" s="64">
        <v>0</v>
      </c>
      <c r="P84" s="64">
        <v>0.24</v>
      </c>
      <c r="Q84" s="64">
        <v>9.4499999999999993</v>
      </c>
      <c r="R84" s="198"/>
      <c r="S84" s="198"/>
      <c r="T84" s="198"/>
      <c r="U84" s="198"/>
    </row>
    <row r="85" spans="1:26" s="12" customFormat="1" x14ac:dyDescent="0.25">
      <c r="A85" s="214" t="s">
        <v>994</v>
      </c>
      <c r="B85" s="64">
        <v>6.06</v>
      </c>
      <c r="C85" s="64">
        <v>23.73</v>
      </c>
      <c r="D85" s="64">
        <v>36.11</v>
      </c>
      <c r="E85" s="64">
        <v>5.81</v>
      </c>
      <c r="F85" s="64">
        <v>2.33</v>
      </c>
      <c r="G85" s="64">
        <v>40.57</v>
      </c>
      <c r="H85" s="64">
        <v>7.94</v>
      </c>
      <c r="I85" s="64">
        <v>3.88</v>
      </c>
      <c r="J85" s="64">
        <v>1.56</v>
      </c>
      <c r="K85" s="64">
        <v>158.79</v>
      </c>
      <c r="L85" s="64">
        <v>31.84</v>
      </c>
      <c r="M85" s="64">
        <v>51.35</v>
      </c>
      <c r="N85" s="64">
        <v>29.2</v>
      </c>
      <c r="O85" s="64">
        <v>0</v>
      </c>
      <c r="P85" s="64">
        <v>0.25</v>
      </c>
      <c r="Q85" s="64">
        <v>9.4600000000000009</v>
      </c>
      <c r="R85" s="198"/>
      <c r="S85" s="198"/>
      <c r="T85" s="198"/>
      <c r="U85" s="198"/>
    </row>
    <row r="86" spans="1:26" s="12" customFormat="1" x14ac:dyDescent="0.25">
      <c r="A86" s="214" t="s">
        <v>995</v>
      </c>
      <c r="B86" s="64">
        <v>6.03</v>
      </c>
      <c r="C86" s="64">
        <v>23.25</v>
      </c>
      <c r="D86" s="64">
        <v>35.25</v>
      </c>
      <c r="E86" s="64">
        <v>5.42</v>
      </c>
      <c r="F86" s="64">
        <v>0.95</v>
      </c>
      <c r="G86" s="64">
        <v>40.57</v>
      </c>
      <c r="H86" s="64">
        <v>7.94</v>
      </c>
      <c r="I86" s="64">
        <v>3.9</v>
      </c>
      <c r="J86" s="64">
        <v>1.1599999999999999</v>
      </c>
      <c r="K86" s="64">
        <v>156.06</v>
      </c>
      <c r="L86" s="64">
        <v>31.89</v>
      </c>
      <c r="M86" s="64">
        <v>49.16</v>
      </c>
      <c r="N86" s="64">
        <v>28.5</v>
      </c>
      <c r="O86" s="64">
        <v>0</v>
      </c>
      <c r="P86" s="64">
        <v>0.28999999999999998</v>
      </c>
      <c r="Q86" s="64">
        <v>9.4700000000000006</v>
      </c>
      <c r="R86" s="198"/>
      <c r="S86" s="198"/>
      <c r="T86" s="198"/>
      <c r="U86" s="198"/>
    </row>
    <row r="87" spans="1:26" s="12" customFormat="1" x14ac:dyDescent="0.25">
      <c r="A87" s="214" t="s">
        <v>996</v>
      </c>
      <c r="B87" s="64">
        <v>5.98</v>
      </c>
      <c r="C87" s="64">
        <v>24.5</v>
      </c>
      <c r="D87" s="64">
        <v>37.700000000000003</v>
      </c>
      <c r="E87" s="64">
        <v>5.91</v>
      </c>
      <c r="F87" s="64">
        <v>1.65</v>
      </c>
      <c r="G87" s="64">
        <v>40.57</v>
      </c>
      <c r="H87" s="64">
        <v>7.94</v>
      </c>
      <c r="I87" s="64">
        <v>3.94</v>
      </c>
      <c r="J87" s="64">
        <v>0.81</v>
      </c>
      <c r="K87" s="64">
        <v>179.68</v>
      </c>
      <c r="L87" s="64">
        <v>32.07</v>
      </c>
      <c r="M87" s="64">
        <v>46.14</v>
      </c>
      <c r="N87" s="64">
        <v>28.6</v>
      </c>
      <c r="O87" s="64">
        <v>0</v>
      </c>
      <c r="P87" s="64">
        <v>0.28000000000000003</v>
      </c>
      <c r="Q87" s="64">
        <v>9.5</v>
      </c>
      <c r="R87" s="198"/>
      <c r="S87" s="198"/>
      <c r="T87" s="198"/>
      <c r="U87" s="198"/>
    </row>
    <row r="88" spans="1:26" s="12" customFormat="1" x14ac:dyDescent="0.25">
      <c r="A88" s="214" t="s">
        <v>997</v>
      </c>
      <c r="B88" s="64">
        <v>5.82</v>
      </c>
      <c r="C88" s="64">
        <v>23.94</v>
      </c>
      <c r="D88" s="64">
        <v>36.880000000000003</v>
      </c>
      <c r="E88" s="64">
        <v>6.14</v>
      </c>
      <c r="F88" s="64">
        <v>3.95</v>
      </c>
      <c r="G88" s="64">
        <v>40.32</v>
      </c>
      <c r="H88" s="64">
        <v>8.1300000000000008</v>
      </c>
      <c r="I88" s="64">
        <v>4</v>
      </c>
      <c r="J88" s="64">
        <v>0.6</v>
      </c>
      <c r="K88" s="64">
        <v>205.4</v>
      </c>
      <c r="L88" s="64">
        <v>31.89</v>
      </c>
      <c r="M88" s="64">
        <v>46.87</v>
      </c>
      <c r="N88" s="64">
        <v>29</v>
      </c>
      <c r="O88" s="64">
        <v>0</v>
      </c>
      <c r="P88" s="64">
        <v>0.3</v>
      </c>
      <c r="Q88" s="64">
        <v>9.5</v>
      </c>
      <c r="R88" s="198"/>
      <c r="S88" s="198"/>
      <c r="T88" s="198"/>
      <c r="U88" s="198"/>
    </row>
    <row r="89" spans="1:26" s="12" customFormat="1" x14ac:dyDescent="0.25">
      <c r="A89" s="214" t="s">
        <v>998</v>
      </c>
      <c r="B89" s="64">
        <v>5.81</v>
      </c>
      <c r="C89" s="64">
        <v>26.95</v>
      </c>
      <c r="D89" s="64">
        <v>42.65</v>
      </c>
      <c r="E89" s="64">
        <v>6.03</v>
      </c>
      <c r="F89" s="64">
        <v>4.6500000000000004</v>
      </c>
      <c r="G89" s="64">
        <v>36.82</v>
      </c>
      <c r="H89" s="64">
        <v>10.83</v>
      </c>
      <c r="I89" s="64">
        <v>3.99</v>
      </c>
      <c r="J89" s="64">
        <v>0.74</v>
      </c>
      <c r="K89" s="64">
        <v>164.44</v>
      </c>
      <c r="L89" s="64">
        <v>31.75</v>
      </c>
      <c r="M89" s="64">
        <v>47.31</v>
      </c>
      <c r="N89" s="64">
        <v>28.7</v>
      </c>
      <c r="O89" s="64">
        <v>0</v>
      </c>
      <c r="P89" s="64">
        <v>0.32</v>
      </c>
      <c r="Q89" s="64">
        <v>9.5</v>
      </c>
      <c r="R89" s="198"/>
      <c r="S89" s="198"/>
      <c r="T89" s="198"/>
      <c r="U89" s="198"/>
    </row>
    <row r="90" spans="1:26" s="12" customFormat="1" x14ac:dyDescent="0.25">
      <c r="A90" s="214" t="s">
        <v>999</v>
      </c>
      <c r="B90" s="64">
        <v>6.27</v>
      </c>
      <c r="C90" s="64">
        <v>24.6</v>
      </c>
      <c r="D90" s="64">
        <v>37.46</v>
      </c>
      <c r="E90" s="64">
        <v>5.57</v>
      </c>
      <c r="F90" s="64">
        <v>2.44</v>
      </c>
      <c r="G90" s="64">
        <v>36.82</v>
      </c>
      <c r="H90" s="64">
        <v>10.83</v>
      </c>
      <c r="I90" s="64">
        <v>3.83</v>
      </c>
      <c r="J90" s="64">
        <v>0.9</v>
      </c>
      <c r="K90" s="64">
        <v>203.92</v>
      </c>
      <c r="L90" s="64">
        <v>31.99</v>
      </c>
      <c r="M90" s="64">
        <v>45.37</v>
      </c>
      <c r="N90" s="64">
        <v>28.5</v>
      </c>
      <c r="O90" s="64">
        <v>0</v>
      </c>
      <c r="P90" s="64">
        <v>0.3</v>
      </c>
      <c r="Q90" s="64">
        <v>9.5</v>
      </c>
      <c r="R90" s="198"/>
      <c r="S90" s="198"/>
      <c r="T90" s="198"/>
      <c r="U90" s="198"/>
    </row>
    <row r="91" spans="1:26" s="12" customFormat="1" x14ac:dyDescent="0.25">
      <c r="A91" s="214" t="s">
        <v>1000</v>
      </c>
      <c r="B91" s="64">
        <v>6.22</v>
      </c>
      <c r="C91" s="64">
        <v>24.21</v>
      </c>
      <c r="D91" s="64">
        <v>36.799999999999997</v>
      </c>
      <c r="E91" s="64">
        <v>5.66</v>
      </c>
      <c r="F91" s="64">
        <v>2.11</v>
      </c>
      <c r="G91" s="64">
        <v>36.82</v>
      </c>
      <c r="H91" s="64">
        <v>10.83</v>
      </c>
      <c r="I91" s="64">
        <v>3.98</v>
      </c>
      <c r="J91" s="64">
        <v>0.93</v>
      </c>
      <c r="K91" s="64">
        <v>208.58</v>
      </c>
      <c r="L91" s="64">
        <v>31.49</v>
      </c>
      <c r="M91" s="64">
        <v>49.38</v>
      </c>
      <c r="N91" s="64">
        <v>29.3</v>
      </c>
      <c r="O91" s="64">
        <v>0</v>
      </c>
      <c r="P91" s="64">
        <v>0.31</v>
      </c>
      <c r="Q91" s="64">
        <v>9.49</v>
      </c>
      <c r="R91" s="198"/>
      <c r="S91" s="198"/>
      <c r="T91" s="198"/>
      <c r="U91" s="198"/>
    </row>
    <row r="92" spans="1:26" s="12" customFormat="1" x14ac:dyDescent="0.25">
      <c r="A92" s="214" t="s">
        <v>1001</v>
      </c>
      <c r="B92" s="64">
        <v>6.03</v>
      </c>
      <c r="C92" s="64">
        <v>25.45</v>
      </c>
      <c r="D92" s="64">
        <v>39.450000000000003</v>
      </c>
      <c r="E92" s="64">
        <v>5.49</v>
      </c>
      <c r="F92" s="64">
        <v>2.2000000000000002</v>
      </c>
      <c r="G92" s="64">
        <v>36.590000000000003</v>
      </c>
      <c r="H92" s="64">
        <v>10.7</v>
      </c>
      <c r="I92" s="64">
        <v>3.92</v>
      </c>
      <c r="J92" s="64">
        <v>0.87</v>
      </c>
      <c r="K92" s="64">
        <v>193.94</v>
      </c>
      <c r="L92" s="64">
        <v>31.13</v>
      </c>
      <c r="M92" s="64">
        <v>52.77</v>
      </c>
      <c r="N92" s="64">
        <v>29</v>
      </c>
      <c r="O92" s="64">
        <v>0</v>
      </c>
      <c r="P92" s="64">
        <v>0.31</v>
      </c>
      <c r="Q92" s="64">
        <v>9.52</v>
      </c>
      <c r="R92" s="198"/>
      <c r="S92" s="198"/>
      <c r="T92" s="198"/>
      <c r="U92" s="198"/>
    </row>
    <row r="93" spans="1:26" s="12" customFormat="1" x14ac:dyDescent="0.25">
      <c r="A93" s="214" t="s">
        <v>1002</v>
      </c>
      <c r="B93" s="64">
        <v>5.89</v>
      </c>
      <c r="C93" s="64">
        <v>23.83</v>
      </c>
      <c r="D93" s="64">
        <v>36.58</v>
      </c>
      <c r="E93" s="64">
        <v>5.47</v>
      </c>
      <c r="F93" s="64">
        <v>1.77</v>
      </c>
      <c r="G93" s="64">
        <v>33.5</v>
      </c>
      <c r="H93" s="64">
        <v>8.9</v>
      </c>
      <c r="I93" s="64">
        <v>4.0199999999999996</v>
      </c>
      <c r="J93" s="64">
        <v>0.91</v>
      </c>
      <c r="K93" s="64">
        <v>186.11</v>
      </c>
      <c r="L93" s="64">
        <v>30.87</v>
      </c>
      <c r="M93" s="64">
        <v>53.94</v>
      </c>
      <c r="N93" s="64">
        <v>29.1</v>
      </c>
      <c r="O93" s="64">
        <v>0</v>
      </c>
      <c r="P93" s="64">
        <v>0.31</v>
      </c>
      <c r="Q93" s="64">
        <v>9.5299999999999994</v>
      </c>
      <c r="R93" s="198"/>
      <c r="S93" s="198"/>
      <c r="T93" s="198"/>
      <c r="U93" s="198"/>
    </row>
    <row r="94" spans="1:26" s="12" customFormat="1" x14ac:dyDescent="0.25">
      <c r="A94" s="214" t="s">
        <v>1003</v>
      </c>
      <c r="B94" s="64">
        <v>5.72</v>
      </c>
      <c r="C94" s="64">
        <v>24.44</v>
      </c>
      <c r="D94" s="64">
        <v>38.01</v>
      </c>
      <c r="E94" s="64">
        <v>5.58</v>
      </c>
      <c r="F94" s="64">
        <v>1.03</v>
      </c>
      <c r="G94" s="64">
        <v>33.5</v>
      </c>
      <c r="H94" s="64">
        <v>8.9</v>
      </c>
      <c r="I94" s="64">
        <v>4.08</v>
      </c>
      <c r="J94" s="64">
        <v>1.6</v>
      </c>
      <c r="K94" s="64">
        <v>159.47</v>
      </c>
      <c r="L94" s="64">
        <v>30.61</v>
      </c>
      <c r="M94" s="64">
        <v>54.85</v>
      </c>
      <c r="N94" s="64">
        <v>28.7</v>
      </c>
      <c r="O94" s="64">
        <v>0</v>
      </c>
      <c r="P94" s="64">
        <v>0.31</v>
      </c>
      <c r="Q94" s="64">
        <v>9.5399999999999991</v>
      </c>
      <c r="R94" s="198"/>
      <c r="S94" s="198"/>
      <c r="T94" s="198"/>
      <c r="U94" s="198"/>
    </row>
    <row r="95" spans="1:26" s="12" customFormat="1" x14ac:dyDescent="0.25">
      <c r="A95" s="214" t="s">
        <v>1004</v>
      </c>
      <c r="B95" s="64">
        <v>5.69</v>
      </c>
      <c r="C95" s="64">
        <v>23.3</v>
      </c>
      <c r="D95" s="64">
        <v>35.86</v>
      </c>
      <c r="E95" s="64">
        <v>5.78</v>
      </c>
      <c r="F95" s="64">
        <v>1.73</v>
      </c>
      <c r="G95" s="64">
        <v>33.5</v>
      </c>
      <c r="H95" s="64">
        <v>8.9</v>
      </c>
      <c r="I95" s="64">
        <v>4.0599999999999996</v>
      </c>
      <c r="J95" s="64">
        <v>0.84</v>
      </c>
      <c r="K95" s="64">
        <v>176.52</v>
      </c>
      <c r="L95" s="64">
        <v>30.79</v>
      </c>
      <c r="M95" s="64">
        <v>54.16</v>
      </c>
      <c r="N95" s="64">
        <v>28.3</v>
      </c>
      <c r="O95" s="64">
        <v>0</v>
      </c>
      <c r="P95" s="64">
        <v>0.3</v>
      </c>
      <c r="Q95" s="64">
        <v>9.5299999999999994</v>
      </c>
      <c r="R95" s="198"/>
      <c r="S95" s="198"/>
      <c r="T95" s="198"/>
      <c r="U95" s="198"/>
    </row>
    <row r="96" spans="1:26" s="12" customFormat="1" x14ac:dyDescent="0.25">
      <c r="A96" s="214" t="s">
        <v>1005</v>
      </c>
      <c r="B96" s="64">
        <v>5.5</v>
      </c>
      <c r="C96" s="64">
        <v>23.82</v>
      </c>
      <c r="D96" s="64">
        <v>37.159999999999997</v>
      </c>
      <c r="E96" s="64">
        <v>5.82</v>
      </c>
      <c r="F96" s="64">
        <v>6.98</v>
      </c>
      <c r="G96" s="64">
        <v>33.36</v>
      </c>
      <c r="H96" s="64">
        <v>8.7899999999999991</v>
      </c>
      <c r="I96" s="64">
        <v>3.91</v>
      </c>
      <c r="J96" s="64">
        <v>0.56000000000000005</v>
      </c>
      <c r="K96" s="64">
        <v>187.72</v>
      </c>
      <c r="L96" s="64">
        <v>30.77</v>
      </c>
      <c r="M96" s="64">
        <v>54.51</v>
      </c>
      <c r="N96" s="64">
        <v>28.5</v>
      </c>
      <c r="O96" s="64">
        <v>0</v>
      </c>
      <c r="P96" s="64">
        <v>0.32</v>
      </c>
      <c r="Q96" s="64">
        <v>9.52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1006</v>
      </c>
      <c r="B97" s="64">
        <v>5.48</v>
      </c>
      <c r="C97" s="64">
        <v>22.73</v>
      </c>
      <c r="D97" s="64">
        <v>35.1</v>
      </c>
      <c r="E97" s="64">
        <v>5.69</v>
      </c>
      <c r="F97" s="64">
        <v>7.78</v>
      </c>
      <c r="G97" s="64">
        <v>31.34</v>
      </c>
      <c r="H97" s="64">
        <v>7.23</v>
      </c>
      <c r="I97" s="64">
        <v>4.08</v>
      </c>
      <c r="J97" s="64">
        <v>0.76</v>
      </c>
      <c r="K97" s="64">
        <v>169.28</v>
      </c>
      <c r="L97" s="64">
        <v>30.74</v>
      </c>
      <c r="M97" s="64">
        <v>55.25</v>
      </c>
      <c r="N97" s="64">
        <v>28.4</v>
      </c>
      <c r="O97" s="64">
        <v>0</v>
      </c>
      <c r="P97" s="64">
        <v>0.31</v>
      </c>
      <c r="Q97" s="64">
        <v>9.51</v>
      </c>
      <c r="R97" s="198"/>
      <c r="S97" s="198"/>
      <c r="T97" s="198"/>
      <c r="U97" s="198"/>
    </row>
    <row r="98" spans="1:33" s="12" customFormat="1" x14ac:dyDescent="0.25">
      <c r="A98" s="214" t="s">
        <v>1007</v>
      </c>
      <c r="B98" s="64">
        <v>5.3</v>
      </c>
      <c r="C98" s="64">
        <v>26.46</v>
      </c>
      <c r="D98" s="64">
        <v>42.52</v>
      </c>
      <c r="E98" s="64">
        <v>5.87</v>
      </c>
      <c r="F98" s="64">
        <v>9.0500000000000007</v>
      </c>
      <c r="G98" s="64">
        <v>31.34</v>
      </c>
      <c r="H98" s="64">
        <v>7.23</v>
      </c>
      <c r="I98" s="64">
        <v>4.12</v>
      </c>
      <c r="J98" s="64">
        <v>0.49</v>
      </c>
      <c r="K98" s="64">
        <v>222.74</v>
      </c>
      <c r="L98" s="64">
        <v>30.68</v>
      </c>
      <c r="M98" s="64">
        <v>55.43</v>
      </c>
      <c r="N98" s="64">
        <v>28.6</v>
      </c>
      <c r="O98" s="64">
        <v>0</v>
      </c>
      <c r="P98" s="64">
        <v>0.34</v>
      </c>
      <c r="Q98" s="64">
        <v>9.5</v>
      </c>
      <c r="R98" s="198"/>
      <c r="S98" s="198"/>
      <c r="T98" s="198"/>
      <c r="U98" s="198"/>
    </row>
    <row r="99" spans="1:33" s="12" customFormat="1" x14ac:dyDescent="0.25">
      <c r="A99" s="214" t="s">
        <v>1008</v>
      </c>
      <c r="B99" s="64">
        <v>5.38</v>
      </c>
      <c r="C99" s="64">
        <v>21.7</v>
      </c>
      <c r="D99" s="64">
        <v>33.28</v>
      </c>
      <c r="E99" s="64">
        <v>5.89</v>
      </c>
      <c r="F99" s="64">
        <v>7.79</v>
      </c>
      <c r="G99" s="64">
        <v>31.34</v>
      </c>
      <c r="H99" s="64">
        <v>7.23</v>
      </c>
      <c r="I99" s="64">
        <v>3.95</v>
      </c>
      <c r="J99" s="64">
        <v>0.6</v>
      </c>
      <c r="K99" s="64">
        <v>201.11</v>
      </c>
      <c r="L99" s="64">
        <v>30.41</v>
      </c>
      <c r="M99" s="64">
        <v>56.63</v>
      </c>
      <c r="N99" s="64">
        <v>28.5</v>
      </c>
      <c r="O99" s="64">
        <v>0</v>
      </c>
      <c r="P99" s="64">
        <v>0.28999999999999998</v>
      </c>
      <c r="Q99" s="64">
        <v>9.49</v>
      </c>
      <c r="R99" s="198"/>
      <c r="S99" s="198"/>
      <c r="T99" s="198"/>
      <c r="U99" s="198"/>
    </row>
    <row r="100" spans="1:33" s="12" customFormat="1" x14ac:dyDescent="0.25">
      <c r="A100" s="214" t="s">
        <v>1009</v>
      </c>
      <c r="B100" s="64">
        <v>6.38</v>
      </c>
      <c r="C100" s="64">
        <v>27.54</v>
      </c>
      <c r="D100" s="64">
        <v>42.91</v>
      </c>
      <c r="E100" s="64">
        <v>6.46</v>
      </c>
      <c r="F100" s="64">
        <v>5.96</v>
      </c>
      <c r="G100" s="64">
        <v>31.34</v>
      </c>
      <c r="H100" s="64">
        <v>7.3</v>
      </c>
      <c r="I100" s="64">
        <v>4.05</v>
      </c>
      <c r="J100" s="64">
        <v>0.39</v>
      </c>
      <c r="K100" s="64">
        <v>215.52</v>
      </c>
      <c r="L100" s="64">
        <v>30.09</v>
      </c>
      <c r="M100" s="64">
        <v>58.66</v>
      </c>
      <c r="N100" s="64">
        <v>28.7</v>
      </c>
      <c r="O100" s="64">
        <v>0</v>
      </c>
      <c r="P100" s="64">
        <v>0.28999999999999998</v>
      </c>
      <c r="Q100" s="64">
        <v>9.48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1010</v>
      </c>
      <c r="B101" s="64">
        <v>6.05</v>
      </c>
      <c r="C101" s="64">
        <v>24.75</v>
      </c>
      <c r="D101" s="64">
        <v>38.090000000000003</v>
      </c>
      <c r="E101" s="64">
        <v>6.24</v>
      </c>
      <c r="F101" s="64">
        <v>6.73</v>
      </c>
      <c r="G101" s="64">
        <v>31.36</v>
      </c>
      <c r="H101" s="64">
        <v>8.34</v>
      </c>
      <c r="I101" s="64">
        <v>4.22</v>
      </c>
      <c r="J101" s="64">
        <v>0.54</v>
      </c>
      <c r="K101" s="64">
        <v>215.12</v>
      </c>
      <c r="L101" s="64">
        <v>29.9</v>
      </c>
      <c r="M101" s="64">
        <v>59.45</v>
      </c>
      <c r="N101" s="64">
        <v>28.4</v>
      </c>
      <c r="O101" s="64">
        <v>0</v>
      </c>
      <c r="P101" s="64">
        <v>0.28000000000000003</v>
      </c>
      <c r="Q101" s="64">
        <v>9.48</v>
      </c>
      <c r="R101" s="198"/>
      <c r="S101" s="198"/>
      <c r="T101" s="198"/>
      <c r="U101" s="198"/>
    </row>
    <row r="102" spans="1:33" s="12" customFormat="1" x14ac:dyDescent="0.25">
      <c r="A102" s="214" t="s">
        <v>1011</v>
      </c>
      <c r="B102" s="64">
        <v>6.42</v>
      </c>
      <c r="C102" s="64">
        <v>22.44</v>
      </c>
      <c r="D102" s="64">
        <v>33.1</v>
      </c>
      <c r="E102" s="64">
        <v>5.81</v>
      </c>
      <c r="F102" s="64">
        <v>4.12</v>
      </c>
      <c r="G102" s="64">
        <v>31.36</v>
      </c>
      <c r="H102" s="64">
        <v>8.34</v>
      </c>
      <c r="I102" s="64">
        <v>3.99</v>
      </c>
      <c r="J102" s="64">
        <v>1.06</v>
      </c>
      <c r="K102" s="64">
        <v>161.58000000000001</v>
      </c>
      <c r="L102" s="64">
        <v>29.87</v>
      </c>
      <c r="M102" s="64">
        <v>60.21</v>
      </c>
      <c r="N102" s="64">
        <v>28.1</v>
      </c>
      <c r="O102" s="64">
        <v>0</v>
      </c>
      <c r="P102" s="64">
        <v>0.28999999999999998</v>
      </c>
      <c r="Q102" s="64">
        <v>9.49</v>
      </c>
      <c r="R102" s="198"/>
      <c r="S102" s="198"/>
      <c r="T102" s="198"/>
      <c r="U102" s="198"/>
    </row>
    <row r="103" spans="1:33" s="12" customFormat="1" x14ac:dyDescent="0.25">
      <c r="A103" s="214" t="s">
        <v>1012</v>
      </c>
      <c r="B103" s="64">
        <v>6.74</v>
      </c>
      <c r="C103" s="64">
        <v>21.94</v>
      </c>
      <c r="D103" s="64">
        <v>31.66</v>
      </c>
      <c r="E103" s="64">
        <v>5.63</v>
      </c>
      <c r="F103" s="64">
        <v>1.81</v>
      </c>
      <c r="G103" s="64">
        <v>31.36</v>
      </c>
      <c r="H103" s="64">
        <v>8.34</v>
      </c>
      <c r="I103" s="64">
        <v>3.97</v>
      </c>
      <c r="J103" s="64">
        <v>1.24</v>
      </c>
      <c r="K103" s="64">
        <v>150.99</v>
      </c>
      <c r="L103" s="64">
        <v>29.79</v>
      </c>
      <c r="M103" s="64">
        <v>61.4</v>
      </c>
      <c r="N103" s="64">
        <v>28.5</v>
      </c>
      <c r="O103" s="64">
        <v>0</v>
      </c>
      <c r="P103" s="64">
        <v>0.3</v>
      </c>
      <c r="Q103" s="64">
        <v>9.5</v>
      </c>
      <c r="R103" s="198"/>
      <c r="S103" s="198"/>
      <c r="T103" s="198"/>
      <c r="U103" s="198"/>
    </row>
    <row r="104" spans="1:33" s="12" customFormat="1" x14ac:dyDescent="0.25">
      <c r="A104" s="214" t="s">
        <v>1013</v>
      </c>
      <c r="B104" s="64">
        <v>7.14</v>
      </c>
      <c r="C104" s="64">
        <v>25.33</v>
      </c>
      <c r="D104" s="64">
        <v>37.53</v>
      </c>
      <c r="E104" s="64">
        <v>4.1500000000000004</v>
      </c>
      <c r="F104" s="64">
        <v>0.92</v>
      </c>
      <c r="G104" s="64">
        <v>31.17</v>
      </c>
      <c r="H104" s="64">
        <v>8.36</v>
      </c>
      <c r="I104" s="64">
        <v>4.04</v>
      </c>
      <c r="J104" s="64">
        <v>1.3</v>
      </c>
      <c r="K104" s="64">
        <v>161.83000000000001</v>
      </c>
      <c r="L104" s="64">
        <v>29.6</v>
      </c>
      <c r="M104" s="64">
        <v>63.03</v>
      </c>
      <c r="N104" s="64">
        <v>28.8</v>
      </c>
      <c r="O104" s="64">
        <v>0</v>
      </c>
      <c r="P104" s="64">
        <v>0.31</v>
      </c>
      <c r="Q104" s="64">
        <v>9.49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0.44</v>
      </c>
      <c r="C106" s="67">
        <f>MIN(C9:C104)</f>
        <v>4.71</v>
      </c>
      <c r="D106" s="67">
        <f t="shared" ref="D106:Q106" si="0">MIN(D9:D104)</f>
        <v>2.58</v>
      </c>
      <c r="E106" s="67">
        <f t="shared" si="0"/>
        <v>0.02</v>
      </c>
      <c r="F106" s="67">
        <f t="shared" si="0"/>
        <v>0.92</v>
      </c>
      <c r="G106" s="67">
        <f t="shared" si="0"/>
        <v>4.38</v>
      </c>
      <c r="H106" s="67">
        <f t="shared" si="0"/>
        <v>0.78</v>
      </c>
      <c r="I106" s="67">
        <f t="shared" si="0"/>
        <v>3.83</v>
      </c>
      <c r="J106" s="67">
        <f t="shared" si="0"/>
        <v>0.18</v>
      </c>
      <c r="K106" s="67">
        <f t="shared" si="0"/>
        <v>130.41</v>
      </c>
      <c r="L106" s="67">
        <f t="shared" si="0"/>
        <v>28.26</v>
      </c>
      <c r="M106" s="67">
        <f t="shared" si="0"/>
        <v>27.29</v>
      </c>
      <c r="N106" s="67">
        <f t="shared" si="0"/>
        <v>28</v>
      </c>
      <c r="O106" s="67">
        <f t="shared" si="0"/>
        <v>0</v>
      </c>
      <c r="P106" s="67">
        <f t="shared" si="0"/>
        <v>0.17</v>
      </c>
      <c r="Q106" s="67">
        <f t="shared" si="0"/>
        <v>9.42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14.48</v>
      </c>
      <c r="C107" s="66">
        <f t="shared" ref="C107:Q107" si="1">MAX(C9:C104)</f>
        <v>32.61</v>
      </c>
      <c r="D107" s="66">
        <f t="shared" si="1"/>
        <v>43.52</v>
      </c>
      <c r="E107" s="66">
        <f t="shared" si="1"/>
        <v>7.85</v>
      </c>
      <c r="F107" s="66">
        <f t="shared" si="1"/>
        <v>123.54</v>
      </c>
      <c r="G107" s="66">
        <f t="shared" si="1"/>
        <v>49.64</v>
      </c>
      <c r="H107" s="66">
        <f t="shared" si="1"/>
        <v>16.09</v>
      </c>
      <c r="I107" s="66">
        <f t="shared" si="1"/>
        <v>4.22</v>
      </c>
      <c r="J107" s="66">
        <f t="shared" si="1"/>
        <v>2.71</v>
      </c>
      <c r="K107" s="66">
        <f t="shared" si="1"/>
        <v>270.01</v>
      </c>
      <c r="L107" s="66">
        <f t="shared" si="1"/>
        <v>42.05</v>
      </c>
      <c r="M107" s="66">
        <f t="shared" si="1"/>
        <v>64.400000000000006</v>
      </c>
      <c r="N107" s="66">
        <f t="shared" si="1"/>
        <v>919.2</v>
      </c>
      <c r="O107" s="66">
        <f t="shared" si="1"/>
        <v>0</v>
      </c>
      <c r="P107" s="66">
        <f t="shared" si="1"/>
        <v>4.4800000000000004</v>
      </c>
      <c r="Q107" s="66">
        <f t="shared" si="1"/>
        <v>9.59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7.4141489361702098</v>
      </c>
      <c r="C108" s="67">
        <f t="shared" ref="C108:Q108" si="2">AVERAGE(C9:C104)</f>
        <v>24.477659574468081</v>
      </c>
      <c r="D108" s="67">
        <f t="shared" si="2"/>
        <v>33.789255319148943</v>
      </c>
      <c r="E108" s="67">
        <f t="shared" si="2"/>
        <v>5.790760869565216</v>
      </c>
      <c r="F108" s="67">
        <f t="shared" si="2"/>
        <v>13.801875000000001</v>
      </c>
      <c r="G108" s="67">
        <f t="shared" si="2"/>
        <v>34.835760869565235</v>
      </c>
      <c r="H108" s="67">
        <f t="shared" si="2"/>
        <v>10.445652173913047</v>
      </c>
      <c r="I108" s="67">
        <f t="shared" si="2"/>
        <v>4.0098958333333332</v>
      </c>
      <c r="J108" s="67">
        <f t="shared" si="2"/>
        <v>0.85562499999999997</v>
      </c>
      <c r="K108" s="67">
        <f t="shared" si="2"/>
        <v>195.47364583333342</v>
      </c>
      <c r="L108" s="67">
        <f t="shared" si="2"/>
        <v>33.578020833333333</v>
      </c>
      <c r="M108" s="67">
        <f t="shared" si="2"/>
        <v>47.159270833333323</v>
      </c>
      <c r="N108" s="67">
        <f t="shared" si="2"/>
        <v>269.7864583333332</v>
      </c>
      <c r="O108" s="67">
        <f t="shared" si="2"/>
        <v>0</v>
      </c>
      <c r="P108" s="67">
        <f t="shared" si="2"/>
        <v>0.33395833333333319</v>
      </c>
      <c r="Q108" s="67">
        <f t="shared" si="2"/>
        <v>9.5238541666666645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3.2865942792006115</v>
      </c>
      <c r="C109" s="67">
        <f t="shared" ref="C109:Q109" si="3">STDEV(C9:C104)</f>
        <v>3.7167841995588278</v>
      </c>
      <c r="D109" s="67">
        <f t="shared" si="3"/>
        <v>5.3476436855753899</v>
      </c>
      <c r="E109" s="67">
        <f t="shared" si="3"/>
        <v>1.0633414405125639</v>
      </c>
      <c r="F109" s="67">
        <f t="shared" si="3"/>
        <v>22.061677719878634</v>
      </c>
      <c r="G109" s="67">
        <f t="shared" si="3"/>
        <v>7.3687839117314162</v>
      </c>
      <c r="H109" s="67">
        <f t="shared" si="3"/>
        <v>2.4328422776696925</v>
      </c>
      <c r="I109" s="67">
        <f t="shared" si="3"/>
        <v>8.9248261568405138E-2</v>
      </c>
      <c r="J109" s="67">
        <f t="shared" si="3"/>
        <v>0.48423528969858654</v>
      </c>
      <c r="K109" s="67">
        <f t="shared" si="3"/>
        <v>36.733766027566077</v>
      </c>
      <c r="L109" s="67">
        <f t="shared" si="3"/>
        <v>4.2011416041962821</v>
      </c>
      <c r="M109" s="67">
        <f t="shared" si="3"/>
        <v>10.640981379829466</v>
      </c>
      <c r="N109" s="67">
        <f t="shared" si="3"/>
        <v>318.51027963904971</v>
      </c>
      <c r="O109" s="67">
        <f t="shared" si="3"/>
        <v>0</v>
      </c>
      <c r="P109" s="67">
        <f t="shared" si="3"/>
        <v>0.43196607850901464</v>
      </c>
      <c r="Q109" s="67">
        <f t="shared" si="3"/>
        <v>3.979869851526275E-2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COUNT(B9:B104)+2</f>
        <v>96</v>
      </c>
      <c r="C110" s="66">
        <f t="shared" ref="C110:D110" si="4">COUNT(C9:C104)+2</f>
        <v>96</v>
      </c>
      <c r="D110" s="66">
        <f t="shared" si="4"/>
        <v>96</v>
      </c>
      <c r="E110" s="66">
        <f>COUNT(E9:E104)+4</f>
        <v>96</v>
      </c>
      <c r="F110" s="66">
        <f t="shared" ref="F110:Q110" si="5">COUNT(F9:F104)</f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8" sqref="G12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1014</v>
      </c>
      <c r="B9" s="64">
        <v>7.03</v>
      </c>
      <c r="C9" s="64">
        <v>26.03</v>
      </c>
      <c r="D9" s="64">
        <v>39.03</v>
      </c>
      <c r="E9" s="64">
        <v>3.76</v>
      </c>
      <c r="F9" s="64">
        <v>2.0499999999999998</v>
      </c>
      <c r="G9" s="64">
        <v>28.43</v>
      </c>
      <c r="H9" s="64">
        <v>8.7100000000000009</v>
      </c>
      <c r="I9" s="64">
        <v>4.1100000000000003</v>
      </c>
      <c r="J9" s="64">
        <v>0.78</v>
      </c>
      <c r="K9" s="64">
        <v>191.99</v>
      </c>
      <c r="L9" s="64">
        <v>29.36</v>
      </c>
      <c r="M9" s="64">
        <v>64.540000000000006</v>
      </c>
      <c r="N9" s="64">
        <v>28.8</v>
      </c>
      <c r="O9" s="64">
        <v>0</v>
      </c>
      <c r="P9" s="64">
        <v>0.3</v>
      </c>
      <c r="Q9" s="64">
        <v>9.52</v>
      </c>
      <c r="R9" s="198"/>
      <c r="S9" s="198"/>
      <c r="T9" s="198"/>
      <c r="U9" s="198"/>
    </row>
    <row r="10" spans="1:21" s="12" customFormat="1" x14ac:dyDescent="0.25">
      <c r="A10" s="214" t="s">
        <v>1015</v>
      </c>
      <c r="B10" s="64">
        <v>6.8</v>
      </c>
      <c r="C10" s="64">
        <v>25.82</v>
      </c>
      <c r="D10" s="64">
        <v>38.979999999999997</v>
      </c>
      <c r="E10" s="64">
        <v>3.98</v>
      </c>
      <c r="F10" s="64">
        <v>1.1200000000000001</v>
      </c>
      <c r="G10" s="64">
        <v>28.43</v>
      </c>
      <c r="H10" s="64">
        <v>8.7100000000000009</v>
      </c>
      <c r="I10" s="64">
        <v>4.08</v>
      </c>
      <c r="J10" s="64">
        <v>0.61</v>
      </c>
      <c r="K10" s="64">
        <v>210.65</v>
      </c>
      <c r="L10" s="64">
        <v>29.16</v>
      </c>
      <c r="M10" s="64">
        <v>65.64</v>
      </c>
      <c r="N10" s="64">
        <v>28.8</v>
      </c>
      <c r="O10" s="64">
        <v>0</v>
      </c>
      <c r="P10" s="64">
        <v>0.3</v>
      </c>
      <c r="Q10" s="64">
        <v>9.52</v>
      </c>
      <c r="R10" s="198"/>
      <c r="S10" s="198"/>
      <c r="T10" s="198"/>
      <c r="U10" s="198"/>
    </row>
    <row r="11" spans="1:21" s="12" customFormat="1" x14ac:dyDescent="0.25">
      <c r="A11" s="214" t="s">
        <v>1016</v>
      </c>
      <c r="B11" s="64">
        <v>6.68</v>
      </c>
      <c r="C11" s="64">
        <v>23.83</v>
      </c>
      <c r="D11" s="64">
        <v>35.36</v>
      </c>
      <c r="E11" s="64">
        <v>3.48</v>
      </c>
      <c r="F11" s="64">
        <v>2.4300000000000002</v>
      </c>
      <c r="G11" s="64">
        <v>28.43</v>
      </c>
      <c r="H11" s="64">
        <v>8.7100000000000009</v>
      </c>
      <c r="I11" s="64">
        <v>4.12</v>
      </c>
      <c r="J11" s="64">
        <v>0.72</v>
      </c>
      <c r="K11" s="64">
        <v>212.54</v>
      </c>
      <c r="L11" s="64">
        <v>28.87</v>
      </c>
      <c r="M11" s="64">
        <v>67.55</v>
      </c>
      <c r="N11" s="64">
        <v>28.8</v>
      </c>
      <c r="O11" s="64">
        <v>0</v>
      </c>
      <c r="P11" s="64">
        <v>0.28999999999999998</v>
      </c>
      <c r="Q11" s="64">
        <v>9.5299999999999994</v>
      </c>
      <c r="R11" s="198"/>
      <c r="S11" s="198"/>
      <c r="T11" s="198"/>
      <c r="U11" s="198"/>
    </row>
    <row r="12" spans="1:21" s="12" customFormat="1" x14ac:dyDescent="0.25">
      <c r="A12" s="214" t="s">
        <v>1017</v>
      </c>
      <c r="B12" s="64">
        <v>6.6</v>
      </c>
      <c r="C12" s="64">
        <v>24.59</v>
      </c>
      <c r="D12" s="64">
        <v>36.950000000000003</v>
      </c>
      <c r="E12" s="64">
        <v>3.84</v>
      </c>
      <c r="F12" s="64">
        <v>1.69</v>
      </c>
      <c r="G12" s="64">
        <v>28.03</v>
      </c>
      <c r="H12" s="64">
        <v>8.67</v>
      </c>
      <c r="I12" s="64">
        <v>4.07</v>
      </c>
      <c r="J12" s="64">
        <v>0.66</v>
      </c>
      <c r="K12" s="64">
        <v>204.11</v>
      </c>
      <c r="L12" s="64">
        <v>28.41</v>
      </c>
      <c r="M12" s="64">
        <v>71.290000000000006</v>
      </c>
      <c r="N12" s="64">
        <v>28.9</v>
      </c>
      <c r="O12" s="64">
        <v>0</v>
      </c>
      <c r="P12" s="64">
        <v>0.28999999999999998</v>
      </c>
      <c r="Q12" s="64">
        <v>9.5299999999999994</v>
      </c>
      <c r="R12" s="198"/>
      <c r="S12" s="198"/>
      <c r="T12" s="198"/>
      <c r="U12" s="198"/>
    </row>
    <row r="13" spans="1:21" s="12" customFormat="1" x14ac:dyDescent="0.25">
      <c r="A13" s="214" t="s">
        <v>1018</v>
      </c>
      <c r="B13" s="64">
        <v>6.55</v>
      </c>
      <c r="C13" s="64">
        <v>23.71</v>
      </c>
      <c r="D13" s="64">
        <v>35.340000000000003</v>
      </c>
      <c r="E13" s="64">
        <v>3.46</v>
      </c>
      <c r="F13" s="64">
        <v>1.04</v>
      </c>
      <c r="G13" s="64">
        <v>22.47</v>
      </c>
      <c r="H13" s="64">
        <v>8.14</v>
      </c>
      <c r="I13" s="64">
        <v>4.0199999999999996</v>
      </c>
      <c r="J13" s="64">
        <v>0.46</v>
      </c>
      <c r="K13" s="64">
        <v>203.85</v>
      </c>
      <c r="L13" s="64">
        <v>28.1</v>
      </c>
      <c r="M13" s="64">
        <v>74.67</v>
      </c>
      <c r="N13" s="64">
        <v>28.7</v>
      </c>
      <c r="O13" s="64">
        <v>0</v>
      </c>
      <c r="P13" s="64">
        <v>0.28999999999999998</v>
      </c>
      <c r="Q13" s="64">
        <v>9.5399999999999991</v>
      </c>
      <c r="R13" s="198"/>
      <c r="S13" s="198"/>
      <c r="T13" s="198"/>
      <c r="U13" s="198"/>
    </row>
    <row r="14" spans="1:21" s="12" customFormat="1" x14ac:dyDescent="0.25">
      <c r="A14" s="214" t="s">
        <v>1019</v>
      </c>
      <c r="B14" s="64">
        <v>6.7</v>
      </c>
      <c r="C14" s="64">
        <v>24.34</v>
      </c>
      <c r="D14" s="64">
        <v>36.29</v>
      </c>
      <c r="E14" s="64">
        <v>3.62</v>
      </c>
      <c r="F14" s="64">
        <v>1.46</v>
      </c>
      <c r="G14" s="64">
        <v>22.47</v>
      </c>
      <c r="H14" s="64">
        <v>8.14</v>
      </c>
      <c r="I14" s="64">
        <v>3.91</v>
      </c>
      <c r="J14" s="64">
        <v>0.61</v>
      </c>
      <c r="K14" s="64">
        <v>194.91</v>
      </c>
      <c r="L14" s="64">
        <v>27.97</v>
      </c>
      <c r="M14" s="64">
        <v>75.52</v>
      </c>
      <c r="N14" s="64">
        <v>28.4</v>
      </c>
      <c r="O14" s="64">
        <v>0</v>
      </c>
      <c r="P14" s="64">
        <v>0.31</v>
      </c>
      <c r="Q14" s="64">
        <v>9.57</v>
      </c>
      <c r="R14" s="198"/>
      <c r="S14" s="198"/>
      <c r="T14" s="198"/>
      <c r="U14" s="198"/>
    </row>
    <row r="15" spans="1:21" s="12" customFormat="1" x14ac:dyDescent="0.25">
      <c r="A15" s="214" t="s">
        <v>1020</v>
      </c>
      <c r="B15" s="64">
        <v>6.93</v>
      </c>
      <c r="C15" s="64">
        <v>23.63</v>
      </c>
      <c r="D15" s="64">
        <v>34.58</v>
      </c>
      <c r="E15" s="64">
        <v>3.85</v>
      </c>
      <c r="F15" s="64">
        <v>1.59</v>
      </c>
      <c r="G15" s="64">
        <v>22.47</v>
      </c>
      <c r="H15" s="64">
        <v>8.14</v>
      </c>
      <c r="I15" s="64">
        <v>3.93</v>
      </c>
      <c r="J15" s="64">
        <v>0.48</v>
      </c>
      <c r="K15" s="64">
        <v>230.31</v>
      </c>
      <c r="L15" s="64">
        <v>27.93</v>
      </c>
      <c r="M15" s="64">
        <v>75.13</v>
      </c>
      <c r="N15" s="64">
        <v>28.5</v>
      </c>
      <c r="O15" s="64">
        <v>0</v>
      </c>
      <c r="P15" s="64">
        <v>0.32</v>
      </c>
      <c r="Q15" s="64">
        <v>9.56</v>
      </c>
      <c r="R15" s="198"/>
      <c r="S15" s="198"/>
      <c r="T15" s="198"/>
      <c r="U15" s="198"/>
    </row>
    <row r="16" spans="1:21" s="12" customFormat="1" x14ac:dyDescent="0.25">
      <c r="A16" s="214" t="s">
        <v>1021</v>
      </c>
      <c r="B16" s="64">
        <v>6.81</v>
      </c>
      <c r="C16" s="64">
        <v>23.53</v>
      </c>
      <c r="D16" s="64">
        <v>34.590000000000003</v>
      </c>
      <c r="E16" s="64">
        <v>3.52</v>
      </c>
      <c r="F16" s="64">
        <v>1.85</v>
      </c>
      <c r="G16" s="64">
        <v>22.5</v>
      </c>
      <c r="H16" s="64">
        <v>7.99</v>
      </c>
      <c r="I16" s="64">
        <v>3.97</v>
      </c>
      <c r="J16" s="64">
        <v>0.41</v>
      </c>
      <c r="K16" s="64">
        <v>235.09</v>
      </c>
      <c r="L16" s="64">
        <v>27.89</v>
      </c>
      <c r="M16" s="64">
        <v>74.83</v>
      </c>
      <c r="N16" s="64">
        <v>28.4</v>
      </c>
      <c r="O16" s="64">
        <v>0</v>
      </c>
      <c r="P16" s="64">
        <v>0.3</v>
      </c>
      <c r="Q16" s="64">
        <v>9.56</v>
      </c>
      <c r="R16" s="198"/>
      <c r="S16" s="198"/>
      <c r="T16" s="198"/>
      <c r="U16" s="198"/>
    </row>
    <row r="17" spans="1:21" s="12" customFormat="1" x14ac:dyDescent="0.25">
      <c r="A17" s="214" t="s">
        <v>1022</v>
      </c>
      <c r="B17" s="64">
        <v>7.03</v>
      </c>
      <c r="C17" s="64">
        <v>23.29</v>
      </c>
      <c r="D17" s="64">
        <v>33.79</v>
      </c>
      <c r="E17" s="64">
        <v>3.29</v>
      </c>
      <c r="F17" s="64">
        <v>1.72</v>
      </c>
      <c r="G17" s="64">
        <v>22.9</v>
      </c>
      <c r="H17" s="64">
        <v>5.91</v>
      </c>
      <c r="I17" s="64">
        <v>4</v>
      </c>
      <c r="J17" s="64">
        <v>0.39</v>
      </c>
      <c r="K17" s="64">
        <v>249.87</v>
      </c>
      <c r="L17" s="64">
        <v>27.77</v>
      </c>
      <c r="M17" s="64">
        <v>75.73</v>
      </c>
      <c r="N17" s="64">
        <v>28.5</v>
      </c>
      <c r="O17" s="64">
        <v>0</v>
      </c>
      <c r="P17" s="64">
        <v>0.33</v>
      </c>
      <c r="Q17" s="64">
        <v>9.56</v>
      </c>
      <c r="R17" s="198"/>
      <c r="S17" s="198"/>
      <c r="T17" s="198"/>
      <c r="U17" s="198"/>
    </row>
    <row r="18" spans="1:21" s="12" customFormat="1" x14ac:dyDescent="0.25">
      <c r="A18" s="214" t="s">
        <v>1023</v>
      </c>
      <c r="B18" s="64">
        <v>7.21</v>
      </c>
      <c r="C18" s="64">
        <v>24.13</v>
      </c>
      <c r="D18" s="64">
        <v>35.119999999999997</v>
      </c>
      <c r="E18" s="64">
        <v>3.7</v>
      </c>
      <c r="F18" s="64">
        <v>1.99</v>
      </c>
      <c r="G18" s="64">
        <v>22.9</v>
      </c>
      <c r="H18" s="64">
        <v>5.91</v>
      </c>
      <c r="I18" s="64">
        <v>4.01</v>
      </c>
      <c r="J18" s="64">
        <v>0.7</v>
      </c>
      <c r="K18" s="64">
        <v>257.25</v>
      </c>
      <c r="L18" s="64">
        <v>27.65</v>
      </c>
      <c r="M18" s="64">
        <v>77.09</v>
      </c>
      <c r="N18" s="64">
        <v>28</v>
      </c>
      <c r="O18" s="64">
        <v>0</v>
      </c>
      <c r="P18" s="64">
        <v>0.3</v>
      </c>
      <c r="Q18" s="64">
        <v>9.58</v>
      </c>
      <c r="R18" s="198"/>
      <c r="S18" s="198"/>
      <c r="T18" s="198"/>
      <c r="U18" s="198"/>
    </row>
    <row r="19" spans="1:21" s="12" customFormat="1" x14ac:dyDescent="0.25">
      <c r="A19" s="214" t="s">
        <v>1024</v>
      </c>
      <c r="B19" s="64">
        <v>8.7899999999999991</v>
      </c>
      <c r="C19" s="64">
        <v>23.7</v>
      </c>
      <c r="D19" s="64">
        <v>31.88</v>
      </c>
      <c r="E19" s="64">
        <v>3.98</v>
      </c>
      <c r="F19" s="64">
        <v>3.12</v>
      </c>
      <c r="G19" s="64">
        <v>22.9</v>
      </c>
      <c r="H19" s="64">
        <v>5.91</v>
      </c>
      <c r="I19" s="64">
        <v>4.09</v>
      </c>
      <c r="J19" s="64">
        <v>0.64</v>
      </c>
      <c r="K19" s="64">
        <v>257.49</v>
      </c>
      <c r="L19" s="64">
        <v>27.66</v>
      </c>
      <c r="M19" s="64">
        <v>76.540000000000006</v>
      </c>
      <c r="N19" s="64">
        <v>28.2</v>
      </c>
      <c r="O19" s="64">
        <v>0</v>
      </c>
      <c r="P19" s="64">
        <v>0.28999999999999998</v>
      </c>
      <c r="Q19" s="64">
        <v>9.57</v>
      </c>
      <c r="R19" s="198"/>
      <c r="S19" s="198"/>
      <c r="T19" s="198"/>
      <c r="U19" s="198"/>
    </row>
    <row r="20" spans="1:21" s="12" customFormat="1" x14ac:dyDescent="0.25">
      <c r="A20" s="214" t="s">
        <v>1025</v>
      </c>
      <c r="B20" s="64">
        <v>8.86</v>
      </c>
      <c r="C20" s="64">
        <v>23.78</v>
      </c>
      <c r="D20" s="64">
        <v>31.9</v>
      </c>
      <c r="E20" s="64">
        <v>3.62</v>
      </c>
      <c r="F20" s="64">
        <v>4.2</v>
      </c>
      <c r="G20" s="64">
        <v>22.56</v>
      </c>
      <c r="H20" s="64">
        <v>5.89</v>
      </c>
      <c r="I20" s="64">
        <v>4.07</v>
      </c>
      <c r="J20" s="64">
        <v>0.49</v>
      </c>
      <c r="K20" s="64">
        <v>259.64</v>
      </c>
      <c r="L20" s="64">
        <v>27.58</v>
      </c>
      <c r="M20" s="64">
        <v>77.349999999999994</v>
      </c>
      <c r="N20" s="64">
        <v>28.5</v>
      </c>
      <c r="O20" s="64">
        <v>0</v>
      </c>
      <c r="P20" s="64">
        <v>0.28999999999999998</v>
      </c>
      <c r="Q20" s="64">
        <v>9.5399999999999991</v>
      </c>
      <c r="R20" s="198"/>
      <c r="S20" s="198"/>
      <c r="T20" s="198"/>
      <c r="U20" s="198"/>
    </row>
    <row r="21" spans="1:21" s="12" customFormat="1" x14ac:dyDescent="0.25">
      <c r="A21" s="214" t="s">
        <v>1026</v>
      </c>
      <c r="B21" s="64">
        <v>7.15</v>
      </c>
      <c r="C21" s="64">
        <v>20.97</v>
      </c>
      <c r="D21" s="64">
        <v>29.16</v>
      </c>
      <c r="E21" s="64">
        <v>3.68</v>
      </c>
      <c r="F21" s="64">
        <v>5.47</v>
      </c>
      <c r="G21" s="64">
        <v>17.690000000000001</v>
      </c>
      <c r="H21" s="64">
        <v>5.58</v>
      </c>
      <c r="I21" s="64">
        <v>3.9</v>
      </c>
      <c r="J21" s="64">
        <v>0.12</v>
      </c>
      <c r="K21" s="64">
        <v>227.99</v>
      </c>
      <c r="L21" s="64">
        <v>27.56</v>
      </c>
      <c r="M21" s="64">
        <v>75.02</v>
      </c>
      <c r="N21" s="64">
        <v>28.5</v>
      </c>
      <c r="O21" s="64">
        <v>0</v>
      </c>
      <c r="P21" s="64">
        <v>0.28000000000000003</v>
      </c>
      <c r="Q21" s="64">
        <v>9.5299999999999994</v>
      </c>
      <c r="R21" s="198"/>
      <c r="S21" s="198"/>
      <c r="T21" s="198"/>
      <c r="U21" s="198"/>
    </row>
    <row r="22" spans="1:21" s="12" customFormat="1" x14ac:dyDescent="0.25">
      <c r="A22" s="214" t="s">
        <v>1027</v>
      </c>
      <c r="B22" s="64">
        <v>6.69</v>
      </c>
      <c r="C22" s="64">
        <v>22.42</v>
      </c>
      <c r="D22" s="64">
        <v>32.64</v>
      </c>
      <c r="E22" s="64">
        <v>3.87</v>
      </c>
      <c r="F22" s="64">
        <v>5.29</v>
      </c>
      <c r="G22" s="64">
        <v>17.690000000000001</v>
      </c>
      <c r="H22" s="64">
        <v>5.58</v>
      </c>
      <c r="I22" s="64">
        <v>4.0599999999999996</v>
      </c>
      <c r="J22" s="64">
        <v>0.09</v>
      </c>
      <c r="K22" s="64">
        <v>11.86</v>
      </c>
      <c r="L22" s="64">
        <v>27.61</v>
      </c>
      <c r="M22" s="64">
        <v>73.48</v>
      </c>
      <c r="N22" s="64">
        <v>28.6</v>
      </c>
      <c r="O22" s="64">
        <v>0</v>
      </c>
      <c r="P22" s="64">
        <v>0.27</v>
      </c>
      <c r="Q22" s="64">
        <v>9.5299999999999994</v>
      </c>
      <c r="R22" s="198"/>
      <c r="S22" s="198"/>
      <c r="T22" s="198"/>
      <c r="U22" s="198"/>
    </row>
    <row r="23" spans="1:21" s="12" customFormat="1" x14ac:dyDescent="0.25">
      <c r="A23" s="214" t="s">
        <v>1028</v>
      </c>
      <c r="B23" s="64">
        <v>9.86</v>
      </c>
      <c r="C23" s="64">
        <v>27.12</v>
      </c>
      <c r="D23" s="64">
        <v>36.770000000000003</v>
      </c>
      <c r="E23" s="64">
        <v>3.65</v>
      </c>
      <c r="F23" s="64">
        <v>4.68</v>
      </c>
      <c r="G23" s="64">
        <v>17.690000000000001</v>
      </c>
      <c r="H23" s="64">
        <v>5.58</v>
      </c>
      <c r="I23" s="64">
        <v>4.0599999999999996</v>
      </c>
      <c r="J23" s="64">
        <v>0.21</v>
      </c>
      <c r="K23" s="64">
        <v>291.47000000000003</v>
      </c>
      <c r="L23" s="64">
        <v>27.46</v>
      </c>
      <c r="M23" s="64">
        <v>77.86</v>
      </c>
      <c r="N23" s="64">
        <v>28.7</v>
      </c>
      <c r="O23" s="64">
        <v>0</v>
      </c>
      <c r="P23" s="64">
        <v>0.28000000000000003</v>
      </c>
      <c r="Q23" s="64">
        <v>9.5299999999999994</v>
      </c>
      <c r="R23" s="198"/>
      <c r="S23" s="198"/>
      <c r="T23" s="198"/>
      <c r="U23" s="198"/>
    </row>
    <row r="24" spans="1:21" s="12" customFormat="1" x14ac:dyDescent="0.25">
      <c r="A24" s="214" t="s">
        <v>1029</v>
      </c>
      <c r="B24" s="64">
        <v>11.25</v>
      </c>
      <c r="C24" s="64">
        <v>32</v>
      </c>
      <c r="D24" s="64">
        <v>43.98</v>
      </c>
      <c r="E24" s="64">
        <v>3.88</v>
      </c>
      <c r="F24" s="64">
        <v>2.96</v>
      </c>
      <c r="G24" s="64">
        <v>18.190000000000001</v>
      </c>
      <c r="H24" s="64">
        <v>5.69</v>
      </c>
      <c r="I24" s="64">
        <v>4.03</v>
      </c>
      <c r="J24" s="64">
        <v>0</v>
      </c>
      <c r="K24" s="64">
        <v>23.19</v>
      </c>
      <c r="L24" s="64">
        <v>27.21</v>
      </c>
      <c r="M24" s="64">
        <v>78.709999999999994</v>
      </c>
      <c r="N24" s="64">
        <v>28.6</v>
      </c>
      <c r="O24" s="64">
        <v>0</v>
      </c>
      <c r="P24" s="64">
        <v>0.3</v>
      </c>
      <c r="Q24" s="64">
        <v>9.5500000000000007</v>
      </c>
      <c r="R24" s="198"/>
      <c r="S24" s="198"/>
      <c r="T24" s="198"/>
      <c r="U24" s="198"/>
    </row>
    <row r="25" spans="1:21" s="12" customFormat="1" x14ac:dyDescent="0.25">
      <c r="A25" s="214" t="s">
        <v>1030</v>
      </c>
      <c r="B25" s="64">
        <v>10.75</v>
      </c>
      <c r="C25" s="64">
        <v>27.14</v>
      </c>
      <c r="D25" s="64">
        <v>35.450000000000003</v>
      </c>
      <c r="E25" s="64">
        <v>4.05</v>
      </c>
      <c r="F25" s="64">
        <v>3.02</v>
      </c>
      <c r="G25" s="64">
        <v>25.14</v>
      </c>
      <c r="H25" s="64">
        <v>7.19</v>
      </c>
      <c r="I25" s="64">
        <v>3.95</v>
      </c>
      <c r="J25" s="64">
        <v>0.51</v>
      </c>
      <c r="K25" s="64">
        <v>259.02</v>
      </c>
      <c r="L25" s="64">
        <v>27.43</v>
      </c>
      <c r="M25" s="64">
        <v>76.849999999999994</v>
      </c>
      <c r="N25" s="64">
        <v>27.8</v>
      </c>
      <c r="O25" s="64">
        <v>0</v>
      </c>
      <c r="P25" s="64">
        <v>0.31</v>
      </c>
      <c r="Q25" s="64">
        <v>9.58</v>
      </c>
      <c r="R25" s="198"/>
      <c r="S25" s="198"/>
      <c r="T25" s="198"/>
      <c r="U25" s="198"/>
    </row>
    <row r="26" spans="1:21" s="12" customFormat="1" x14ac:dyDescent="0.25">
      <c r="A26" s="214" t="s">
        <v>1031</v>
      </c>
      <c r="B26" s="64">
        <v>11.8</v>
      </c>
      <c r="C26" s="64">
        <v>27.86</v>
      </c>
      <c r="D26" s="64">
        <v>35.21</v>
      </c>
      <c r="E26" s="64">
        <v>3.93</v>
      </c>
      <c r="F26" s="64">
        <v>1.83</v>
      </c>
      <c r="G26" s="64">
        <v>25.14</v>
      </c>
      <c r="H26" s="64">
        <v>7.19</v>
      </c>
      <c r="I26" s="64">
        <v>4.1399999999999997</v>
      </c>
      <c r="J26" s="64">
        <v>0.66</v>
      </c>
      <c r="K26" s="64">
        <v>259.24</v>
      </c>
      <c r="L26" s="64">
        <v>27.39</v>
      </c>
      <c r="M26" s="64">
        <v>75.11</v>
      </c>
      <c r="N26" s="64">
        <v>27.9</v>
      </c>
      <c r="O26" s="64">
        <v>0</v>
      </c>
      <c r="P26" s="64">
        <v>0.32</v>
      </c>
      <c r="Q26" s="64">
        <v>9.59</v>
      </c>
      <c r="R26" s="198"/>
      <c r="S26" s="198"/>
      <c r="T26" s="198"/>
      <c r="U26" s="198"/>
    </row>
    <row r="27" spans="1:21" s="12" customFormat="1" x14ac:dyDescent="0.25">
      <c r="A27" s="214" t="s">
        <v>1032</v>
      </c>
      <c r="B27" s="64">
        <v>11.96</v>
      </c>
      <c r="C27" s="64">
        <v>28.85</v>
      </c>
      <c r="D27" s="64">
        <v>36.869999999999997</v>
      </c>
      <c r="E27" s="64">
        <v>3.98</v>
      </c>
      <c r="F27" s="64">
        <v>0.97</v>
      </c>
      <c r="G27" s="64">
        <v>25.14</v>
      </c>
      <c r="H27" s="64">
        <v>7.19</v>
      </c>
      <c r="I27" s="64">
        <v>4.0999999999999996</v>
      </c>
      <c r="J27" s="64">
        <v>0.66</v>
      </c>
      <c r="K27" s="64">
        <v>260.19</v>
      </c>
      <c r="L27" s="64">
        <v>27.49</v>
      </c>
      <c r="M27" s="64">
        <v>74.900000000000006</v>
      </c>
      <c r="N27" s="64">
        <v>28.2</v>
      </c>
      <c r="O27" s="64">
        <v>0</v>
      </c>
      <c r="P27" s="64">
        <v>0.33</v>
      </c>
      <c r="Q27" s="64">
        <v>9.59</v>
      </c>
      <c r="R27" s="198"/>
      <c r="S27" s="198"/>
      <c r="T27" s="198"/>
      <c r="U27" s="198"/>
    </row>
    <row r="28" spans="1:21" s="12" customFormat="1" x14ac:dyDescent="0.25">
      <c r="A28" s="214" t="s">
        <v>1033</v>
      </c>
      <c r="B28" s="64">
        <v>12.05</v>
      </c>
      <c r="C28" s="64">
        <v>29.45</v>
      </c>
      <c r="D28" s="64">
        <v>37.880000000000003</v>
      </c>
      <c r="E28" s="64">
        <v>3.83</v>
      </c>
      <c r="F28" s="64">
        <v>1.45</v>
      </c>
      <c r="G28" s="64">
        <v>25.27</v>
      </c>
      <c r="H28" s="64">
        <v>7.37</v>
      </c>
      <c r="I28" s="64">
        <v>3.97</v>
      </c>
      <c r="J28" s="64">
        <v>7.0000000000000007E-2</v>
      </c>
      <c r="K28" s="64">
        <v>195.85</v>
      </c>
      <c r="L28" s="64">
        <v>27.59</v>
      </c>
      <c r="M28" s="64">
        <v>73.97</v>
      </c>
      <c r="N28" s="64">
        <v>28.6</v>
      </c>
      <c r="O28" s="64">
        <v>0</v>
      </c>
      <c r="P28" s="64">
        <v>0.38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4" t="s">
        <v>1034</v>
      </c>
      <c r="B29" s="64">
        <v>11.4</v>
      </c>
      <c r="C29" s="64">
        <v>35.11</v>
      </c>
      <c r="D29" s="64">
        <v>49.7</v>
      </c>
      <c r="E29" s="64">
        <v>4.05</v>
      </c>
      <c r="F29" s="64">
        <v>1.64</v>
      </c>
      <c r="G29" s="64">
        <v>27.11</v>
      </c>
      <c r="H29" s="64">
        <v>9.8800000000000008</v>
      </c>
      <c r="I29" s="64">
        <v>3.93</v>
      </c>
      <c r="J29" s="64">
        <v>0.17</v>
      </c>
      <c r="K29" s="64">
        <v>87.89</v>
      </c>
      <c r="L29" s="64">
        <v>27.74</v>
      </c>
      <c r="M29" s="64">
        <v>73.17</v>
      </c>
      <c r="N29" s="64">
        <v>28.6</v>
      </c>
      <c r="O29" s="64">
        <v>0</v>
      </c>
      <c r="P29" s="64">
        <v>0.47</v>
      </c>
      <c r="Q29" s="64">
        <v>9.6</v>
      </c>
      <c r="R29" s="198"/>
      <c r="S29" s="198"/>
      <c r="T29" s="198"/>
      <c r="U29" s="198"/>
    </row>
    <row r="30" spans="1:21" s="12" customFormat="1" x14ac:dyDescent="0.25">
      <c r="A30" s="214" t="s">
        <v>1035</v>
      </c>
      <c r="B30" s="64">
        <v>15.73</v>
      </c>
      <c r="C30" s="64">
        <v>38.58</v>
      </c>
      <c r="D30" s="64">
        <v>49.7</v>
      </c>
      <c r="E30" s="64">
        <v>3.85</v>
      </c>
      <c r="F30" s="64">
        <v>0.85</v>
      </c>
      <c r="G30" s="64">
        <v>27.11</v>
      </c>
      <c r="H30" s="64">
        <v>9.8800000000000008</v>
      </c>
      <c r="I30" s="64">
        <v>4.13</v>
      </c>
      <c r="J30" s="64">
        <v>0.5</v>
      </c>
      <c r="K30" s="64">
        <v>99.63</v>
      </c>
      <c r="L30" s="64">
        <v>27.85</v>
      </c>
      <c r="M30" s="64">
        <v>74.430000000000007</v>
      </c>
      <c r="N30" s="64">
        <v>30.5</v>
      </c>
      <c r="O30" s="64">
        <v>0</v>
      </c>
      <c r="P30" s="64">
        <v>0.49</v>
      </c>
      <c r="Q30" s="64">
        <v>9.6</v>
      </c>
      <c r="R30" s="198"/>
      <c r="S30" s="198"/>
      <c r="T30" s="198"/>
      <c r="U30" s="198"/>
    </row>
    <row r="31" spans="1:21" s="12" customFormat="1" x14ac:dyDescent="0.25">
      <c r="A31" s="214" t="s">
        <v>1036</v>
      </c>
      <c r="B31" s="64">
        <v>15.44</v>
      </c>
      <c r="C31" s="64">
        <v>36.24</v>
      </c>
      <c r="D31" s="64">
        <v>45.67</v>
      </c>
      <c r="E31" s="64">
        <v>3.8</v>
      </c>
      <c r="F31" s="64">
        <v>1.18</v>
      </c>
      <c r="G31" s="64">
        <v>27.11</v>
      </c>
      <c r="H31" s="64">
        <v>9.8800000000000008</v>
      </c>
      <c r="I31" s="64">
        <v>4.1100000000000003</v>
      </c>
      <c r="J31" s="64">
        <v>0.18</v>
      </c>
      <c r="K31" s="64">
        <v>56.82</v>
      </c>
      <c r="L31" s="64">
        <v>28.1</v>
      </c>
      <c r="M31" s="64">
        <v>72.790000000000006</v>
      </c>
      <c r="N31" s="64">
        <v>42.7</v>
      </c>
      <c r="O31" s="64">
        <v>0</v>
      </c>
      <c r="P31" s="64">
        <v>0.51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4" t="s">
        <v>1037</v>
      </c>
      <c r="B32" s="64">
        <v>15.06</v>
      </c>
      <c r="C32" s="64">
        <v>35.67</v>
      </c>
      <c r="D32" s="64">
        <v>45.16</v>
      </c>
      <c r="E32" s="64">
        <v>4.17</v>
      </c>
      <c r="F32" s="64">
        <v>0.76</v>
      </c>
      <c r="G32" s="64">
        <v>28.12</v>
      </c>
      <c r="H32" s="64">
        <v>10.029999999999999</v>
      </c>
      <c r="I32" s="64">
        <v>4.04</v>
      </c>
      <c r="J32" s="64">
        <v>0.13</v>
      </c>
      <c r="K32" s="64">
        <v>124.69</v>
      </c>
      <c r="L32" s="64">
        <v>28.19</v>
      </c>
      <c r="M32" s="64">
        <v>74.12</v>
      </c>
      <c r="N32" s="64">
        <v>65.7</v>
      </c>
      <c r="O32" s="64">
        <v>0</v>
      </c>
      <c r="P32" s="64">
        <v>0.53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4" t="s">
        <v>1038</v>
      </c>
      <c r="B33" s="64">
        <v>13.62</v>
      </c>
      <c r="C33" s="64">
        <v>33.1</v>
      </c>
      <c r="D33" s="64">
        <v>42.44</v>
      </c>
      <c r="E33" s="64">
        <v>4.13</v>
      </c>
      <c r="F33" s="64">
        <v>1.48</v>
      </c>
      <c r="G33" s="64">
        <v>42.21</v>
      </c>
      <c r="H33" s="64">
        <v>12.14</v>
      </c>
      <c r="I33" s="64">
        <v>4.01</v>
      </c>
      <c r="J33" s="64">
        <v>0.7</v>
      </c>
      <c r="K33" s="64">
        <v>95.49</v>
      </c>
      <c r="L33" s="64">
        <v>28.76</v>
      </c>
      <c r="M33" s="64">
        <v>71.14</v>
      </c>
      <c r="N33" s="64">
        <v>99.6</v>
      </c>
      <c r="O33" s="64">
        <v>0</v>
      </c>
      <c r="P33" s="64">
        <v>0.47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4" t="s">
        <v>1039</v>
      </c>
      <c r="B34" s="64">
        <v>13.83</v>
      </c>
      <c r="C34" s="64">
        <v>32.69</v>
      </c>
      <c r="D34" s="64">
        <v>41.34</v>
      </c>
      <c r="E34" s="64">
        <v>4.1900000000000004</v>
      </c>
      <c r="F34" s="64">
        <v>1.57</v>
      </c>
      <c r="G34" s="64">
        <v>42.21</v>
      </c>
      <c r="H34" s="64">
        <v>12.14</v>
      </c>
      <c r="I34" s="64">
        <v>3.84</v>
      </c>
      <c r="J34" s="64">
        <v>0.74</v>
      </c>
      <c r="K34" s="64">
        <v>104.44</v>
      </c>
      <c r="L34" s="64">
        <v>29.27</v>
      </c>
      <c r="M34" s="64">
        <v>69.27</v>
      </c>
      <c r="N34" s="64">
        <v>138.1</v>
      </c>
      <c r="O34" s="64">
        <v>0</v>
      </c>
      <c r="P34" s="64">
        <v>0.47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14" t="s">
        <v>1040</v>
      </c>
      <c r="B35" s="64">
        <v>14.94</v>
      </c>
      <c r="C35" s="64">
        <v>35.07</v>
      </c>
      <c r="D35" s="64">
        <v>44.2</v>
      </c>
      <c r="E35" s="64">
        <v>4.2</v>
      </c>
      <c r="F35" s="64">
        <v>1.63</v>
      </c>
      <c r="G35" s="64">
        <v>42.21</v>
      </c>
      <c r="H35" s="64">
        <v>12.14</v>
      </c>
      <c r="I35" s="64">
        <v>3.88</v>
      </c>
      <c r="J35" s="64">
        <v>1</v>
      </c>
      <c r="K35" s="64">
        <v>103.62</v>
      </c>
      <c r="L35" s="64">
        <v>29.56</v>
      </c>
      <c r="M35" s="64">
        <v>67.739999999999995</v>
      </c>
      <c r="N35" s="64">
        <v>180.6</v>
      </c>
      <c r="O35" s="64">
        <v>0</v>
      </c>
      <c r="P35" s="64">
        <v>0.48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14" t="s">
        <v>1041</v>
      </c>
      <c r="B36" s="64">
        <v>12.59</v>
      </c>
      <c r="C36" s="64">
        <v>33.51</v>
      </c>
      <c r="D36" s="64">
        <v>44.82</v>
      </c>
      <c r="E36" s="64">
        <v>4.37</v>
      </c>
      <c r="F36" s="64">
        <v>3.37</v>
      </c>
      <c r="G36" s="64">
        <v>42.47</v>
      </c>
      <c r="H36" s="64">
        <v>12.36</v>
      </c>
      <c r="I36" s="64">
        <v>3.96</v>
      </c>
      <c r="J36" s="64">
        <v>0.37</v>
      </c>
      <c r="K36" s="64">
        <v>113.7</v>
      </c>
      <c r="L36" s="64">
        <v>30.38</v>
      </c>
      <c r="M36" s="64">
        <v>63.98</v>
      </c>
      <c r="N36" s="64">
        <v>222</v>
      </c>
      <c r="O36" s="64">
        <v>0</v>
      </c>
      <c r="P36" s="64">
        <v>0.53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14" t="s">
        <v>1042</v>
      </c>
      <c r="B37" s="64">
        <v>14.51</v>
      </c>
      <c r="C37" s="64">
        <v>37.54</v>
      </c>
      <c r="D37" s="64">
        <v>49.58</v>
      </c>
      <c r="E37" s="64">
        <v>5.0199999999999996</v>
      </c>
      <c r="F37" s="64">
        <v>2.88</v>
      </c>
      <c r="G37" s="64">
        <v>46.19</v>
      </c>
      <c r="H37" s="64">
        <v>15.38</v>
      </c>
      <c r="I37" s="64">
        <v>3.92</v>
      </c>
      <c r="J37" s="64">
        <v>0.61</v>
      </c>
      <c r="K37" s="64">
        <v>138.11000000000001</v>
      </c>
      <c r="L37" s="64">
        <v>31.13</v>
      </c>
      <c r="M37" s="64">
        <v>60.61</v>
      </c>
      <c r="N37" s="64">
        <v>274.3</v>
      </c>
      <c r="O37" s="64">
        <v>0</v>
      </c>
      <c r="P37" s="64">
        <v>0.52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4" t="s">
        <v>1043</v>
      </c>
      <c r="B38" s="64">
        <v>14.19</v>
      </c>
      <c r="C38" s="64">
        <v>34.92</v>
      </c>
      <c r="D38" s="64">
        <v>45.06</v>
      </c>
      <c r="E38" s="64">
        <v>5.63</v>
      </c>
      <c r="F38" s="64">
        <v>3.41</v>
      </c>
      <c r="G38" s="64">
        <v>46.19</v>
      </c>
      <c r="H38" s="64">
        <v>15.38</v>
      </c>
      <c r="I38" s="64">
        <v>4.1100000000000003</v>
      </c>
      <c r="J38" s="64">
        <v>0.56000000000000005</v>
      </c>
      <c r="K38" s="64">
        <v>142.65</v>
      </c>
      <c r="L38" s="64">
        <v>31.69</v>
      </c>
      <c r="M38" s="64">
        <v>58.48</v>
      </c>
      <c r="N38" s="64">
        <v>326.10000000000002</v>
      </c>
      <c r="O38" s="64">
        <v>0</v>
      </c>
      <c r="P38" s="64">
        <v>0.56999999999999995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4" t="s">
        <v>1044</v>
      </c>
      <c r="B39" s="64">
        <v>17.2</v>
      </c>
      <c r="C39" s="64">
        <v>40.96</v>
      </c>
      <c r="D39" s="64">
        <v>52</v>
      </c>
      <c r="E39" s="64">
        <v>5.88</v>
      </c>
      <c r="F39" s="64">
        <v>2.35</v>
      </c>
      <c r="G39" s="64">
        <v>46.19</v>
      </c>
      <c r="H39" s="64">
        <v>15.38</v>
      </c>
      <c r="I39" s="64">
        <v>3.95</v>
      </c>
      <c r="J39" s="64">
        <v>0.76</v>
      </c>
      <c r="K39" s="64">
        <v>144.1</v>
      </c>
      <c r="L39" s="64">
        <v>32.1</v>
      </c>
      <c r="M39" s="64">
        <v>56.65</v>
      </c>
      <c r="N39" s="64">
        <v>241.4</v>
      </c>
      <c r="O39" s="64">
        <v>0</v>
      </c>
      <c r="P39" s="64">
        <v>0.56000000000000005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4" t="s">
        <v>1045</v>
      </c>
      <c r="B40" s="64">
        <v>14.8</v>
      </c>
      <c r="C40" s="64">
        <v>35.979999999999997</v>
      </c>
      <c r="D40" s="64">
        <v>46.16</v>
      </c>
      <c r="E40" s="64">
        <v>5.34</v>
      </c>
      <c r="F40" s="64">
        <v>3.17</v>
      </c>
      <c r="G40" s="64">
        <v>46.98</v>
      </c>
      <c r="H40" s="64">
        <v>15.61</v>
      </c>
      <c r="I40" s="64">
        <v>4.03</v>
      </c>
      <c r="J40" s="64">
        <v>0.91</v>
      </c>
      <c r="K40" s="64">
        <v>162.26</v>
      </c>
      <c r="L40" s="64">
        <v>31.19</v>
      </c>
      <c r="M40" s="64">
        <v>60.7</v>
      </c>
      <c r="N40" s="64">
        <v>267.7</v>
      </c>
      <c r="O40" s="64">
        <v>0</v>
      </c>
      <c r="P40" s="64">
        <v>0.56000000000000005</v>
      </c>
      <c r="Q40" s="64">
        <v>9.6199999999999992</v>
      </c>
      <c r="R40" s="198"/>
      <c r="S40" s="198"/>
      <c r="T40" s="198"/>
      <c r="U40" s="198"/>
    </row>
    <row r="41" spans="1:21" s="12" customFormat="1" x14ac:dyDescent="0.25">
      <c r="A41" s="214" t="s">
        <v>1046</v>
      </c>
      <c r="B41" s="64">
        <v>14.05</v>
      </c>
      <c r="C41" s="64">
        <v>38.68</v>
      </c>
      <c r="D41" s="64">
        <v>52.46</v>
      </c>
      <c r="E41" s="64">
        <v>6.42</v>
      </c>
      <c r="F41" s="64">
        <v>4.08</v>
      </c>
      <c r="G41" s="64">
        <v>57.97</v>
      </c>
      <c r="H41" s="64">
        <v>18.86</v>
      </c>
      <c r="I41" s="64">
        <v>3.93</v>
      </c>
      <c r="J41" s="64">
        <v>0.68</v>
      </c>
      <c r="K41" s="64">
        <v>158.35</v>
      </c>
      <c r="L41" s="64">
        <v>31.76</v>
      </c>
      <c r="M41" s="64">
        <v>57.96</v>
      </c>
      <c r="N41" s="64">
        <v>320.2</v>
      </c>
      <c r="O41" s="64">
        <v>0</v>
      </c>
      <c r="P41" s="64">
        <v>0.56000000000000005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4" t="s">
        <v>1047</v>
      </c>
      <c r="B42" s="64">
        <v>12.43</v>
      </c>
      <c r="C42" s="64">
        <v>35.049999999999997</v>
      </c>
      <c r="D42" s="64">
        <v>48.01</v>
      </c>
      <c r="E42" s="64">
        <v>7.48</v>
      </c>
      <c r="F42" s="64">
        <v>6.44</v>
      </c>
      <c r="G42" s="64">
        <v>57.97</v>
      </c>
      <c r="H42" s="64">
        <v>18.86</v>
      </c>
      <c r="I42" s="64">
        <v>4.01</v>
      </c>
      <c r="J42" s="64">
        <v>0.53</v>
      </c>
      <c r="K42" s="64">
        <v>166.5</v>
      </c>
      <c r="L42" s="64">
        <v>31.89</v>
      </c>
      <c r="M42" s="64">
        <v>56.03</v>
      </c>
      <c r="N42" s="64">
        <v>244.4</v>
      </c>
      <c r="O42" s="64">
        <v>0</v>
      </c>
      <c r="P42" s="64">
        <v>0.56000000000000005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4" t="s">
        <v>1048</v>
      </c>
      <c r="B43" s="64">
        <v>13.86</v>
      </c>
      <c r="C43" s="64">
        <v>35.24</v>
      </c>
      <c r="D43" s="64">
        <v>46.17</v>
      </c>
      <c r="E43" s="64">
        <v>6.89</v>
      </c>
      <c r="F43" s="64">
        <v>2.73</v>
      </c>
      <c r="G43" s="64">
        <v>57.97</v>
      </c>
      <c r="H43" s="64">
        <v>18.86</v>
      </c>
      <c r="I43" s="64">
        <v>3.99</v>
      </c>
      <c r="J43" s="64">
        <v>0.72</v>
      </c>
      <c r="K43" s="64">
        <v>152.97999999999999</v>
      </c>
      <c r="L43" s="64">
        <v>32.49</v>
      </c>
      <c r="M43" s="64">
        <v>53.43</v>
      </c>
      <c r="N43" s="64">
        <v>490.3</v>
      </c>
      <c r="O43" s="64">
        <v>0</v>
      </c>
      <c r="P43" s="64">
        <v>0.53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4" t="s">
        <v>1049</v>
      </c>
      <c r="B44" s="64">
        <v>15.44</v>
      </c>
      <c r="C44" s="64">
        <v>36.33</v>
      </c>
      <c r="D44" s="64">
        <v>45.85</v>
      </c>
      <c r="E44" s="64">
        <v>6.14</v>
      </c>
      <c r="F44" s="64">
        <v>0.84</v>
      </c>
      <c r="G44" s="64">
        <v>57.78</v>
      </c>
      <c r="H44" s="64">
        <v>18.84</v>
      </c>
      <c r="I44" s="64">
        <v>4.09</v>
      </c>
      <c r="J44" s="64">
        <v>1.02</v>
      </c>
      <c r="K44" s="64">
        <v>151.11000000000001</v>
      </c>
      <c r="L44" s="64">
        <v>33.65</v>
      </c>
      <c r="M44" s="64">
        <v>50.17</v>
      </c>
      <c r="N44" s="64">
        <v>619.4</v>
      </c>
      <c r="O44" s="64">
        <v>0</v>
      </c>
      <c r="P44" s="64">
        <v>0.53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4" t="s">
        <v>1050</v>
      </c>
      <c r="B45" s="64">
        <v>15.16</v>
      </c>
      <c r="C45" s="64">
        <v>35.47</v>
      </c>
      <c r="D45" s="64">
        <v>44.63</v>
      </c>
      <c r="E45" s="64">
        <v>5.35</v>
      </c>
      <c r="F45" s="64">
        <v>2.19</v>
      </c>
      <c r="G45" s="64">
        <v>55.08</v>
      </c>
      <c r="H45" s="64">
        <v>18.670000000000002</v>
      </c>
      <c r="I45" s="64">
        <v>3.9</v>
      </c>
      <c r="J45" s="64">
        <v>0.77</v>
      </c>
      <c r="K45" s="64">
        <v>163.34</v>
      </c>
      <c r="L45" s="64">
        <v>34.01</v>
      </c>
      <c r="M45" s="64">
        <v>48.64</v>
      </c>
      <c r="N45" s="64">
        <v>489.2</v>
      </c>
      <c r="O45" s="64">
        <v>0</v>
      </c>
      <c r="P45" s="64">
        <v>0.54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4" t="s">
        <v>1051</v>
      </c>
      <c r="B46" s="64">
        <v>14.52</v>
      </c>
      <c r="C46" s="64">
        <v>34.21</v>
      </c>
      <c r="D46" s="64">
        <v>43.19</v>
      </c>
      <c r="E46" s="64">
        <v>6.09</v>
      </c>
      <c r="F46" s="64">
        <v>1.1399999999999999</v>
      </c>
      <c r="G46" s="64">
        <v>55.08</v>
      </c>
      <c r="H46" s="64">
        <v>18.670000000000002</v>
      </c>
      <c r="I46" s="64">
        <v>4.0999999999999996</v>
      </c>
      <c r="J46" s="64">
        <v>1.04</v>
      </c>
      <c r="K46" s="64">
        <v>159.56</v>
      </c>
      <c r="L46" s="64">
        <v>33.65</v>
      </c>
      <c r="M46" s="64">
        <v>48.13</v>
      </c>
      <c r="N46" s="64">
        <v>482.5</v>
      </c>
      <c r="O46" s="64">
        <v>0</v>
      </c>
      <c r="P46" s="64">
        <v>0.56999999999999995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4" t="s">
        <v>1052</v>
      </c>
      <c r="B47" s="64">
        <v>13.22</v>
      </c>
      <c r="C47" s="64">
        <v>33.79</v>
      </c>
      <c r="D47" s="64">
        <v>44.38</v>
      </c>
      <c r="E47" s="64">
        <v>5.18</v>
      </c>
      <c r="F47" s="64">
        <v>1.52</v>
      </c>
      <c r="G47" s="64">
        <v>55.08</v>
      </c>
      <c r="H47" s="64">
        <v>18.670000000000002</v>
      </c>
      <c r="I47" s="64">
        <v>4.0599999999999996</v>
      </c>
      <c r="J47" s="64">
        <v>0.91</v>
      </c>
      <c r="K47" s="64">
        <v>171.01</v>
      </c>
      <c r="L47" s="64">
        <v>34.15</v>
      </c>
      <c r="M47" s="64">
        <v>45.98</v>
      </c>
      <c r="N47" s="64">
        <v>678.9</v>
      </c>
      <c r="O47" s="64">
        <v>0</v>
      </c>
      <c r="P47" s="64">
        <v>0.56999999999999995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4" t="s">
        <v>1053</v>
      </c>
      <c r="B48" s="64">
        <v>11.21</v>
      </c>
      <c r="C48" s="64">
        <v>29.61</v>
      </c>
      <c r="D48" s="64">
        <v>39.47</v>
      </c>
      <c r="E48" s="64">
        <v>5.03</v>
      </c>
      <c r="F48" s="64">
        <v>2.23</v>
      </c>
      <c r="G48" s="64">
        <v>54.33</v>
      </c>
      <c r="H48" s="64">
        <v>18.3</v>
      </c>
      <c r="I48" s="64">
        <v>3.95</v>
      </c>
      <c r="J48" s="64">
        <v>0.56000000000000005</v>
      </c>
      <c r="K48" s="64">
        <v>180.64</v>
      </c>
      <c r="L48" s="64">
        <v>34.96</v>
      </c>
      <c r="M48" s="64">
        <v>44.48</v>
      </c>
      <c r="N48" s="64">
        <v>595.29999999999995</v>
      </c>
      <c r="O48" s="64">
        <v>0</v>
      </c>
      <c r="P48" s="64">
        <v>0.55000000000000004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4" t="s">
        <v>1054</v>
      </c>
      <c r="B49" s="64">
        <v>10.47</v>
      </c>
      <c r="C49" s="64">
        <v>31.16</v>
      </c>
      <c r="D49" s="64">
        <v>43.57</v>
      </c>
      <c r="E49" s="64">
        <v>4.74</v>
      </c>
      <c r="F49" s="64">
        <v>1.76</v>
      </c>
      <c r="G49" s="64">
        <v>43.79</v>
      </c>
      <c r="H49" s="64">
        <v>13.08</v>
      </c>
      <c r="I49" s="64">
        <v>3.98</v>
      </c>
      <c r="J49" s="64">
        <v>0.79</v>
      </c>
      <c r="K49" s="64">
        <v>208.65</v>
      </c>
      <c r="L49" s="64">
        <v>35.619999999999997</v>
      </c>
      <c r="M49" s="64">
        <v>40.880000000000003</v>
      </c>
      <c r="N49" s="64">
        <v>740.1</v>
      </c>
      <c r="O49" s="64">
        <v>0</v>
      </c>
      <c r="P49" s="64">
        <v>0.55000000000000004</v>
      </c>
      <c r="Q49" s="64">
        <v>9.6</v>
      </c>
      <c r="R49" s="198"/>
      <c r="S49" s="198"/>
      <c r="T49" s="198"/>
      <c r="U49" s="198"/>
    </row>
    <row r="50" spans="1:21" s="12" customFormat="1" x14ac:dyDescent="0.25">
      <c r="A50" s="214" t="s">
        <v>1055</v>
      </c>
      <c r="B50" s="64">
        <v>9.02</v>
      </c>
      <c r="C50" s="64">
        <v>27.98</v>
      </c>
      <c r="D50" s="64">
        <v>39.71</v>
      </c>
      <c r="E50" s="64">
        <v>4.49</v>
      </c>
      <c r="F50" s="64">
        <v>4.01</v>
      </c>
      <c r="G50" s="64">
        <v>43.79</v>
      </c>
      <c r="H50" s="64">
        <v>13.08</v>
      </c>
      <c r="I50" s="64">
        <v>3.96</v>
      </c>
      <c r="J50" s="64">
        <v>0.86</v>
      </c>
      <c r="K50" s="64">
        <v>170.53</v>
      </c>
      <c r="L50" s="64">
        <v>35.93</v>
      </c>
      <c r="M50" s="64">
        <v>40.68</v>
      </c>
      <c r="N50" s="64">
        <v>895.8</v>
      </c>
      <c r="O50" s="64">
        <v>0</v>
      </c>
      <c r="P50" s="64">
        <v>0.52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4" t="s">
        <v>1056</v>
      </c>
      <c r="B51" s="64">
        <v>7.83</v>
      </c>
      <c r="C51" s="64">
        <v>26.52</v>
      </c>
      <c r="D51" s="64">
        <v>38.74</v>
      </c>
      <c r="E51" s="64">
        <v>4.99</v>
      </c>
      <c r="F51" s="64">
        <v>3.13</v>
      </c>
      <c r="G51" s="64">
        <v>43.79</v>
      </c>
      <c r="H51" s="64">
        <v>13.08</v>
      </c>
      <c r="I51" s="64">
        <v>3.87</v>
      </c>
      <c r="J51" s="64">
        <v>0.51</v>
      </c>
      <c r="K51" s="64">
        <v>226.11</v>
      </c>
      <c r="L51" s="64">
        <v>37.51</v>
      </c>
      <c r="M51" s="64">
        <v>38.64</v>
      </c>
      <c r="N51" s="64">
        <v>911.4</v>
      </c>
      <c r="O51" s="64">
        <v>0</v>
      </c>
      <c r="P51" s="64">
        <v>0.53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4" t="s">
        <v>1057</v>
      </c>
      <c r="B52" s="64">
        <v>7.79</v>
      </c>
      <c r="C52" s="64">
        <v>30.34</v>
      </c>
      <c r="D52" s="64">
        <v>46.12</v>
      </c>
      <c r="E52" s="64">
        <v>4.88</v>
      </c>
      <c r="F52" s="64">
        <v>3.28</v>
      </c>
      <c r="G52" s="64">
        <v>43.37</v>
      </c>
      <c r="H52" s="64">
        <v>13.13</v>
      </c>
      <c r="I52" s="64">
        <v>3.95</v>
      </c>
      <c r="J52" s="64">
        <v>0.44</v>
      </c>
      <c r="K52" s="64">
        <v>236.04</v>
      </c>
      <c r="L52" s="64">
        <v>39.090000000000003</v>
      </c>
      <c r="M52" s="64">
        <v>35.21</v>
      </c>
      <c r="N52" s="64">
        <v>928.6</v>
      </c>
      <c r="O52" s="64">
        <v>0</v>
      </c>
      <c r="P52" s="64">
        <v>0.53</v>
      </c>
      <c r="Q52" s="64">
        <v>9.57</v>
      </c>
      <c r="R52" s="198"/>
      <c r="S52" s="198"/>
      <c r="T52" s="198"/>
      <c r="U52" s="198"/>
    </row>
    <row r="53" spans="1:21" s="12" customFormat="1" x14ac:dyDescent="0.25">
      <c r="A53" s="214" t="s">
        <v>1058</v>
      </c>
      <c r="B53" s="64">
        <v>5.86</v>
      </c>
      <c r="C53" s="64">
        <v>24.11</v>
      </c>
      <c r="D53" s="64">
        <v>37.17</v>
      </c>
      <c r="E53" s="64">
        <v>5.31</v>
      </c>
      <c r="F53" s="64">
        <v>8.7899999999999991</v>
      </c>
      <c r="G53" s="64">
        <v>37.590000000000003</v>
      </c>
      <c r="H53" s="64">
        <v>13.86</v>
      </c>
      <c r="I53" s="64">
        <v>3.99</v>
      </c>
      <c r="J53" s="64">
        <v>0.47</v>
      </c>
      <c r="K53" s="64">
        <v>179.02</v>
      </c>
      <c r="L53" s="64">
        <v>37.89</v>
      </c>
      <c r="M53" s="64">
        <v>36.590000000000003</v>
      </c>
      <c r="N53" s="64">
        <v>931.2</v>
      </c>
      <c r="O53" s="64">
        <v>0</v>
      </c>
      <c r="P53" s="64">
        <v>0.5</v>
      </c>
      <c r="Q53" s="64">
        <v>9.56</v>
      </c>
      <c r="R53" s="198"/>
      <c r="S53" s="198"/>
      <c r="T53" s="198"/>
      <c r="U53" s="198"/>
    </row>
    <row r="54" spans="1:21" s="12" customFormat="1" x14ac:dyDescent="0.25">
      <c r="A54" s="214" t="s">
        <v>1059</v>
      </c>
      <c r="B54" s="64">
        <v>6.57</v>
      </c>
      <c r="C54" s="64">
        <v>25.68</v>
      </c>
      <c r="D54" s="64">
        <v>39.07</v>
      </c>
      <c r="E54" s="64">
        <v>5.31</v>
      </c>
      <c r="F54" s="64">
        <v>4.26</v>
      </c>
      <c r="G54" s="64">
        <v>37.590000000000003</v>
      </c>
      <c r="H54" s="64">
        <v>13.86</v>
      </c>
      <c r="I54" s="64">
        <v>4.12</v>
      </c>
      <c r="J54" s="64">
        <v>0.77</v>
      </c>
      <c r="K54" s="64">
        <v>223.49</v>
      </c>
      <c r="L54" s="64">
        <v>38.51</v>
      </c>
      <c r="M54" s="64">
        <v>34.31</v>
      </c>
      <c r="N54" s="64">
        <v>943.4</v>
      </c>
      <c r="O54" s="64">
        <v>0</v>
      </c>
      <c r="P54" s="64">
        <v>0.53</v>
      </c>
      <c r="Q54" s="64">
        <v>9.5299999999999994</v>
      </c>
      <c r="R54" s="198"/>
      <c r="S54" s="198"/>
      <c r="T54" s="198"/>
      <c r="U54" s="198"/>
    </row>
    <row r="55" spans="1:21" s="12" customFormat="1" x14ac:dyDescent="0.25">
      <c r="A55" s="214" t="s">
        <v>1060</v>
      </c>
      <c r="B55" s="64">
        <v>6.38</v>
      </c>
      <c r="C55" s="64">
        <v>24.54</v>
      </c>
      <c r="D55" s="64">
        <v>37.18</v>
      </c>
      <c r="E55" s="64">
        <v>5.58</v>
      </c>
      <c r="F55" s="64">
        <v>7.22</v>
      </c>
      <c r="G55" s="64">
        <v>37.590000000000003</v>
      </c>
      <c r="H55" s="64">
        <v>13.86</v>
      </c>
      <c r="I55" s="64">
        <v>4.05</v>
      </c>
      <c r="J55" s="64">
        <v>0.55000000000000004</v>
      </c>
      <c r="K55" s="64">
        <v>249.6</v>
      </c>
      <c r="L55" s="64">
        <v>39.61</v>
      </c>
      <c r="M55" s="64">
        <v>32.39</v>
      </c>
      <c r="N55" s="64">
        <v>945.1</v>
      </c>
      <c r="O55" s="64">
        <v>0</v>
      </c>
      <c r="P55" s="64">
        <v>0.53</v>
      </c>
      <c r="Q55" s="64">
        <v>9.5</v>
      </c>
      <c r="R55" s="198"/>
      <c r="S55" s="198"/>
      <c r="T55" s="198"/>
      <c r="U55" s="198"/>
    </row>
    <row r="56" spans="1:21" s="12" customFormat="1" x14ac:dyDescent="0.25">
      <c r="A56" s="214" t="s">
        <v>1061</v>
      </c>
      <c r="B56" s="64">
        <v>6.15</v>
      </c>
      <c r="C56" s="64">
        <v>24.16</v>
      </c>
      <c r="D56" s="64">
        <v>36.799999999999997</v>
      </c>
      <c r="E56" s="64">
        <v>5.7</v>
      </c>
      <c r="F56" s="64">
        <v>8.4700000000000006</v>
      </c>
      <c r="G56" s="64">
        <v>37.1</v>
      </c>
      <c r="H56" s="64">
        <v>13.84</v>
      </c>
      <c r="I56" s="64">
        <v>3.97</v>
      </c>
      <c r="J56" s="64">
        <v>0.42</v>
      </c>
      <c r="K56" s="64">
        <v>243.39</v>
      </c>
      <c r="L56" s="64">
        <v>39.69</v>
      </c>
      <c r="M56" s="64">
        <v>32.04</v>
      </c>
      <c r="N56" s="64">
        <v>984.7</v>
      </c>
      <c r="O56" s="64">
        <v>0</v>
      </c>
      <c r="P56" s="64">
        <v>0.52</v>
      </c>
      <c r="Q56" s="64">
        <v>9.49</v>
      </c>
      <c r="R56" s="198"/>
      <c r="S56" s="198"/>
      <c r="T56" s="198"/>
      <c r="U56" s="198"/>
    </row>
    <row r="57" spans="1:21" s="12" customFormat="1" x14ac:dyDescent="0.25">
      <c r="A57" s="214" t="s">
        <v>1062</v>
      </c>
      <c r="B57" s="64">
        <v>6.56</v>
      </c>
      <c r="C57" s="64">
        <v>23.81</v>
      </c>
      <c r="D57" s="64">
        <v>35.49</v>
      </c>
      <c r="E57" s="64">
        <v>6.7</v>
      </c>
      <c r="F57" s="64">
        <v>12.56</v>
      </c>
      <c r="G57" s="64">
        <v>30.22</v>
      </c>
      <c r="H57" s="64">
        <v>13.68</v>
      </c>
      <c r="I57" s="64">
        <v>3.93</v>
      </c>
      <c r="J57" s="64">
        <v>0.37</v>
      </c>
      <c r="K57" s="64">
        <v>311.68</v>
      </c>
      <c r="L57" s="64">
        <v>41.5</v>
      </c>
      <c r="M57" s="64">
        <v>28.67</v>
      </c>
      <c r="N57" s="64">
        <v>999.5</v>
      </c>
      <c r="O57" s="64">
        <v>0</v>
      </c>
      <c r="P57" s="64">
        <v>0.54</v>
      </c>
      <c r="Q57" s="64">
        <v>9.48</v>
      </c>
      <c r="R57" s="198"/>
      <c r="S57" s="198"/>
      <c r="T57" s="198"/>
      <c r="U57" s="198"/>
    </row>
    <row r="58" spans="1:21" s="12" customFormat="1" x14ac:dyDescent="0.25">
      <c r="A58" s="214" t="s">
        <v>1063</v>
      </c>
      <c r="B58" s="64">
        <v>7.47</v>
      </c>
      <c r="C58" s="64">
        <v>24.59</v>
      </c>
      <c r="D58" s="64">
        <v>35.6</v>
      </c>
      <c r="E58" s="64">
        <v>7.3</v>
      </c>
      <c r="F58" s="64">
        <v>12.93</v>
      </c>
      <c r="G58" s="64">
        <v>30.22</v>
      </c>
      <c r="H58" s="64">
        <v>13.68</v>
      </c>
      <c r="I58" s="64">
        <v>3.99</v>
      </c>
      <c r="J58" s="64">
        <v>0.77</v>
      </c>
      <c r="K58" s="64">
        <v>271.67</v>
      </c>
      <c r="L58" s="64">
        <v>41.93</v>
      </c>
      <c r="M58" s="64">
        <v>27.95</v>
      </c>
      <c r="N58" s="64">
        <v>940.2</v>
      </c>
      <c r="O58" s="64">
        <v>0</v>
      </c>
      <c r="P58" s="64">
        <v>0.57999999999999996</v>
      </c>
      <c r="Q58" s="64">
        <v>9.49</v>
      </c>
      <c r="R58" s="198"/>
      <c r="S58" s="198"/>
      <c r="T58" s="198"/>
      <c r="U58" s="198"/>
    </row>
    <row r="59" spans="1:21" s="12" customFormat="1" x14ac:dyDescent="0.25">
      <c r="A59" s="214" t="s">
        <v>1064</v>
      </c>
      <c r="B59" s="64">
        <v>10.039999999999999</v>
      </c>
      <c r="C59" s="64">
        <v>29.68</v>
      </c>
      <c r="D59" s="64">
        <v>41.4</v>
      </c>
      <c r="E59" s="64">
        <v>7.15</v>
      </c>
      <c r="F59" s="64">
        <v>13.39</v>
      </c>
      <c r="G59" s="64">
        <v>30.22</v>
      </c>
      <c r="H59" s="64">
        <v>13.68</v>
      </c>
      <c r="I59" s="64">
        <v>4.07</v>
      </c>
      <c r="J59" s="64">
        <v>0.41</v>
      </c>
      <c r="K59" s="64">
        <v>264.3</v>
      </c>
      <c r="L59" s="64">
        <v>41.78</v>
      </c>
      <c r="M59" s="64">
        <v>28.6</v>
      </c>
      <c r="N59" s="64">
        <v>918.9</v>
      </c>
      <c r="O59" s="64">
        <v>0</v>
      </c>
      <c r="P59" s="64">
        <v>0.59</v>
      </c>
      <c r="Q59" s="64">
        <v>9.49</v>
      </c>
      <c r="R59" s="198"/>
      <c r="S59" s="198"/>
      <c r="T59" s="198"/>
      <c r="U59" s="198"/>
    </row>
    <row r="60" spans="1:21" s="12" customFormat="1" x14ac:dyDescent="0.25">
      <c r="A60" s="214" t="s">
        <v>1065</v>
      </c>
      <c r="B60" s="64">
        <v>7.28</v>
      </c>
      <c r="C60" s="64">
        <v>24.38</v>
      </c>
      <c r="D60" s="64">
        <v>35.5</v>
      </c>
      <c r="E60" s="64">
        <v>7.09</v>
      </c>
      <c r="F60" s="64">
        <v>10.62</v>
      </c>
      <c r="G60" s="64">
        <v>30.66</v>
      </c>
      <c r="H60" s="64">
        <v>13.71</v>
      </c>
      <c r="I60" s="64">
        <v>4.01</v>
      </c>
      <c r="J60" s="64">
        <v>0.64</v>
      </c>
      <c r="K60" s="64">
        <v>257.77999999999997</v>
      </c>
      <c r="L60" s="64">
        <v>41.98</v>
      </c>
      <c r="M60" s="64">
        <v>27.93</v>
      </c>
      <c r="N60" s="64">
        <v>901.4</v>
      </c>
      <c r="O60" s="64">
        <v>0</v>
      </c>
      <c r="P60" s="64">
        <v>0.59</v>
      </c>
      <c r="Q60" s="64">
        <v>9.49</v>
      </c>
      <c r="R60" s="198"/>
      <c r="S60" s="198"/>
      <c r="T60" s="198"/>
      <c r="U60" s="198"/>
    </row>
    <row r="61" spans="1:21" s="12" customFormat="1" x14ac:dyDescent="0.25">
      <c r="A61" s="214" t="s">
        <v>1066</v>
      </c>
      <c r="B61" s="64">
        <v>7.65</v>
      </c>
      <c r="C61" s="64">
        <v>30.17</v>
      </c>
      <c r="D61" s="64">
        <v>46</v>
      </c>
      <c r="E61" s="64">
        <v>7.02</v>
      </c>
      <c r="F61" s="64">
        <v>13.85</v>
      </c>
      <c r="G61" s="64">
        <v>36.74</v>
      </c>
      <c r="H61" s="64">
        <v>14.21</v>
      </c>
      <c r="I61" s="64">
        <v>4.0199999999999996</v>
      </c>
      <c r="J61" s="64">
        <v>0.48</v>
      </c>
      <c r="K61" s="64">
        <v>268.55</v>
      </c>
      <c r="L61" s="64">
        <v>42.09</v>
      </c>
      <c r="M61" s="64">
        <v>27.46</v>
      </c>
      <c r="N61" s="64">
        <v>867.3</v>
      </c>
      <c r="O61" s="64">
        <v>0</v>
      </c>
      <c r="P61" s="64">
        <v>0.52</v>
      </c>
      <c r="Q61" s="64">
        <v>9.48</v>
      </c>
      <c r="R61" s="198"/>
      <c r="S61" s="198"/>
      <c r="T61" s="198"/>
      <c r="U61" s="198"/>
    </row>
    <row r="62" spans="1:21" s="12" customFormat="1" x14ac:dyDescent="0.25">
      <c r="A62" s="214" t="s">
        <v>1067</v>
      </c>
      <c r="B62" s="64">
        <v>6.97</v>
      </c>
      <c r="C62" s="64">
        <v>27.86</v>
      </c>
      <c r="D62" s="64">
        <v>42.63</v>
      </c>
      <c r="E62" s="64">
        <v>7.68</v>
      </c>
      <c r="F62" s="64">
        <v>11.05</v>
      </c>
      <c r="G62" s="64">
        <v>36.74</v>
      </c>
      <c r="H62" s="64">
        <v>14.21</v>
      </c>
      <c r="I62" s="64">
        <v>3.97</v>
      </c>
      <c r="J62" s="64">
        <v>0.34</v>
      </c>
      <c r="K62" s="64">
        <v>268.07</v>
      </c>
      <c r="L62" s="64">
        <v>41.64</v>
      </c>
      <c r="M62" s="64">
        <v>27.46</v>
      </c>
      <c r="N62" s="64">
        <v>829.9</v>
      </c>
      <c r="O62" s="64">
        <v>0</v>
      </c>
      <c r="P62" s="64">
        <v>0.53</v>
      </c>
      <c r="Q62" s="64">
        <v>9.49</v>
      </c>
      <c r="R62" s="198"/>
      <c r="S62" s="198"/>
      <c r="T62" s="198"/>
      <c r="U62" s="198"/>
    </row>
    <row r="63" spans="1:21" s="12" customFormat="1" x14ac:dyDescent="0.25">
      <c r="A63" s="214" t="s">
        <v>1068</v>
      </c>
      <c r="B63" s="64">
        <v>6.62</v>
      </c>
      <c r="C63" s="64">
        <v>26.9</v>
      </c>
      <c r="D63" s="64">
        <v>41.33</v>
      </c>
      <c r="E63" s="64">
        <v>6.31</v>
      </c>
      <c r="F63" s="64">
        <v>13.65</v>
      </c>
      <c r="G63" s="64">
        <v>36.74</v>
      </c>
      <c r="H63" s="64">
        <v>14.21</v>
      </c>
      <c r="I63" s="64">
        <v>4.07</v>
      </c>
      <c r="J63" s="64">
        <v>0.66</v>
      </c>
      <c r="K63" s="64">
        <v>263.89999999999998</v>
      </c>
      <c r="L63" s="64">
        <v>41.51</v>
      </c>
      <c r="M63" s="64">
        <v>27.12</v>
      </c>
      <c r="N63" s="64">
        <v>442.6</v>
      </c>
      <c r="O63" s="64">
        <v>0</v>
      </c>
      <c r="P63" s="64">
        <v>0.53</v>
      </c>
      <c r="Q63" s="64">
        <v>9.5</v>
      </c>
      <c r="R63" s="198"/>
      <c r="S63" s="198"/>
      <c r="T63" s="198"/>
      <c r="U63" s="198"/>
    </row>
    <row r="64" spans="1:21" s="12" customFormat="1" x14ac:dyDescent="0.25">
      <c r="A64" s="214" t="s">
        <v>1069</v>
      </c>
      <c r="B64" s="64">
        <v>6.71</v>
      </c>
      <c r="C64" s="64">
        <v>27.96</v>
      </c>
      <c r="D64" s="64">
        <v>43.21</v>
      </c>
      <c r="E64" s="64">
        <v>6.61</v>
      </c>
      <c r="F64" s="64">
        <v>11.45</v>
      </c>
      <c r="G64" s="64">
        <v>36.54</v>
      </c>
      <c r="H64" s="64">
        <v>14</v>
      </c>
      <c r="I64" s="64">
        <v>4.01</v>
      </c>
      <c r="J64" s="64">
        <v>0.7</v>
      </c>
      <c r="K64" s="64">
        <v>169.03</v>
      </c>
      <c r="L64" s="64">
        <v>41.17</v>
      </c>
      <c r="M64" s="64">
        <v>26.46</v>
      </c>
      <c r="N64" s="64">
        <v>457.3</v>
      </c>
      <c r="O64" s="64">
        <v>0</v>
      </c>
      <c r="P64" s="64">
        <v>0.53</v>
      </c>
      <c r="Q64" s="64">
        <v>9.51</v>
      </c>
      <c r="R64" s="198"/>
      <c r="S64" s="198"/>
      <c r="T64" s="198"/>
      <c r="U64" s="198"/>
    </row>
    <row r="65" spans="1:21" s="12" customFormat="1" x14ac:dyDescent="0.25">
      <c r="A65" s="214" t="s">
        <v>1070</v>
      </c>
      <c r="B65" s="64">
        <v>6.81</v>
      </c>
      <c r="C65" s="64">
        <v>25.89</v>
      </c>
      <c r="D65" s="64">
        <v>39.11</v>
      </c>
      <c r="E65" s="64">
        <v>5.07</v>
      </c>
      <c r="F65" s="64">
        <v>12.76</v>
      </c>
      <c r="G65" s="64">
        <v>33.65</v>
      </c>
      <c r="H65" s="64">
        <v>11.06</v>
      </c>
      <c r="I65" s="64">
        <v>4.05</v>
      </c>
      <c r="J65" s="64">
        <v>0.41</v>
      </c>
      <c r="K65" s="64">
        <v>239.15</v>
      </c>
      <c r="L65" s="64">
        <v>40.35</v>
      </c>
      <c r="M65" s="64">
        <v>27.02</v>
      </c>
      <c r="N65" s="64">
        <v>459.2</v>
      </c>
      <c r="O65" s="64">
        <v>0</v>
      </c>
      <c r="P65" s="64">
        <v>0.46</v>
      </c>
      <c r="Q65" s="64">
        <v>9.52</v>
      </c>
      <c r="R65" s="198"/>
      <c r="S65" s="198"/>
      <c r="T65" s="198"/>
      <c r="U65" s="198"/>
    </row>
    <row r="66" spans="1:21" s="12" customFormat="1" x14ac:dyDescent="0.25">
      <c r="A66" s="214" t="s">
        <v>1071</v>
      </c>
      <c r="B66" s="64">
        <v>7.08</v>
      </c>
      <c r="C66" s="64">
        <v>26.44</v>
      </c>
      <c r="D66" s="64">
        <v>39.729999999999997</v>
      </c>
      <c r="E66" s="64">
        <v>5.66</v>
      </c>
      <c r="F66" s="64">
        <v>10.53</v>
      </c>
      <c r="G66" s="64">
        <v>33.65</v>
      </c>
      <c r="H66" s="64">
        <v>11.06</v>
      </c>
      <c r="I66" s="64">
        <v>4.0199999999999996</v>
      </c>
      <c r="J66" s="64">
        <v>0.86</v>
      </c>
      <c r="K66" s="64">
        <v>104.64</v>
      </c>
      <c r="L66" s="64">
        <v>39.159999999999997</v>
      </c>
      <c r="M66" s="64">
        <v>29.8</v>
      </c>
      <c r="N66" s="64">
        <v>509.2</v>
      </c>
      <c r="O66" s="64">
        <v>0</v>
      </c>
      <c r="P66" s="64">
        <v>0.43</v>
      </c>
      <c r="Q66" s="64">
        <v>9.52</v>
      </c>
      <c r="R66" s="198"/>
      <c r="S66" s="198"/>
      <c r="T66" s="198"/>
      <c r="U66" s="198"/>
    </row>
    <row r="67" spans="1:21" s="12" customFormat="1" x14ac:dyDescent="0.25">
      <c r="A67" s="214" t="s">
        <v>1072</v>
      </c>
      <c r="B67" s="64">
        <v>18.21</v>
      </c>
      <c r="C67" s="64">
        <v>31.35</v>
      </c>
      <c r="D67" s="64">
        <v>37.049999999999997</v>
      </c>
      <c r="E67" s="64">
        <v>5.39</v>
      </c>
      <c r="F67" s="64">
        <v>13.49</v>
      </c>
      <c r="G67" s="64">
        <v>33.65</v>
      </c>
      <c r="H67" s="64">
        <v>11.06</v>
      </c>
      <c r="I67" s="64">
        <v>4.0199999999999996</v>
      </c>
      <c r="J67" s="64">
        <v>0.56999999999999995</v>
      </c>
      <c r="K67" s="64">
        <v>255.65</v>
      </c>
      <c r="L67" s="64">
        <v>40.65</v>
      </c>
      <c r="M67" s="64">
        <v>26.72</v>
      </c>
      <c r="N67" s="64">
        <v>225.4</v>
      </c>
      <c r="O67" s="64">
        <v>0</v>
      </c>
      <c r="P67" s="64">
        <v>0.45</v>
      </c>
      <c r="Q67" s="64">
        <v>9.51</v>
      </c>
      <c r="R67" s="198"/>
      <c r="S67" s="198"/>
      <c r="T67" s="198"/>
      <c r="U67" s="198"/>
    </row>
    <row r="68" spans="1:21" s="12" customFormat="1" x14ac:dyDescent="0.25">
      <c r="A68" s="214" t="s">
        <v>1073</v>
      </c>
      <c r="B68" s="64">
        <v>6.52</v>
      </c>
      <c r="C68" s="64">
        <v>24.83</v>
      </c>
      <c r="D68" s="64">
        <v>37.51</v>
      </c>
      <c r="E68" s="64">
        <v>5.56</v>
      </c>
      <c r="F68" s="64">
        <v>11.38</v>
      </c>
      <c r="G68" s="64">
        <v>33.4</v>
      </c>
      <c r="H68" s="64">
        <v>11.04</v>
      </c>
      <c r="I68" s="64">
        <v>3.96</v>
      </c>
      <c r="J68" s="64">
        <v>0.47</v>
      </c>
      <c r="K68" s="64">
        <v>218.44</v>
      </c>
      <c r="L68" s="64">
        <v>39.96</v>
      </c>
      <c r="M68" s="64">
        <v>27.57</v>
      </c>
      <c r="N68" s="64">
        <v>413.8</v>
      </c>
      <c r="O68" s="64">
        <v>0</v>
      </c>
      <c r="P68" s="64">
        <v>0.41</v>
      </c>
      <c r="Q68" s="64">
        <v>9.52</v>
      </c>
      <c r="R68" s="198"/>
      <c r="S68" s="198"/>
      <c r="T68" s="198"/>
      <c r="U68" s="198"/>
    </row>
    <row r="69" spans="1:21" s="12" customFormat="1" x14ac:dyDescent="0.25">
      <c r="A69" s="214" t="s">
        <v>1074</v>
      </c>
      <c r="B69" s="64">
        <v>8.17</v>
      </c>
      <c r="C69" s="64">
        <v>28.98</v>
      </c>
      <c r="D69" s="64">
        <v>42.94</v>
      </c>
      <c r="E69" s="64">
        <v>4.8600000000000003</v>
      </c>
      <c r="F69" s="64">
        <v>6.2</v>
      </c>
      <c r="G69" s="64">
        <v>29.91</v>
      </c>
      <c r="H69" s="64">
        <v>10.78</v>
      </c>
      <c r="I69" s="64">
        <v>3.98</v>
      </c>
      <c r="J69" s="64">
        <v>0.72</v>
      </c>
      <c r="K69" s="64">
        <v>188.28</v>
      </c>
      <c r="L69" s="64">
        <v>39.47</v>
      </c>
      <c r="M69" s="64">
        <v>28.34</v>
      </c>
      <c r="N69" s="64">
        <v>337.2</v>
      </c>
      <c r="O69" s="64">
        <v>0</v>
      </c>
      <c r="P69" s="64">
        <v>0.44</v>
      </c>
      <c r="Q69" s="64">
        <v>9.51</v>
      </c>
      <c r="R69" s="198"/>
      <c r="S69" s="198"/>
      <c r="T69" s="198"/>
      <c r="U69" s="198"/>
    </row>
    <row r="70" spans="1:21" s="12" customFormat="1" x14ac:dyDescent="0.25">
      <c r="A70" s="214" t="s">
        <v>1075</v>
      </c>
      <c r="B70" s="64">
        <v>5.84</v>
      </c>
      <c r="C70" s="64">
        <v>23.65</v>
      </c>
      <c r="D70" s="64">
        <v>36.299999999999997</v>
      </c>
      <c r="E70" s="64">
        <v>4.7300000000000004</v>
      </c>
      <c r="F70" s="64">
        <v>5.0199999999999996</v>
      </c>
      <c r="G70" s="64">
        <v>29.91</v>
      </c>
      <c r="H70" s="64">
        <v>10.78</v>
      </c>
      <c r="I70" s="64">
        <v>3.79</v>
      </c>
      <c r="J70" s="64">
        <v>0.62</v>
      </c>
      <c r="K70" s="64">
        <v>234.37</v>
      </c>
      <c r="L70" s="64">
        <v>39.93</v>
      </c>
      <c r="M70" s="64">
        <v>27.48</v>
      </c>
      <c r="N70" s="64">
        <v>340.5</v>
      </c>
      <c r="O70" s="64">
        <v>0</v>
      </c>
      <c r="P70" s="64">
        <v>0.45</v>
      </c>
      <c r="Q70" s="64">
        <v>9.51</v>
      </c>
      <c r="R70" s="198"/>
      <c r="S70" s="198"/>
      <c r="T70" s="198"/>
      <c r="U70" s="198"/>
    </row>
    <row r="71" spans="1:21" s="12" customFormat="1" x14ac:dyDescent="0.25">
      <c r="A71" s="214" t="s">
        <v>1076</v>
      </c>
      <c r="B71" s="64">
        <v>6.92</v>
      </c>
      <c r="C71" s="64">
        <v>27.7</v>
      </c>
      <c r="D71" s="64">
        <v>42.4</v>
      </c>
      <c r="E71" s="64">
        <v>4.7300000000000004</v>
      </c>
      <c r="F71" s="64">
        <v>10.49</v>
      </c>
      <c r="G71" s="64">
        <v>29.91</v>
      </c>
      <c r="H71" s="64">
        <v>10.78</v>
      </c>
      <c r="I71" s="64">
        <v>4.08</v>
      </c>
      <c r="J71" s="64">
        <v>0.55000000000000004</v>
      </c>
      <c r="K71" s="64">
        <v>201.44</v>
      </c>
      <c r="L71" s="64">
        <v>39.57</v>
      </c>
      <c r="M71" s="64">
        <v>27.79</v>
      </c>
      <c r="N71" s="64">
        <v>288.8</v>
      </c>
      <c r="O71" s="64">
        <v>0</v>
      </c>
      <c r="P71" s="64">
        <v>0.37</v>
      </c>
      <c r="Q71" s="64">
        <v>9.51</v>
      </c>
      <c r="R71" s="198"/>
      <c r="S71" s="198"/>
      <c r="T71" s="198"/>
      <c r="U71" s="198"/>
    </row>
    <row r="72" spans="1:21" s="12" customFormat="1" x14ac:dyDescent="0.25">
      <c r="A72" s="214" t="s">
        <v>1077</v>
      </c>
      <c r="B72" s="64">
        <v>5.45</v>
      </c>
      <c r="C72" s="64">
        <v>21.48</v>
      </c>
      <c r="D72" s="64">
        <v>32.74</v>
      </c>
      <c r="E72" s="64">
        <v>5.56</v>
      </c>
      <c r="F72" s="64">
        <v>15.69</v>
      </c>
      <c r="G72" s="64">
        <v>29.95</v>
      </c>
      <c r="H72" s="64">
        <v>10.65</v>
      </c>
      <c r="I72" s="64">
        <v>3.99</v>
      </c>
      <c r="J72" s="64">
        <v>0.73</v>
      </c>
      <c r="K72" s="64">
        <v>176.07</v>
      </c>
      <c r="L72" s="64">
        <v>38.979999999999997</v>
      </c>
      <c r="M72" s="64">
        <v>28.28</v>
      </c>
      <c r="N72" s="64">
        <v>395.6</v>
      </c>
      <c r="O72" s="64">
        <v>0</v>
      </c>
      <c r="P72" s="64">
        <v>0.32</v>
      </c>
      <c r="Q72" s="64">
        <v>9.5</v>
      </c>
      <c r="R72" s="198"/>
      <c r="S72" s="198"/>
      <c r="T72" s="198"/>
      <c r="U72" s="198"/>
    </row>
    <row r="73" spans="1:21" s="12" customFormat="1" x14ac:dyDescent="0.25">
      <c r="A73" s="214" t="s">
        <v>1078</v>
      </c>
      <c r="B73" s="64">
        <v>5.68</v>
      </c>
      <c r="C73" s="64">
        <v>20.46</v>
      </c>
      <c r="D73" s="64">
        <v>30.44</v>
      </c>
      <c r="E73" s="64">
        <v>5.49</v>
      </c>
      <c r="F73" s="64">
        <v>16.670000000000002</v>
      </c>
      <c r="G73" s="64">
        <v>30.54</v>
      </c>
      <c r="H73" s="64">
        <v>8.93</v>
      </c>
      <c r="I73" s="64">
        <v>3.91</v>
      </c>
      <c r="J73" s="64">
        <v>0.49</v>
      </c>
      <c r="K73" s="64">
        <v>192.38</v>
      </c>
      <c r="L73" s="64">
        <v>39.18</v>
      </c>
      <c r="M73" s="64">
        <v>28.01</v>
      </c>
      <c r="N73" s="64">
        <v>323.89999999999998</v>
      </c>
      <c r="O73" s="64">
        <v>0</v>
      </c>
      <c r="P73" s="64">
        <v>0.28000000000000003</v>
      </c>
      <c r="Q73" s="64">
        <v>9.5</v>
      </c>
      <c r="R73" s="198"/>
      <c r="S73" s="198"/>
      <c r="T73" s="198"/>
      <c r="U73" s="198"/>
    </row>
    <row r="74" spans="1:21" s="12" customFormat="1" x14ac:dyDescent="0.25">
      <c r="A74" s="214" t="s">
        <v>1079</v>
      </c>
      <c r="B74" s="64">
        <v>7.03</v>
      </c>
      <c r="C74" s="64">
        <v>22.09</v>
      </c>
      <c r="D74" s="64">
        <v>31.49</v>
      </c>
      <c r="E74" s="64">
        <v>5.66</v>
      </c>
      <c r="F74" s="64">
        <v>19.05</v>
      </c>
      <c r="G74" s="64">
        <v>30.54</v>
      </c>
      <c r="H74" s="64">
        <v>8.93</v>
      </c>
      <c r="I74" s="64">
        <v>3.97</v>
      </c>
      <c r="J74" s="64">
        <v>0.56999999999999995</v>
      </c>
      <c r="K74" s="64">
        <v>214.11</v>
      </c>
      <c r="L74" s="64">
        <v>38.94</v>
      </c>
      <c r="M74" s="64">
        <v>28.27</v>
      </c>
      <c r="N74" s="64">
        <v>194.2</v>
      </c>
      <c r="O74" s="64">
        <v>0</v>
      </c>
      <c r="P74" s="64">
        <v>0.27</v>
      </c>
      <c r="Q74" s="64">
        <v>9.48</v>
      </c>
      <c r="R74" s="198"/>
      <c r="S74" s="198"/>
      <c r="T74" s="198"/>
      <c r="U74" s="198"/>
    </row>
    <row r="75" spans="1:21" s="12" customFormat="1" x14ac:dyDescent="0.25">
      <c r="A75" s="214" t="s">
        <v>1080</v>
      </c>
      <c r="B75" s="64">
        <v>6.79</v>
      </c>
      <c r="C75" s="64">
        <v>23.36</v>
      </c>
      <c r="D75" s="64">
        <v>34.28</v>
      </c>
      <c r="E75" s="64">
        <v>5.9</v>
      </c>
      <c r="F75" s="64">
        <v>16.53</v>
      </c>
      <c r="G75" s="64">
        <v>30.54</v>
      </c>
      <c r="H75" s="64">
        <v>8.93</v>
      </c>
      <c r="I75" s="64">
        <v>4.09</v>
      </c>
      <c r="J75" s="64">
        <v>0.53</v>
      </c>
      <c r="K75" s="64">
        <v>184.06</v>
      </c>
      <c r="L75" s="64">
        <v>38.9</v>
      </c>
      <c r="M75" s="64">
        <v>28.21</v>
      </c>
      <c r="N75" s="64">
        <v>111.7</v>
      </c>
      <c r="O75" s="64">
        <v>0</v>
      </c>
      <c r="P75" s="64">
        <v>0.31</v>
      </c>
      <c r="Q75" s="64">
        <v>9.48</v>
      </c>
      <c r="R75" s="198"/>
      <c r="S75" s="198"/>
      <c r="T75" s="198"/>
      <c r="U75" s="198"/>
    </row>
    <row r="76" spans="1:21" s="12" customFormat="1" x14ac:dyDescent="0.25">
      <c r="A76" s="214" t="s">
        <v>1081</v>
      </c>
      <c r="B76" s="64">
        <v>5.87</v>
      </c>
      <c r="C76" s="64">
        <v>22.66</v>
      </c>
      <c r="D76" s="64">
        <v>34.35</v>
      </c>
      <c r="E76" s="64">
        <v>5.73</v>
      </c>
      <c r="F76" s="64">
        <v>20.76</v>
      </c>
      <c r="G76" s="64">
        <v>30.28</v>
      </c>
      <c r="H76" s="64">
        <v>9.0299999999999994</v>
      </c>
      <c r="I76" s="64">
        <v>4.08</v>
      </c>
      <c r="J76" s="64">
        <v>0.63</v>
      </c>
      <c r="K76" s="64">
        <v>165.29</v>
      </c>
      <c r="L76" s="64">
        <v>38.67</v>
      </c>
      <c r="M76" s="64">
        <v>28.68</v>
      </c>
      <c r="N76" s="64">
        <v>98</v>
      </c>
      <c r="O76" s="64">
        <v>0</v>
      </c>
      <c r="P76" s="64">
        <v>0.27</v>
      </c>
      <c r="Q76" s="64">
        <v>9.4700000000000006</v>
      </c>
      <c r="R76" s="198"/>
      <c r="S76" s="198"/>
      <c r="T76" s="198"/>
      <c r="U76" s="198"/>
    </row>
    <row r="77" spans="1:21" s="12" customFormat="1" x14ac:dyDescent="0.25">
      <c r="A77" s="214" t="s">
        <v>1082</v>
      </c>
      <c r="B77" s="64">
        <v>5.39</v>
      </c>
      <c r="C77" s="64">
        <v>20.14</v>
      </c>
      <c r="D77" s="64">
        <v>30.29</v>
      </c>
      <c r="E77" s="64">
        <v>5.5</v>
      </c>
      <c r="F77" s="64">
        <v>16.21</v>
      </c>
      <c r="G77" s="64">
        <v>26.72</v>
      </c>
      <c r="H77" s="64">
        <v>10.45</v>
      </c>
      <c r="I77" s="64">
        <v>3.93</v>
      </c>
      <c r="J77" s="64">
        <v>1.1599999999999999</v>
      </c>
      <c r="K77" s="64">
        <v>152.99</v>
      </c>
      <c r="L77" s="64">
        <v>38.42</v>
      </c>
      <c r="M77" s="64">
        <v>29.08</v>
      </c>
      <c r="N77" s="64">
        <v>87.1</v>
      </c>
      <c r="O77" s="64">
        <v>0</v>
      </c>
      <c r="P77" s="64">
        <v>0.27</v>
      </c>
      <c r="Q77" s="64">
        <v>9.4700000000000006</v>
      </c>
      <c r="R77" s="198"/>
      <c r="S77" s="198"/>
      <c r="T77" s="198"/>
      <c r="U77" s="198"/>
    </row>
    <row r="78" spans="1:21" s="12" customFormat="1" x14ac:dyDescent="0.25">
      <c r="A78" s="214" t="s">
        <v>1083</v>
      </c>
      <c r="B78" s="64">
        <v>5.28</v>
      </c>
      <c r="C78" s="64">
        <v>19.16</v>
      </c>
      <c r="D78" s="64">
        <v>28.57</v>
      </c>
      <c r="E78" s="64">
        <v>5.77</v>
      </c>
      <c r="F78" s="64">
        <v>19.350000000000001</v>
      </c>
      <c r="G78" s="64">
        <v>26.72</v>
      </c>
      <c r="H78" s="64">
        <v>10.45</v>
      </c>
      <c r="I78" s="64">
        <v>4.1100000000000003</v>
      </c>
      <c r="J78" s="64">
        <v>0.64</v>
      </c>
      <c r="K78" s="64">
        <v>177.79</v>
      </c>
      <c r="L78" s="64">
        <v>38.31</v>
      </c>
      <c r="M78" s="64">
        <v>29.13</v>
      </c>
      <c r="N78" s="64">
        <v>77</v>
      </c>
      <c r="O78" s="64">
        <v>0</v>
      </c>
      <c r="P78" s="64">
        <v>0.28000000000000003</v>
      </c>
      <c r="Q78" s="64">
        <v>9.4700000000000006</v>
      </c>
      <c r="R78" s="198"/>
      <c r="S78" s="198"/>
      <c r="T78" s="198"/>
      <c r="U78" s="198"/>
    </row>
    <row r="79" spans="1:21" s="12" customFormat="1" x14ac:dyDescent="0.25">
      <c r="A79" s="214" t="s">
        <v>1084</v>
      </c>
      <c r="B79" s="64">
        <v>6.18</v>
      </c>
      <c r="C79" s="64">
        <v>26.53</v>
      </c>
      <c r="D79" s="64">
        <v>41.3</v>
      </c>
      <c r="E79" s="64">
        <v>5.83</v>
      </c>
      <c r="F79" s="64">
        <v>12.87</v>
      </c>
      <c r="G79" s="64">
        <v>26.72</v>
      </c>
      <c r="H79" s="64">
        <v>10.45</v>
      </c>
      <c r="I79" s="64">
        <v>4.13</v>
      </c>
      <c r="J79" s="64">
        <v>0.53</v>
      </c>
      <c r="K79" s="64">
        <v>241.18</v>
      </c>
      <c r="L79" s="64">
        <v>38.200000000000003</v>
      </c>
      <c r="M79" s="64">
        <v>29.73</v>
      </c>
      <c r="N79" s="64">
        <v>64.900000000000006</v>
      </c>
      <c r="O79" s="64">
        <v>0</v>
      </c>
      <c r="P79" s="64">
        <v>0.36</v>
      </c>
      <c r="Q79" s="64">
        <v>9.4600000000000009</v>
      </c>
      <c r="R79" s="198"/>
      <c r="S79" s="198"/>
      <c r="T79" s="198"/>
      <c r="U79" s="198"/>
    </row>
    <row r="80" spans="1:21" s="12" customFormat="1" x14ac:dyDescent="0.25">
      <c r="A80" s="214" t="s">
        <v>1085</v>
      </c>
      <c r="B80" s="64">
        <v>6.29</v>
      </c>
      <c r="C80" s="64">
        <v>28.65</v>
      </c>
      <c r="D80" s="64">
        <v>45.18</v>
      </c>
      <c r="E80" s="64">
        <v>5.79</v>
      </c>
      <c r="F80" s="64">
        <v>14.04</v>
      </c>
      <c r="G80" s="64">
        <v>26.65</v>
      </c>
      <c r="H80" s="64">
        <v>10.25</v>
      </c>
      <c r="I80" s="64">
        <v>3.88</v>
      </c>
      <c r="J80" s="64">
        <v>0.5</v>
      </c>
      <c r="K80" s="64">
        <v>208.49</v>
      </c>
      <c r="L80" s="64">
        <v>37.74</v>
      </c>
      <c r="M80" s="64">
        <v>30.97</v>
      </c>
      <c r="N80" s="64">
        <v>52.4</v>
      </c>
      <c r="O80" s="64">
        <v>0</v>
      </c>
      <c r="P80" s="64">
        <v>0.33</v>
      </c>
      <c r="Q80" s="64">
        <v>9.4700000000000006</v>
      </c>
      <c r="R80" s="198"/>
      <c r="S80" s="198"/>
      <c r="T80" s="198"/>
      <c r="U80" s="198"/>
    </row>
    <row r="81" spans="1:26" s="12" customFormat="1" x14ac:dyDescent="0.25">
      <c r="A81" s="214" t="s">
        <v>1086</v>
      </c>
      <c r="B81" s="64">
        <v>5.0599999999999996</v>
      </c>
      <c r="C81" s="64">
        <v>27.15</v>
      </c>
      <c r="D81" s="64">
        <v>44.2</v>
      </c>
      <c r="E81" s="64">
        <v>6.09</v>
      </c>
      <c r="F81" s="64">
        <v>13.94</v>
      </c>
      <c r="G81" s="64">
        <v>25.68</v>
      </c>
      <c r="H81" s="64">
        <v>7.52</v>
      </c>
      <c r="I81" s="64">
        <v>4.08</v>
      </c>
      <c r="J81" s="64">
        <v>0.44</v>
      </c>
      <c r="K81" s="64">
        <v>185.29</v>
      </c>
      <c r="L81" s="64">
        <v>37.15</v>
      </c>
      <c r="M81" s="64">
        <v>32.11</v>
      </c>
      <c r="N81" s="64">
        <v>41</v>
      </c>
      <c r="O81" s="64">
        <v>0</v>
      </c>
      <c r="P81" s="64">
        <v>0.28999999999999998</v>
      </c>
      <c r="Q81" s="64">
        <v>9.49</v>
      </c>
      <c r="R81" s="198"/>
      <c r="S81" s="198"/>
      <c r="T81" s="198"/>
      <c r="U81" s="198"/>
    </row>
    <row r="82" spans="1:26" s="12" customFormat="1" x14ac:dyDescent="0.25">
      <c r="A82" s="214" t="s">
        <v>1087</v>
      </c>
      <c r="B82" s="64">
        <v>5.26</v>
      </c>
      <c r="C82" s="64">
        <v>33.9</v>
      </c>
      <c r="D82" s="64">
        <v>56.8</v>
      </c>
      <c r="E82" s="64">
        <v>5.97</v>
      </c>
      <c r="F82" s="64">
        <v>13.37</v>
      </c>
      <c r="G82" s="64">
        <v>25.68</v>
      </c>
      <c r="H82" s="64">
        <v>7.52</v>
      </c>
      <c r="I82" s="64">
        <v>4.09</v>
      </c>
      <c r="J82" s="64">
        <v>0.27</v>
      </c>
      <c r="K82" s="64">
        <v>182.28</v>
      </c>
      <c r="L82" s="64">
        <v>36.76</v>
      </c>
      <c r="M82" s="64">
        <v>33.03</v>
      </c>
      <c r="N82" s="64">
        <v>32.6</v>
      </c>
      <c r="O82" s="64">
        <v>0</v>
      </c>
      <c r="P82" s="64">
        <v>0.37</v>
      </c>
      <c r="Q82" s="64">
        <v>9.48</v>
      </c>
      <c r="R82" s="198"/>
      <c r="S82" s="198"/>
      <c r="T82" s="198"/>
      <c r="U82" s="198"/>
    </row>
    <row r="83" spans="1:26" s="12" customFormat="1" x14ac:dyDescent="0.25">
      <c r="A83" s="214" t="s">
        <v>1088</v>
      </c>
      <c r="B83" s="64">
        <v>6.13</v>
      </c>
      <c r="C83" s="64">
        <v>33.840000000000003</v>
      </c>
      <c r="D83" s="64">
        <v>55.35</v>
      </c>
      <c r="E83" s="64">
        <v>5.67</v>
      </c>
      <c r="F83" s="64">
        <v>9.1300000000000008</v>
      </c>
      <c r="G83" s="64">
        <v>25.68</v>
      </c>
      <c r="H83" s="64">
        <v>7.52</v>
      </c>
      <c r="I83" s="64">
        <v>4.1399999999999997</v>
      </c>
      <c r="J83" s="64">
        <v>0.79</v>
      </c>
      <c r="K83" s="64">
        <v>162.11000000000001</v>
      </c>
      <c r="L83" s="64">
        <v>36.54</v>
      </c>
      <c r="M83" s="64">
        <v>33.159999999999997</v>
      </c>
      <c r="N83" s="64">
        <v>28.6</v>
      </c>
      <c r="O83" s="64">
        <v>0</v>
      </c>
      <c r="P83" s="64">
        <v>0.38</v>
      </c>
      <c r="Q83" s="64">
        <v>9.5</v>
      </c>
      <c r="R83" s="198"/>
      <c r="S83" s="198"/>
      <c r="T83" s="198"/>
      <c r="U83" s="198"/>
    </row>
    <row r="84" spans="1:26" s="12" customFormat="1" x14ac:dyDescent="0.25">
      <c r="A84" s="214" t="s">
        <v>1089</v>
      </c>
      <c r="B84" s="64">
        <v>7.45</v>
      </c>
      <c r="C84" s="64">
        <v>40.18</v>
      </c>
      <c r="D84" s="64">
        <v>65.47</v>
      </c>
      <c r="E84" s="64">
        <v>5.36</v>
      </c>
      <c r="F84" s="64">
        <v>6.66</v>
      </c>
      <c r="G84" s="64">
        <v>25.7</v>
      </c>
      <c r="H84" s="64">
        <v>7.58</v>
      </c>
      <c r="I84" s="64">
        <v>3.9</v>
      </c>
      <c r="J84" s="64">
        <v>0.56000000000000005</v>
      </c>
      <c r="K84" s="64">
        <v>170.59</v>
      </c>
      <c r="L84" s="64">
        <v>36.47</v>
      </c>
      <c r="M84" s="64">
        <v>32.82</v>
      </c>
      <c r="N84" s="64">
        <v>28.4</v>
      </c>
      <c r="O84" s="64">
        <v>0</v>
      </c>
      <c r="P84" s="64">
        <v>0.37</v>
      </c>
      <c r="Q84" s="64">
        <v>9.52</v>
      </c>
      <c r="R84" s="198"/>
      <c r="S84" s="198"/>
      <c r="T84" s="198"/>
      <c r="U84" s="198"/>
    </row>
    <row r="85" spans="1:26" s="12" customFormat="1" x14ac:dyDescent="0.25">
      <c r="A85" s="214" t="s">
        <v>1090</v>
      </c>
      <c r="B85" s="64">
        <v>7.32</v>
      </c>
      <c r="C85" s="64">
        <v>42.85</v>
      </c>
      <c r="D85" s="64">
        <v>70.78</v>
      </c>
      <c r="E85" s="64">
        <v>5.77</v>
      </c>
      <c r="F85" s="64">
        <v>7.2</v>
      </c>
      <c r="G85" s="64">
        <v>26</v>
      </c>
      <c r="H85" s="64">
        <v>8.34</v>
      </c>
      <c r="I85" s="64">
        <v>3.85</v>
      </c>
      <c r="J85" s="64">
        <v>0.23</v>
      </c>
      <c r="K85" s="64">
        <v>173.06</v>
      </c>
      <c r="L85" s="64">
        <v>36.119999999999997</v>
      </c>
      <c r="M85" s="64">
        <v>34.229999999999997</v>
      </c>
      <c r="N85" s="64">
        <v>28.8</v>
      </c>
      <c r="O85" s="64">
        <v>0</v>
      </c>
      <c r="P85" s="64">
        <v>0.44</v>
      </c>
      <c r="Q85" s="64">
        <v>9.5500000000000007</v>
      </c>
      <c r="R85" s="198"/>
      <c r="S85" s="198"/>
      <c r="T85" s="198"/>
      <c r="U85" s="198"/>
    </row>
    <row r="86" spans="1:26" s="12" customFormat="1" x14ac:dyDescent="0.25">
      <c r="A86" s="214" t="s">
        <v>1091</v>
      </c>
      <c r="B86" s="64">
        <v>7.83</v>
      </c>
      <c r="C86" s="64">
        <v>41.34</v>
      </c>
      <c r="D86" s="64">
        <v>67.11</v>
      </c>
      <c r="E86" s="64">
        <v>5.9</v>
      </c>
      <c r="F86" s="64">
        <v>8.39</v>
      </c>
      <c r="G86" s="64">
        <v>26</v>
      </c>
      <c r="H86" s="64">
        <v>8.34</v>
      </c>
      <c r="I86" s="64">
        <v>3.91</v>
      </c>
      <c r="J86" s="64">
        <v>0.27</v>
      </c>
      <c r="K86" s="64">
        <v>170.23</v>
      </c>
      <c r="L86" s="64">
        <v>35.770000000000003</v>
      </c>
      <c r="M86" s="64">
        <v>35.01</v>
      </c>
      <c r="N86" s="64">
        <v>28.6</v>
      </c>
      <c r="O86" s="64">
        <v>0</v>
      </c>
      <c r="P86" s="64">
        <v>0.48</v>
      </c>
      <c r="Q86" s="64">
        <v>9.56</v>
      </c>
      <c r="R86" s="198"/>
      <c r="S86" s="198"/>
      <c r="T86" s="198"/>
      <c r="U86" s="198"/>
    </row>
    <row r="87" spans="1:26" s="12" customFormat="1" x14ac:dyDescent="0.25">
      <c r="A87" s="214" t="s">
        <v>1092</v>
      </c>
      <c r="B87" s="64">
        <v>10.29</v>
      </c>
      <c r="C87" s="64">
        <v>41.76</v>
      </c>
      <c r="D87" s="64">
        <v>64.12</v>
      </c>
      <c r="E87" s="64">
        <v>5.93</v>
      </c>
      <c r="F87" s="64">
        <v>6.36</v>
      </c>
      <c r="G87" s="64">
        <v>26</v>
      </c>
      <c r="H87" s="64">
        <v>8.34</v>
      </c>
      <c r="I87" s="64">
        <v>3.94</v>
      </c>
      <c r="J87" s="64">
        <v>0.41</v>
      </c>
      <c r="K87" s="64">
        <v>179.89</v>
      </c>
      <c r="L87" s="64">
        <v>35.6</v>
      </c>
      <c r="M87" s="64">
        <v>34.96</v>
      </c>
      <c r="N87" s="64">
        <v>28.3</v>
      </c>
      <c r="O87" s="64">
        <v>0</v>
      </c>
      <c r="P87" s="64">
        <v>0.47</v>
      </c>
      <c r="Q87" s="64">
        <v>9.57</v>
      </c>
      <c r="R87" s="198"/>
      <c r="S87" s="198"/>
      <c r="T87" s="198"/>
      <c r="U87" s="198"/>
    </row>
    <row r="88" spans="1:26" s="12" customFormat="1" x14ac:dyDescent="0.25">
      <c r="A88" s="214" t="s">
        <v>1093</v>
      </c>
      <c r="B88" s="64">
        <v>9.27</v>
      </c>
      <c r="C88" s="64">
        <v>45.78</v>
      </c>
      <c r="D88" s="64">
        <v>73.400000000000006</v>
      </c>
      <c r="E88" s="64">
        <v>5.61</v>
      </c>
      <c r="F88" s="64">
        <v>6.8</v>
      </c>
      <c r="G88" s="64">
        <v>26.13</v>
      </c>
      <c r="H88" s="64">
        <v>8.32</v>
      </c>
      <c r="I88" s="64">
        <v>4.0199999999999996</v>
      </c>
      <c r="J88" s="64">
        <v>0.33</v>
      </c>
      <c r="K88" s="64">
        <v>161.99</v>
      </c>
      <c r="L88" s="64">
        <v>35.54</v>
      </c>
      <c r="M88" s="64">
        <v>35.01</v>
      </c>
      <c r="N88" s="64">
        <v>28.4</v>
      </c>
      <c r="O88" s="64">
        <v>0</v>
      </c>
      <c r="P88" s="64">
        <v>0.45</v>
      </c>
      <c r="Q88" s="64">
        <v>9.5299999999999994</v>
      </c>
      <c r="R88" s="198"/>
      <c r="S88" s="198"/>
      <c r="T88" s="198"/>
      <c r="U88" s="198"/>
    </row>
    <row r="89" spans="1:26" s="12" customFormat="1" x14ac:dyDescent="0.25">
      <c r="A89" s="214" t="s">
        <v>1094</v>
      </c>
      <c r="B89" s="64">
        <v>12.63</v>
      </c>
      <c r="C89" s="64">
        <v>54.45</v>
      </c>
      <c r="D89" s="64">
        <v>84.83</v>
      </c>
      <c r="E89" s="64">
        <v>5.64</v>
      </c>
      <c r="F89" s="64">
        <v>4.96</v>
      </c>
      <c r="G89" s="64">
        <v>28.02</v>
      </c>
      <c r="H89" s="64">
        <v>7.94</v>
      </c>
      <c r="I89" s="64">
        <v>3.95</v>
      </c>
      <c r="J89" s="64">
        <v>0.11</v>
      </c>
      <c r="K89" s="64">
        <v>206.9</v>
      </c>
      <c r="L89" s="64">
        <v>35.119999999999997</v>
      </c>
      <c r="M89" s="64">
        <v>36.67</v>
      </c>
      <c r="N89" s="64">
        <v>28.8</v>
      </c>
      <c r="O89" s="64">
        <v>0</v>
      </c>
      <c r="P89" s="64">
        <v>0.6</v>
      </c>
      <c r="Q89" s="64">
        <v>9.5299999999999994</v>
      </c>
      <c r="R89" s="198"/>
      <c r="S89" s="198"/>
      <c r="T89" s="198"/>
      <c r="U89" s="198"/>
    </row>
    <row r="90" spans="1:26" s="12" customFormat="1" x14ac:dyDescent="0.25">
      <c r="A90" s="214" t="s">
        <v>1095</v>
      </c>
      <c r="B90" s="64">
        <v>9.33</v>
      </c>
      <c r="C90" s="64">
        <v>45.18</v>
      </c>
      <c r="D90" s="64">
        <v>72.16</v>
      </c>
      <c r="E90" s="64">
        <v>5.77</v>
      </c>
      <c r="F90" s="64">
        <v>6.58</v>
      </c>
      <c r="G90" s="64">
        <v>28.02</v>
      </c>
      <c r="H90" s="64">
        <v>7.94</v>
      </c>
      <c r="I90" s="64">
        <v>4.13</v>
      </c>
      <c r="J90" s="64">
        <v>0.36</v>
      </c>
      <c r="K90" s="64">
        <v>180.33</v>
      </c>
      <c r="L90" s="64">
        <v>34.979999999999997</v>
      </c>
      <c r="M90" s="64">
        <v>37.15</v>
      </c>
      <c r="N90" s="64">
        <v>28.3</v>
      </c>
      <c r="O90" s="64">
        <v>0</v>
      </c>
      <c r="P90" s="64">
        <v>0.55000000000000004</v>
      </c>
      <c r="Q90" s="64">
        <v>9.57</v>
      </c>
      <c r="R90" s="198"/>
      <c r="S90" s="198"/>
      <c r="T90" s="198"/>
      <c r="U90" s="198"/>
    </row>
    <row r="91" spans="1:26" s="12" customFormat="1" x14ac:dyDescent="0.25">
      <c r="A91" s="214" t="s">
        <v>1096</v>
      </c>
      <c r="B91" s="64">
        <v>8.58</v>
      </c>
      <c r="C91" s="64">
        <v>41.12</v>
      </c>
      <c r="D91" s="64">
        <v>65.540000000000006</v>
      </c>
      <c r="E91" s="64">
        <v>6.01</v>
      </c>
      <c r="F91" s="64">
        <v>5.98</v>
      </c>
      <c r="G91" s="64">
        <v>28.02</v>
      </c>
      <c r="H91" s="64">
        <v>7.94</v>
      </c>
      <c r="I91" s="64">
        <v>3.84</v>
      </c>
      <c r="J91" s="64">
        <v>0.12</v>
      </c>
      <c r="K91" s="64">
        <v>182.91</v>
      </c>
      <c r="L91" s="64">
        <v>34.799999999999997</v>
      </c>
      <c r="M91" s="64">
        <v>38.07</v>
      </c>
      <c r="N91" s="64">
        <v>28.7</v>
      </c>
      <c r="O91" s="64">
        <v>0</v>
      </c>
      <c r="P91" s="64">
        <v>0.56000000000000005</v>
      </c>
      <c r="Q91" s="64">
        <v>9.57</v>
      </c>
      <c r="R91" s="198"/>
      <c r="S91" s="198"/>
      <c r="T91" s="198"/>
      <c r="U91" s="198"/>
    </row>
    <row r="92" spans="1:26" s="12" customFormat="1" x14ac:dyDescent="0.25">
      <c r="A92" s="214" t="s">
        <v>1097</v>
      </c>
      <c r="B92" s="64">
        <v>8.75</v>
      </c>
      <c r="C92" s="64">
        <v>46.78</v>
      </c>
      <c r="D92" s="64">
        <v>76.099999999999994</v>
      </c>
      <c r="E92" s="64">
        <v>6.21</v>
      </c>
      <c r="F92" s="64">
        <v>6.17</v>
      </c>
      <c r="G92" s="64">
        <v>27.98</v>
      </c>
      <c r="H92" s="64">
        <v>8.02</v>
      </c>
      <c r="I92" s="64">
        <v>4.0599999999999996</v>
      </c>
      <c r="J92" s="64">
        <v>0.15</v>
      </c>
      <c r="K92" s="64">
        <v>183.22</v>
      </c>
      <c r="L92" s="64">
        <v>34.47</v>
      </c>
      <c r="M92" s="64">
        <v>39.15</v>
      </c>
      <c r="N92" s="64">
        <v>28.7</v>
      </c>
      <c r="O92" s="64">
        <v>0</v>
      </c>
      <c r="P92" s="64">
        <v>0.63</v>
      </c>
      <c r="Q92" s="64">
        <v>9.56</v>
      </c>
      <c r="R92" s="198"/>
      <c r="S92" s="198"/>
      <c r="T92" s="198"/>
      <c r="U92" s="198"/>
    </row>
    <row r="93" spans="1:26" s="12" customFormat="1" x14ac:dyDescent="0.25">
      <c r="A93" s="214" t="s">
        <v>1098</v>
      </c>
      <c r="B93" s="64">
        <v>57.28</v>
      </c>
      <c r="C93" s="64">
        <v>105.61</v>
      </c>
      <c r="D93" s="64">
        <v>114.22</v>
      </c>
      <c r="E93" s="64">
        <v>6.18</v>
      </c>
      <c r="F93" s="64">
        <v>3.26</v>
      </c>
      <c r="G93" s="64">
        <v>27.4</v>
      </c>
      <c r="H93" s="64">
        <v>9.24</v>
      </c>
      <c r="I93" s="64">
        <v>4.1100000000000003</v>
      </c>
      <c r="J93" s="64">
        <v>0.27</v>
      </c>
      <c r="K93" s="64">
        <v>235.46</v>
      </c>
      <c r="L93" s="64">
        <v>34.33</v>
      </c>
      <c r="M93" s="64">
        <v>40.340000000000003</v>
      </c>
      <c r="N93" s="64">
        <v>28.7</v>
      </c>
      <c r="O93" s="64">
        <v>0</v>
      </c>
      <c r="P93" s="64">
        <v>1.08</v>
      </c>
      <c r="Q93" s="64">
        <v>9.57</v>
      </c>
      <c r="R93" s="198"/>
      <c r="S93" s="198"/>
      <c r="T93" s="198"/>
      <c r="U93" s="198"/>
    </row>
    <row r="94" spans="1:26" s="12" customFormat="1" x14ac:dyDescent="0.25">
      <c r="A94" s="214" t="s">
        <v>1099</v>
      </c>
      <c r="B94" s="64">
        <v>83.25</v>
      </c>
      <c r="C94" s="64">
        <v>132.65</v>
      </c>
      <c r="D94" s="64">
        <v>126.1</v>
      </c>
      <c r="E94" s="64">
        <v>6.85</v>
      </c>
      <c r="F94" s="64">
        <v>0.45</v>
      </c>
      <c r="G94" s="64">
        <v>27.4</v>
      </c>
      <c r="H94" s="64">
        <v>9.24</v>
      </c>
      <c r="I94" s="64">
        <v>3.97</v>
      </c>
      <c r="J94" s="64">
        <v>0.21</v>
      </c>
      <c r="K94" s="64">
        <v>289.44</v>
      </c>
      <c r="L94" s="64">
        <v>33.85</v>
      </c>
      <c r="M94" s="64">
        <v>43.84</v>
      </c>
      <c r="N94" s="64">
        <v>28.8</v>
      </c>
      <c r="O94" s="64">
        <v>0</v>
      </c>
      <c r="P94" s="64">
        <v>1.95</v>
      </c>
      <c r="Q94" s="64">
        <v>9.56</v>
      </c>
      <c r="R94" s="198"/>
      <c r="S94" s="198"/>
      <c r="T94" s="198"/>
      <c r="U94" s="198"/>
    </row>
    <row r="95" spans="1:26" s="12" customFormat="1" x14ac:dyDescent="0.25">
      <c r="A95" s="214" t="s">
        <v>1100</v>
      </c>
      <c r="B95" s="64">
        <v>46.56</v>
      </c>
      <c r="C95" s="64">
        <v>98.1</v>
      </c>
      <c r="D95" s="64">
        <v>116.3</v>
      </c>
      <c r="E95" s="64">
        <v>6.62</v>
      </c>
      <c r="F95" s="64">
        <v>0.66</v>
      </c>
      <c r="G95" s="64">
        <v>27.4</v>
      </c>
      <c r="H95" s="64">
        <v>9.24</v>
      </c>
      <c r="I95" s="64">
        <v>4.07</v>
      </c>
      <c r="J95" s="64">
        <v>0.37</v>
      </c>
      <c r="K95" s="64">
        <v>246.57</v>
      </c>
      <c r="L95" s="64">
        <v>33.75</v>
      </c>
      <c r="M95" s="64">
        <v>42.51</v>
      </c>
      <c r="N95" s="64">
        <v>28.4</v>
      </c>
      <c r="O95" s="64">
        <v>0</v>
      </c>
      <c r="P95" s="64">
        <v>0.99</v>
      </c>
      <c r="Q95" s="64">
        <v>9.56</v>
      </c>
      <c r="R95" s="198"/>
      <c r="S95" s="198"/>
      <c r="T95" s="198"/>
      <c r="U95" s="198"/>
    </row>
    <row r="96" spans="1:26" s="12" customFormat="1" x14ac:dyDescent="0.25">
      <c r="A96" s="214" t="s">
        <v>1101</v>
      </c>
      <c r="B96" s="64">
        <v>13.46</v>
      </c>
      <c r="C96" s="64">
        <v>50.67</v>
      </c>
      <c r="D96" s="64">
        <v>76.319999999999993</v>
      </c>
      <c r="E96" s="64">
        <v>6.11</v>
      </c>
      <c r="F96" s="64">
        <v>4.2300000000000004</v>
      </c>
      <c r="G96" s="64">
        <v>28.21</v>
      </c>
      <c r="H96" s="64">
        <v>9.3000000000000007</v>
      </c>
      <c r="I96" s="64">
        <v>4.0199999999999996</v>
      </c>
      <c r="J96" s="64">
        <v>0.33</v>
      </c>
      <c r="K96" s="64">
        <v>240.95</v>
      </c>
      <c r="L96" s="64">
        <v>33.950000000000003</v>
      </c>
      <c r="M96" s="64">
        <v>41.83</v>
      </c>
      <c r="N96" s="64">
        <v>28.5</v>
      </c>
      <c r="O96" s="64">
        <v>0</v>
      </c>
      <c r="P96" s="64">
        <v>0.71</v>
      </c>
      <c r="Q96" s="64">
        <v>9.57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1102</v>
      </c>
      <c r="B97" s="64">
        <v>82.13</v>
      </c>
      <c r="C97" s="64">
        <v>123.37</v>
      </c>
      <c r="D97" s="64">
        <v>110.08</v>
      </c>
      <c r="E97" s="64">
        <v>6.32</v>
      </c>
      <c r="F97" s="64">
        <v>1.52</v>
      </c>
      <c r="G97" s="64">
        <v>39.56</v>
      </c>
      <c r="H97" s="64">
        <v>10.19</v>
      </c>
      <c r="I97" s="64">
        <v>4.08</v>
      </c>
      <c r="J97" s="64">
        <v>0.25</v>
      </c>
      <c r="K97" s="64">
        <v>276.11</v>
      </c>
      <c r="L97" s="64">
        <v>33.31</v>
      </c>
      <c r="M97" s="64">
        <v>48.48</v>
      </c>
      <c r="N97" s="64">
        <v>29.1</v>
      </c>
      <c r="O97" s="64">
        <v>0</v>
      </c>
      <c r="P97" s="64">
        <v>1.54</v>
      </c>
      <c r="Q97" s="64">
        <v>9.58</v>
      </c>
      <c r="R97" s="198"/>
      <c r="S97" s="198"/>
      <c r="T97" s="198"/>
      <c r="U97" s="198"/>
    </row>
    <row r="98" spans="1:33" s="12" customFormat="1" x14ac:dyDescent="0.25">
      <c r="A98" s="214" t="s">
        <v>1103</v>
      </c>
      <c r="B98" s="64">
        <v>62.24</v>
      </c>
      <c r="C98" s="64">
        <v>106.82</v>
      </c>
      <c r="D98" s="64">
        <v>108.92</v>
      </c>
      <c r="E98" s="64">
        <v>6.61</v>
      </c>
      <c r="F98" s="64">
        <v>0.25</v>
      </c>
      <c r="G98" s="64">
        <v>39.56</v>
      </c>
      <c r="H98" s="64">
        <v>10.19</v>
      </c>
      <c r="I98" s="64">
        <v>3.9</v>
      </c>
      <c r="J98" s="64">
        <v>0.22</v>
      </c>
      <c r="K98" s="64">
        <v>264.01</v>
      </c>
      <c r="L98" s="64">
        <v>32.86</v>
      </c>
      <c r="M98" s="64">
        <v>48.13</v>
      </c>
      <c r="N98" s="64">
        <v>28.8</v>
      </c>
      <c r="O98" s="64">
        <v>0</v>
      </c>
      <c r="P98" s="64">
        <v>1.48</v>
      </c>
      <c r="Q98" s="64">
        <v>9.58</v>
      </c>
      <c r="R98" s="198"/>
      <c r="S98" s="198"/>
      <c r="T98" s="198"/>
      <c r="U98" s="198"/>
    </row>
    <row r="99" spans="1:33" s="12" customFormat="1" x14ac:dyDescent="0.25">
      <c r="A99" s="214" t="s">
        <v>1104</v>
      </c>
      <c r="B99" s="64">
        <v>23.36</v>
      </c>
      <c r="C99" s="64">
        <v>60.1</v>
      </c>
      <c r="D99" s="64">
        <v>79.19</v>
      </c>
      <c r="E99" s="64">
        <v>5.73</v>
      </c>
      <c r="F99" s="64">
        <v>0.7</v>
      </c>
      <c r="G99" s="64">
        <v>39.56</v>
      </c>
      <c r="H99" s="64">
        <v>10.19</v>
      </c>
      <c r="I99" s="64">
        <v>3.84</v>
      </c>
      <c r="J99" s="64">
        <v>0.35</v>
      </c>
      <c r="K99" s="64">
        <v>247.12</v>
      </c>
      <c r="L99" s="64">
        <v>32.85</v>
      </c>
      <c r="M99" s="64">
        <v>46.62</v>
      </c>
      <c r="N99" s="64">
        <v>28.7</v>
      </c>
      <c r="O99" s="64">
        <v>0</v>
      </c>
      <c r="P99" s="64">
        <v>0.81</v>
      </c>
      <c r="Q99" s="64">
        <v>9.6</v>
      </c>
      <c r="R99" s="198"/>
      <c r="S99" s="198"/>
      <c r="T99" s="198"/>
      <c r="U99" s="198"/>
    </row>
    <row r="100" spans="1:33" s="12" customFormat="1" x14ac:dyDescent="0.25">
      <c r="A100" s="214" t="s">
        <v>1105</v>
      </c>
      <c r="B100" s="64">
        <v>17.28</v>
      </c>
      <c r="C100" s="64">
        <v>53.8</v>
      </c>
      <c r="D100" s="64">
        <v>76.45</v>
      </c>
      <c r="E100" s="64">
        <v>5.9</v>
      </c>
      <c r="F100" s="64">
        <v>1.5</v>
      </c>
      <c r="G100" s="64">
        <v>40.29</v>
      </c>
      <c r="H100" s="64">
        <v>10.34</v>
      </c>
      <c r="I100" s="64">
        <v>3.95</v>
      </c>
      <c r="J100" s="64">
        <v>0.28999999999999998</v>
      </c>
      <c r="K100" s="64">
        <v>200.26</v>
      </c>
      <c r="L100" s="64">
        <v>32.68</v>
      </c>
      <c r="M100" s="64">
        <v>47.89</v>
      </c>
      <c r="N100" s="64">
        <v>28.5</v>
      </c>
      <c r="O100" s="64">
        <v>0</v>
      </c>
      <c r="P100" s="64">
        <v>0.71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1106</v>
      </c>
      <c r="B101" s="64">
        <v>9.58</v>
      </c>
      <c r="C101" s="64">
        <v>44.86</v>
      </c>
      <c r="D101" s="64">
        <v>71.150000000000006</v>
      </c>
      <c r="E101" s="64">
        <v>6.03</v>
      </c>
      <c r="F101" s="64">
        <v>2.4700000000000002</v>
      </c>
      <c r="G101" s="64">
        <v>50.48</v>
      </c>
      <c r="H101" s="64">
        <v>12.43</v>
      </c>
      <c r="I101" s="64">
        <v>3.8</v>
      </c>
      <c r="J101" s="64">
        <v>0.26</v>
      </c>
      <c r="K101" s="64">
        <v>242.32</v>
      </c>
      <c r="L101" s="64">
        <v>32.43</v>
      </c>
      <c r="M101" s="64">
        <v>48.57</v>
      </c>
      <c r="N101" s="64">
        <v>28.7</v>
      </c>
      <c r="O101" s="64">
        <v>0</v>
      </c>
      <c r="P101" s="64">
        <v>0.66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4" t="s">
        <v>1107</v>
      </c>
      <c r="B102" s="64">
        <v>35</v>
      </c>
      <c r="C102" s="64">
        <v>64.41</v>
      </c>
      <c r="D102" s="64">
        <v>69.569999999999993</v>
      </c>
      <c r="E102" s="64">
        <v>5.9</v>
      </c>
      <c r="F102" s="64">
        <v>3.33</v>
      </c>
      <c r="G102" s="64">
        <v>50.48</v>
      </c>
      <c r="H102" s="64">
        <v>12.43</v>
      </c>
      <c r="I102" s="64">
        <v>4</v>
      </c>
      <c r="J102" s="64">
        <v>0.36</v>
      </c>
      <c r="K102" s="64">
        <v>259.38</v>
      </c>
      <c r="L102" s="64">
        <v>32.36</v>
      </c>
      <c r="M102" s="64">
        <v>51.51</v>
      </c>
      <c r="N102" s="64">
        <v>28.7</v>
      </c>
      <c r="O102" s="64">
        <v>0</v>
      </c>
      <c r="P102" s="64">
        <v>0.9</v>
      </c>
      <c r="Q102" s="64">
        <v>9.64</v>
      </c>
      <c r="R102" s="198"/>
      <c r="S102" s="198"/>
      <c r="T102" s="198"/>
      <c r="U102" s="198"/>
    </row>
    <row r="103" spans="1:33" s="12" customFormat="1" x14ac:dyDescent="0.25">
      <c r="A103" s="214" t="s">
        <v>1108</v>
      </c>
      <c r="B103" s="64">
        <v>58.32</v>
      </c>
      <c r="C103" s="64">
        <v>91.63</v>
      </c>
      <c r="D103" s="64">
        <v>85.86</v>
      </c>
      <c r="E103" s="64">
        <v>6.01</v>
      </c>
      <c r="F103" s="64">
        <v>0.45</v>
      </c>
      <c r="G103" s="64">
        <v>50.48</v>
      </c>
      <c r="H103" s="64">
        <v>12.43</v>
      </c>
      <c r="I103" s="64">
        <v>4.08</v>
      </c>
      <c r="J103" s="64">
        <v>0.26</v>
      </c>
      <c r="K103" s="64">
        <v>289.91000000000003</v>
      </c>
      <c r="L103" s="64">
        <v>31.74</v>
      </c>
      <c r="M103" s="64">
        <v>57.66</v>
      </c>
      <c r="N103" s="64">
        <v>29</v>
      </c>
      <c r="O103" s="64">
        <v>0</v>
      </c>
      <c r="P103" s="64">
        <v>1.29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4" t="s">
        <v>1109</v>
      </c>
      <c r="B104" s="64">
        <v>46.99</v>
      </c>
      <c r="C104" s="64">
        <v>82.92</v>
      </c>
      <c r="D104" s="64">
        <v>86.59</v>
      </c>
      <c r="E104" s="64">
        <v>4.1900000000000004</v>
      </c>
      <c r="F104" s="64">
        <v>0.22</v>
      </c>
      <c r="G104" s="64">
        <v>51.11</v>
      </c>
      <c r="H104" s="64">
        <v>12.62</v>
      </c>
      <c r="I104" s="64">
        <v>4.04</v>
      </c>
      <c r="J104" s="64">
        <v>0.19</v>
      </c>
      <c r="K104" s="64">
        <v>330.06</v>
      </c>
      <c r="L104" s="64">
        <v>31.26</v>
      </c>
      <c r="M104" s="64">
        <v>57.96</v>
      </c>
      <c r="N104" s="64">
        <v>28.8</v>
      </c>
      <c r="O104" s="64">
        <v>0</v>
      </c>
      <c r="P104" s="64">
        <v>1.22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5.0599999999999996</v>
      </c>
      <c r="C106" s="67">
        <f>MIN(C9:C104)</f>
        <v>19.16</v>
      </c>
      <c r="D106" s="67">
        <f t="shared" ref="D106:Q106" si="0">MIN(D9:D104)</f>
        <v>28.57</v>
      </c>
      <c r="E106" s="67">
        <f t="shared" si="0"/>
        <v>3.29</v>
      </c>
      <c r="F106" s="67">
        <f t="shared" si="0"/>
        <v>0.22</v>
      </c>
      <c r="G106" s="67">
        <f t="shared" si="0"/>
        <v>17.690000000000001</v>
      </c>
      <c r="H106" s="67">
        <f t="shared" si="0"/>
        <v>5.58</v>
      </c>
      <c r="I106" s="67">
        <f t="shared" si="0"/>
        <v>3.79</v>
      </c>
      <c r="J106" s="67">
        <f t="shared" si="0"/>
        <v>0</v>
      </c>
      <c r="K106" s="67">
        <f t="shared" si="0"/>
        <v>11.86</v>
      </c>
      <c r="L106" s="67">
        <f t="shared" si="0"/>
        <v>27.21</v>
      </c>
      <c r="M106" s="67">
        <f t="shared" si="0"/>
        <v>26.46</v>
      </c>
      <c r="N106" s="67">
        <f t="shared" si="0"/>
        <v>27.8</v>
      </c>
      <c r="O106" s="67">
        <f t="shared" si="0"/>
        <v>0</v>
      </c>
      <c r="P106" s="67">
        <f t="shared" si="0"/>
        <v>0.27</v>
      </c>
      <c r="Q106" s="67">
        <f t="shared" si="0"/>
        <v>9.4600000000000009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83.25</v>
      </c>
      <c r="C107" s="66">
        <f t="shared" ref="C107:Q107" si="1">MAX(C9:C104)</f>
        <v>132.65</v>
      </c>
      <c r="D107" s="66">
        <f t="shared" si="1"/>
        <v>126.1</v>
      </c>
      <c r="E107" s="66">
        <f t="shared" si="1"/>
        <v>7.68</v>
      </c>
      <c r="F107" s="66">
        <f t="shared" si="1"/>
        <v>20.76</v>
      </c>
      <c r="G107" s="66">
        <f t="shared" si="1"/>
        <v>57.97</v>
      </c>
      <c r="H107" s="66">
        <f t="shared" si="1"/>
        <v>18.86</v>
      </c>
      <c r="I107" s="66">
        <f t="shared" si="1"/>
        <v>4.1399999999999997</v>
      </c>
      <c r="J107" s="66">
        <f t="shared" si="1"/>
        <v>1.1599999999999999</v>
      </c>
      <c r="K107" s="66">
        <f t="shared" si="1"/>
        <v>330.06</v>
      </c>
      <c r="L107" s="66">
        <f t="shared" si="1"/>
        <v>42.09</v>
      </c>
      <c r="M107" s="66">
        <f t="shared" si="1"/>
        <v>78.709999999999994</v>
      </c>
      <c r="N107" s="66">
        <f t="shared" si="1"/>
        <v>999.5</v>
      </c>
      <c r="O107" s="66">
        <f t="shared" si="1"/>
        <v>0</v>
      </c>
      <c r="P107" s="66">
        <f t="shared" si="1"/>
        <v>1.95</v>
      </c>
      <c r="Q107" s="66">
        <f t="shared" si="1"/>
        <v>9.65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13.718020833333329</v>
      </c>
      <c r="C108" s="67">
        <f t="shared" ref="C108:Q108" si="2">AVERAGE(C9:C104)</f>
        <v>36.94187500000001</v>
      </c>
      <c r="D108" s="67">
        <f t="shared" si="2"/>
        <v>49.703854166666666</v>
      </c>
      <c r="E108" s="67">
        <f t="shared" si="2"/>
        <v>5.2567708333333334</v>
      </c>
      <c r="F108" s="67">
        <f t="shared" si="2"/>
        <v>5.9523958333333367</v>
      </c>
      <c r="G108" s="67">
        <f t="shared" si="2"/>
        <v>33.83406249999998</v>
      </c>
      <c r="H108" s="67">
        <f t="shared" si="2"/>
        <v>10.928020833333335</v>
      </c>
      <c r="I108" s="67">
        <f t="shared" si="2"/>
        <v>4.0026041666666661</v>
      </c>
      <c r="J108" s="67">
        <f t="shared" si="2"/>
        <v>0.50718749999999979</v>
      </c>
      <c r="K108" s="67">
        <f t="shared" si="2"/>
        <v>199.3742708333333</v>
      </c>
      <c r="L108" s="67">
        <f t="shared" si="2"/>
        <v>34.053958333333327</v>
      </c>
      <c r="M108" s="67">
        <f t="shared" si="2"/>
        <v>48.477708333333347</v>
      </c>
      <c r="N108" s="67">
        <f t="shared" si="2"/>
        <v>257.57395833333339</v>
      </c>
      <c r="O108" s="67">
        <f t="shared" si="2"/>
        <v>0</v>
      </c>
      <c r="P108" s="67">
        <f t="shared" si="2"/>
        <v>0.51979166666666665</v>
      </c>
      <c r="Q108" s="67">
        <f t="shared" si="2"/>
        <v>9.5561458333333356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14.915564080219712</v>
      </c>
      <c r="C109" s="67">
        <f t="shared" ref="C109:Q109" si="3">STDEV(C9:C104)</f>
        <v>21.770448889915439</v>
      </c>
      <c r="D109" s="67">
        <f t="shared" si="3"/>
        <v>20.905575754343968</v>
      </c>
      <c r="E109" s="67">
        <f t="shared" si="3"/>
        <v>1.0986637767298293</v>
      </c>
      <c r="F109" s="67">
        <f t="shared" si="3"/>
        <v>5.2916111853010772</v>
      </c>
      <c r="G109" s="67">
        <f t="shared" si="3"/>
        <v>10.529601539732068</v>
      </c>
      <c r="H109" s="67">
        <f t="shared" si="3"/>
        <v>3.5111133696162815</v>
      </c>
      <c r="I109" s="67">
        <f t="shared" si="3"/>
        <v>8.4320750916294138E-2</v>
      </c>
      <c r="J109" s="67">
        <f t="shared" si="3"/>
        <v>0.24290653660681077</v>
      </c>
      <c r="K109" s="67">
        <f t="shared" si="3"/>
        <v>60.10420165267017</v>
      </c>
      <c r="L109" s="67">
        <f t="shared" si="3"/>
        <v>4.7436227504140343</v>
      </c>
      <c r="M109" s="67">
        <f t="shared" si="3"/>
        <v>18.316252517147927</v>
      </c>
      <c r="N109" s="67">
        <f t="shared" si="3"/>
        <v>317.35528297238483</v>
      </c>
      <c r="O109" s="67">
        <f t="shared" si="3"/>
        <v>0</v>
      </c>
      <c r="P109" s="67">
        <f t="shared" si="3"/>
        <v>0.28275330205775057</v>
      </c>
      <c r="Q109" s="67">
        <f t="shared" si="3"/>
        <v>5.2982018631282803E-2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1110</v>
      </c>
      <c r="B9" s="64">
        <v>43.95</v>
      </c>
      <c r="C9" s="64">
        <v>76.239999999999995</v>
      </c>
      <c r="D9" s="64">
        <v>78.47</v>
      </c>
      <c r="E9" s="64">
        <v>5.0599999999999996</v>
      </c>
      <c r="F9" s="64">
        <v>0.33</v>
      </c>
      <c r="G9" s="64">
        <v>59.94</v>
      </c>
      <c r="H9" s="64">
        <v>15.25</v>
      </c>
      <c r="I9" s="64">
        <v>3.9</v>
      </c>
      <c r="J9" s="64">
        <v>0.22</v>
      </c>
      <c r="K9" s="64">
        <v>272.76</v>
      </c>
      <c r="L9" s="64">
        <v>31.11</v>
      </c>
      <c r="M9" s="64">
        <v>58.96</v>
      </c>
      <c r="N9" s="64">
        <v>28.7</v>
      </c>
      <c r="O9" s="64">
        <v>0</v>
      </c>
      <c r="P9" s="64">
        <v>1.01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4" t="s">
        <v>1111</v>
      </c>
      <c r="B10" s="64">
        <v>45.52</v>
      </c>
      <c r="C10" s="64">
        <v>81.55</v>
      </c>
      <c r="D10" s="64">
        <v>86.2</v>
      </c>
      <c r="E10" s="64">
        <v>4.4800000000000004</v>
      </c>
      <c r="F10" s="64">
        <v>0.17</v>
      </c>
      <c r="G10" s="64">
        <v>59.94</v>
      </c>
      <c r="H10" s="64">
        <v>15.25</v>
      </c>
      <c r="I10" s="64">
        <v>4.0199999999999996</v>
      </c>
      <c r="J10" s="64">
        <v>0.27</v>
      </c>
      <c r="K10" s="64">
        <v>274.16000000000003</v>
      </c>
      <c r="L10" s="64">
        <v>30.85</v>
      </c>
      <c r="M10" s="64">
        <v>63.64</v>
      </c>
      <c r="N10" s="64">
        <v>28.8</v>
      </c>
      <c r="O10" s="64">
        <v>0</v>
      </c>
      <c r="P10" s="64">
        <v>1.17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4" t="s">
        <v>1112</v>
      </c>
      <c r="B11" s="64">
        <v>28.6</v>
      </c>
      <c r="C11" s="64">
        <v>63.07</v>
      </c>
      <c r="D11" s="64">
        <v>76.8</v>
      </c>
      <c r="E11" s="64">
        <v>4.5599999999999996</v>
      </c>
      <c r="F11" s="64">
        <v>1.22</v>
      </c>
      <c r="G11" s="64">
        <v>59.94</v>
      </c>
      <c r="H11" s="64">
        <v>15.25</v>
      </c>
      <c r="I11" s="64">
        <v>4.1399999999999997</v>
      </c>
      <c r="J11" s="64">
        <v>0.32</v>
      </c>
      <c r="K11" s="64">
        <v>260.08</v>
      </c>
      <c r="L11" s="64">
        <v>30.6</v>
      </c>
      <c r="M11" s="64">
        <v>62.2</v>
      </c>
      <c r="N11" s="64">
        <v>28.8</v>
      </c>
      <c r="O11" s="64">
        <v>0</v>
      </c>
      <c r="P11" s="64">
        <v>1.02</v>
      </c>
      <c r="Q11" s="64">
        <v>9.65</v>
      </c>
      <c r="R11" s="198"/>
      <c r="S11" s="198"/>
      <c r="T11" s="198"/>
      <c r="U11" s="198"/>
    </row>
    <row r="12" spans="1:21" s="12" customFormat="1" x14ac:dyDescent="0.25">
      <c r="A12" s="214" t="s">
        <v>1113</v>
      </c>
      <c r="B12" s="64">
        <v>24.04</v>
      </c>
      <c r="C12" s="64">
        <v>62.48</v>
      </c>
      <c r="D12" s="64">
        <v>82.69</v>
      </c>
      <c r="E12" s="64">
        <v>4.72</v>
      </c>
      <c r="F12" s="64">
        <v>1.08</v>
      </c>
      <c r="G12" s="64">
        <v>60.35</v>
      </c>
      <c r="H12" s="64">
        <v>15.32</v>
      </c>
      <c r="I12" s="64">
        <v>4.05</v>
      </c>
      <c r="J12" s="64">
        <v>0.33</v>
      </c>
      <c r="K12" s="64">
        <v>247.13</v>
      </c>
      <c r="L12" s="64">
        <v>30.55</v>
      </c>
      <c r="M12" s="64">
        <v>59.5</v>
      </c>
      <c r="N12" s="64">
        <v>28.7</v>
      </c>
      <c r="O12" s="64">
        <v>0</v>
      </c>
      <c r="P12" s="64">
        <v>0.81</v>
      </c>
      <c r="Q12" s="64">
        <v>9.68</v>
      </c>
      <c r="R12" s="198"/>
      <c r="S12" s="198"/>
      <c r="T12" s="198"/>
      <c r="U12" s="198"/>
    </row>
    <row r="13" spans="1:21" s="12" customFormat="1" x14ac:dyDescent="0.25">
      <c r="A13" s="214" t="s">
        <v>1114</v>
      </c>
      <c r="B13" s="64">
        <v>17.34</v>
      </c>
      <c r="C13" s="64">
        <v>44.29</v>
      </c>
      <c r="D13" s="64">
        <v>58.16</v>
      </c>
      <c r="E13" s="64">
        <v>4.74</v>
      </c>
      <c r="F13" s="64">
        <v>2.2200000000000002</v>
      </c>
      <c r="G13" s="64">
        <v>66.02</v>
      </c>
      <c r="H13" s="64">
        <v>16.399999999999999</v>
      </c>
      <c r="I13" s="64">
        <v>3.98</v>
      </c>
      <c r="J13" s="64">
        <v>0.49</v>
      </c>
      <c r="K13" s="64">
        <v>208.07</v>
      </c>
      <c r="L13" s="64">
        <v>31.25</v>
      </c>
      <c r="M13" s="64">
        <v>54.73</v>
      </c>
      <c r="N13" s="64">
        <v>27.8</v>
      </c>
      <c r="O13" s="64">
        <v>0</v>
      </c>
      <c r="P13" s="64">
        <v>0.54</v>
      </c>
      <c r="Q13" s="64">
        <v>9.69</v>
      </c>
      <c r="R13" s="198"/>
      <c r="S13" s="198"/>
      <c r="T13" s="198"/>
      <c r="U13" s="198"/>
    </row>
    <row r="14" spans="1:21" s="12" customFormat="1" x14ac:dyDescent="0.25">
      <c r="A14" s="214" t="s">
        <v>1115</v>
      </c>
      <c r="B14" s="64">
        <v>17.760000000000002</v>
      </c>
      <c r="C14" s="64">
        <v>36.93</v>
      </c>
      <c r="D14" s="64">
        <v>43.41</v>
      </c>
      <c r="E14" s="64">
        <v>4.59</v>
      </c>
      <c r="F14" s="64">
        <v>4.1399999999999997</v>
      </c>
      <c r="G14" s="64">
        <v>66.02</v>
      </c>
      <c r="H14" s="64">
        <v>16.399999999999999</v>
      </c>
      <c r="I14" s="64">
        <v>4.01</v>
      </c>
      <c r="J14" s="64">
        <v>0.38</v>
      </c>
      <c r="K14" s="64">
        <v>198.06</v>
      </c>
      <c r="L14" s="64">
        <v>31.22</v>
      </c>
      <c r="M14" s="64">
        <v>53.63</v>
      </c>
      <c r="N14" s="64">
        <v>28.3</v>
      </c>
      <c r="O14" s="64">
        <v>0</v>
      </c>
      <c r="P14" s="64">
        <v>0.57999999999999996</v>
      </c>
      <c r="Q14" s="64">
        <v>9.68</v>
      </c>
      <c r="R14" s="198"/>
      <c r="S14" s="198"/>
      <c r="T14" s="198"/>
      <c r="U14" s="198"/>
    </row>
    <row r="15" spans="1:21" s="12" customFormat="1" x14ac:dyDescent="0.25">
      <c r="A15" s="214" t="s">
        <v>1116</v>
      </c>
      <c r="B15" s="64">
        <v>19.05</v>
      </c>
      <c r="C15" s="64">
        <v>35.909999999999997</v>
      </c>
      <c r="D15" s="64">
        <v>39.5</v>
      </c>
      <c r="E15" s="64">
        <v>4.8099999999999996</v>
      </c>
      <c r="F15" s="64">
        <v>6.24</v>
      </c>
      <c r="G15" s="64">
        <v>66.02</v>
      </c>
      <c r="H15" s="64">
        <v>16.399999999999999</v>
      </c>
      <c r="I15" s="64">
        <v>4.0999999999999996</v>
      </c>
      <c r="J15" s="64">
        <v>0.69</v>
      </c>
      <c r="K15" s="64">
        <v>155.44</v>
      </c>
      <c r="L15" s="64">
        <v>31.1</v>
      </c>
      <c r="M15" s="64">
        <v>54.04</v>
      </c>
      <c r="N15" s="64">
        <v>28.1</v>
      </c>
      <c r="O15" s="64">
        <v>0</v>
      </c>
      <c r="P15" s="64">
        <v>0.57999999999999996</v>
      </c>
      <c r="Q15" s="64">
        <v>9.69</v>
      </c>
      <c r="R15" s="198"/>
      <c r="S15" s="198"/>
      <c r="T15" s="198"/>
      <c r="U15" s="198"/>
    </row>
    <row r="16" spans="1:21" s="12" customFormat="1" x14ac:dyDescent="0.25">
      <c r="A16" s="214" t="s">
        <v>1117</v>
      </c>
      <c r="B16" s="64">
        <v>14.29</v>
      </c>
      <c r="C16" s="64">
        <v>31.04</v>
      </c>
      <c r="D16" s="64">
        <v>37.479999999999997</v>
      </c>
      <c r="E16" s="64">
        <v>4.68</v>
      </c>
      <c r="F16" s="64">
        <v>7.78</v>
      </c>
      <c r="G16" s="64">
        <v>64.97</v>
      </c>
      <c r="H16" s="64">
        <v>16.149999999999999</v>
      </c>
      <c r="I16" s="64">
        <v>3.99</v>
      </c>
      <c r="J16" s="64">
        <v>0.38</v>
      </c>
      <c r="K16" s="64">
        <v>251.98</v>
      </c>
      <c r="L16" s="64">
        <v>30.78</v>
      </c>
      <c r="M16" s="64">
        <v>54.87</v>
      </c>
      <c r="N16" s="64">
        <v>28.9</v>
      </c>
      <c r="O16" s="64">
        <v>0</v>
      </c>
      <c r="P16" s="64">
        <v>0.5</v>
      </c>
      <c r="Q16" s="64">
        <v>9.6999999999999993</v>
      </c>
      <c r="R16" s="198"/>
      <c r="S16" s="198"/>
      <c r="T16" s="198"/>
      <c r="U16" s="198"/>
    </row>
    <row r="17" spans="1:21" s="12" customFormat="1" x14ac:dyDescent="0.25">
      <c r="A17" s="214" t="s">
        <v>1118</v>
      </c>
      <c r="B17" s="64">
        <v>14.28</v>
      </c>
      <c r="C17" s="64">
        <v>30.72</v>
      </c>
      <c r="D17" s="64">
        <v>36.869999999999997</v>
      </c>
      <c r="E17" s="64">
        <v>4.4800000000000004</v>
      </c>
      <c r="F17" s="64">
        <v>6.58</v>
      </c>
      <c r="G17" s="64">
        <v>50.32</v>
      </c>
      <c r="H17" s="64">
        <v>12.67</v>
      </c>
      <c r="I17" s="64">
        <v>4</v>
      </c>
      <c r="J17" s="64">
        <v>0.27</v>
      </c>
      <c r="K17" s="64">
        <v>192.23</v>
      </c>
      <c r="L17" s="64">
        <v>30.31</v>
      </c>
      <c r="M17" s="64">
        <v>56.88</v>
      </c>
      <c r="N17" s="64">
        <v>28.8</v>
      </c>
      <c r="O17" s="64">
        <v>0</v>
      </c>
      <c r="P17" s="64">
        <v>0.56000000000000005</v>
      </c>
      <c r="Q17" s="64">
        <v>9.6999999999999993</v>
      </c>
      <c r="R17" s="198"/>
      <c r="S17" s="198"/>
      <c r="T17" s="198"/>
      <c r="U17" s="198"/>
    </row>
    <row r="18" spans="1:21" s="12" customFormat="1" x14ac:dyDescent="0.25">
      <c r="A18" s="214" t="s">
        <v>1119</v>
      </c>
      <c r="B18" s="64">
        <v>21.5</v>
      </c>
      <c r="C18" s="64">
        <v>40.880000000000003</v>
      </c>
      <c r="D18" s="64">
        <v>45.25</v>
      </c>
      <c r="E18" s="64">
        <v>4.4000000000000004</v>
      </c>
      <c r="F18" s="64">
        <v>3.71</v>
      </c>
      <c r="G18" s="64">
        <v>50.32</v>
      </c>
      <c r="H18" s="64">
        <v>12.67</v>
      </c>
      <c r="I18" s="64">
        <v>4.09</v>
      </c>
      <c r="J18" s="64">
        <v>0.2</v>
      </c>
      <c r="K18" s="64">
        <v>220.98</v>
      </c>
      <c r="L18" s="64">
        <v>29.9</v>
      </c>
      <c r="M18" s="64">
        <v>60.62</v>
      </c>
      <c r="N18" s="64">
        <v>29</v>
      </c>
      <c r="O18" s="64">
        <v>0</v>
      </c>
      <c r="P18" s="64">
        <v>0.66</v>
      </c>
      <c r="Q18" s="64">
        <v>9.68</v>
      </c>
      <c r="R18" s="198"/>
      <c r="S18" s="198"/>
      <c r="T18" s="198"/>
      <c r="U18" s="198"/>
    </row>
    <row r="19" spans="1:21" s="12" customFormat="1" x14ac:dyDescent="0.25">
      <c r="A19" s="214" t="s">
        <v>1120</v>
      </c>
      <c r="B19" s="64">
        <v>21.63</v>
      </c>
      <c r="C19" s="64">
        <v>40.03</v>
      </c>
      <c r="D19" s="64">
        <v>43.42</v>
      </c>
      <c r="E19" s="64">
        <v>4.8499999999999996</v>
      </c>
      <c r="F19" s="64">
        <v>3.29</v>
      </c>
      <c r="G19" s="64">
        <v>50.32</v>
      </c>
      <c r="H19" s="64">
        <v>12.67</v>
      </c>
      <c r="I19" s="64">
        <v>4.0599999999999996</v>
      </c>
      <c r="J19" s="64">
        <v>0.28000000000000003</v>
      </c>
      <c r="K19" s="64">
        <v>224.05</v>
      </c>
      <c r="L19" s="64">
        <v>29.76</v>
      </c>
      <c r="M19" s="64">
        <v>59.42</v>
      </c>
      <c r="N19" s="64">
        <v>28.6</v>
      </c>
      <c r="O19" s="64">
        <v>0</v>
      </c>
      <c r="P19" s="64">
        <v>0.65</v>
      </c>
      <c r="Q19" s="64">
        <v>9.68</v>
      </c>
      <c r="R19" s="198"/>
      <c r="S19" s="198"/>
      <c r="T19" s="198"/>
      <c r="U19" s="198"/>
    </row>
    <row r="20" spans="1:21" s="12" customFormat="1" x14ac:dyDescent="0.25">
      <c r="A20" s="214" t="s">
        <v>1121</v>
      </c>
      <c r="B20" s="64">
        <v>14.05</v>
      </c>
      <c r="C20" s="64">
        <v>33.369999999999997</v>
      </c>
      <c r="D20" s="64">
        <v>42.3</v>
      </c>
      <c r="E20" s="64">
        <v>4.1100000000000003</v>
      </c>
      <c r="F20" s="64">
        <v>4.29</v>
      </c>
      <c r="G20" s="64">
        <v>50.19</v>
      </c>
      <c r="H20" s="64">
        <v>12.55</v>
      </c>
      <c r="I20" s="64">
        <v>4.01</v>
      </c>
      <c r="J20" s="64">
        <v>0.27</v>
      </c>
      <c r="K20" s="64">
        <v>171.27</v>
      </c>
      <c r="L20" s="64">
        <v>29.63</v>
      </c>
      <c r="M20" s="64">
        <v>60.48</v>
      </c>
      <c r="N20" s="64">
        <v>28.5</v>
      </c>
      <c r="O20" s="64">
        <v>0</v>
      </c>
      <c r="P20" s="64">
        <v>0.59</v>
      </c>
      <c r="Q20" s="64">
        <v>9.68</v>
      </c>
      <c r="R20" s="198"/>
      <c r="S20" s="198"/>
      <c r="T20" s="198"/>
      <c r="U20" s="198"/>
    </row>
    <row r="21" spans="1:21" s="12" customFormat="1" x14ac:dyDescent="0.25">
      <c r="A21" s="214" t="s">
        <v>1122</v>
      </c>
      <c r="B21" s="64">
        <v>12.84</v>
      </c>
      <c r="C21" s="64">
        <v>34.26</v>
      </c>
      <c r="D21" s="64">
        <v>45.87</v>
      </c>
      <c r="E21" s="64">
        <v>4.08</v>
      </c>
      <c r="F21" s="64">
        <v>3.21</v>
      </c>
      <c r="G21" s="64">
        <v>48.38</v>
      </c>
      <c r="H21" s="64">
        <v>10.92</v>
      </c>
      <c r="I21" s="64">
        <v>4.0999999999999996</v>
      </c>
      <c r="J21" s="64">
        <v>0.37</v>
      </c>
      <c r="K21" s="64">
        <v>223.49</v>
      </c>
      <c r="L21" s="64">
        <v>29.77</v>
      </c>
      <c r="M21" s="64">
        <v>59.83</v>
      </c>
      <c r="N21" s="64">
        <v>28.4</v>
      </c>
      <c r="O21" s="64">
        <v>0</v>
      </c>
      <c r="P21" s="64">
        <v>0.56999999999999995</v>
      </c>
      <c r="Q21" s="64">
        <v>9.68</v>
      </c>
      <c r="R21" s="198"/>
      <c r="S21" s="198"/>
      <c r="T21" s="198"/>
      <c r="U21" s="198"/>
    </row>
    <row r="22" spans="1:21" s="12" customFormat="1" x14ac:dyDescent="0.25">
      <c r="A22" s="214" t="s">
        <v>1123</v>
      </c>
      <c r="B22" s="64">
        <v>20.73</v>
      </c>
      <c r="C22" s="64">
        <v>40.42</v>
      </c>
      <c r="D22" s="64">
        <v>45.55</v>
      </c>
      <c r="E22" s="64">
        <v>4.18</v>
      </c>
      <c r="F22" s="64">
        <v>1.96</v>
      </c>
      <c r="G22" s="64">
        <v>48.38</v>
      </c>
      <c r="H22" s="64">
        <v>10.92</v>
      </c>
      <c r="I22" s="64">
        <v>3.88</v>
      </c>
      <c r="J22" s="64">
        <v>0.32</v>
      </c>
      <c r="K22" s="64">
        <v>221.61</v>
      </c>
      <c r="L22" s="64">
        <v>29.71</v>
      </c>
      <c r="M22" s="64">
        <v>61.58</v>
      </c>
      <c r="N22" s="64">
        <v>28.5</v>
      </c>
      <c r="O22" s="64">
        <v>0</v>
      </c>
      <c r="P22" s="64">
        <v>0.63</v>
      </c>
      <c r="Q22" s="64">
        <v>9.68</v>
      </c>
      <c r="R22" s="198"/>
      <c r="S22" s="198"/>
      <c r="T22" s="198"/>
      <c r="U22" s="198"/>
    </row>
    <row r="23" spans="1:21" s="12" customFormat="1" x14ac:dyDescent="0.25">
      <c r="A23" s="214" t="s">
        <v>1124</v>
      </c>
      <c r="B23" s="64">
        <v>17.989999999999998</v>
      </c>
      <c r="C23" s="64">
        <v>39.25</v>
      </c>
      <c r="D23" s="64">
        <v>47.52</v>
      </c>
      <c r="E23" s="64">
        <v>4.05</v>
      </c>
      <c r="F23" s="64">
        <v>1.34</v>
      </c>
      <c r="G23" s="64">
        <v>48.38</v>
      </c>
      <c r="H23" s="64">
        <v>10.92</v>
      </c>
      <c r="I23" s="64">
        <v>4.04</v>
      </c>
      <c r="J23" s="64">
        <v>0.1</v>
      </c>
      <c r="K23" s="64">
        <v>212.92</v>
      </c>
      <c r="L23" s="64">
        <v>29.23</v>
      </c>
      <c r="M23" s="64">
        <v>66.099999999999994</v>
      </c>
      <c r="N23" s="64">
        <v>28.9</v>
      </c>
      <c r="O23" s="64">
        <v>0</v>
      </c>
      <c r="P23" s="64">
        <v>0.57999999999999996</v>
      </c>
      <c r="Q23" s="64">
        <v>9.6999999999999993</v>
      </c>
      <c r="R23" s="198"/>
      <c r="S23" s="198"/>
      <c r="T23" s="198"/>
      <c r="U23" s="198"/>
    </row>
    <row r="24" spans="1:21" s="12" customFormat="1" x14ac:dyDescent="0.25">
      <c r="A24" s="214" t="s">
        <v>1125</v>
      </c>
      <c r="B24" s="64">
        <v>18.899999999999999</v>
      </c>
      <c r="C24" s="64">
        <v>39.799999999999997</v>
      </c>
      <c r="D24" s="64">
        <v>47.17</v>
      </c>
      <c r="E24" s="64">
        <v>4.2</v>
      </c>
      <c r="F24" s="64">
        <v>1.37</v>
      </c>
      <c r="G24" s="64">
        <v>48.25</v>
      </c>
      <c r="H24" s="64">
        <v>11.12</v>
      </c>
      <c r="I24" s="64">
        <v>3.94</v>
      </c>
      <c r="J24" s="64">
        <v>0.13</v>
      </c>
      <c r="K24" s="64">
        <v>353.32</v>
      </c>
      <c r="L24" s="64">
        <v>28.98</v>
      </c>
      <c r="M24" s="64">
        <v>69.52</v>
      </c>
      <c r="N24" s="64">
        <v>28.6</v>
      </c>
      <c r="O24" s="64">
        <v>0</v>
      </c>
      <c r="P24" s="64">
        <v>0.63</v>
      </c>
      <c r="Q24" s="64">
        <v>9.67</v>
      </c>
      <c r="R24" s="198"/>
      <c r="S24" s="198"/>
      <c r="T24" s="198"/>
      <c r="U24" s="198"/>
    </row>
    <row r="25" spans="1:21" s="12" customFormat="1" x14ac:dyDescent="0.25">
      <c r="A25" s="214" t="s">
        <v>1126</v>
      </c>
      <c r="B25" s="64">
        <v>32.36</v>
      </c>
      <c r="C25" s="64">
        <v>51.74</v>
      </c>
      <c r="D25" s="64">
        <v>49.37</v>
      </c>
      <c r="E25" s="64">
        <v>3.91</v>
      </c>
      <c r="F25" s="64">
        <v>0.99</v>
      </c>
      <c r="G25" s="64">
        <v>46.39</v>
      </c>
      <c r="H25" s="64">
        <v>13.87</v>
      </c>
      <c r="I25" s="64">
        <v>4.03</v>
      </c>
      <c r="J25" s="64">
        <v>0.21</v>
      </c>
      <c r="K25" s="64">
        <v>248.57</v>
      </c>
      <c r="L25" s="64">
        <v>29.1</v>
      </c>
      <c r="M25" s="64">
        <v>71.52</v>
      </c>
      <c r="N25" s="64">
        <v>28.7</v>
      </c>
      <c r="O25" s="64">
        <v>0</v>
      </c>
      <c r="P25" s="64">
        <v>0.67</v>
      </c>
      <c r="Q25" s="64">
        <v>9.66</v>
      </c>
      <c r="R25" s="198"/>
      <c r="S25" s="198"/>
      <c r="T25" s="198"/>
      <c r="U25" s="198"/>
    </row>
    <row r="26" spans="1:21" s="12" customFormat="1" x14ac:dyDescent="0.25">
      <c r="A26" s="214" t="s">
        <v>1127</v>
      </c>
      <c r="B26" s="64">
        <v>37.32</v>
      </c>
      <c r="C26" s="64">
        <v>60.39</v>
      </c>
      <c r="D26" s="64">
        <v>58.3</v>
      </c>
      <c r="E26" s="64">
        <v>4.4800000000000004</v>
      </c>
      <c r="F26" s="64">
        <v>0.03</v>
      </c>
      <c r="G26" s="64">
        <v>46.39</v>
      </c>
      <c r="H26" s="64">
        <v>13.87</v>
      </c>
      <c r="I26" s="64">
        <v>4.09</v>
      </c>
      <c r="J26" s="64">
        <v>0.2</v>
      </c>
      <c r="K26" s="64">
        <v>250.65</v>
      </c>
      <c r="L26" s="64">
        <v>29.08</v>
      </c>
      <c r="M26" s="64">
        <v>70.349999999999994</v>
      </c>
      <c r="N26" s="64">
        <v>28.5</v>
      </c>
      <c r="O26" s="64">
        <v>0</v>
      </c>
      <c r="P26" s="64">
        <v>0.63</v>
      </c>
      <c r="Q26" s="64">
        <v>9.66</v>
      </c>
      <c r="R26" s="198"/>
      <c r="S26" s="198"/>
      <c r="T26" s="198"/>
      <c r="U26" s="198"/>
    </row>
    <row r="27" spans="1:21" s="12" customFormat="1" x14ac:dyDescent="0.25">
      <c r="A27" s="214" t="s">
        <v>1128</v>
      </c>
      <c r="B27" s="64">
        <v>22.33</v>
      </c>
      <c r="C27" s="64">
        <v>43.47</v>
      </c>
      <c r="D27" s="64">
        <v>48.93</v>
      </c>
      <c r="E27" s="64">
        <v>3.91</v>
      </c>
      <c r="F27" s="64">
        <v>1.04</v>
      </c>
      <c r="G27" s="64">
        <v>46.39</v>
      </c>
      <c r="H27" s="64">
        <v>13.87</v>
      </c>
      <c r="I27" s="64">
        <v>4.0599999999999996</v>
      </c>
      <c r="J27" s="64">
        <v>0</v>
      </c>
      <c r="K27" s="64">
        <v>101.99</v>
      </c>
      <c r="L27" s="64">
        <v>29.01</v>
      </c>
      <c r="M27" s="64">
        <v>67.64</v>
      </c>
      <c r="N27" s="64">
        <v>28.6</v>
      </c>
      <c r="O27" s="64">
        <v>0</v>
      </c>
      <c r="P27" s="64">
        <v>0.6</v>
      </c>
      <c r="Q27" s="64">
        <v>9.66</v>
      </c>
      <c r="R27" s="198"/>
      <c r="S27" s="198"/>
      <c r="T27" s="198"/>
      <c r="U27" s="198"/>
    </row>
    <row r="28" spans="1:21" s="12" customFormat="1" x14ac:dyDescent="0.25">
      <c r="A28" s="214" t="s">
        <v>1129</v>
      </c>
      <c r="B28" s="64">
        <v>46.71</v>
      </c>
      <c r="C28" s="64">
        <v>74.59</v>
      </c>
      <c r="D28" s="64">
        <v>71.069999999999993</v>
      </c>
      <c r="E28" s="64">
        <v>3.82</v>
      </c>
      <c r="F28" s="64">
        <v>0.54</v>
      </c>
      <c r="G28" s="64">
        <v>46.83</v>
      </c>
      <c r="H28" s="64">
        <v>13.95</v>
      </c>
      <c r="I28" s="64">
        <v>3.95</v>
      </c>
      <c r="J28" s="64">
        <v>0.1</v>
      </c>
      <c r="K28" s="64">
        <v>115.62</v>
      </c>
      <c r="L28" s="64">
        <v>29.1</v>
      </c>
      <c r="M28" s="64">
        <v>69.38</v>
      </c>
      <c r="N28" s="64">
        <v>28.5</v>
      </c>
      <c r="O28" s="64">
        <v>0</v>
      </c>
      <c r="P28" s="64">
        <v>0.59</v>
      </c>
      <c r="Q28" s="64">
        <v>9.67</v>
      </c>
      <c r="R28" s="198"/>
      <c r="S28" s="198"/>
      <c r="T28" s="198"/>
      <c r="U28" s="198"/>
    </row>
    <row r="29" spans="1:21" s="12" customFormat="1" x14ac:dyDescent="0.25">
      <c r="A29" s="214" t="s">
        <v>1130</v>
      </c>
      <c r="B29" s="64">
        <v>60.53</v>
      </c>
      <c r="C29" s="64">
        <v>91.51</v>
      </c>
      <c r="D29" s="64">
        <v>82.25</v>
      </c>
      <c r="E29" s="64">
        <v>4.22</v>
      </c>
      <c r="F29" s="64">
        <v>0.22</v>
      </c>
      <c r="G29" s="64">
        <v>53.01</v>
      </c>
      <c r="H29" s="64">
        <v>15.05</v>
      </c>
      <c r="I29" s="64">
        <v>4.03</v>
      </c>
      <c r="J29" s="64">
        <v>0.21</v>
      </c>
      <c r="K29" s="64">
        <v>235.54</v>
      </c>
      <c r="L29" s="64">
        <v>29.2</v>
      </c>
      <c r="M29" s="64">
        <v>67.989999999999995</v>
      </c>
      <c r="N29" s="64">
        <v>29.2</v>
      </c>
      <c r="O29" s="64">
        <v>0</v>
      </c>
      <c r="P29" s="64">
        <v>0.62</v>
      </c>
      <c r="Q29" s="64">
        <v>9.68</v>
      </c>
      <c r="R29" s="198"/>
      <c r="S29" s="198"/>
      <c r="T29" s="198"/>
      <c r="U29" s="198"/>
    </row>
    <row r="30" spans="1:21" s="12" customFormat="1" x14ac:dyDescent="0.25">
      <c r="A30" s="214" t="s">
        <v>1131</v>
      </c>
      <c r="B30" s="64">
        <v>28.13</v>
      </c>
      <c r="C30" s="64">
        <v>59.03</v>
      </c>
      <c r="D30" s="64">
        <v>69.8</v>
      </c>
      <c r="E30" s="64">
        <v>3.83</v>
      </c>
      <c r="F30" s="64">
        <v>1.1200000000000001</v>
      </c>
      <c r="G30" s="64">
        <v>53.01</v>
      </c>
      <c r="H30" s="64">
        <v>15.05</v>
      </c>
      <c r="I30" s="64">
        <v>4.08</v>
      </c>
      <c r="J30" s="64">
        <v>0.19</v>
      </c>
      <c r="K30" s="64">
        <v>223.78</v>
      </c>
      <c r="L30" s="64">
        <v>29.06</v>
      </c>
      <c r="M30" s="64">
        <v>69.260000000000005</v>
      </c>
      <c r="N30" s="64">
        <v>32.4</v>
      </c>
      <c r="O30" s="64">
        <v>0</v>
      </c>
      <c r="P30" s="64">
        <v>0.52</v>
      </c>
      <c r="Q30" s="64">
        <v>9.68</v>
      </c>
      <c r="R30" s="198"/>
      <c r="S30" s="198"/>
      <c r="T30" s="198"/>
      <c r="U30" s="198"/>
    </row>
    <row r="31" spans="1:21" s="12" customFormat="1" x14ac:dyDescent="0.25">
      <c r="A31" s="214" t="s">
        <v>1132</v>
      </c>
      <c r="B31" s="64">
        <v>93.13</v>
      </c>
      <c r="C31" s="64">
        <v>122.06</v>
      </c>
      <c r="D31" s="64">
        <v>90.68</v>
      </c>
      <c r="E31" s="64">
        <v>4.18</v>
      </c>
      <c r="F31" s="64">
        <v>1.39</v>
      </c>
      <c r="G31" s="64">
        <v>53.01</v>
      </c>
      <c r="H31" s="64">
        <v>15.05</v>
      </c>
      <c r="I31" s="64">
        <v>4.07</v>
      </c>
      <c r="J31" s="64">
        <v>0.28999999999999998</v>
      </c>
      <c r="K31" s="64">
        <v>257.14</v>
      </c>
      <c r="L31" s="64">
        <v>29.13</v>
      </c>
      <c r="M31" s="64">
        <v>71.48</v>
      </c>
      <c r="N31" s="64">
        <v>43.5</v>
      </c>
      <c r="O31" s="64">
        <v>0</v>
      </c>
      <c r="P31" s="64">
        <v>0.93</v>
      </c>
      <c r="Q31" s="64">
        <v>9.67</v>
      </c>
      <c r="R31" s="198"/>
      <c r="S31" s="198"/>
      <c r="T31" s="198"/>
      <c r="U31" s="198"/>
    </row>
    <row r="32" spans="1:21" s="12" customFormat="1" x14ac:dyDescent="0.25">
      <c r="A32" s="214" t="s">
        <v>1133</v>
      </c>
      <c r="B32" s="64">
        <v>60.95</v>
      </c>
      <c r="C32" s="64">
        <v>91.2</v>
      </c>
      <c r="D32" s="64">
        <v>81</v>
      </c>
      <c r="E32" s="64">
        <v>4.45</v>
      </c>
      <c r="F32" s="64">
        <v>1.39</v>
      </c>
      <c r="G32" s="64">
        <v>53.43</v>
      </c>
      <c r="H32" s="64">
        <v>14.95</v>
      </c>
      <c r="I32" s="64">
        <v>4.18</v>
      </c>
      <c r="J32" s="64">
        <v>0.14000000000000001</v>
      </c>
      <c r="K32" s="64">
        <v>242.18</v>
      </c>
      <c r="L32" s="64">
        <v>29.34</v>
      </c>
      <c r="M32" s="64">
        <v>73.319999999999993</v>
      </c>
      <c r="N32" s="64">
        <v>65.599999999999994</v>
      </c>
      <c r="O32" s="64">
        <v>0</v>
      </c>
      <c r="P32" s="64">
        <v>0.97</v>
      </c>
      <c r="Q32" s="64">
        <v>9.66</v>
      </c>
      <c r="R32" s="198"/>
      <c r="S32" s="198"/>
      <c r="T32" s="198"/>
      <c r="U32" s="198"/>
    </row>
    <row r="33" spans="1:21" s="12" customFormat="1" x14ac:dyDescent="0.25">
      <c r="A33" s="214" t="s">
        <v>1134</v>
      </c>
      <c r="B33" s="64">
        <v>55.84</v>
      </c>
      <c r="C33" s="64">
        <v>89.68</v>
      </c>
      <c r="D33" s="64">
        <v>85.94</v>
      </c>
      <c r="E33" s="64">
        <v>4.4000000000000004</v>
      </c>
      <c r="F33" s="64">
        <v>1.56</v>
      </c>
      <c r="G33" s="64">
        <v>59.3</v>
      </c>
      <c r="H33" s="64">
        <v>13.57</v>
      </c>
      <c r="I33" s="64">
        <v>3.99</v>
      </c>
      <c r="J33" s="64">
        <v>0.26</v>
      </c>
      <c r="K33" s="64">
        <v>194.93</v>
      </c>
      <c r="L33" s="64">
        <v>30.4</v>
      </c>
      <c r="M33" s="64">
        <v>65.680000000000007</v>
      </c>
      <c r="N33" s="64">
        <v>99.3</v>
      </c>
      <c r="O33" s="64">
        <v>0</v>
      </c>
      <c r="P33" s="64">
        <v>0.88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4" t="s">
        <v>1135</v>
      </c>
      <c r="B34" s="64">
        <v>39.9</v>
      </c>
      <c r="C34" s="64">
        <v>71.819999999999993</v>
      </c>
      <c r="D34" s="64">
        <v>76.23</v>
      </c>
      <c r="E34" s="64">
        <v>4.1900000000000004</v>
      </c>
      <c r="F34" s="64">
        <v>1.84</v>
      </c>
      <c r="G34" s="64">
        <v>59.3</v>
      </c>
      <c r="H34" s="64">
        <v>13.57</v>
      </c>
      <c r="I34" s="64">
        <v>3.95</v>
      </c>
      <c r="J34" s="64">
        <v>0.27</v>
      </c>
      <c r="K34" s="64">
        <v>156.99</v>
      </c>
      <c r="L34" s="64">
        <v>31.74</v>
      </c>
      <c r="M34" s="64">
        <v>56.86</v>
      </c>
      <c r="N34" s="64">
        <v>140.9</v>
      </c>
      <c r="O34" s="64">
        <v>0</v>
      </c>
      <c r="P34" s="64">
        <v>0.64</v>
      </c>
      <c r="Q34" s="64">
        <v>9.67</v>
      </c>
      <c r="R34" s="198"/>
      <c r="S34" s="198"/>
      <c r="T34" s="198"/>
      <c r="U34" s="198"/>
    </row>
    <row r="35" spans="1:21" s="12" customFormat="1" x14ac:dyDescent="0.25">
      <c r="A35" s="214" t="s">
        <v>1136</v>
      </c>
      <c r="B35" s="64">
        <v>40.72</v>
      </c>
      <c r="C35" s="64">
        <v>68.61</v>
      </c>
      <c r="D35" s="64">
        <v>68.819999999999993</v>
      </c>
      <c r="E35" s="64">
        <v>4.49</v>
      </c>
      <c r="F35" s="64">
        <v>4.17</v>
      </c>
      <c r="G35" s="64">
        <v>59.3</v>
      </c>
      <c r="H35" s="64">
        <v>13.57</v>
      </c>
      <c r="I35" s="64">
        <v>4.0599999999999996</v>
      </c>
      <c r="J35" s="64">
        <v>0.16</v>
      </c>
      <c r="K35" s="64">
        <v>179.43</v>
      </c>
      <c r="L35" s="64">
        <v>33.14</v>
      </c>
      <c r="M35" s="64">
        <v>54.28</v>
      </c>
      <c r="N35" s="64">
        <v>188.4</v>
      </c>
      <c r="O35" s="64">
        <v>0</v>
      </c>
      <c r="P35" s="64">
        <v>0.81</v>
      </c>
      <c r="Q35" s="64">
        <v>9.69</v>
      </c>
      <c r="R35" s="198"/>
      <c r="S35" s="198"/>
      <c r="T35" s="198"/>
      <c r="U35" s="198"/>
    </row>
    <row r="36" spans="1:21" s="12" customFormat="1" x14ac:dyDescent="0.25">
      <c r="A36" s="214" t="s">
        <v>1137</v>
      </c>
      <c r="B36" s="64">
        <v>34.85</v>
      </c>
      <c r="C36" s="64">
        <v>54.08</v>
      </c>
      <c r="D36" s="64">
        <v>50.01</v>
      </c>
      <c r="E36" s="64">
        <v>4.38</v>
      </c>
      <c r="F36" s="64">
        <v>3.16</v>
      </c>
      <c r="G36" s="64">
        <v>59.15</v>
      </c>
      <c r="H36" s="64">
        <v>13.62</v>
      </c>
      <c r="I36" s="64">
        <v>3.9</v>
      </c>
      <c r="J36" s="64">
        <v>1.1499999999999999</v>
      </c>
      <c r="K36" s="64">
        <v>148.13999999999999</v>
      </c>
      <c r="L36" s="64">
        <v>32.97</v>
      </c>
      <c r="M36" s="64">
        <v>51.19</v>
      </c>
      <c r="N36" s="64">
        <v>235.8</v>
      </c>
      <c r="O36" s="64">
        <v>0</v>
      </c>
      <c r="P36" s="64">
        <v>0.67</v>
      </c>
      <c r="Q36" s="64">
        <v>9.67</v>
      </c>
      <c r="R36" s="198"/>
      <c r="S36" s="198"/>
      <c r="T36" s="198"/>
      <c r="U36" s="198"/>
    </row>
    <row r="37" spans="1:21" s="12" customFormat="1" x14ac:dyDescent="0.25">
      <c r="A37" s="214" t="s">
        <v>1138</v>
      </c>
      <c r="B37" s="64">
        <v>37.71</v>
      </c>
      <c r="C37" s="64">
        <v>55.02</v>
      </c>
      <c r="D37" s="64">
        <v>47.43</v>
      </c>
      <c r="E37" s="64">
        <v>4.22</v>
      </c>
      <c r="F37" s="64">
        <v>2.2400000000000002</v>
      </c>
      <c r="G37" s="64">
        <v>57.14</v>
      </c>
      <c r="H37" s="64">
        <v>14.4</v>
      </c>
      <c r="I37" s="64">
        <v>4</v>
      </c>
      <c r="J37" s="64">
        <v>1.05</v>
      </c>
      <c r="K37" s="64">
        <v>146.68</v>
      </c>
      <c r="L37" s="64">
        <v>33.36</v>
      </c>
      <c r="M37" s="64">
        <v>49.97</v>
      </c>
      <c r="N37" s="64">
        <v>299.5</v>
      </c>
      <c r="O37" s="64">
        <v>0</v>
      </c>
      <c r="P37" s="64">
        <v>0.67</v>
      </c>
      <c r="Q37" s="64">
        <v>9.68</v>
      </c>
      <c r="R37" s="198"/>
      <c r="S37" s="198"/>
      <c r="T37" s="198"/>
      <c r="U37" s="198"/>
    </row>
    <row r="38" spans="1:21" s="12" customFormat="1" x14ac:dyDescent="0.25">
      <c r="A38" s="214" t="s">
        <v>1139</v>
      </c>
      <c r="B38" s="64">
        <v>32.200000000000003</v>
      </c>
      <c r="C38" s="64">
        <v>49.99</v>
      </c>
      <c r="D38" s="64">
        <v>46.26</v>
      </c>
      <c r="E38" s="64">
        <v>4.3099999999999996</v>
      </c>
      <c r="F38" s="64">
        <v>2.02</v>
      </c>
      <c r="G38" s="64">
        <v>57.14</v>
      </c>
      <c r="H38" s="64">
        <v>14.4</v>
      </c>
      <c r="I38" s="64">
        <v>3.88</v>
      </c>
      <c r="J38" s="64">
        <v>0.91</v>
      </c>
      <c r="K38" s="64">
        <v>162.21</v>
      </c>
      <c r="L38" s="64">
        <v>33.61</v>
      </c>
      <c r="M38" s="64">
        <v>49.73</v>
      </c>
      <c r="N38" s="64">
        <v>348.4</v>
      </c>
      <c r="O38" s="64">
        <v>0</v>
      </c>
      <c r="P38" s="64">
        <v>0.65</v>
      </c>
      <c r="Q38" s="64">
        <v>9.6999999999999993</v>
      </c>
      <c r="R38" s="198"/>
      <c r="S38" s="198"/>
      <c r="T38" s="198"/>
      <c r="U38" s="198"/>
    </row>
    <row r="39" spans="1:21" s="12" customFormat="1" x14ac:dyDescent="0.25">
      <c r="A39" s="214" t="s">
        <v>1140</v>
      </c>
      <c r="B39" s="64">
        <v>29.89</v>
      </c>
      <c r="C39" s="64">
        <v>48.51</v>
      </c>
      <c r="D39" s="64">
        <v>46.97</v>
      </c>
      <c r="E39" s="64">
        <v>4.04</v>
      </c>
      <c r="F39" s="64">
        <v>1.54</v>
      </c>
      <c r="G39" s="64">
        <v>57.14</v>
      </c>
      <c r="H39" s="64">
        <v>14.4</v>
      </c>
      <c r="I39" s="64">
        <v>4.03</v>
      </c>
      <c r="J39" s="64">
        <v>0.47</v>
      </c>
      <c r="K39" s="64">
        <v>228.06</v>
      </c>
      <c r="L39" s="64">
        <v>34.619999999999997</v>
      </c>
      <c r="M39" s="64">
        <v>48.47</v>
      </c>
      <c r="N39" s="64">
        <v>404.5</v>
      </c>
      <c r="O39" s="64">
        <v>0</v>
      </c>
      <c r="P39" s="64">
        <v>0.64</v>
      </c>
      <c r="Q39" s="64">
        <v>9.7200000000000006</v>
      </c>
      <c r="R39" s="198"/>
      <c r="S39" s="198"/>
      <c r="T39" s="198"/>
      <c r="U39" s="198"/>
    </row>
    <row r="40" spans="1:21" s="12" customFormat="1" x14ac:dyDescent="0.25">
      <c r="A40" s="214" t="s">
        <v>1141</v>
      </c>
      <c r="B40" s="64">
        <v>24.66</v>
      </c>
      <c r="C40" s="64">
        <v>43.52</v>
      </c>
      <c r="D40" s="64">
        <v>45.45</v>
      </c>
      <c r="E40" s="64">
        <v>4.4000000000000004</v>
      </c>
      <c r="F40" s="64">
        <v>3.75</v>
      </c>
      <c r="G40" s="64">
        <v>56.83</v>
      </c>
      <c r="H40" s="64">
        <v>14.43</v>
      </c>
      <c r="I40" s="64">
        <v>3.97</v>
      </c>
      <c r="J40" s="64">
        <v>0.47</v>
      </c>
      <c r="K40" s="64">
        <v>211.02</v>
      </c>
      <c r="L40" s="64">
        <v>35.44</v>
      </c>
      <c r="M40" s="64">
        <v>46.81</v>
      </c>
      <c r="N40" s="64">
        <v>463.7</v>
      </c>
      <c r="O40" s="64">
        <v>0</v>
      </c>
      <c r="P40" s="64">
        <v>0.59</v>
      </c>
      <c r="Q40" s="64">
        <v>9.7200000000000006</v>
      </c>
      <c r="R40" s="198"/>
      <c r="S40" s="198"/>
      <c r="T40" s="198"/>
      <c r="U40" s="198"/>
    </row>
    <row r="41" spans="1:21" s="12" customFormat="1" x14ac:dyDescent="0.25">
      <c r="A41" s="214" t="s">
        <v>1142</v>
      </c>
      <c r="B41" s="64">
        <v>25.66</v>
      </c>
      <c r="C41" s="64">
        <v>44.55</v>
      </c>
      <c r="D41" s="64">
        <v>45.89</v>
      </c>
      <c r="E41" s="64">
        <v>4.3</v>
      </c>
      <c r="F41" s="64">
        <v>2.14</v>
      </c>
      <c r="G41" s="64">
        <v>52.42</v>
      </c>
      <c r="H41" s="64">
        <v>14.81</v>
      </c>
      <c r="I41" s="64">
        <v>4.05</v>
      </c>
      <c r="J41" s="64">
        <v>0.46</v>
      </c>
      <c r="K41" s="64">
        <v>248.91</v>
      </c>
      <c r="L41" s="64">
        <v>36.630000000000003</v>
      </c>
      <c r="M41" s="64">
        <v>45.04</v>
      </c>
      <c r="N41" s="64">
        <v>514.6</v>
      </c>
      <c r="O41" s="64">
        <v>0</v>
      </c>
      <c r="P41" s="64">
        <v>0.64</v>
      </c>
      <c r="Q41" s="64">
        <v>9.73</v>
      </c>
      <c r="R41" s="198"/>
      <c r="S41" s="198"/>
      <c r="T41" s="198"/>
      <c r="U41" s="198"/>
    </row>
    <row r="42" spans="1:21" s="12" customFormat="1" x14ac:dyDescent="0.25">
      <c r="A42" s="214" t="s">
        <v>1143</v>
      </c>
      <c r="B42" s="64">
        <v>22.01</v>
      </c>
      <c r="C42" s="64">
        <v>44.84</v>
      </c>
      <c r="D42" s="64">
        <v>52.03</v>
      </c>
      <c r="E42" s="64">
        <v>4.74</v>
      </c>
      <c r="F42" s="64">
        <v>3.75</v>
      </c>
      <c r="G42" s="64">
        <v>52.42</v>
      </c>
      <c r="H42" s="64">
        <v>14.81</v>
      </c>
      <c r="I42" s="64">
        <v>4.0199999999999996</v>
      </c>
      <c r="J42" s="64">
        <v>0.55000000000000004</v>
      </c>
      <c r="K42" s="64">
        <v>255.62</v>
      </c>
      <c r="L42" s="64">
        <v>38.53</v>
      </c>
      <c r="M42" s="64">
        <v>41.03</v>
      </c>
      <c r="N42" s="64">
        <v>571.1</v>
      </c>
      <c r="O42" s="64">
        <v>0</v>
      </c>
      <c r="P42" s="64">
        <v>0.65</v>
      </c>
      <c r="Q42" s="64">
        <v>9.67</v>
      </c>
      <c r="R42" s="198"/>
      <c r="S42" s="198"/>
      <c r="T42" s="198"/>
      <c r="U42" s="198"/>
    </row>
    <row r="43" spans="1:21" s="12" customFormat="1" x14ac:dyDescent="0.25">
      <c r="A43" s="214" t="s">
        <v>1144</v>
      </c>
      <c r="B43" s="64">
        <v>19.16</v>
      </c>
      <c r="C43" s="64">
        <v>42.34</v>
      </c>
      <c r="D43" s="64">
        <v>51.62</v>
      </c>
      <c r="E43" s="64">
        <v>5.0199999999999996</v>
      </c>
      <c r="F43" s="64">
        <v>6.84</v>
      </c>
      <c r="G43" s="64">
        <v>52.42</v>
      </c>
      <c r="H43" s="64">
        <v>14.81</v>
      </c>
      <c r="I43" s="64">
        <v>4.17</v>
      </c>
      <c r="J43" s="64">
        <v>0.56999999999999995</v>
      </c>
      <c r="K43" s="64">
        <v>232.39</v>
      </c>
      <c r="L43" s="64">
        <v>37.82</v>
      </c>
      <c r="M43" s="64">
        <v>42.46</v>
      </c>
      <c r="N43" s="64">
        <v>615.79999999999995</v>
      </c>
      <c r="O43" s="64">
        <v>0</v>
      </c>
      <c r="P43" s="64">
        <v>0.63</v>
      </c>
      <c r="Q43" s="64">
        <v>9.7100000000000009</v>
      </c>
      <c r="R43" s="198"/>
      <c r="S43" s="198"/>
      <c r="T43" s="198"/>
      <c r="U43" s="198"/>
    </row>
    <row r="44" spans="1:21" s="12" customFormat="1" x14ac:dyDescent="0.25">
      <c r="A44" s="214" t="s">
        <v>1145</v>
      </c>
      <c r="B44" s="64">
        <v>18.5</v>
      </c>
      <c r="C44" s="64">
        <v>40.96</v>
      </c>
      <c r="D44" s="64">
        <v>50</v>
      </c>
      <c r="E44" s="64">
        <v>4.5599999999999996</v>
      </c>
      <c r="F44" s="64">
        <v>5.37</v>
      </c>
      <c r="G44" s="64">
        <v>52.16</v>
      </c>
      <c r="H44" s="64">
        <v>14.74</v>
      </c>
      <c r="I44" s="64">
        <v>4.0999999999999996</v>
      </c>
      <c r="J44" s="64">
        <v>0.69</v>
      </c>
      <c r="K44" s="64">
        <v>256.55</v>
      </c>
      <c r="L44" s="64">
        <v>40.659999999999997</v>
      </c>
      <c r="M44" s="64">
        <v>36.6</v>
      </c>
      <c r="N44" s="64">
        <v>651.29999999999995</v>
      </c>
      <c r="O44" s="64">
        <v>0</v>
      </c>
      <c r="P44" s="64">
        <v>0.71</v>
      </c>
      <c r="Q44" s="64">
        <v>9.68</v>
      </c>
      <c r="R44" s="198"/>
      <c r="S44" s="198"/>
      <c r="T44" s="198"/>
      <c r="U44" s="198"/>
    </row>
    <row r="45" spans="1:21" s="12" customFormat="1" x14ac:dyDescent="0.25">
      <c r="A45" s="214" t="s">
        <v>1146</v>
      </c>
      <c r="B45" s="64">
        <v>15.2</v>
      </c>
      <c r="C45" s="64">
        <v>39.090000000000003</v>
      </c>
      <c r="D45" s="64">
        <v>51.47</v>
      </c>
      <c r="E45" s="64">
        <v>5.12</v>
      </c>
      <c r="F45" s="64">
        <v>4.4000000000000004</v>
      </c>
      <c r="G45" s="64">
        <v>48.58</v>
      </c>
      <c r="H45" s="64">
        <v>13.77</v>
      </c>
      <c r="I45" s="64">
        <v>4.1100000000000003</v>
      </c>
      <c r="J45" s="64">
        <v>0.75</v>
      </c>
      <c r="K45" s="64">
        <v>234.68</v>
      </c>
      <c r="L45" s="64">
        <v>39.01</v>
      </c>
      <c r="M45" s="64">
        <v>38.74</v>
      </c>
      <c r="N45" s="64">
        <v>703</v>
      </c>
      <c r="O45" s="64">
        <v>0</v>
      </c>
      <c r="P45" s="64">
        <v>0.75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4" t="s">
        <v>1147</v>
      </c>
      <c r="B46" s="64">
        <v>14.26</v>
      </c>
      <c r="C46" s="64">
        <v>37.99</v>
      </c>
      <c r="D46" s="64">
        <v>50.83</v>
      </c>
      <c r="E46" s="64">
        <v>5.85</v>
      </c>
      <c r="F46" s="64">
        <v>3.88</v>
      </c>
      <c r="G46" s="64">
        <v>48.58</v>
      </c>
      <c r="H46" s="64">
        <v>13.77</v>
      </c>
      <c r="I46" s="64">
        <v>3.98</v>
      </c>
      <c r="J46" s="64">
        <v>0.94</v>
      </c>
      <c r="K46" s="64">
        <v>260.37</v>
      </c>
      <c r="L46" s="64">
        <v>40.049999999999997</v>
      </c>
      <c r="M46" s="64">
        <v>36.25</v>
      </c>
      <c r="N46" s="64">
        <v>739.8</v>
      </c>
      <c r="O46" s="64">
        <v>0</v>
      </c>
      <c r="P46" s="64">
        <v>0.7</v>
      </c>
      <c r="Q46" s="64">
        <v>9.6300000000000008</v>
      </c>
      <c r="R46" s="198"/>
      <c r="S46" s="198"/>
      <c r="T46" s="198"/>
      <c r="U46" s="198"/>
    </row>
    <row r="47" spans="1:21" s="12" customFormat="1" x14ac:dyDescent="0.25">
      <c r="A47" s="214" t="s">
        <v>1148</v>
      </c>
      <c r="B47" s="64">
        <v>11.69</v>
      </c>
      <c r="C47" s="64">
        <v>33.619999999999997</v>
      </c>
      <c r="D47" s="64">
        <v>46.4</v>
      </c>
      <c r="E47" s="64">
        <v>4.71</v>
      </c>
      <c r="F47" s="64">
        <v>3.17</v>
      </c>
      <c r="G47" s="64">
        <v>48.58</v>
      </c>
      <c r="H47" s="64">
        <v>13.77</v>
      </c>
      <c r="I47" s="64">
        <v>3.89</v>
      </c>
      <c r="J47" s="64">
        <v>0.8</v>
      </c>
      <c r="K47" s="64">
        <v>234.82</v>
      </c>
      <c r="L47" s="64">
        <v>39.799999999999997</v>
      </c>
      <c r="M47" s="64">
        <v>35.49</v>
      </c>
      <c r="N47" s="64">
        <v>785</v>
      </c>
      <c r="O47" s="64">
        <v>0</v>
      </c>
      <c r="P47" s="64">
        <v>0.65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4" t="s">
        <v>1149</v>
      </c>
      <c r="B48" s="64">
        <v>10.08</v>
      </c>
      <c r="C48" s="64">
        <v>31.63</v>
      </c>
      <c r="D48" s="64">
        <v>45.08</v>
      </c>
      <c r="E48" s="64">
        <v>5.1100000000000003</v>
      </c>
      <c r="F48" s="64">
        <v>6.34</v>
      </c>
      <c r="G48" s="64">
        <v>48.03</v>
      </c>
      <c r="H48" s="64">
        <v>13.62</v>
      </c>
      <c r="I48" s="64">
        <v>4.1399999999999997</v>
      </c>
      <c r="J48" s="64">
        <v>0.86</v>
      </c>
      <c r="K48" s="64">
        <v>262.02</v>
      </c>
      <c r="L48" s="64">
        <v>41.5</v>
      </c>
      <c r="M48" s="64">
        <v>33.22</v>
      </c>
      <c r="N48" s="64">
        <v>803.9</v>
      </c>
      <c r="O48" s="64">
        <v>0</v>
      </c>
      <c r="P48" s="64">
        <v>0.73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4" t="s">
        <v>1150</v>
      </c>
      <c r="B49" s="64">
        <v>8.0299999999999994</v>
      </c>
      <c r="C49" s="64">
        <v>29.39</v>
      </c>
      <c r="D49" s="64">
        <v>43.93</v>
      </c>
      <c r="E49" s="64">
        <v>6.19</v>
      </c>
      <c r="F49" s="64">
        <v>5.97</v>
      </c>
      <c r="G49" s="64">
        <v>40.22</v>
      </c>
      <c r="H49" s="64">
        <v>11.56</v>
      </c>
      <c r="I49" s="64">
        <v>3.94</v>
      </c>
      <c r="J49" s="64">
        <v>0.73</v>
      </c>
      <c r="K49" s="64">
        <v>229.18</v>
      </c>
      <c r="L49" s="64">
        <v>40.409999999999997</v>
      </c>
      <c r="M49" s="64">
        <v>32.020000000000003</v>
      </c>
      <c r="N49" s="64">
        <v>850</v>
      </c>
      <c r="O49" s="64">
        <v>0</v>
      </c>
      <c r="P49" s="64">
        <v>0.68</v>
      </c>
      <c r="Q49" s="64">
        <v>9.58</v>
      </c>
      <c r="R49" s="198"/>
      <c r="S49" s="198"/>
      <c r="T49" s="198"/>
      <c r="U49" s="198"/>
    </row>
    <row r="50" spans="1:21" s="12" customFormat="1" x14ac:dyDescent="0.25">
      <c r="A50" s="214" t="s">
        <v>1151</v>
      </c>
      <c r="B50" s="64">
        <v>8.66</v>
      </c>
      <c r="C50" s="64">
        <v>31.68</v>
      </c>
      <c r="D50" s="64">
        <v>47.34</v>
      </c>
      <c r="E50" s="64">
        <v>7.44</v>
      </c>
      <c r="F50" s="64">
        <v>12.81</v>
      </c>
      <c r="G50" s="64">
        <v>40.22</v>
      </c>
      <c r="H50" s="64">
        <v>11.56</v>
      </c>
      <c r="I50" s="64">
        <v>3.96</v>
      </c>
      <c r="J50" s="64">
        <v>0.57999999999999996</v>
      </c>
      <c r="K50" s="64">
        <v>246.73</v>
      </c>
      <c r="L50" s="64">
        <v>41.5</v>
      </c>
      <c r="M50" s="64">
        <v>30.86</v>
      </c>
      <c r="N50" s="64">
        <v>865.3</v>
      </c>
      <c r="O50" s="64">
        <v>0</v>
      </c>
      <c r="P50" s="64">
        <v>0.71</v>
      </c>
      <c r="Q50" s="64">
        <v>9.57</v>
      </c>
      <c r="R50" s="198"/>
      <c r="S50" s="198"/>
      <c r="T50" s="198"/>
      <c r="U50" s="198"/>
    </row>
    <row r="51" spans="1:21" s="12" customFormat="1" x14ac:dyDescent="0.25">
      <c r="A51" s="214" t="s">
        <v>1152</v>
      </c>
      <c r="B51" s="64">
        <v>7.86</v>
      </c>
      <c r="C51" s="64">
        <v>30.1</v>
      </c>
      <c r="D51" s="64">
        <v>45.55</v>
      </c>
      <c r="E51" s="64">
        <v>7.55</v>
      </c>
      <c r="F51" s="64">
        <v>8.82</v>
      </c>
      <c r="G51" s="64">
        <v>40.22</v>
      </c>
      <c r="H51" s="64">
        <v>11.56</v>
      </c>
      <c r="I51" s="64">
        <v>3.94</v>
      </c>
      <c r="J51" s="64">
        <v>0.46</v>
      </c>
      <c r="K51" s="64">
        <v>212.68</v>
      </c>
      <c r="L51" s="64">
        <v>40.409999999999997</v>
      </c>
      <c r="M51" s="64">
        <v>33</v>
      </c>
      <c r="N51" s="64">
        <v>881.5</v>
      </c>
      <c r="O51" s="64">
        <v>0</v>
      </c>
      <c r="P51" s="64">
        <v>0.63</v>
      </c>
      <c r="Q51" s="64">
        <v>9.58</v>
      </c>
      <c r="R51" s="198"/>
      <c r="S51" s="198"/>
      <c r="T51" s="198"/>
      <c r="U51" s="198"/>
    </row>
    <row r="52" spans="1:21" s="12" customFormat="1" x14ac:dyDescent="0.25">
      <c r="A52" s="214" t="s">
        <v>1153</v>
      </c>
      <c r="B52" s="64">
        <v>6.71</v>
      </c>
      <c r="C52" s="64">
        <v>28.55</v>
      </c>
      <c r="D52" s="64">
        <v>44.35</v>
      </c>
      <c r="E52" s="64">
        <v>8.11</v>
      </c>
      <c r="F52" s="64">
        <v>11.79</v>
      </c>
      <c r="G52" s="64">
        <v>40.33</v>
      </c>
      <c r="H52" s="64">
        <v>11.72</v>
      </c>
      <c r="I52" s="64">
        <v>4</v>
      </c>
      <c r="J52" s="64">
        <v>0.74</v>
      </c>
      <c r="K52" s="64">
        <v>175.61</v>
      </c>
      <c r="L52" s="64">
        <v>40.97</v>
      </c>
      <c r="M52" s="64">
        <v>32.119999999999997</v>
      </c>
      <c r="N52" s="64">
        <v>888.7</v>
      </c>
      <c r="O52" s="64">
        <v>0</v>
      </c>
      <c r="P52" s="64">
        <v>0.62</v>
      </c>
      <c r="Q52" s="64">
        <v>9.56</v>
      </c>
      <c r="R52" s="198"/>
      <c r="S52" s="198"/>
      <c r="T52" s="198"/>
      <c r="U52" s="198"/>
    </row>
    <row r="53" spans="1:21" s="12" customFormat="1" x14ac:dyDescent="0.25">
      <c r="A53" s="214" t="s">
        <v>1154</v>
      </c>
      <c r="B53" s="64">
        <v>7.09</v>
      </c>
      <c r="C53" s="64">
        <v>31.45</v>
      </c>
      <c r="D53" s="64">
        <v>49.31</v>
      </c>
      <c r="E53" s="64">
        <v>5.9</v>
      </c>
      <c r="F53" s="64">
        <v>5.81</v>
      </c>
      <c r="G53" s="64">
        <v>41.92</v>
      </c>
      <c r="H53" s="64">
        <v>14</v>
      </c>
      <c r="I53" s="64">
        <v>4.17</v>
      </c>
      <c r="J53" s="64">
        <v>0.89</v>
      </c>
      <c r="K53" s="64">
        <v>254.64</v>
      </c>
      <c r="L53" s="64">
        <v>41.47</v>
      </c>
      <c r="M53" s="64">
        <v>32.200000000000003</v>
      </c>
      <c r="N53" s="64">
        <v>884.7</v>
      </c>
      <c r="O53" s="64">
        <v>0</v>
      </c>
      <c r="P53" s="64">
        <v>0.67</v>
      </c>
      <c r="Q53" s="64">
        <v>9.5399999999999991</v>
      </c>
      <c r="R53" s="198"/>
      <c r="S53" s="198"/>
      <c r="T53" s="198"/>
      <c r="U53" s="198"/>
    </row>
    <row r="54" spans="1:21" s="12" customFormat="1" x14ac:dyDescent="0.25">
      <c r="A54" s="214" t="s">
        <v>1155</v>
      </c>
      <c r="B54" s="64">
        <v>7.38</v>
      </c>
      <c r="C54" s="64">
        <v>32.14</v>
      </c>
      <c r="D54" s="64">
        <v>50.19</v>
      </c>
      <c r="E54" s="64">
        <v>5.49</v>
      </c>
      <c r="F54" s="64">
        <v>6.56</v>
      </c>
      <c r="G54" s="64">
        <v>41.92</v>
      </c>
      <c r="H54" s="64">
        <v>14</v>
      </c>
      <c r="I54" s="64">
        <v>3.88</v>
      </c>
      <c r="J54" s="64">
        <v>0.77</v>
      </c>
      <c r="K54" s="64">
        <v>264.14</v>
      </c>
      <c r="L54" s="64">
        <v>43.95</v>
      </c>
      <c r="M54" s="64">
        <v>28.98</v>
      </c>
      <c r="N54" s="64">
        <v>907.4</v>
      </c>
      <c r="O54" s="64">
        <v>0</v>
      </c>
      <c r="P54" s="64">
        <v>0.68</v>
      </c>
      <c r="Q54" s="64">
        <v>9.5399999999999991</v>
      </c>
      <c r="R54" s="198"/>
      <c r="S54" s="198"/>
      <c r="T54" s="198"/>
      <c r="U54" s="198"/>
    </row>
    <row r="55" spans="1:21" s="12" customFormat="1" x14ac:dyDescent="0.25">
      <c r="A55" s="214" t="s">
        <v>1156</v>
      </c>
      <c r="B55" s="64">
        <v>6.72</v>
      </c>
      <c r="C55" s="64">
        <v>28.55</v>
      </c>
      <c r="D55" s="64">
        <v>44.33</v>
      </c>
      <c r="E55" s="64">
        <v>5.98</v>
      </c>
      <c r="F55" s="64">
        <v>10.15</v>
      </c>
      <c r="G55" s="64">
        <v>41.92</v>
      </c>
      <c r="H55" s="64">
        <v>14</v>
      </c>
      <c r="I55" s="64">
        <v>4</v>
      </c>
      <c r="J55" s="64">
        <v>0.92</v>
      </c>
      <c r="K55" s="64">
        <v>269.98</v>
      </c>
      <c r="L55" s="64">
        <v>44.63</v>
      </c>
      <c r="M55" s="64">
        <v>27.82</v>
      </c>
      <c r="N55" s="64">
        <v>917.3</v>
      </c>
      <c r="O55" s="64">
        <v>0</v>
      </c>
      <c r="P55" s="64">
        <v>0.67</v>
      </c>
      <c r="Q55" s="64">
        <v>9.57</v>
      </c>
      <c r="R55" s="198"/>
      <c r="S55" s="198"/>
      <c r="T55" s="198"/>
      <c r="U55" s="198"/>
    </row>
    <row r="56" spans="1:21" s="12" customFormat="1" x14ac:dyDescent="0.25">
      <c r="A56" s="214" t="s">
        <v>1157</v>
      </c>
      <c r="B56" s="64">
        <v>6.34</v>
      </c>
      <c r="C56" s="64">
        <v>27.86</v>
      </c>
      <c r="D56" s="64">
        <v>43.59</v>
      </c>
      <c r="E56" s="64">
        <v>7.45</v>
      </c>
      <c r="F56" s="64">
        <v>14.87</v>
      </c>
      <c r="G56" s="64">
        <v>41.8</v>
      </c>
      <c r="H56" s="64">
        <v>13.92</v>
      </c>
      <c r="I56" s="64">
        <v>3.89</v>
      </c>
      <c r="J56" s="64">
        <v>0.39</v>
      </c>
      <c r="K56" s="64">
        <v>207.31</v>
      </c>
      <c r="L56" s="64">
        <v>43</v>
      </c>
      <c r="M56" s="64">
        <v>29.85</v>
      </c>
      <c r="N56" s="64">
        <v>781.6</v>
      </c>
      <c r="O56" s="64">
        <v>0</v>
      </c>
      <c r="P56" s="64">
        <v>0.63</v>
      </c>
      <c r="Q56" s="64">
        <v>9.58</v>
      </c>
      <c r="R56" s="198"/>
      <c r="S56" s="198"/>
      <c r="T56" s="198"/>
      <c r="U56" s="198"/>
    </row>
    <row r="57" spans="1:21" s="12" customFormat="1" x14ac:dyDescent="0.25">
      <c r="A57" s="214" t="s">
        <v>1158</v>
      </c>
      <c r="B57" s="64">
        <v>7.52</v>
      </c>
      <c r="C57" s="64">
        <v>29.41</v>
      </c>
      <c r="D57" s="64">
        <v>44.75</v>
      </c>
      <c r="E57" s="64">
        <v>6.72</v>
      </c>
      <c r="F57" s="64">
        <v>12.84</v>
      </c>
      <c r="G57" s="64">
        <v>40.090000000000003</v>
      </c>
      <c r="H57" s="64">
        <v>12.81</v>
      </c>
      <c r="I57" s="64">
        <v>4.13</v>
      </c>
      <c r="J57" s="64">
        <v>0.35</v>
      </c>
      <c r="K57" s="64">
        <v>221.32</v>
      </c>
      <c r="L57" s="64">
        <v>42.46</v>
      </c>
      <c r="M57" s="64">
        <v>29.2</v>
      </c>
      <c r="N57" s="64">
        <v>925.7</v>
      </c>
      <c r="O57" s="64">
        <v>0</v>
      </c>
      <c r="P57" s="64">
        <v>0.59</v>
      </c>
      <c r="Q57" s="64">
        <v>9.58</v>
      </c>
      <c r="R57" s="198"/>
      <c r="S57" s="198"/>
      <c r="T57" s="198"/>
      <c r="U57" s="198"/>
    </row>
    <row r="58" spans="1:21" s="12" customFormat="1" x14ac:dyDescent="0.25">
      <c r="A58" s="214" t="s">
        <v>1159</v>
      </c>
      <c r="B58" s="64">
        <v>5.73</v>
      </c>
      <c r="C58" s="64">
        <v>26.74</v>
      </c>
      <c r="D58" s="64">
        <v>42.4</v>
      </c>
      <c r="E58" s="64">
        <v>5.37</v>
      </c>
      <c r="F58" s="64">
        <v>2.65</v>
      </c>
      <c r="G58" s="64">
        <v>40.090000000000003</v>
      </c>
      <c r="H58" s="64">
        <v>12.81</v>
      </c>
      <c r="I58" s="64">
        <v>4.0599999999999996</v>
      </c>
      <c r="J58" s="64">
        <v>1.35</v>
      </c>
      <c r="K58" s="64">
        <v>265.57</v>
      </c>
      <c r="L58" s="64">
        <v>44.31</v>
      </c>
      <c r="M58" s="64">
        <v>26.56</v>
      </c>
      <c r="N58" s="64">
        <v>923.7</v>
      </c>
      <c r="O58" s="64">
        <v>0</v>
      </c>
      <c r="P58" s="64">
        <v>0.66</v>
      </c>
      <c r="Q58" s="64">
        <v>9.5500000000000007</v>
      </c>
      <c r="R58" s="198"/>
      <c r="S58" s="198"/>
      <c r="T58" s="198"/>
      <c r="U58" s="198"/>
    </row>
    <row r="59" spans="1:21" s="12" customFormat="1" x14ac:dyDescent="0.25">
      <c r="A59" s="214" t="s">
        <v>1160</v>
      </c>
      <c r="B59" s="64">
        <v>7.09</v>
      </c>
      <c r="C59" s="64">
        <v>26.9</v>
      </c>
      <c r="D59" s="64">
        <v>40.619999999999997</v>
      </c>
      <c r="E59" s="64">
        <v>5.84</v>
      </c>
      <c r="F59" s="64">
        <v>11.77</v>
      </c>
      <c r="G59" s="64">
        <v>40.090000000000003</v>
      </c>
      <c r="H59" s="64">
        <v>12.81</v>
      </c>
      <c r="I59" s="64">
        <v>3.96</v>
      </c>
      <c r="J59" s="64">
        <v>0.44</v>
      </c>
      <c r="K59" s="64">
        <v>159.46</v>
      </c>
      <c r="L59" s="64">
        <v>43.58</v>
      </c>
      <c r="M59" s="64">
        <v>27.5</v>
      </c>
      <c r="N59" s="64">
        <v>918.6</v>
      </c>
      <c r="O59" s="64">
        <v>0</v>
      </c>
      <c r="P59" s="64">
        <v>0.51</v>
      </c>
      <c r="Q59" s="64">
        <v>9.57</v>
      </c>
      <c r="R59" s="198"/>
      <c r="S59" s="198"/>
      <c r="T59" s="198"/>
      <c r="U59" s="198"/>
    </row>
    <row r="60" spans="1:21" s="12" customFormat="1" x14ac:dyDescent="0.25">
      <c r="A60" s="214" t="s">
        <v>1161</v>
      </c>
      <c r="B60" s="64">
        <v>5.15</v>
      </c>
      <c r="C60" s="64">
        <v>22.63</v>
      </c>
      <c r="D60" s="64">
        <v>35.409999999999997</v>
      </c>
      <c r="E60" s="64">
        <v>5.33</v>
      </c>
      <c r="F60" s="64">
        <v>10.18</v>
      </c>
      <c r="G60" s="64">
        <v>39.9</v>
      </c>
      <c r="H60" s="64">
        <v>12.84</v>
      </c>
      <c r="I60" s="64">
        <v>4.09</v>
      </c>
      <c r="J60" s="64">
        <v>0.75</v>
      </c>
      <c r="K60" s="64">
        <v>171.19</v>
      </c>
      <c r="L60" s="64">
        <v>41.01</v>
      </c>
      <c r="M60" s="64">
        <v>30.17</v>
      </c>
      <c r="N60" s="64">
        <v>917.8</v>
      </c>
      <c r="O60" s="64">
        <v>0</v>
      </c>
      <c r="P60" s="64">
        <v>0.53</v>
      </c>
      <c r="Q60" s="64">
        <v>9.58</v>
      </c>
      <c r="R60" s="198"/>
      <c r="S60" s="198"/>
      <c r="T60" s="198"/>
      <c r="U60" s="198"/>
    </row>
    <row r="61" spans="1:21" s="12" customFormat="1" x14ac:dyDescent="0.25">
      <c r="A61" s="214" t="s">
        <v>1162</v>
      </c>
      <c r="B61" s="64">
        <v>5.46</v>
      </c>
      <c r="C61" s="64">
        <v>23.88</v>
      </c>
      <c r="D61" s="64">
        <v>37.33</v>
      </c>
      <c r="E61" s="64">
        <v>5.03</v>
      </c>
      <c r="F61" s="64">
        <v>6.95</v>
      </c>
      <c r="G61" s="64">
        <v>37.26</v>
      </c>
      <c r="H61" s="64">
        <v>13.3</v>
      </c>
      <c r="I61" s="64">
        <v>4.13</v>
      </c>
      <c r="J61" s="64">
        <v>0.53</v>
      </c>
      <c r="K61" s="64">
        <v>213.17</v>
      </c>
      <c r="L61" s="64">
        <v>41.32</v>
      </c>
      <c r="M61" s="64">
        <v>29.4</v>
      </c>
      <c r="N61" s="64">
        <v>888.4</v>
      </c>
      <c r="O61" s="64">
        <v>0</v>
      </c>
      <c r="P61" s="64">
        <v>0.51</v>
      </c>
      <c r="Q61" s="64">
        <v>9.5399999999999991</v>
      </c>
      <c r="R61" s="198"/>
      <c r="S61" s="198"/>
      <c r="T61" s="198"/>
      <c r="U61" s="198"/>
    </row>
    <row r="62" spans="1:21" s="12" customFormat="1" x14ac:dyDescent="0.25">
      <c r="A62" s="214" t="s">
        <v>1163</v>
      </c>
      <c r="B62" s="64">
        <v>8.48</v>
      </c>
      <c r="C62" s="64">
        <v>27.92</v>
      </c>
      <c r="D62" s="64">
        <v>40.43</v>
      </c>
      <c r="E62" s="64">
        <v>4.78</v>
      </c>
      <c r="F62" s="64">
        <v>7.7</v>
      </c>
      <c r="G62" s="64">
        <v>37.26</v>
      </c>
      <c r="H62" s="64">
        <v>13.3</v>
      </c>
      <c r="I62" s="64">
        <v>4.0199999999999996</v>
      </c>
      <c r="J62" s="64">
        <v>0.76</v>
      </c>
      <c r="K62" s="64">
        <v>281.64</v>
      </c>
      <c r="L62" s="64">
        <v>44.3</v>
      </c>
      <c r="M62" s="64">
        <v>26.38</v>
      </c>
      <c r="N62" s="64">
        <v>741.2</v>
      </c>
      <c r="O62" s="64">
        <v>0</v>
      </c>
      <c r="P62" s="64">
        <v>0.53</v>
      </c>
      <c r="Q62" s="64">
        <v>9.5500000000000007</v>
      </c>
      <c r="R62" s="198"/>
      <c r="S62" s="198"/>
      <c r="T62" s="198"/>
      <c r="U62" s="198"/>
    </row>
    <row r="63" spans="1:21" s="12" customFormat="1" x14ac:dyDescent="0.25">
      <c r="A63" s="214" t="s">
        <v>1164</v>
      </c>
      <c r="B63" s="64">
        <v>6.69</v>
      </c>
      <c r="C63" s="64">
        <v>25.47</v>
      </c>
      <c r="D63" s="64">
        <v>38.479999999999997</v>
      </c>
      <c r="E63" s="64">
        <v>5.23</v>
      </c>
      <c r="F63" s="64">
        <v>15.04</v>
      </c>
      <c r="G63" s="64">
        <v>37.26</v>
      </c>
      <c r="H63" s="64">
        <v>13.3</v>
      </c>
      <c r="I63" s="64">
        <v>4.09</v>
      </c>
      <c r="J63" s="64">
        <v>0.3</v>
      </c>
      <c r="K63" s="64">
        <v>235.43</v>
      </c>
      <c r="L63" s="64">
        <v>43.07</v>
      </c>
      <c r="M63" s="64">
        <v>27.22</v>
      </c>
      <c r="N63" s="64">
        <v>395.9</v>
      </c>
      <c r="O63" s="64">
        <v>0</v>
      </c>
      <c r="P63" s="64">
        <v>0.4</v>
      </c>
      <c r="Q63" s="64">
        <v>9.5500000000000007</v>
      </c>
      <c r="R63" s="198"/>
      <c r="S63" s="198"/>
      <c r="T63" s="198"/>
      <c r="U63" s="198"/>
    </row>
    <row r="64" spans="1:21" s="12" customFormat="1" x14ac:dyDescent="0.25">
      <c r="A64" s="214" t="s">
        <v>1165</v>
      </c>
      <c r="B64" s="64">
        <v>5.12</v>
      </c>
      <c r="C64" s="64">
        <v>20.36</v>
      </c>
      <c r="D64" s="64">
        <v>31.12</v>
      </c>
      <c r="E64" s="64">
        <v>5.37</v>
      </c>
      <c r="F64" s="64">
        <v>14.24</v>
      </c>
      <c r="G64" s="64">
        <v>37.11</v>
      </c>
      <c r="H64" s="64">
        <v>13.39</v>
      </c>
      <c r="I64" s="64">
        <v>4.05</v>
      </c>
      <c r="J64" s="64">
        <v>0.59</v>
      </c>
      <c r="K64" s="64">
        <v>168.03</v>
      </c>
      <c r="L64" s="64">
        <v>41</v>
      </c>
      <c r="M64" s="64">
        <v>29.96</v>
      </c>
      <c r="N64" s="64">
        <v>526.6</v>
      </c>
      <c r="O64" s="64">
        <v>0</v>
      </c>
      <c r="P64" s="64">
        <v>0.39</v>
      </c>
      <c r="Q64" s="64">
        <v>9.5399999999999991</v>
      </c>
      <c r="R64" s="198"/>
      <c r="S64" s="198"/>
      <c r="T64" s="198"/>
      <c r="U64" s="198"/>
    </row>
    <row r="65" spans="1:21" s="12" customFormat="1" x14ac:dyDescent="0.25">
      <c r="A65" s="214" t="s">
        <v>1166</v>
      </c>
      <c r="B65" s="64">
        <v>5.81</v>
      </c>
      <c r="C65" s="64">
        <v>22.86</v>
      </c>
      <c r="D65" s="64">
        <v>34.840000000000003</v>
      </c>
      <c r="E65" s="64">
        <v>5.64</v>
      </c>
      <c r="F65" s="64">
        <v>15.65</v>
      </c>
      <c r="G65" s="64">
        <v>35.01</v>
      </c>
      <c r="H65" s="64">
        <v>14.67</v>
      </c>
      <c r="I65" s="64">
        <v>3.97</v>
      </c>
      <c r="J65" s="64">
        <v>0.44</v>
      </c>
      <c r="K65" s="64">
        <v>115.74</v>
      </c>
      <c r="L65" s="64">
        <v>41.16</v>
      </c>
      <c r="M65" s="64">
        <v>30.11</v>
      </c>
      <c r="N65" s="64">
        <v>491.8</v>
      </c>
      <c r="O65" s="64">
        <v>0</v>
      </c>
      <c r="P65" s="64">
        <v>0.37</v>
      </c>
      <c r="Q65" s="64">
        <v>9.5299999999999994</v>
      </c>
      <c r="R65" s="198"/>
      <c r="S65" s="198"/>
      <c r="T65" s="198"/>
      <c r="U65" s="198"/>
    </row>
    <row r="66" spans="1:21" s="12" customFormat="1" x14ac:dyDescent="0.25">
      <c r="A66" s="214" t="s">
        <v>1167</v>
      </c>
      <c r="B66" s="64">
        <v>5.87</v>
      </c>
      <c r="C66" s="64">
        <v>21.29</v>
      </c>
      <c r="D66" s="64">
        <v>31.73</v>
      </c>
      <c r="E66" s="64">
        <v>5.64</v>
      </c>
      <c r="F66" s="64">
        <v>16.399999999999999</v>
      </c>
      <c r="G66" s="64">
        <v>35.01</v>
      </c>
      <c r="H66" s="64">
        <v>14.67</v>
      </c>
      <c r="I66" s="64">
        <v>4.0599999999999996</v>
      </c>
      <c r="J66" s="64">
        <v>0.34</v>
      </c>
      <c r="K66" s="64">
        <v>135.86000000000001</v>
      </c>
      <c r="L66" s="64">
        <v>40.909999999999997</v>
      </c>
      <c r="M66" s="64">
        <v>29.45</v>
      </c>
      <c r="N66" s="64">
        <v>476.1</v>
      </c>
      <c r="O66" s="64">
        <v>0</v>
      </c>
      <c r="P66" s="64">
        <v>0.28999999999999998</v>
      </c>
      <c r="Q66" s="64">
        <v>9.5500000000000007</v>
      </c>
      <c r="R66" s="198"/>
      <c r="S66" s="198"/>
      <c r="T66" s="198"/>
      <c r="U66" s="198"/>
    </row>
    <row r="67" spans="1:21" s="12" customFormat="1" x14ac:dyDescent="0.25">
      <c r="A67" s="214" t="s">
        <v>1168</v>
      </c>
      <c r="B67" s="64">
        <v>5.49</v>
      </c>
      <c r="C67" s="64">
        <v>22.77</v>
      </c>
      <c r="D67" s="64">
        <v>35.159999999999997</v>
      </c>
      <c r="E67" s="64">
        <v>5.15</v>
      </c>
      <c r="F67" s="64">
        <v>11.61</v>
      </c>
      <c r="G67" s="64">
        <v>35.01</v>
      </c>
      <c r="H67" s="64">
        <v>14.67</v>
      </c>
      <c r="I67" s="64">
        <v>4.0599999999999996</v>
      </c>
      <c r="J67" s="64">
        <v>1.1599999999999999</v>
      </c>
      <c r="K67" s="64">
        <v>159.22999999999999</v>
      </c>
      <c r="L67" s="64">
        <v>41.06</v>
      </c>
      <c r="M67" s="64">
        <v>27.92</v>
      </c>
      <c r="N67" s="64">
        <v>211.1</v>
      </c>
      <c r="O67" s="64">
        <v>0</v>
      </c>
      <c r="P67" s="64">
        <v>0.41</v>
      </c>
      <c r="Q67" s="64">
        <v>9.56</v>
      </c>
      <c r="R67" s="198"/>
      <c r="S67" s="198"/>
      <c r="T67" s="198"/>
      <c r="U67" s="198"/>
    </row>
    <row r="68" spans="1:21" s="12" customFormat="1" x14ac:dyDescent="0.25">
      <c r="A68" s="214" t="s">
        <v>1169</v>
      </c>
      <c r="B68" s="64">
        <v>5.52</v>
      </c>
      <c r="C68" s="64">
        <v>22.32</v>
      </c>
      <c r="D68" s="64">
        <v>34.26</v>
      </c>
      <c r="E68" s="64">
        <v>4.99</v>
      </c>
      <c r="F68" s="64">
        <v>9.48</v>
      </c>
      <c r="G68" s="64">
        <v>34.86</v>
      </c>
      <c r="H68" s="64">
        <v>14.46</v>
      </c>
      <c r="I68" s="64">
        <v>3.95</v>
      </c>
      <c r="J68" s="64">
        <v>1.25</v>
      </c>
      <c r="K68" s="64">
        <v>153.11000000000001</v>
      </c>
      <c r="L68" s="64">
        <v>40.479999999999997</v>
      </c>
      <c r="M68" s="64">
        <v>28.7</v>
      </c>
      <c r="N68" s="64">
        <v>342.3</v>
      </c>
      <c r="O68" s="64">
        <v>0</v>
      </c>
      <c r="P68" s="64">
        <v>0.42</v>
      </c>
      <c r="Q68" s="64">
        <v>9.57</v>
      </c>
      <c r="R68" s="198"/>
      <c r="S68" s="198"/>
      <c r="T68" s="198"/>
      <c r="U68" s="198"/>
    </row>
    <row r="69" spans="1:21" s="12" customFormat="1" x14ac:dyDescent="0.25">
      <c r="A69" s="214" t="s">
        <v>1170</v>
      </c>
      <c r="B69" s="64">
        <v>6.23</v>
      </c>
      <c r="C69" s="64">
        <v>24.75</v>
      </c>
      <c r="D69" s="64">
        <v>37.81</v>
      </c>
      <c r="E69" s="64">
        <v>5.59</v>
      </c>
      <c r="F69" s="64">
        <v>12.74</v>
      </c>
      <c r="G69" s="64">
        <v>32.79</v>
      </c>
      <c r="H69" s="64">
        <v>11.63</v>
      </c>
      <c r="I69" s="64">
        <v>4.13</v>
      </c>
      <c r="J69" s="64">
        <v>0.47</v>
      </c>
      <c r="K69" s="64">
        <v>179.62</v>
      </c>
      <c r="L69" s="64">
        <v>40.659999999999997</v>
      </c>
      <c r="M69" s="64">
        <v>28.83</v>
      </c>
      <c r="N69" s="64">
        <v>296.2</v>
      </c>
      <c r="O69" s="64">
        <v>0</v>
      </c>
      <c r="P69" s="64">
        <v>0.33</v>
      </c>
      <c r="Q69" s="64">
        <v>9.56</v>
      </c>
      <c r="R69" s="198"/>
      <c r="S69" s="198"/>
      <c r="T69" s="198"/>
      <c r="U69" s="198"/>
    </row>
    <row r="70" spans="1:21" s="12" customFormat="1" x14ac:dyDescent="0.25">
      <c r="A70" s="214" t="s">
        <v>1171</v>
      </c>
      <c r="B70" s="64">
        <v>6.26</v>
      </c>
      <c r="C70" s="64">
        <v>21.95</v>
      </c>
      <c r="D70" s="64">
        <v>32.4</v>
      </c>
      <c r="E70" s="64">
        <v>5.12</v>
      </c>
      <c r="F70" s="64">
        <v>17.010000000000002</v>
      </c>
      <c r="G70" s="64">
        <v>32.79</v>
      </c>
      <c r="H70" s="64">
        <v>11.63</v>
      </c>
      <c r="I70" s="64">
        <v>3.96</v>
      </c>
      <c r="J70" s="64">
        <v>0.32</v>
      </c>
      <c r="K70" s="64">
        <v>128.88</v>
      </c>
      <c r="L70" s="64">
        <v>41.38</v>
      </c>
      <c r="M70" s="64">
        <v>27.77</v>
      </c>
      <c r="N70" s="64">
        <v>358.5</v>
      </c>
      <c r="O70" s="64">
        <v>0</v>
      </c>
      <c r="P70" s="64">
        <v>0.28999999999999998</v>
      </c>
      <c r="Q70" s="64">
        <v>9.56</v>
      </c>
      <c r="R70" s="198"/>
      <c r="S70" s="198"/>
      <c r="T70" s="198"/>
      <c r="U70" s="198"/>
    </row>
    <row r="71" spans="1:21" s="12" customFormat="1" x14ac:dyDescent="0.25">
      <c r="A71" s="214" t="s">
        <v>1172</v>
      </c>
      <c r="B71" s="64">
        <v>5.86</v>
      </c>
      <c r="C71" s="64">
        <v>23.36</v>
      </c>
      <c r="D71" s="64">
        <v>35.72</v>
      </c>
      <c r="E71" s="64">
        <v>5.23</v>
      </c>
      <c r="F71" s="64">
        <v>9.77</v>
      </c>
      <c r="G71" s="64">
        <v>32.79</v>
      </c>
      <c r="H71" s="64">
        <v>11.63</v>
      </c>
      <c r="I71" s="64">
        <v>3.8</v>
      </c>
      <c r="J71" s="64">
        <v>0.51</v>
      </c>
      <c r="K71" s="64">
        <v>232.44</v>
      </c>
      <c r="L71" s="64">
        <v>41.08</v>
      </c>
      <c r="M71" s="64">
        <v>27.91</v>
      </c>
      <c r="N71" s="64">
        <v>290.7</v>
      </c>
      <c r="O71" s="64">
        <v>0</v>
      </c>
      <c r="P71" s="64">
        <v>0.38</v>
      </c>
      <c r="Q71" s="64">
        <v>9.5500000000000007</v>
      </c>
      <c r="R71" s="198"/>
      <c r="S71" s="198"/>
      <c r="T71" s="198"/>
      <c r="U71" s="198"/>
    </row>
    <row r="72" spans="1:21" s="12" customFormat="1" x14ac:dyDescent="0.25">
      <c r="A72" s="214" t="s">
        <v>1173</v>
      </c>
      <c r="B72" s="64">
        <v>6.1</v>
      </c>
      <c r="C72" s="64">
        <v>23.99</v>
      </c>
      <c r="D72" s="64">
        <v>36.549999999999997</v>
      </c>
      <c r="E72" s="64">
        <v>4.55</v>
      </c>
      <c r="F72" s="64">
        <v>10.06</v>
      </c>
      <c r="G72" s="64">
        <v>32.57</v>
      </c>
      <c r="H72" s="64">
        <v>11.47</v>
      </c>
      <c r="I72" s="64">
        <v>3.94</v>
      </c>
      <c r="J72" s="64">
        <v>0.55000000000000004</v>
      </c>
      <c r="K72" s="64">
        <v>267.04000000000002</v>
      </c>
      <c r="L72" s="64">
        <v>41.48</v>
      </c>
      <c r="M72" s="64">
        <v>27.72</v>
      </c>
      <c r="N72" s="64">
        <v>299.10000000000002</v>
      </c>
      <c r="O72" s="64">
        <v>0</v>
      </c>
      <c r="P72" s="64">
        <v>0.4</v>
      </c>
      <c r="Q72" s="64">
        <v>9.5399999999999991</v>
      </c>
      <c r="R72" s="198"/>
      <c r="S72" s="198"/>
      <c r="T72" s="198"/>
      <c r="U72" s="198"/>
    </row>
    <row r="73" spans="1:21" s="12" customFormat="1" x14ac:dyDescent="0.25">
      <c r="A73" s="214" t="s">
        <v>1174</v>
      </c>
      <c r="B73" s="64">
        <v>9.8000000000000007</v>
      </c>
      <c r="C73" s="64">
        <v>31.54</v>
      </c>
      <c r="D73" s="64">
        <v>45.32</v>
      </c>
      <c r="E73" s="64">
        <v>5.4</v>
      </c>
      <c r="F73" s="64">
        <v>13.9</v>
      </c>
      <c r="G73" s="64">
        <v>29.47</v>
      </c>
      <c r="H73" s="64">
        <v>9.19</v>
      </c>
      <c r="I73" s="64">
        <v>3.99</v>
      </c>
      <c r="J73" s="64">
        <v>0.39</v>
      </c>
      <c r="K73" s="64">
        <v>265.19</v>
      </c>
      <c r="L73" s="64">
        <v>41.5</v>
      </c>
      <c r="M73" s="64">
        <v>27.4</v>
      </c>
      <c r="N73" s="64">
        <v>260.7</v>
      </c>
      <c r="O73" s="64">
        <v>0</v>
      </c>
      <c r="P73" s="64">
        <v>0.43</v>
      </c>
      <c r="Q73" s="64">
        <v>9.52</v>
      </c>
      <c r="R73" s="198"/>
      <c r="S73" s="198"/>
      <c r="T73" s="198"/>
      <c r="U73" s="198"/>
    </row>
    <row r="74" spans="1:21" s="12" customFormat="1" x14ac:dyDescent="0.25">
      <c r="A74" s="214" t="s">
        <v>1175</v>
      </c>
      <c r="B74" s="64">
        <v>5.91</v>
      </c>
      <c r="C74" s="64">
        <v>24.37</v>
      </c>
      <c r="D74" s="64">
        <v>37.57</v>
      </c>
      <c r="E74" s="64">
        <v>5.57</v>
      </c>
      <c r="F74" s="64">
        <v>15.35</v>
      </c>
      <c r="G74" s="64">
        <v>29.47</v>
      </c>
      <c r="H74" s="64">
        <v>9.19</v>
      </c>
      <c r="I74" s="64">
        <v>3.99</v>
      </c>
      <c r="J74" s="64">
        <v>0.47</v>
      </c>
      <c r="K74" s="64">
        <v>231.32</v>
      </c>
      <c r="L74" s="64">
        <v>40.64</v>
      </c>
      <c r="M74" s="64">
        <v>28.23</v>
      </c>
      <c r="N74" s="64">
        <v>132.9</v>
      </c>
      <c r="O74" s="64">
        <v>0</v>
      </c>
      <c r="P74" s="64">
        <v>0.31</v>
      </c>
      <c r="Q74" s="64">
        <v>9.51</v>
      </c>
      <c r="R74" s="198"/>
      <c r="S74" s="198"/>
      <c r="T74" s="198"/>
      <c r="U74" s="198"/>
    </row>
    <row r="75" spans="1:21" s="12" customFormat="1" x14ac:dyDescent="0.25">
      <c r="A75" s="214" t="s">
        <v>1176</v>
      </c>
      <c r="B75" s="64">
        <v>5.84</v>
      </c>
      <c r="C75" s="64">
        <v>24.4</v>
      </c>
      <c r="D75" s="64">
        <v>37.729999999999997</v>
      </c>
      <c r="E75" s="64">
        <v>5.68</v>
      </c>
      <c r="F75" s="64">
        <v>13.4</v>
      </c>
      <c r="G75" s="64">
        <v>29.47</v>
      </c>
      <c r="H75" s="64">
        <v>9.19</v>
      </c>
      <c r="I75" s="64">
        <v>4.16</v>
      </c>
      <c r="J75" s="64">
        <v>0.54</v>
      </c>
      <c r="K75" s="64">
        <v>182.09</v>
      </c>
      <c r="L75" s="64">
        <v>40.1</v>
      </c>
      <c r="M75" s="64">
        <v>28.87</v>
      </c>
      <c r="N75" s="64">
        <v>111.7</v>
      </c>
      <c r="O75" s="64">
        <v>0</v>
      </c>
      <c r="P75" s="64">
        <v>0.32</v>
      </c>
      <c r="Q75" s="64">
        <v>9.52</v>
      </c>
      <c r="R75" s="198"/>
      <c r="S75" s="198"/>
      <c r="T75" s="198"/>
      <c r="U75" s="198"/>
    </row>
    <row r="76" spans="1:21" s="12" customFormat="1" x14ac:dyDescent="0.25">
      <c r="A76" s="214" t="s">
        <v>1177</v>
      </c>
      <c r="B76" s="64">
        <v>4.8499999999999996</v>
      </c>
      <c r="C76" s="64">
        <v>20.239999999999998</v>
      </c>
      <c r="D76" s="64">
        <v>31.31</v>
      </c>
      <c r="E76" s="64">
        <v>5.68</v>
      </c>
      <c r="F76" s="64">
        <v>16.27</v>
      </c>
      <c r="G76" s="64">
        <v>29.48</v>
      </c>
      <c r="H76" s="64">
        <v>9.39</v>
      </c>
      <c r="I76" s="64">
        <v>3.95</v>
      </c>
      <c r="J76" s="64">
        <v>0.56999999999999995</v>
      </c>
      <c r="K76" s="64">
        <v>183.4</v>
      </c>
      <c r="L76" s="64">
        <v>39.92</v>
      </c>
      <c r="M76" s="64">
        <v>29.56</v>
      </c>
      <c r="N76" s="64">
        <v>94.3</v>
      </c>
      <c r="O76" s="64">
        <v>0</v>
      </c>
      <c r="P76" s="64">
        <v>0.24</v>
      </c>
      <c r="Q76" s="64">
        <v>9.5299999999999994</v>
      </c>
      <c r="R76" s="198"/>
      <c r="S76" s="198"/>
      <c r="T76" s="198"/>
      <c r="U76" s="198"/>
    </row>
    <row r="77" spans="1:21" s="12" customFormat="1" x14ac:dyDescent="0.25">
      <c r="A77" s="214" t="s">
        <v>1178</v>
      </c>
      <c r="B77" s="64">
        <v>5</v>
      </c>
      <c r="C77" s="64">
        <v>23.94</v>
      </c>
      <c r="D77" s="64">
        <v>38.14</v>
      </c>
      <c r="E77" s="64">
        <v>5.56</v>
      </c>
      <c r="F77" s="64">
        <v>15.9</v>
      </c>
      <c r="G77" s="64">
        <v>29.55</v>
      </c>
      <c r="H77" s="64">
        <v>12.19</v>
      </c>
      <c r="I77" s="64">
        <v>3.78</v>
      </c>
      <c r="J77" s="64">
        <v>0.52</v>
      </c>
      <c r="K77" s="64">
        <v>214.89</v>
      </c>
      <c r="L77" s="64">
        <v>39.64</v>
      </c>
      <c r="M77" s="64">
        <v>30.23</v>
      </c>
      <c r="N77" s="64">
        <v>82.3</v>
      </c>
      <c r="O77" s="64">
        <v>0</v>
      </c>
      <c r="P77" s="64">
        <v>0.23</v>
      </c>
      <c r="Q77" s="64">
        <v>9.52</v>
      </c>
      <c r="R77" s="198"/>
      <c r="S77" s="198"/>
      <c r="T77" s="198"/>
      <c r="U77" s="198"/>
    </row>
    <row r="78" spans="1:21" s="12" customFormat="1" x14ac:dyDescent="0.25">
      <c r="A78" s="214" t="s">
        <v>1179</v>
      </c>
      <c r="B78" s="64">
        <v>5.05</v>
      </c>
      <c r="C78" s="64">
        <v>24.65</v>
      </c>
      <c r="D78" s="64">
        <v>39.43</v>
      </c>
      <c r="E78" s="64">
        <v>5.63</v>
      </c>
      <c r="F78" s="64">
        <v>16.11</v>
      </c>
      <c r="G78" s="64">
        <v>29.55</v>
      </c>
      <c r="H78" s="64">
        <v>12.19</v>
      </c>
      <c r="I78" s="64">
        <v>4.12</v>
      </c>
      <c r="J78" s="64">
        <v>0.82</v>
      </c>
      <c r="K78" s="64">
        <v>155.21</v>
      </c>
      <c r="L78" s="64">
        <v>39.4</v>
      </c>
      <c r="M78" s="64">
        <v>31.08</v>
      </c>
      <c r="N78" s="64">
        <v>76.5</v>
      </c>
      <c r="O78" s="64">
        <v>0</v>
      </c>
      <c r="P78" s="64">
        <v>0.24</v>
      </c>
      <c r="Q78" s="64">
        <v>9.5</v>
      </c>
      <c r="R78" s="198"/>
      <c r="S78" s="198"/>
      <c r="T78" s="198"/>
      <c r="U78" s="198"/>
    </row>
    <row r="79" spans="1:21" s="12" customFormat="1" x14ac:dyDescent="0.25">
      <c r="A79" s="214" t="s">
        <v>1180</v>
      </c>
      <c r="B79" s="64">
        <v>5.38</v>
      </c>
      <c r="C79" s="64">
        <v>25.56</v>
      </c>
      <c r="D79" s="64">
        <v>40.659999999999997</v>
      </c>
      <c r="E79" s="64">
        <v>5.58</v>
      </c>
      <c r="F79" s="64">
        <v>19.420000000000002</v>
      </c>
      <c r="G79" s="64">
        <v>29.55</v>
      </c>
      <c r="H79" s="64">
        <v>12.19</v>
      </c>
      <c r="I79" s="64">
        <v>3.97</v>
      </c>
      <c r="J79" s="64">
        <v>0.5</v>
      </c>
      <c r="K79" s="64">
        <v>172.82</v>
      </c>
      <c r="L79" s="64">
        <v>39.130000000000003</v>
      </c>
      <c r="M79" s="64">
        <v>30.98</v>
      </c>
      <c r="N79" s="64">
        <v>62.6</v>
      </c>
      <c r="O79" s="64">
        <v>0</v>
      </c>
      <c r="P79" s="64">
        <v>0.25</v>
      </c>
      <c r="Q79" s="64">
        <v>9.5</v>
      </c>
      <c r="R79" s="198"/>
      <c r="S79" s="198"/>
      <c r="T79" s="198"/>
      <c r="U79" s="198"/>
    </row>
    <row r="80" spans="1:21" s="12" customFormat="1" x14ac:dyDescent="0.25">
      <c r="A80" s="214" t="s">
        <v>1181</v>
      </c>
      <c r="B80" s="64">
        <v>6.43</v>
      </c>
      <c r="C80" s="64">
        <v>29.73</v>
      </c>
      <c r="D80" s="64">
        <v>47.03</v>
      </c>
      <c r="E80" s="64">
        <v>6.39</v>
      </c>
      <c r="F80" s="64">
        <v>17.510000000000002</v>
      </c>
      <c r="G80" s="64">
        <v>29.5</v>
      </c>
      <c r="H80" s="64">
        <v>12.04</v>
      </c>
      <c r="I80" s="64">
        <v>4.0199999999999996</v>
      </c>
      <c r="J80" s="64">
        <v>0.28000000000000003</v>
      </c>
      <c r="K80" s="64">
        <v>246.02</v>
      </c>
      <c r="L80" s="64">
        <v>38.9</v>
      </c>
      <c r="M80" s="64">
        <v>31.35</v>
      </c>
      <c r="N80" s="64">
        <v>46.3</v>
      </c>
      <c r="O80" s="64">
        <v>0</v>
      </c>
      <c r="P80" s="64">
        <v>0.43</v>
      </c>
      <c r="Q80" s="64">
        <v>9.49</v>
      </c>
      <c r="R80" s="198"/>
      <c r="S80" s="198"/>
      <c r="T80" s="198"/>
      <c r="U80" s="198"/>
    </row>
    <row r="81" spans="1:26" s="12" customFormat="1" x14ac:dyDescent="0.25">
      <c r="A81" s="214" t="s">
        <v>1182</v>
      </c>
      <c r="B81" s="64">
        <v>8.3699999999999992</v>
      </c>
      <c r="C81" s="64">
        <v>35.42</v>
      </c>
      <c r="D81" s="64">
        <v>54.95</v>
      </c>
      <c r="E81" s="64">
        <v>6.38</v>
      </c>
      <c r="F81" s="64">
        <v>17.11</v>
      </c>
      <c r="G81" s="64">
        <v>28.74</v>
      </c>
      <c r="H81" s="64">
        <v>10.050000000000001</v>
      </c>
      <c r="I81" s="64">
        <v>3.95</v>
      </c>
      <c r="J81" s="64">
        <v>0.35</v>
      </c>
      <c r="K81" s="64">
        <v>253.83</v>
      </c>
      <c r="L81" s="64">
        <v>38.549999999999997</v>
      </c>
      <c r="M81" s="64">
        <v>31.51</v>
      </c>
      <c r="N81" s="64">
        <v>36.200000000000003</v>
      </c>
      <c r="O81" s="64">
        <v>0</v>
      </c>
      <c r="P81" s="64">
        <v>0.42</v>
      </c>
      <c r="Q81" s="64">
        <v>9.49</v>
      </c>
      <c r="R81" s="198"/>
      <c r="S81" s="198"/>
      <c r="T81" s="198"/>
      <c r="U81" s="198"/>
    </row>
    <row r="82" spans="1:26" s="12" customFormat="1" x14ac:dyDescent="0.25">
      <c r="A82" s="214" t="s">
        <v>1183</v>
      </c>
      <c r="B82" s="64">
        <v>15.86</v>
      </c>
      <c r="C82" s="64">
        <v>60</v>
      </c>
      <c r="D82" s="64">
        <v>90.5</v>
      </c>
      <c r="E82" s="64">
        <v>6.09</v>
      </c>
      <c r="F82" s="64">
        <v>9.56</v>
      </c>
      <c r="G82" s="64">
        <v>28.74</v>
      </c>
      <c r="H82" s="64">
        <v>10.050000000000001</v>
      </c>
      <c r="I82" s="64">
        <v>3.9</v>
      </c>
      <c r="J82" s="64">
        <v>0.31</v>
      </c>
      <c r="K82" s="64">
        <v>253.48</v>
      </c>
      <c r="L82" s="64">
        <v>38.18</v>
      </c>
      <c r="M82" s="64">
        <v>33.6</v>
      </c>
      <c r="N82" s="64">
        <v>31.7</v>
      </c>
      <c r="O82" s="64">
        <v>0</v>
      </c>
      <c r="P82" s="64">
        <v>0.92</v>
      </c>
      <c r="Q82" s="64">
        <v>9.49</v>
      </c>
      <c r="R82" s="198"/>
      <c r="S82" s="198"/>
      <c r="T82" s="198"/>
      <c r="U82" s="198"/>
    </row>
    <row r="83" spans="1:26" s="12" customFormat="1" x14ac:dyDescent="0.25">
      <c r="A83" s="214" t="s">
        <v>1184</v>
      </c>
      <c r="B83" s="64">
        <v>6.99</v>
      </c>
      <c r="C83" s="64">
        <v>47.86</v>
      </c>
      <c r="D83" s="64">
        <v>80.87</v>
      </c>
      <c r="E83" s="64">
        <v>6.08</v>
      </c>
      <c r="F83" s="64">
        <v>12.13</v>
      </c>
      <c r="G83" s="64">
        <v>28.74</v>
      </c>
      <c r="H83" s="64">
        <v>10.050000000000001</v>
      </c>
      <c r="I83" s="64">
        <v>4.0599999999999996</v>
      </c>
      <c r="J83" s="64">
        <v>0.36</v>
      </c>
      <c r="K83" s="64">
        <v>207.21</v>
      </c>
      <c r="L83" s="64">
        <v>38.159999999999997</v>
      </c>
      <c r="M83" s="64">
        <v>33.08</v>
      </c>
      <c r="N83" s="64">
        <v>28.9</v>
      </c>
      <c r="O83" s="64">
        <v>0</v>
      </c>
      <c r="P83" s="64">
        <v>0.41</v>
      </c>
      <c r="Q83" s="64">
        <v>9.51</v>
      </c>
      <c r="R83" s="198"/>
      <c r="S83" s="198"/>
      <c r="T83" s="198"/>
      <c r="U83" s="198"/>
    </row>
    <row r="84" spans="1:26" s="12" customFormat="1" x14ac:dyDescent="0.25">
      <c r="A84" s="214" t="s">
        <v>1185</v>
      </c>
      <c r="B84" s="64">
        <v>6.54</v>
      </c>
      <c r="C84" s="64">
        <v>44.26</v>
      </c>
      <c r="D84" s="64">
        <v>74.680000000000007</v>
      </c>
      <c r="E84" s="64">
        <v>6.02</v>
      </c>
      <c r="F84" s="64">
        <v>11.85</v>
      </c>
      <c r="G84" s="64">
        <v>29.27</v>
      </c>
      <c r="H84" s="64">
        <v>10.130000000000001</v>
      </c>
      <c r="I84" s="64">
        <v>4.0599999999999996</v>
      </c>
      <c r="J84" s="64">
        <v>0.63</v>
      </c>
      <c r="K84" s="64">
        <v>153.96</v>
      </c>
      <c r="L84" s="64">
        <v>37.89</v>
      </c>
      <c r="M84" s="64">
        <v>34.21</v>
      </c>
      <c r="N84" s="64">
        <v>28.4</v>
      </c>
      <c r="O84" s="64">
        <v>0</v>
      </c>
      <c r="P84" s="64">
        <v>0.43</v>
      </c>
      <c r="Q84" s="64">
        <v>9.51</v>
      </c>
      <c r="R84" s="198"/>
      <c r="S84" s="198"/>
      <c r="T84" s="198"/>
      <c r="U84" s="198"/>
    </row>
    <row r="85" spans="1:26" s="12" customFormat="1" x14ac:dyDescent="0.25">
      <c r="A85" s="214" t="s">
        <v>1186</v>
      </c>
      <c r="B85" s="64">
        <v>11.74</v>
      </c>
      <c r="C85" s="64">
        <v>45.03</v>
      </c>
      <c r="D85" s="64">
        <v>68.180000000000007</v>
      </c>
      <c r="E85" s="64">
        <v>6.25</v>
      </c>
      <c r="F85" s="64">
        <v>10.81</v>
      </c>
      <c r="G85" s="64">
        <v>36.630000000000003</v>
      </c>
      <c r="H85" s="64">
        <v>11.28</v>
      </c>
      <c r="I85" s="64">
        <v>4.04</v>
      </c>
      <c r="J85" s="64">
        <v>0.89</v>
      </c>
      <c r="K85" s="64">
        <v>150.13999999999999</v>
      </c>
      <c r="L85" s="64">
        <v>37.76</v>
      </c>
      <c r="M85" s="64">
        <v>33.909999999999997</v>
      </c>
      <c r="N85" s="64">
        <v>28.3</v>
      </c>
      <c r="O85" s="64">
        <v>0</v>
      </c>
      <c r="P85" s="64">
        <v>0.48</v>
      </c>
      <c r="Q85" s="64">
        <v>9.5399999999999991</v>
      </c>
      <c r="R85" s="198"/>
      <c r="S85" s="198"/>
      <c r="T85" s="198"/>
      <c r="U85" s="198"/>
    </row>
    <row r="86" spans="1:26" s="12" customFormat="1" x14ac:dyDescent="0.25">
      <c r="A86" s="214" t="s">
        <v>1187</v>
      </c>
      <c r="B86" s="64">
        <v>8.6199999999999992</v>
      </c>
      <c r="C86" s="64">
        <v>43.32</v>
      </c>
      <c r="D86" s="64">
        <v>69.69</v>
      </c>
      <c r="E86" s="64">
        <v>6.24</v>
      </c>
      <c r="F86" s="64">
        <v>9.1999999999999993</v>
      </c>
      <c r="G86" s="64">
        <v>36.630000000000003</v>
      </c>
      <c r="H86" s="64">
        <v>11.28</v>
      </c>
      <c r="I86" s="64">
        <v>4.1500000000000004</v>
      </c>
      <c r="J86" s="64">
        <v>0.73</v>
      </c>
      <c r="K86" s="64">
        <v>153.34</v>
      </c>
      <c r="L86" s="64">
        <v>37.75</v>
      </c>
      <c r="M86" s="64">
        <v>33.25</v>
      </c>
      <c r="N86" s="64">
        <v>28.4</v>
      </c>
      <c r="O86" s="64">
        <v>0</v>
      </c>
      <c r="P86" s="64">
        <v>0.5</v>
      </c>
      <c r="Q86" s="64">
        <v>9.5500000000000007</v>
      </c>
      <c r="R86" s="198"/>
      <c r="S86" s="198"/>
      <c r="T86" s="198"/>
      <c r="U86" s="198"/>
    </row>
    <row r="87" spans="1:26" s="12" customFormat="1" x14ac:dyDescent="0.25">
      <c r="A87" s="214" t="s">
        <v>1188</v>
      </c>
      <c r="B87" s="64">
        <v>11.19</v>
      </c>
      <c r="C87" s="64">
        <v>42.49</v>
      </c>
      <c r="D87" s="64">
        <v>64.17</v>
      </c>
      <c r="E87" s="64">
        <v>5.64</v>
      </c>
      <c r="F87" s="64">
        <v>8.1199999999999992</v>
      </c>
      <c r="G87" s="64">
        <v>36.630000000000003</v>
      </c>
      <c r="H87" s="64">
        <v>11.28</v>
      </c>
      <c r="I87" s="64">
        <v>3.91</v>
      </c>
      <c r="J87" s="64">
        <v>1</v>
      </c>
      <c r="K87" s="64">
        <v>151.07</v>
      </c>
      <c r="L87" s="64">
        <v>37.549999999999997</v>
      </c>
      <c r="M87" s="64">
        <v>33.619999999999997</v>
      </c>
      <c r="N87" s="64">
        <v>28.5</v>
      </c>
      <c r="O87" s="64">
        <v>0</v>
      </c>
      <c r="P87" s="64">
        <v>0.5</v>
      </c>
      <c r="Q87" s="64">
        <v>9.56</v>
      </c>
      <c r="R87" s="198"/>
      <c r="S87" s="198"/>
      <c r="T87" s="198"/>
      <c r="U87" s="198"/>
    </row>
    <row r="88" spans="1:26" s="12" customFormat="1" x14ac:dyDescent="0.25">
      <c r="A88" s="214" t="s">
        <v>1189</v>
      </c>
      <c r="B88" s="64">
        <v>10.49</v>
      </c>
      <c r="C88" s="64">
        <v>45.42</v>
      </c>
      <c r="D88" s="64">
        <v>70.83</v>
      </c>
      <c r="E88" s="64">
        <v>5.82</v>
      </c>
      <c r="F88" s="64">
        <v>7.97</v>
      </c>
      <c r="G88" s="64">
        <v>36.43</v>
      </c>
      <c r="H88" s="64">
        <v>11.28</v>
      </c>
      <c r="I88" s="64">
        <v>3.95</v>
      </c>
      <c r="J88" s="64">
        <v>0.89</v>
      </c>
      <c r="K88" s="64">
        <v>155.37</v>
      </c>
      <c r="L88" s="64">
        <v>37.31</v>
      </c>
      <c r="M88" s="64">
        <v>34.74</v>
      </c>
      <c r="N88" s="64">
        <v>28.6</v>
      </c>
      <c r="O88" s="64">
        <v>0</v>
      </c>
      <c r="P88" s="64">
        <v>0.53</v>
      </c>
      <c r="Q88" s="64">
        <v>9.56</v>
      </c>
      <c r="R88" s="198"/>
      <c r="S88" s="198"/>
      <c r="T88" s="198"/>
      <c r="U88" s="198"/>
    </row>
    <row r="89" spans="1:26" s="12" customFormat="1" x14ac:dyDescent="0.25">
      <c r="A89" s="214" t="s">
        <v>1190</v>
      </c>
      <c r="B89" s="64">
        <v>11.41</v>
      </c>
      <c r="C89" s="64">
        <v>44.6</v>
      </c>
      <c r="D89" s="64">
        <v>67.849999999999994</v>
      </c>
      <c r="E89" s="64">
        <v>5.27</v>
      </c>
      <c r="F89" s="64">
        <v>3.77</v>
      </c>
      <c r="G89" s="64">
        <v>33.630000000000003</v>
      </c>
      <c r="H89" s="64">
        <v>11.29</v>
      </c>
      <c r="I89" s="64">
        <v>4.08</v>
      </c>
      <c r="J89" s="64">
        <v>0.98</v>
      </c>
      <c r="K89" s="64">
        <v>155.19</v>
      </c>
      <c r="L89" s="64">
        <v>37.06</v>
      </c>
      <c r="M89" s="64">
        <v>35.97</v>
      </c>
      <c r="N89" s="64">
        <v>28.7</v>
      </c>
      <c r="O89" s="64">
        <v>0</v>
      </c>
      <c r="P89" s="64">
        <v>0.53</v>
      </c>
      <c r="Q89" s="64">
        <v>9.5500000000000007</v>
      </c>
      <c r="R89" s="198"/>
      <c r="S89" s="198"/>
      <c r="T89" s="198"/>
      <c r="U89" s="198"/>
    </row>
    <row r="90" spans="1:26" s="12" customFormat="1" x14ac:dyDescent="0.25">
      <c r="A90" s="214" t="s">
        <v>1191</v>
      </c>
      <c r="B90" s="64">
        <v>10.5</v>
      </c>
      <c r="C90" s="64">
        <v>39.81</v>
      </c>
      <c r="D90" s="64">
        <v>60.06</v>
      </c>
      <c r="E90" s="64">
        <v>5.64</v>
      </c>
      <c r="F90" s="64">
        <v>4.46</v>
      </c>
      <c r="G90" s="64">
        <v>33.630000000000003</v>
      </c>
      <c r="H90" s="64">
        <v>11.29</v>
      </c>
      <c r="I90" s="64">
        <v>3.93</v>
      </c>
      <c r="J90" s="64">
        <v>1.03</v>
      </c>
      <c r="K90" s="64">
        <v>160.36000000000001</v>
      </c>
      <c r="L90" s="64">
        <v>36.6</v>
      </c>
      <c r="M90" s="64">
        <v>37.840000000000003</v>
      </c>
      <c r="N90" s="64">
        <v>29.1</v>
      </c>
      <c r="O90" s="64">
        <v>0</v>
      </c>
      <c r="P90" s="64">
        <v>0.51</v>
      </c>
      <c r="Q90" s="64">
        <v>9.5299999999999994</v>
      </c>
      <c r="R90" s="198"/>
      <c r="S90" s="198"/>
      <c r="T90" s="198"/>
      <c r="U90" s="198"/>
    </row>
    <row r="91" spans="1:26" s="12" customFormat="1" x14ac:dyDescent="0.25">
      <c r="A91" s="214" t="s">
        <v>1192</v>
      </c>
      <c r="B91" s="64">
        <v>10.38</v>
      </c>
      <c r="C91" s="64">
        <v>37.28</v>
      </c>
      <c r="D91" s="64">
        <v>55.42</v>
      </c>
      <c r="E91" s="64">
        <v>5.48</v>
      </c>
      <c r="F91" s="64">
        <v>4.41</v>
      </c>
      <c r="G91" s="64">
        <v>33.630000000000003</v>
      </c>
      <c r="H91" s="64">
        <v>11.29</v>
      </c>
      <c r="I91" s="64">
        <v>3.8</v>
      </c>
      <c r="J91" s="64">
        <v>1.05</v>
      </c>
      <c r="K91" s="64">
        <v>155.58000000000001</v>
      </c>
      <c r="L91" s="64">
        <v>36.28</v>
      </c>
      <c r="M91" s="64">
        <v>39.1</v>
      </c>
      <c r="N91" s="64">
        <v>28.9</v>
      </c>
      <c r="O91" s="64">
        <v>0</v>
      </c>
      <c r="P91" s="64">
        <v>0.48</v>
      </c>
      <c r="Q91" s="64">
        <v>9.5299999999999994</v>
      </c>
      <c r="R91" s="198"/>
      <c r="S91" s="198"/>
      <c r="T91" s="198"/>
      <c r="U91" s="198"/>
    </row>
    <row r="92" spans="1:26" s="12" customFormat="1" x14ac:dyDescent="0.25">
      <c r="A92" s="214" t="s">
        <v>1193</v>
      </c>
      <c r="B92" s="64">
        <v>11.18</v>
      </c>
      <c r="C92" s="64">
        <v>45.15</v>
      </c>
      <c r="D92" s="64">
        <v>69.25</v>
      </c>
      <c r="E92" s="64">
        <v>5.6</v>
      </c>
      <c r="F92" s="64">
        <v>7.33</v>
      </c>
      <c r="G92" s="64">
        <v>33.700000000000003</v>
      </c>
      <c r="H92" s="64">
        <v>11.38</v>
      </c>
      <c r="I92" s="64">
        <v>4.1399999999999997</v>
      </c>
      <c r="J92" s="64">
        <v>0.53</v>
      </c>
      <c r="K92" s="64">
        <v>165.45</v>
      </c>
      <c r="L92" s="64">
        <v>36.11</v>
      </c>
      <c r="M92" s="64">
        <v>39.86</v>
      </c>
      <c r="N92" s="64">
        <v>29</v>
      </c>
      <c r="O92" s="64">
        <v>0</v>
      </c>
      <c r="P92" s="64">
        <v>0.46</v>
      </c>
      <c r="Q92" s="64">
        <v>9.5399999999999991</v>
      </c>
      <c r="R92" s="198"/>
      <c r="S92" s="198"/>
      <c r="T92" s="198"/>
      <c r="U92" s="198"/>
    </row>
    <row r="93" spans="1:26" s="12" customFormat="1" x14ac:dyDescent="0.25">
      <c r="A93" s="214" t="s">
        <v>1194</v>
      </c>
      <c r="B93" s="64">
        <v>9.18</v>
      </c>
      <c r="C93" s="64">
        <v>38.69</v>
      </c>
      <c r="D93" s="64">
        <v>59.95</v>
      </c>
      <c r="E93" s="64">
        <v>5.54</v>
      </c>
      <c r="F93" s="64">
        <v>6.11</v>
      </c>
      <c r="G93" s="64">
        <v>34.69</v>
      </c>
      <c r="H93" s="64">
        <v>12.67</v>
      </c>
      <c r="I93" s="64">
        <v>3.94</v>
      </c>
      <c r="J93" s="64">
        <v>0.86</v>
      </c>
      <c r="K93" s="64">
        <v>149.6</v>
      </c>
      <c r="L93" s="64">
        <v>35.979999999999997</v>
      </c>
      <c r="M93" s="64">
        <v>40.36</v>
      </c>
      <c r="N93" s="64">
        <v>28.7</v>
      </c>
      <c r="O93" s="64">
        <v>0</v>
      </c>
      <c r="P93" s="64">
        <v>0.44</v>
      </c>
      <c r="Q93" s="64">
        <v>9.5500000000000007</v>
      </c>
      <c r="R93" s="198"/>
      <c r="S93" s="198"/>
      <c r="T93" s="198"/>
      <c r="U93" s="198"/>
    </row>
    <row r="94" spans="1:26" s="12" customFormat="1" x14ac:dyDescent="0.25">
      <c r="A94" s="214" t="s">
        <v>1195</v>
      </c>
      <c r="B94" s="64">
        <v>12.82</v>
      </c>
      <c r="C94" s="64">
        <v>53.74</v>
      </c>
      <c r="D94" s="64">
        <v>83.17</v>
      </c>
      <c r="E94" s="64">
        <v>5.99</v>
      </c>
      <c r="F94" s="64">
        <v>4.9400000000000004</v>
      </c>
      <c r="G94" s="64">
        <v>34.69</v>
      </c>
      <c r="H94" s="64">
        <v>12.67</v>
      </c>
      <c r="I94" s="64">
        <v>4.16</v>
      </c>
      <c r="J94" s="64">
        <v>0.6</v>
      </c>
      <c r="K94" s="64">
        <v>163.16</v>
      </c>
      <c r="L94" s="64">
        <v>35.81</v>
      </c>
      <c r="M94" s="64">
        <v>41.23</v>
      </c>
      <c r="N94" s="64">
        <v>28.9</v>
      </c>
      <c r="O94" s="64">
        <v>0</v>
      </c>
      <c r="P94" s="64">
        <v>0.55000000000000004</v>
      </c>
      <c r="Q94" s="64">
        <v>9.5299999999999994</v>
      </c>
      <c r="R94" s="198"/>
      <c r="S94" s="198"/>
      <c r="T94" s="198"/>
      <c r="U94" s="198"/>
    </row>
    <row r="95" spans="1:26" s="12" customFormat="1" x14ac:dyDescent="0.25">
      <c r="A95" s="214" t="s">
        <v>1196</v>
      </c>
      <c r="B95" s="64">
        <v>8.2200000000000006</v>
      </c>
      <c r="C95" s="64">
        <v>38.19</v>
      </c>
      <c r="D95" s="64">
        <v>60.48</v>
      </c>
      <c r="E95" s="64">
        <v>5.93</v>
      </c>
      <c r="F95" s="64">
        <v>6.95</v>
      </c>
      <c r="G95" s="64">
        <v>34.69</v>
      </c>
      <c r="H95" s="64">
        <v>12.67</v>
      </c>
      <c r="I95" s="64">
        <v>4.03</v>
      </c>
      <c r="J95" s="64">
        <v>0.45</v>
      </c>
      <c r="K95" s="64">
        <v>214.42</v>
      </c>
      <c r="L95" s="64">
        <v>35.590000000000003</v>
      </c>
      <c r="M95" s="64">
        <v>41.58</v>
      </c>
      <c r="N95" s="64">
        <v>28.9</v>
      </c>
      <c r="O95" s="64">
        <v>0</v>
      </c>
      <c r="P95" s="64">
        <v>0.53</v>
      </c>
      <c r="Q95" s="64">
        <v>9.52</v>
      </c>
      <c r="R95" s="198"/>
      <c r="S95" s="198"/>
      <c r="T95" s="198"/>
      <c r="U95" s="198"/>
    </row>
    <row r="96" spans="1:26" s="12" customFormat="1" x14ac:dyDescent="0.25">
      <c r="A96" s="214" t="s">
        <v>1197</v>
      </c>
      <c r="B96" s="64">
        <v>18.54</v>
      </c>
      <c r="C96" s="64">
        <v>45.27</v>
      </c>
      <c r="D96" s="64">
        <v>58.2</v>
      </c>
      <c r="E96" s="64">
        <v>5.54</v>
      </c>
      <c r="F96" s="64">
        <v>2.84</v>
      </c>
      <c r="G96" s="64">
        <v>34.950000000000003</v>
      </c>
      <c r="H96" s="64">
        <v>12.66</v>
      </c>
      <c r="I96" s="64">
        <v>4.07</v>
      </c>
      <c r="J96" s="64">
        <v>0.81</v>
      </c>
      <c r="K96" s="64">
        <v>264.85000000000002</v>
      </c>
      <c r="L96" s="64">
        <v>35.049999999999997</v>
      </c>
      <c r="M96" s="64">
        <v>44.04</v>
      </c>
      <c r="N96" s="64">
        <v>28.9</v>
      </c>
      <c r="O96" s="64">
        <v>0</v>
      </c>
      <c r="P96" s="64">
        <v>0.75</v>
      </c>
      <c r="Q96" s="64">
        <v>9.57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1198</v>
      </c>
      <c r="B97" s="64">
        <v>15.33</v>
      </c>
      <c r="C97" s="64">
        <v>42.64</v>
      </c>
      <c r="D97" s="64">
        <v>58.08</v>
      </c>
      <c r="E97" s="64">
        <v>5.14</v>
      </c>
      <c r="F97" s="64">
        <v>3.83</v>
      </c>
      <c r="G97" s="64">
        <v>38.69</v>
      </c>
      <c r="H97" s="64">
        <v>12.58</v>
      </c>
      <c r="I97" s="64">
        <v>4.05</v>
      </c>
      <c r="J97" s="64">
        <v>0.63</v>
      </c>
      <c r="K97" s="64">
        <v>263.67</v>
      </c>
      <c r="L97" s="64">
        <v>34.729999999999997</v>
      </c>
      <c r="M97" s="64">
        <v>45.51</v>
      </c>
      <c r="N97" s="64">
        <v>28.8</v>
      </c>
      <c r="O97" s="64">
        <v>0</v>
      </c>
      <c r="P97" s="64">
        <v>0.64</v>
      </c>
      <c r="Q97" s="64">
        <v>9.5399999999999991</v>
      </c>
      <c r="R97" s="198"/>
      <c r="S97" s="198"/>
      <c r="T97" s="198"/>
      <c r="U97" s="198"/>
    </row>
    <row r="98" spans="1:33" s="12" customFormat="1" x14ac:dyDescent="0.25">
      <c r="A98" s="214" t="s">
        <v>1199</v>
      </c>
      <c r="B98" s="64">
        <v>15.79</v>
      </c>
      <c r="C98" s="64">
        <v>41.99</v>
      </c>
      <c r="D98" s="64">
        <v>56.14</v>
      </c>
      <c r="E98" s="64">
        <v>5.76</v>
      </c>
      <c r="F98" s="64">
        <v>4.33</v>
      </c>
      <c r="G98" s="64">
        <v>38.69</v>
      </c>
      <c r="H98" s="64">
        <v>12.58</v>
      </c>
      <c r="I98" s="64">
        <v>4.1500000000000004</v>
      </c>
      <c r="J98" s="64">
        <v>0.97</v>
      </c>
      <c r="K98" s="64">
        <v>264.8</v>
      </c>
      <c r="L98" s="64">
        <v>34.590000000000003</v>
      </c>
      <c r="M98" s="64">
        <v>46.12</v>
      </c>
      <c r="N98" s="64">
        <v>28.5</v>
      </c>
      <c r="O98" s="64">
        <v>0</v>
      </c>
      <c r="P98" s="64">
        <v>0.69</v>
      </c>
      <c r="Q98" s="64">
        <v>9.5299999999999994</v>
      </c>
      <c r="R98" s="198"/>
      <c r="S98" s="198"/>
      <c r="T98" s="198"/>
      <c r="U98" s="198"/>
    </row>
    <row r="99" spans="1:33" s="12" customFormat="1" x14ac:dyDescent="0.25">
      <c r="A99" s="214" t="s">
        <v>1200</v>
      </c>
      <c r="B99" s="64">
        <v>23.57</v>
      </c>
      <c r="C99" s="64">
        <v>55.76</v>
      </c>
      <c r="D99" s="64">
        <v>70.55</v>
      </c>
      <c r="E99" s="64">
        <v>8.52</v>
      </c>
      <c r="F99" s="64">
        <v>6.55</v>
      </c>
      <c r="G99" s="64">
        <v>38.69</v>
      </c>
      <c r="H99" s="64">
        <v>12.58</v>
      </c>
      <c r="I99" s="64">
        <v>4.0199999999999996</v>
      </c>
      <c r="J99" s="64">
        <v>0.71</v>
      </c>
      <c r="K99" s="64">
        <v>272.08</v>
      </c>
      <c r="L99" s="64">
        <v>34.31</v>
      </c>
      <c r="M99" s="64">
        <v>47.06</v>
      </c>
      <c r="N99" s="64">
        <v>29</v>
      </c>
      <c r="O99" s="64">
        <v>0</v>
      </c>
      <c r="P99" s="64">
        <v>0.78</v>
      </c>
      <c r="Q99" s="64">
        <v>9.56</v>
      </c>
      <c r="R99" s="198"/>
      <c r="S99" s="198"/>
      <c r="T99" s="198"/>
      <c r="U99" s="198"/>
    </row>
    <row r="100" spans="1:33" s="12" customFormat="1" x14ac:dyDescent="0.25">
      <c r="A100" s="214" t="s">
        <v>1201</v>
      </c>
      <c r="B100" s="64">
        <v>23.31</v>
      </c>
      <c r="C100" s="64">
        <v>55.14</v>
      </c>
      <c r="D100" s="64">
        <v>69.75</v>
      </c>
      <c r="E100" s="64">
        <v>14.79</v>
      </c>
      <c r="F100" s="64">
        <v>5.58</v>
      </c>
      <c r="G100" s="64">
        <v>39.01</v>
      </c>
      <c r="H100" s="64">
        <v>12.62</v>
      </c>
      <c r="I100" s="64">
        <v>4.0599999999999996</v>
      </c>
      <c r="J100" s="64">
        <v>0.69</v>
      </c>
      <c r="K100" s="64">
        <v>296.77999999999997</v>
      </c>
      <c r="L100" s="64">
        <v>34</v>
      </c>
      <c r="M100" s="64">
        <v>48.11</v>
      </c>
      <c r="N100" s="64">
        <v>28.7</v>
      </c>
      <c r="O100" s="64">
        <v>0</v>
      </c>
      <c r="P100" s="64">
        <v>0.74</v>
      </c>
      <c r="Q100" s="64">
        <v>9.59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1202</v>
      </c>
      <c r="B101" s="64">
        <v>18.55</v>
      </c>
      <c r="C101" s="64">
        <v>51.36</v>
      </c>
      <c r="D101" s="64">
        <v>69.83</v>
      </c>
      <c r="E101" s="64">
        <v>24.16</v>
      </c>
      <c r="F101" s="64">
        <v>6.56</v>
      </c>
      <c r="G101" s="64">
        <v>43.43</v>
      </c>
      <c r="H101" s="64">
        <v>13.16</v>
      </c>
      <c r="I101" s="64">
        <v>4.0599999999999996</v>
      </c>
      <c r="J101" s="64">
        <v>0.62</v>
      </c>
      <c r="K101" s="64">
        <v>275.83999999999997</v>
      </c>
      <c r="L101" s="64">
        <v>33.94</v>
      </c>
      <c r="M101" s="64">
        <v>47.9</v>
      </c>
      <c r="N101" s="64">
        <v>28.8</v>
      </c>
      <c r="O101" s="64">
        <v>0</v>
      </c>
      <c r="P101" s="64">
        <v>0.66</v>
      </c>
      <c r="Q101" s="64">
        <v>9.58</v>
      </c>
      <c r="R101" s="198"/>
      <c r="S101" s="198"/>
      <c r="T101" s="198"/>
      <c r="U101" s="198"/>
    </row>
    <row r="102" spans="1:33" s="12" customFormat="1" x14ac:dyDescent="0.25">
      <c r="A102" s="214" t="s">
        <v>1203</v>
      </c>
      <c r="B102" s="64">
        <v>13.5</v>
      </c>
      <c r="C102" s="64">
        <v>38.42</v>
      </c>
      <c r="D102" s="64">
        <v>52.81</v>
      </c>
      <c r="E102" s="64">
        <v>22.5</v>
      </c>
      <c r="F102" s="64">
        <v>9.33</v>
      </c>
      <c r="G102" s="64">
        <v>43.43</v>
      </c>
      <c r="H102" s="64">
        <v>13.16</v>
      </c>
      <c r="I102" s="64">
        <v>4</v>
      </c>
      <c r="J102" s="64">
        <v>0.75</v>
      </c>
      <c r="K102" s="64">
        <v>293.83</v>
      </c>
      <c r="L102" s="64">
        <v>33.79</v>
      </c>
      <c r="M102" s="64">
        <v>48.65</v>
      </c>
      <c r="N102" s="64">
        <v>28.9</v>
      </c>
      <c r="O102" s="64">
        <v>0</v>
      </c>
      <c r="P102" s="64">
        <v>0.64</v>
      </c>
      <c r="Q102" s="64">
        <v>9.58</v>
      </c>
      <c r="R102" s="198"/>
      <c r="S102" s="198"/>
      <c r="T102" s="198"/>
      <c r="U102" s="198"/>
    </row>
    <row r="103" spans="1:33" s="12" customFormat="1" x14ac:dyDescent="0.25">
      <c r="A103" s="214" t="s">
        <v>1204</v>
      </c>
      <c r="B103" s="64">
        <v>15.47</v>
      </c>
      <c r="C103" s="64">
        <v>46.11</v>
      </c>
      <c r="D103" s="64">
        <v>64.5</v>
      </c>
      <c r="E103" s="64">
        <v>25.45</v>
      </c>
      <c r="F103" s="64">
        <v>8.7899999999999991</v>
      </c>
      <c r="G103" s="64">
        <v>43.43</v>
      </c>
      <c r="H103" s="64">
        <v>13.16</v>
      </c>
      <c r="I103" s="64">
        <v>4.1399999999999997</v>
      </c>
      <c r="J103" s="64">
        <v>0.33</v>
      </c>
      <c r="K103" s="64">
        <v>300.85000000000002</v>
      </c>
      <c r="L103" s="64">
        <v>33.6</v>
      </c>
      <c r="M103" s="64">
        <v>49.57</v>
      </c>
      <c r="N103" s="64">
        <v>28.9</v>
      </c>
      <c r="O103" s="64">
        <v>0</v>
      </c>
      <c r="P103" s="64">
        <v>0.72</v>
      </c>
      <c r="Q103" s="64">
        <v>9.58</v>
      </c>
      <c r="R103" s="198"/>
      <c r="S103" s="198"/>
      <c r="T103" s="198"/>
      <c r="U103" s="198"/>
    </row>
    <row r="104" spans="1:33" s="12" customFormat="1" x14ac:dyDescent="0.25">
      <c r="A104" s="214" t="s">
        <v>1205</v>
      </c>
      <c r="B104" s="64">
        <v>15.23</v>
      </c>
      <c r="C104" s="64">
        <v>47.93</v>
      </c>
      <c r="D104" s="64">
        <v>68.37</v>
      </c>
      <c r="E104" s="64">
        <v>33.35</v>
      </c>
      <c r="F104" s="64">
        <v>7.52</v>
      </c>
      <c r="G104" s="64">
        <v>44.35</v>
      </c>
      <c r="H104" s="64">
        <v>13.28</v>
      </c>
      <c r="I104" s="64">
        <v>4.2</v>
      </c>
      <c r="J104" s="64">
        <v>0.35</v>
      </c>
      <c r="K104" s="64">
        <v>306.83</v>
      </c>
      <c r="L104" s="64">
        <v>33.42</v>
      </c>
      <c r="M104" s="64">
        <v>50.57</v>
      </c>
      <c r="N104" s="64">
        <v>28.7</v>
      </c>
      <c r="O104" s="64">
        <v>0</v>
      </c>
      <c r="P104" s="64">
        <v>0.7</v>
      </c>
      <c r="Q104" s="64">
        <v>9.6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4.8499999999999996</v>
      </c>
      <c r="C106" s="67">
        <f>MIN(C9:C104)</f>
        <v>20.239999999999998</v>
      </c>
      <c r="D106" s="67">
        <f t="shared" ref="D106:Q106" si="0">MIN(D9:D104)</f>
        <v>31.12</v>
      </c>
      <c r="E106" s="67">
        <f t="shared" si="0"/>
        <v>3.82</v>
      </c>
      <c r="F106" s="67">
        <f t="shared" si="0"/>
        <v>0.03</v>
      </c>
      <c r="G106" s="67">
        <f t="shared" si="0"/>
        <v>28.74</v>
      </c>
      <c r="H106" s="67">
        <f t="shared" si="0"/>
        <v>9.19</v>
      </c>
      <c r="I106" s="67">
        <f t="shared" si="0"/>
        <v>3.78</v>
      </c>
      <c r="J106" s="67">
        <f t="shared" si="0"/>
        <v>0</v>
      </c>
      <c r="K106" s="67">
        <f t="shared" si="0"/>
        <v>101.99</v>
      </c>
      <c r="L106" s="67">
        <f t="shared" si="0"/>
        <v>28.98</v>
      </c>
      <c r="M106" s="67">
        <f t="shared" si="0"/>
        <v>26.38</v>
      </c>
      <c r="N106" s="67">
        <f t="shared" si="0"/>
        <v>27.8</v>
      </c>
      <c r="O106" s="67">
        <f t="shared" si="0"/>
        <v>0</v>
      </c>
      <c r="P106" s="67">
        <f t="shared" si="0"/>
        <v>0.23</v>
      </c>
      <c r="Q106" s="67">
        <f t="shared" si="0"/>
        <v>9.49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93.13</v>
      </c>
      <c r="C107" s="66">
        <f t="shared" ref="C107:Q107" si="1">MAX(C9:C104)</f>
        <v>122.06</v>
      </c>
      <c r="D107" s="66">
        <f t="shared" si="1"/>
        <v>90.68</v>
      </c>
      <c r="E107" s="66">
        <f t="shared" si="1"/>
        <v>33.35</v>
      </c>
      <c r="F107" s="66">
        <f t="shared" si="1"/>
        <v>19.420000000000002</v>
      </c>
      <c r="G107" s="66">
        <f t="shared" si="1"/>
        <v>66.02</v>
      </c>
      <c r="H107" s="66">
        <f t="shared" si="1"/>
        <v>16.399999999999999</v>
      </c>
      <c r="I107" s="66">
        <f t="shared" si="1"/>
        <v>4.2</v>
      </c>
      <c r="J107" s="66">
        <f t="shared" si="1"/>
        <v>1.35</v>
      </c>
      <c r="K107" s="66">
        <f t="shared" si="1"/>
        <v>353.32</v>
      </c>
      <c r="L107" s="66">
        <f t="shared" si="1"/>
        <v>44.63</v>
      </c>
      <c r="M107" s="66">
        <f t="shared" si="1"/>
        <v>73.319999999999993</v>
      </c>
      <c r="N107" s="66">
        <f t="shared" si="1"/>
        <v>925.7</v>
      </c>
      <c r="O107" s="66">
        <f t="shared" si="1"/>
        <v>0</v>
      </c>
      <c r="P107" s="66">
        <f t="shared" si="1"/>
        <v>1.17</v>
      </c>
      <c r="Q107" s="66">
        <f t="shared" si="1"/>
        <v>9.73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17.546562499999997</v>
      </c>
      <c r="C108" s="67">
        <f t="shared" ref="C108:Q108" si="2">AVERAGE(C9:C104)</f>
        <v>42.053229166666661</v>
      </c>
      <c r="D108" s="67">
        <f t="shared" si="2"/>
        <v>53.557916666666671</v>
      </c>
      <c r="E108" s="67">
        <f t="shared" si="2"/>
        <v>6.2186458333333325</v>
      </c>
      <c r="F108" s="67">
        <f t="shared" si="2"/>
        <v>7.0895833333333345</v>
      </c>
      <c r="G108" s="67">
        <f t="shared" si="2"/>
        <v>43.482395833333356</v>
      </c>
      <c r="H108" s="67">
        <f t="shared" si="2"/>
        <v>12.961458333333331</v>
      </c>
      <c r="I108" s="67">
        <f t="shared" si="2"/>
        <v>4.0213541666666659</v>
      </c>
      <c r="J108" s="67">
        <f t="shared" si="2"/>
        <v>0.55125000000000013</v>
      </c>
      <c r="K108" s="67">
        <f t="shared" si="2"/>
        <v>214.12989583333331</v>
      </c>
      <c r="L108" s="67">
        <f t="shared" si="2"/>
        <v>36.311354166666675</v>
      </c>
      <c r="M108" s="67">
        <f t="shared" si="2"/>
        <v>43.328124999999979</v>
      </c>
      <c r="N108" s="67">
        <f t="shared" si="2"/>
        <v>269.32604166666675</v>
      </c>
      <c r="O108" s="67">
        <f t="shared" si="2"/>
        <v>0</v>
      </c>
      <c r="P108" s="67">
        <f t="shared" si="2"/>
        <v>0.58729166666666655</v>
      </c>
      <c r="Q108" s="67">
        <f t="shared" si="2"/>
        <v>9.5988541666666602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15.079534952212549</v>
      </c>
      <c r="C109" s="67">
        <f t="shared" ref="C109:Q109" si="3">STDEV(C9:C104)</f>
        <v>18.188669723342166</v>
      </c>
      <c r="D109" s="67">
        <f t="shared" si="3"/>
        <v>15.649064469543484</v>
      </c>
      <c r="E109" s="67">
        <f t="shared" si="3"/>
        <v>4.512099667570272</v>
      </c>
      <c r="F109" s="67">
        <f t="shared" si="3"/>
        <v>5.1010318701563575</v>
      </c>
      <c r="G109" s="67">
        <f t="shared" si="3"/>
        <v>10.419894306443574</v>
      </c>
      <c r="H109" s="67">
        <f t="shared" si="3"/>
        <v>1.701412403465647</v>
      </c>
      <c r="I109" s="67">
        <f t="shared" si="3"/>
        <v>8.9367600294827959E-2</v>
      </c>
      <c r="J109" s="67">
        <f t="shared" si="3"/>
        <v>0.29146905586410993</v>
      </c>
      <c r="K109" s="67">
        <f t="shared" si="3"/>
        <v>51.023345461605324</v>
      </c>
      <c r="L109" s="67">
        <f t="shared" si="3"/>
        <v>4.7586147077067338</v>
      </c>
      <c r="M109" s="67">
        <f t="shared" si="3"/>
        <v>14.176391071630007</v>
      </c>
      <c r="N109" s="67">
        <f t="shared" si="3"/>
        <v>322.84901481547797</v>
      </c>
      <c r="O109" s="67">
        <f t="shared" si="3"/>
        <v>0</v>
      </c>
      <c r="P109" s="67">
        <f t="shared" si="3"/>
        <v>0.17729831635539064</v>
      </c>
      <c r="Q109" s="67">
        <f t="shared" si="3"/>
        <v>6.8654279456704645E-2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1206</v>
      </c>
      <c r="B9" s="64">
        <v>12.8</v>
      </c>
      <c r="C9" s="64">
        <v>48.08</v>
      </c>
      <c r="D9" s="64">
        <v>72.38</v>
      </c>
      <c r="E9" s="64">
        <v>41.44</v>
      </c>
      <c r="F9" s="64">
        <v>6.24</v>
      </c>
      <c r="G9" s="64">
        <v>57.18</v>
      </c>
      <c r="H9" s="64">
        <v>15.08</v>
      </c>
      <c r="I9" s="64">
        <v>4.13</v>
      </c>
      <c r="J9" s="64">
        <v>0.17</v>
      </c>
      <c r="K9" s="64">
        <v>284.08</v>
      </c>
      <c r="L9" s="64">
        <v>33.299999999999997</v>
      </c>
      <c r="M9" s="64">
        <v>51</v>
      </c>
      <c r="N9" s="64">
        <v>28.8</v>
      </c>
      <c r="O9" s="64">
        <v>0</v>
      </c>
      <c r="P9" s="64">
        <v>0.7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4" t="s">
        <v>1207</v>
      </c>
      <c r="B10" s="64">
        <v>11.44</v>
      </c>
      <c r="C10" s="64">
        <v>47.51</v>
      </c>
      <c r="D10" s="64">
        <v>73.38</v>
      </c>
      <c r="E10" s="64">
        <v>47.12</v>
      </c>
      <c r="F10" s="64">
        <v>5.0199999999999996</v>
      </c>
      <c r="G10" s="64">
        <v>57.18</v>
      </c>
      <c r="H10" s="64">
        <v>15.08</v>
      </c>
      <c r="I10" s="64">
        <v>3.95</v>
      </c>
      <c r="J10" s="64">
        <v>0.23</v>
      </c>
      <c r="K10" s="64">
        <v>227.3</v>
      </c>
      <c r="L10" s="64">
        <v>33.06</v>
      </c>
      <c r="M10" s="64">
        <v>51.88</v>
      </c>
      <c r="N10" s="64">
        <v>29</v>
      </c>
      <c r="O10" s="64">
        <v>0</v>
      </c>
      <c r="P10" s="64">
        <v>0.73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4" t="s">
        <v>1208</v>
      </c>
      <c r="B11" s="64">
        <v>10.029999999999999</v>
      </c>
      <c r="C11" s="64">
        <v>48.92</v>
      </c>
      <c r="D11" s="64">
        <v>78.25</v>
      </c>
      <c r="E11" s="64">
        <v>42.44</v>
      </c>
      <c r="F11" s="64">
        <v>3.47</v>
      </c>
      <c r="G11" s="64">
        <v>57.18</v>
      </c>
      <c r="H11" s="64">
        <v>15.08</v>
      </c>
      <c r="I11" s="64">
        <v>4.08</v>
      </c>
      <c r="J11" s="64">
        <v>0.09</v>
      </c>
      <c r="K11" s="64">
        <v>133.57</v>
      </c>
      <c r="L11" s="64">
        <v>32.93</v>
      </c>
      <c r="M11" s="64">
        <v>52.91</v>
      </c>
      <c r="N11" s="64">
        <v>28.8</v>
      </c>
      <c r="O11" s="64">
        <v>0</v>
      </c>
      <c r="P11" s="64">
        <v>0.68</v>
      </c>
      <c r="Q11" s="64">
        <v>9.57</v>
      </c>
      <c r="R11" s="198"/>
      <c r="S11" s="198"/>
      <c r="T11" s="198"/>
      <c r="U11" s="198"/>
    </row>
    <row r="12" spans="1:21" s="12" customFormat="1" x14ac:dyDescent="0.25">
      <c r="A12" s="214" t="s">
        <v>1209</v>
      </c>
      <c r="B12" s="64">
        <v>18.489999999999998</v>
      </c>
      <c r="C12" s="64">
        <v>60.74</v>
      </c>
      <c r="D12" s="64">
        <v>87.88</v>
      </c>
      <c r="E12" s="64">
        <v>47.52</v>
      </c>
      <c r="F12" s="64">
        <v>2.2200000000000002</v>
      </c>
      <c r="G12" s="64">
        <v>58.38</v>
      </c>
      <c r="H12" s="64">
        <v>15.53</v>
      </c>
      <c r="I12" s="64">
        <v>4.13</v>
      </c>
      <c r="J12" s="64">
        <v>0.3</v>
      </c>
      <c r="K12" s="64">
        <v>251.78</v>
      </c>
      <c r="L12" s="64">
        <v>32.82</v>
      </c>
      <c r="M12" s="64">
        <v>56.08</v>
      </c>
      <c r="N12" s="64">
        <v>29</v>
      </c>
      <c r="O12" s="64">
        <v>0</v>
      </c>
      <c r="P12" s="64">
        <v>0.76</v>
      </c>
      <c r="Q12" s="64">
        <v>9.58</v>
      </c>
      <c r="R12" s="198"/>
      <c r="S12" s="198"/>
      <c r="T12" s="198"/>
      <c r="U12" s="198"/>
    </row>
    <row r="13" spans="1:21" s="12" customFormat="1" x14ac:dyDescent="0.25">
      <c r="A13" s="214" t="s">
        <v>1210</v>
      </c>
      <c r="B13" s="64">
        <v>14.49</v>
      </c>
      <c r="C13" s="64">
        <v>49.73</v>
      </c>
      <c r="D13" s="64">
        <v>72.94</v>
      </c>
      <c r="E13" s="64">
        <v>28.89</v>
      </c>
      <c r="F13" s="64">
        <v>2.6</v>
      </c>
      <c r="G13" s="64">
        <v>75.11</v>
      </c>
      <c r="H13" s="64">
        <v>21.81</v>
      </c>
      <c r="I13" s="64">
        <v>4.04</v>
      </c>
      <c r="J13" s="64">
        <v>0.31</v>
      </c>
      <c r="K13" s="64">
        <v>252.21</v>
      </c>
      <c r="L13" s="64">
        <v>32.409999999999997</v>
      </c>
      <c r="M13" s="64">
        <v>57.67</v>
      </c>
      <c r="N13" s="64">
        <v>28.8</v>
      </c>
      <c r="O13" s="64">
        <v>0</v>
      </c>
      <c r="P13" s="64">
        <v>0.59</v>
      </c>
      <c r="Q13" s="64">
        <v>9.59</v>
      </c>
      <c r="R13" s="198"/>
      <c r="S13" s="198"/>
      <c r="T13" s="198"/>
      <c r="U13" s="198"/>
    </row>
    <row r="14" spans="1:21" s="12" customFormat="1" x14ac:dyDescent="0.25">
      <c r="A14" s="214" t="s">
        <v>1211</v>
      </c>
      <c r="B14" s="64">
        <v>11.12</v>
      </c>
      <c r="C14" s="64">
        <v>47.99</v>
      </c>
      <c r="D14" s="64">
        <v>74.790000000000006</v>
      </c>
      <c r="E14" s="64">
        <v>22.52</v>
      </c>
      <c r="F14" s="64">
        <v>2.0099999999999998</v>
      </c>
      <c r="G14" s="64">
        <v>75.11</v>
      </c>
      <c r="H14" s="64">
        <v>21.81</v>
      </c>
      <c r="I14" s="64">
        <v>3.91</v>
      </c>
      <c r="J14" s="64">
        <v>0.28999999999999998</v>
      </c>
      <c r="K14" s="64">
        <v>254.82</v>
      </c>
      <c r="L14" s="64">
        <v>32.17</v>
      </c>
      <c r="M14" s="64">
        <v>59.44</v>
      </c>
      <c r="N14" s="64">
        <v>29</v>
      </c>
      <c r="O14" s="64">
        <v>0</v>
      </c>
      <c r="P14" s="64">
        <v>0.57999999999999996</v>
      </c>
      <c r="Q14" s="64">
        <v>9.57</v>
      </c>
      <c r="R14" s="198"/>
      <c r="S14" s="198"/>
      <c r="T14" s="198"/>
      <c r="U14" s="198"/>
    </row>
    <row r="15" spans="1:21" s="12" customFormat="1" x14ac:dyDescent="0.25">
      <c r="A15" s="214" t="s">
        <v>1212</v>
      </c>
      <c r="B15" s="64">
        <v>12.91</v>
      </c>
      <c r="C15" s="64">
        <v>45.21</v>
      </c>
      <c r="D15" s="64">
        <v>66.73</v>
      </c>
      <c r="E15" s="64">
        <v>19.260000000000002</v>
      </c>
      <c r="F15" s="64">
        <v>2.14</v>
      </c>
      <c r="G15" s="64">
        <v>75.11</v>
      </c>
      <c r="H15" s="64">
        <v>21.81</v>
      </c>
      <c r="I15" s="64">
        <v>4.04</v>
      </c>
      <c r="J15" s="64">
        <v>0.28000000000000003</v>
      </c>
      <c r="K15" s="64">
        <v>267.17</v>
      </c>
      <c r="L15" s="64">
        <v>31.87</v>
      </c>
      <c r="M15" s="64">
        <v>61.72</v>
      </c>
      <c r="N15" s="64">
        <v>29</v>
      </c>
      <c r="O15" s="64">
        <v>0</v>
      </c>
      <c r="P15" s="64">
        <v>0.57999999999999996</v>
      </c>
      <c r="Q15" s="64">
        <v>9.64</v>
      </c>
      <c r="R15" s="198"/>
      <c r="S15" s="198"/>
      <c r="T15" s="198"/>
      <c r="U15" s="198"/>
    </row>
    <row r="16" spans="1:21" s="12" customFormat="1" x14ac:dyDescent="0.25">
      <c r="A16" s="214" t="s">
        <v>1213</v>
      </c>
      <c r="B16" s="64">
        <v>14.44</v>
      </c>
      <c r="C16" s="64">
        <v>42.85</v>
      </c>
      <c r="D16" s="64">
        <v>59.86</v>
      </c>
      <c r="E16" s="64">
        <v>13.56</v>
      </c>
      <c r="F16" s="64">
        <v>1.99</v>
      </c>
      <c r="G16" s="64">
        <v>75.47</v>
      </c>
      <c r="H16" s="64">
        <v>21.78</v>
      </c>
      <c r="I16" s="64">
        <v>3.98</v>
      </c>
      <c r="J16" s="64">
        <v>0.35</v>
      </c>
      <c r="K16" s="64">
        <v>224.47</v>
      </c>
      <c r="L16" s="64">
        <v>31.96</v>
      </c>
      <c r="M16" s="64">
        <v>56.93</v>
      </c>
      <c r="N16" s="64">
        <v>28.4</v>
      </c>
      <c r="O16" s="64">
        <v>0</v>
      </c>
      <c r="P16" s="64">
        <v>0.47</v>
      </c>
      <c r="Q16" s="64">
        <v>9.59</v>
      </c>
      <c r="R16" s="198"/>
      <c r="S16" s="198"/>
      <c r="T16" s="198"/>
      <c r="U16" s="198"/>
    </row>
    <row r="17" spans="1:21" s="12" customFormat="1" x14ac:dyDescent="0.25">
      <c r="A17" s="214" t="s">
        <v>1214</v>
      </c>
      <c r="B17" s="64">
        <v>5.39</v>
      </c>
      <c r="C17" s="64">
        <v>32.380000000000003</v>
      </c>
      <c r="D17" s="64">
        <v>53.69</v>
      </c>
      <c r="E17" s="64">
        <v>13.14</v>
      </c>
      <c r="F17" s="64">
        <v>6.49</v>
      </c>
      <c r="G17" s="64">
        <v>80.459999999999994</v>
      </c>
      <c r="H17" s="64">
        <v>21.3</v>
      </c>
      <c r="I17" s="64">
        <v>4.24</v>
      </c>
      <c r="J17" s="64">
        <v>0.35</v>
      </c>
      <c r="K17" s="64">
        <v>210.34</v>
      </c>
      <c r="L17" s="64">
        <v>32.229999999999997</v>
      </c>
      <c r="M17" s="64">
        <v>55.66</v>
      </c>
      <c r="N17" s="64">
        <v>28.5</v>
      </c>
      <c r="O17" s="64">
        <v>0</v>
      </c>
      <c r="P17" s="64">
        <v>0.3</v>
      </c>
      <c r="Q17" s="64">
        <v>9.58</v>
      </c>
      <c r="R17" s="198"/>
      <c r="S17" s="198"/>
      <c r="T17" s="198"/>
      <c r="U17" s="198"/>
    </row>
    <row r="18" spans="1:21" s="12" customFormat="1" x14ac:dyDescent="0.25">
      <c r="A18" s="214" t="s">
        <v>1215</v>
      </c>
      <c r="B18" s="64">
        <v>9.9</v>
      </c>
      <c r="C18" s="64">
        <v>33.29</v>
      </c>
      <c r="D18" s="64">
        <v>48.52</v>
      </c>
      <c r="E18" s="64">
        <v>11.73</v>
      </c>
      <c r="F18" s="64">
        <v>5.23</v>
      </c>
      <c r="G18" s="64">
        <v>80.459999999999994</v>
      </c>
      <c r="H18" s="64">
        <v>21.3</v>
      </c>
      <c r="I18" s="64">
        <v>3.99</v>
      </c>
      <c r="J18" s="64">
        <v>0.33</v>
      </c>
      <c r="K18" s="64">
        <v>183.99</v>
      </c>
      <c r="L18" s="64">
        <v>32.020000000000003</v>
      </c>
      <c r="M18" s="64">
        <v>57.47</v>
      </c>
      <c r="N18" s="64">
        <v>28.7</v>
      </c>
      <c r="O18" s="64">
        <v>0</v>
      </c>
      <c r="P18" s="64">
        <v>0.34</v>
      </c>
      <c r="Q18" s="64">
        <v>9.64</v>
      </c>
      <c r="R18" s="198"/>
      <c r="S18" s="198"/>
      <c r="T18" s="198"/>
      <c r="U18" s="198"/>
    </row>
    <row r="19" spans="1:21" s="12" customFormat="1" x14ac:dyDescent="0.25">
      <c r="A19" s="214" t="s">
        <v>1216</v>
      </c>
      <c r="B19" s="64">
        <v>11.18</v>
      </c>
      <c r="C19" s="64">
        <v>36.19</v>
      </c>
      <c r="D19" s="64">
        <v>52.1</v>
      </c>
      <c r="E19" s="64">
        <v>9.3000000000000007</v>
      </c>
      <c r="F19" s="64">
        <v>4.2699999999999996</v>
      </c>
      <c r="G19" s="64">
        <v>80.459999999999994</v>
      </c>
      <c r="H19" s="64">
        <v>21.3</v>
      </c>
      <c r="I19" s="64">
        <v>4.05</v>
      </c>
      <c r="J19" s="64">
        <v>0.43</v>
      </c>
      <c r="K19" s="64">
        <v>176.7</v>
      </c>
      <c r="L19" s="64">
        <v>31.71</v>
      </c>
      <c r="M19" s="64">
        <v>59.16</v>
      </c>
      <c r="N19" s="64">
        <v>28.8</v>
      </c>
      <c r="O19" s="64">
        <v>0</v>
      </c>
      <c r="P19" s="64">
        <v>0.37</v>
      </c>
      <c r="Q19" s="64">
        <v>9.59</v>
      </c>
      <c r="R19" s="198"/>
      <c r="S19" s="198"/>
      <c r="T19" s="198"/>
      <c r="U19" s="198"/>
    </row>
    <row r="20" spans="1:21" s="12" customFormat="1" x14ac:dyDescent="0.25">
      <c r="A20" s="214" t="s">
        <v>1217</v>
      </c>
      <c r="B20" s="64">
        <v>6.6</v>
      </c>
      <c r="C20" s="64">
        <v>33.6</v>
      </c>
      <c r="D20" s="64">
        <v>54.18</v>
      </c>
      <c r="E20" s="64">
        <v>9.5299999999999994</v>
      </c>
      <c r="F20" s="64">
        <v>7.41</v>
      </c>
      <c r="G20" s="64">
        <v>79.86</v>
      </c>
      <c r="H20" s="64">
        <v>21.29</v>
      </c>
      <c r="I20" s="64">
        <v>3.96</v>
      </c>
      <c r="J20" s="64">
        <v>0.36</v>
      </c>
      <c r="K20" s="64">
        <v>217.39</v>
      </c>
      <c r="L20" s="64">
        <v>31.63</v>
      </c>
      <c r="M20" s="64">
        <v>57.82</v>
      </c>
      <c r="N20" s="64">
        <v>28.8</v>
      </c>
      <c r="O20" s="64">
        <v>0</v>
      </c>
      <c r="P20" s="64">
        <v>0.25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4" t="s">
        <v>1218</v>
      </c>
      <c r="B21" s="64">
        <v>11.44</v>
      </c>
      <c r="C21" s="64">
        <v>34.96</v>
      </c>
      <c r="D21" s="64">
        <v>49.34</v>
      </c>
      <c r="E21" s="64">
        <v>9.57</v>
      </c>
      <c r="F21" s="64">
        <v>6.52</v>
      </c>
      <c r="G21" s="64">
        <v>71.53</v>
      </c>
      <c r="H21" s="64">
        <v>21.11</v>
      </c>
      <c r="I21" s="64">
        <v>3.95</v>
      </c>
      <c r="J21" s="64">
        <v>0.28999999999999998</v>
      </c>
      <c r="K21" s="64">
        <v>234.66</v>
      </c>
      <c r="L21" s="64">
        <v>31.51</v>
      </c>
      <c r="M21" s="64">
        <v>59.96</v>
      </c>
      <c r="N21" s="64">
        <v>28.9</v>
      </c>
      <c r="O21" s="64">
        <v>0</v>
      </c>
      <c r="P21" s="64">
        <v>0.28999999999999998</v>
      </c>
      <c r="Q21" s="64">
        <v>9.67</v>
      </c>
      <c r="R21" s="198"/>
      <c r="S21" s="198"/>
      <c r="T21" s="198"/>
      <c r="U21" s="198"/>
    </row>
    <row r="22" spans="1:21" s="12" customFormat="1" x14ac:dyDescent="0.25">
      <c r="A22" s="214" t="s">
        <v>1219</v>
      </c>
      <c r="B22" s="64">
        <v>10.46</v>
      </c>
      <c r="C22" s="64">
        <v>33.74</v>
      </c>
      <c r="D22" s="64">
        <v>48.53</v>
      </c>
      <c r="E22" s="64">
        <v>8.6199999999999992</v>
      </c>
      <c r="F22" s="64">
        <v>5.45</v>
      </c>
      <c r="G22" s="64">
        <v>71.53</v>
      </c>
      <c r="H22" s="64">
        <v>21.11</v>
      </c>
      <c r="I22" s="64">
        <v>3.88</v>
      </c>
      <c r="J22" s="64">
        <v>0.36</v>
      </c>
      <c r="K22" s="64">
        <v>206.25</v>
      </c>
      <c r="L22" s="64">
        <v>31.27</v>
      </c>
      <c r="M22" s="64">
        <v>61.39</v>
      </c>
      <c r="N22" s="64">
        <v>28.6</v>
      </c>
      <c r="O22" s="64">
        <v>0</v>
      </c>
      <c r="P22" s="64">
        <v>0.31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4" t="s">
        <v>1220</v>
      </c>
      <c r="B23" s="64">
        <v>9.92</v>
      </c>
      <c r="C23" s="64">
        <v>26.56</v>
      </c>
      <c r="D23" s="64">
        <v>35.61</v>
      </c>
      <c r="E23" s="64">
        <v>8.76</v>
      </c>
      <c r="F23" s="64">
        <v>8.92</v>
      </c>
      <c r="G23" s="64">
        <v>71.53</v>
      </c>
      <c r="H23" s="64">
        <v>21.11</v>
      </c>
      <c r="I23" s="64">
        <v>4.03</v>
      </c>
      <c r="J23" s="64">
        <v>0.36</v>
      </c>
      <c r="K23" s="64">
        <v>195.02</v>
      </c>
      <c r="L23" s="64">
        <v>31.41</v>
      </c>
      <c r="M23" s="64">
        <v>57.67</v>
      </c>
      <c r="N23" s="64">
        <v>28.6</v>
      </c>
      <c r="O23" s="64">
        <v>0</v>
      </c>
      <c r="P23" s="64">
        <v>0.32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4" t="s">
        <v>1221</v>
      </c>
      <c r="B24" s="64">
        <v>9.89</v>
      </c>
      <c r="C24" s="64">
        <v>26.67</v>
      </c>
      <c r="D24" s="64">
        <v>35.86</v>
      </c>
      <c r="E24" s="64">
        <v>8.6199999999999992</v>
      </c>
      <c r="F24" s="64">
        <v>9.49</v>
      </c>
      <c r="G24" s="64">
        <v>70.58</v>
      </c>
      <c r="H24" s="64">
        <v>20.91</v>
      </c>
      <c r="I24" s="64">
        <v>4.01</v>
      </c>
      <c r="J24" s="64">
        <v>0.43</v>
      </c>
      <c r="K24" s="64">
        <v>224.81</v>
      </c>
      <c r="L24" s="64">
        <v>31.37</v>
      </c>
      <c r="M24" s="64">
        <v>56.73</v>
      </c>
      <c r="N24" s="64">
        <v>28.6</v>
      </c>
      <c r="O24" s="64">
        <v>0</v>
      </c>
      <c r="P24" s="64">
        <v>0.31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4" t="s">
        <v>1222</v>
      </c>
      <c r="B25" s="64">
        <v>9.65</v>
      </c>
      <c r="C25" s="64">
        <v>27.64</v>
      </c>
      <c r="D25" s="64">
        <v>38.1</v>
      </c>
      <c r="E25" s="64">
        <v>8.9600000000000009</v>
      </c>
      <c r="F25" s="64">
        <v>8.8000000000000007</v>
      </c>
      <c r="G25" s="64">
        <v>57.28</v>
      </c>
      <c r="H25" s="64">
        <v>18.02</v>
      </c>
      <c r="I25" s="64">
        <v>4.13</v>
      </c>
      <c r="J25" s="64">
        <v>0.35</v>
      </c>
      <c r="K25" s="64">
        <v>233.7</v>
      </c>
      <c r="L25" s="64">
        <v>31.42</v>
      </c>
      <c r="M25" s="64">
        <v>56.73</v>
      </c>
      <c r="N25" s="64">
        <v>28.8</v>
      </c>
      <c r="O25" s="64">
        <v>0</v>
      </c>
      <c r="P25" s="64">
        <v>0.32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4" t="s">
        <v>1223</v>
      </c>
      <c r="B26" s="64">
        <v>9.67</v>
      </c>
      <c r="C26" s="64">
        <v>25.65</v>
      </c>
      <c r="D26" s="64">
        <v>34.25</v>
      </c>
      <c r="E26" s="64">
        <v>8.5500000000000007</v>
      </c>
      <c r="F26" s="64">
        <v>9.1</v>
      </c>
      <c r="G26" s="64">
        <v>57.28</v>
      </c>
      <c r="H26" s="64">
        <v>18.02</v>
      </c>
      <c r="I26" s="64">
        <v>3.92</v>
      </c>
      <c r="J26" s="64">
        <v>0.27</v>
      </c>
      <c r="K26" s="64">
        <v>195.66</v>
      </c>
      <c r="L26" s="64">
        <v>31.29</v>
      </c>
      <c r="M26" s="64">
        <v>57.79</v>
      </c>
      <c r="N26" s="64">
        <v>28.8</v>
      </c>
      <c r="O26" s="64">
        <v>0</v>
      </c>
      <c r="P26" s="64">
        <v>0.31</v>
      </c>
      <c r="Q26" s="64">
        <v>9.6300000000000008</v>
      </c>
      <c r="R26" s="198"/>
      <c r="S26" s="198"/>
      <c r="T26" s="198"/>
      <c r="U26" s="198"/>
    </row>
    <row r="27" spans="1:21" s="12" customFormat="1" x14ac:dyDescent="0.25">
      <c r="A27" s="214" t="s">
        <v>1224</v>
      </c>
      <c r="B27" s="64">
        <v>9.11</v>
      </c>
      <c r="C27" s="64">
        <v>26.31</v>
      </c>
      <c r="D27" s="64">
        <v>36.369999999999997</v>
      </c>
      <c r="E27" s="64">
        <v>8.48</v>
      </c>
      <c r="F27" s="64">
        <v>7.17</v>
      </c>
      <c r="G27" s="64">
        <v>57.28</v>
      </c>
      <c r="H27" s="64">
        <v>18.02</v>
      </c>
      <c r="I27" s="64">
        <v>4.09</v>
      </c>
      <c r="J27" s="64">
        <v>0.33</v>
      </c>
      <c r="K27" s="64">
        <v>201.57</v>
      </c>
      <c r="L27" s="64">
        <v>31.21</v>
      </c>
      <c r="M27" s="64">
        <v>58.91</v>
      </c>
      <c r="N27" s="64">
        <v>28.7</v>
      </c>
      <c r="O27" s="64">
        <v>0</v>
      </c>
      <c r="P27" s="64">
        <v>0.32</v>
      </c>
      <c r="Q27" s="64">
        <v>9.64</v>
      </c>
      <c r="R27" s="198"/>
      <c r="S27" s="198"/>
      <c r="T27" s="198"/>
      <c r="U27" s="198"/>
    </row>
    <row r="28" spans="1:21" s="12" customFormat="1" x14ac:dyDescent="0.25">
      <c r="A28" s="214" t="s">
        <v>1225</v>
      </c>
      <c r="B28" s="64">
        <v>10.47</v>
      </c>
      <c r="C28" s="64">
        <v>27.99</v>
      </c>
      <c r="D28" s="64">
        <v>37.51</v>
      </c>
      <c r="E28" s="64">
        <v>7.87</v>
      </c>
      <c r="F28" s="64">
        <v>6.14</v>
      </c>
      <c r="G28" s="64">
        <v>56.28</v>
      </c>
      <c r="H28" s="64">
        <v>18.03</v>
      </c>
      <c r="I28" s="64">
        <v>4.13</v>
      </c>
      <c r="J28" s="64">
        <v>0.25</v>
      </c>
      <c r="K28" s="64">
        <v>259.82</v>
      </c>
      <c r="L28" s="64">
        <v>31.04</v>
      </c>
      <c r="M28" s="64">
        <v>58.36</v>
      </c>
      <c r="N28" s="64">
        <v>29.1</v>
      </c>
      <c r="O28" s="64">
        <v>0</v>
      </c>
      <c r="P28" s="64">
        <v>0.39</v>
      </c>
      <c r="Q28" s="64">
        <v>9.6300000000000008</v>
      </c>
      <c r="R28" s="198"/>
      <c r="S28" s="198"/>
      <c r="T28" s="198"/>
      <c r="U28" s="198"/>
    </row>
    <row r="29" spans="1:21" s="12" customFormat="1" x14ac:dyDescent="0.25">
      <c r="A29" s="214" t="s">
        <v>1226</v>
      </c>
      <c r="B29" s="64">
        <v>11</v>
      </c>
      <c r="C29" s="64">
        <v>31.03</v>
      </c>
      <c r="D29" s="64">
        <v>42.52</v>
      </c>
      <c r="E29" s="64">
        <v>7.31</v>
      </c>
      <c r="F29" s="64">
        <v>3.43</v>
      </c>
      <c r="G29" s="64">
        <v>42.25</v>
      </c>
      <c r="H29" s="64">
        <v>18.190000000000001</v>
      </c>
      <c r="I29" s="64">
        <v>3.95</v>
      </c>
      <c r="J29" s="64">
        <v>0.47</v>
      </c>
      <c r="K29" s="64">
        <v>247.96</v>
      </c>
      <c r="L29" s="64">
        <v>31.02</v>
      </c>
      <c r="M29" s="64">
        <v>58.43</v>
      </c>
      <c r="N29" s="64">
        <v>28.8</v>
      </c>
      <c r="O29" s="64">
        <v>0</v>
      </c>
      <c r="P29" s="64">
        <v>0.41</v>
      </c>
      <c r="Q29" s="64">
        <v>9.59</v>
      </c>
      <c r="R29" s="198"/>
      <c r="S29" s="198"/>
      <c r="T29" s="198"/>
      <c r="U29" s="198"/>
    </row>
    <row r="30" spans="1:21" s="12" customFormat="1" x14ac:dyDescent="0.25">
      <c r="A30" s="214" t="s">
        <v>1227</v>
      </c>
      <c r="B30" s="64">
        <v>13.46</v>
      </c>
      <c r="C30" s="64">
        <v>32.15</v>
      </c>
      <c r="D30" s="64">
        <v>40.880000000000003</v>
      </c>
      <c r="E30" s="64">
        <v>6.88</v>
      </c>
      <c r="F30" s="64">
        <v>3.26</v>
      </c>
      <c r="G30" s="64">
        <v>42.25</v>
      </c>
      <c r="H30" s="64">
        <v>18.190000000000001</v>
      </c>
      <c r="I30" s="64">
        <v>3.96</v>
      </c>
      <c r="J30" s="64">
        <v>0.37</v>
      </c>
      <c r="K30" s="64">
        <v>250.5</v>
      </c>
      <c r="L30" s="64">
        <v>31.19</v>
      </c>
      <c r="M30" s="64">
        <v>57.64</v>
      </c>
      <c r="N30" s="64">
        <v>32.5</v>
      </c>
      <c r="O30" s="64">
        <v>0</v>
      </c>
      <c r="P30" s="64">
        <v>0.44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14" t="s">
        <v>1228</v>
      </c>
      <c r="B31" s="64">
        <v>8.92</v>
      </c>
      <c r="C31" s="64">
        <v>28.33</v>
      </c>
      <c r="D31" s="64">
        <v>40.53</v>
      </c>
      <c r="E31" s="64">
        <v>6.93</v>
      </c>
      <c r="F31" s="64">
        <v>3.16</v>
      </c>
      <c r="G31" s="64">
        <v>42.25</v>
      </c>
      <c r="H31" s="64">
        <v>18.190000000000001</v>
      </c>
      <c r="I31" s="64">
        <v>3.99</v>
      </c>
      <c r="J31" s="64">
        <v>0.4</v>
      </c>
      <c r="K31" s="64">
        <v>230.64</v>
      </c>
      <c r="L31" s="64">
        <v>31.16</v>
      </c>
      <c r="M31" s="64">
        <v>58.09</v>
      </c>
      <c r="N31" s="64">
        <v>43.4</v>
      </c>
      <c r="O31" s="64">
        <v>0</v>
      </c>
      <c r="P31" s="64">
        <v>0.41</v>
      </c>
      <c r="Q31" s="64">
        <v>9.58</v>
      </c>
      <c r="R31" s="198"/>
      <c r="S31" s="198"/>
      <c r="T31" s="198"/>
      <c r="U31" s="198"/>
    </row>
    <row r="32" spans="1:21" s="12" customFormat="1" x14ac:dyDescent="0.25">
      <c r="A32" s="214" t="s">
        <v>1229</v>
      </c>
      <c r="B32" s="64">
        <v>19.72</v>
      </c>
      <c r="C32" s="64">
        <v>42.1</v>
      </c>
      <c r="D32" s="64">
        <v>50.31</v>
      </c>
      <c r="E32" s="64">
        <v>6.89</v>
      </c>
      <c r="F32" s="64">
        <v>2.63</v>
      </c>
      <c r="G32" s="64">
        <v>42.63</v>
      </c>
      <c r="H32" s="64">
        <v>18.079999999999998</v>
      </c>
      <c r="I32" s="64">
        <v>3.88</v>
      </c>
      <c r="J32" s="64">
        <v>0.17</v>
      </c>
      <c r="K32" s="64">
        <v>286.29000000000002</v>
      </c>
      <c r="L32" s="64">
        <v>31.27</v>
      </c>
      <c r="M32" s="64">
        <v>61.05</v>
      </c>
      <c r="N32" s="64">
        <v>58.4</v>
      </c>
      <c r="O32" s="64">
        <v>0</v>
      </c>
      <c r="P32" s="64">
        <v>0.6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4" t="s">
        <v>1230</v>
      </c>
      <c r="B33" s="64">
        <v>22.25</v>
      </c>
      <c r="C33" s="64">
        <v>45.76</v>
      </c>
      <c r="D33" s="64">
        <v>53.44</v>
      </c>
      <c r="E33" s="64">
        <v>6.21</v>
      </c>
      <c r="F33" s="64">
        <v>1.24</v>
      </c>
      <c r="G33" s="64">
        <v>48.05</v>
      </c>
      <c r="H33" s="64">
        <v>16.559999999999999</v>
      </c>
      <c r="I33" s="64">
        <v>3.98</v>
      </c>
      <c r="J33" s="64">
        <v>0.11</v>
      </c>
      <c r="K33" s="64">
        <v>245.67</v>
      </c>
      <c r="L33" s="64">
        <v>31.61</v>
      </c>
      <c r="M33" s="64">
        <v>61.04</v>
      </c>
      <c r="N33" s="64">
        <v>86.9</v>
      </c>
      <c r="O33" s="64">
        <v>0</v>
      </c>
      <c r="P33" s="64">
        <v>0.56999999999999995</v>
      </c>
      <c r="Q33" s="64">
        <v>9.59</v>
      </c>
      <c r="R33" s="198"/>
      <c r="S33" s="198"/>
      <c r="T33" s="198"/>
      <c r="U33" s="198"/>
    </row>
    <row r="34" spans="1:21" s="12" customFormat="1" x14ac:dyDescent="0.25">
      <c r="A34" s="214" t="s">
        <v>1231</v>
      </c>
      <c r="B34" s="64">
        <v>11.78</v>
      </c>
      <c r="C34" s="64">
        <v>38.24</v>
      </c>
      <c r="D34" s="64">
        <v>55.12</v>
      </c>
      <c r="E34" s="64">
        <v>6.88</v>
      </c>
      <c r="F34" s="64">
        <v>2.0099999999999998</v>
      </c>
      <c r="G34" s="64">
        <v>48.05</v>
      </c>
      <c r="H34" s="64">
        <v>16.559999999999999</v>
      </c>
      <c r="I34" s="64">
        <v>4.17</v>
      </c>
      <c r="J34" s="64">
        <v>0.27</v>
      </c>
      <c r="K34" s="64">
        <v>167.56</v>
      </c>
      <c r="L34" s="64">
        <v>32.72</v>
      </c>
      <c r="M34" s="64">
        <v>55.94</v>
      </c>
      <c r="N34" s="64">
        <v>121.2</v>
      </c>
      <c r="O34" s="64">
        <v>0</v>
      </c>
      <c r="P34" s="64">
        <v>0.47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4" t="s">
        <v>1232</v>
      </c>
      <c r="B35" s="64">
        <v>17.11</v>
      </c>
      <c r="C35" s="64">
        <v>40.51</v>
      </c>
      <c r="D35" s="64">
        <v>51.27</v>
      </c>
      <c r="E35" s="64">
        <v>6.68</v>
      </c>
      <c r="F35" s="64">
        <v>2.14</v>
      </c>
      <c r="G35" s="64">
        <v>48.05</v>
      </c>
      <c r="H35" s="64">
        <v>16.559999999999999</v>
      </c>
      <c r="I35" s="64">
        <v>4.13</v>
      </c>
      <c r="J35" s="64">
        <v>0.34</v>
      </c>
      <c r="K35" s="64">
        <v>202.36</v>
      </c>
      <c r="L35" s="64">
        <v>33.590000000000003</v>
      </c>
      <c r="M35" s="64">
        <v>53.45</v>
      </c>
      <c r="N35" s="64">
        <v>162.80000000000001</v>
      </c>
      <c r="O35" s="64">
        <v>0</v>
      </c>
      <c r="P35" s="64">
        <v>0.5</v>
      </c>
      <c r="Q35" s="64">
        <v>9.64</v>
      </c>
      <c r="R35" s="198"/>
      <c r="S35" s="198"/>
      <c r="T35" s="198"/>
      <c r="U35" s="198"/>
    </row>
    <row r="36" spans="1:21" s="12" customFormat="1" x14ac:dyDescent="0.25">
      <c r="A36" s="214" t="s">
        <v>1233</v>
      </c>
      <c r="B36" s="64">
        <v>14.25</v>
      </c>
      <c r="C36" s="64">
        <v>39.270000000000003</v>
      </c>
      <c r="D36" s="64">
        <v>53.29</v>
      </c>
      <c r="E36" s="64">
        <v>6.26</v>
      </c>
      <c r="F36" s="64">
        <v>2.4900000000000002</v>
      </c>
      <c r="G36" s="64">
        <v>48.46</v>
      </c>
      <c r="H36" s="64">
        <v>16.53</v>
      </c>
      <c r="I36" s="64">
        <v>3.97</v>
      </c>
      <c r="J36" s="64">
        <v>0.53</v>
      </c>
      <c r="K36" s="64">
        <v>206.67</v>
      </c>
      <c r="L36" s="64">
        <v>33.67</v>
      </c>
      <c r="M36" s="64">
        <v>53.49</v>
      </c>
      <c r="N36" s="64">
        <v>209.7</v>
      </c>
      <c r="O36" s="64">
        <v>0</v>
      </c>
      <c r="P36" s="64">
        <v>0.53</v>
      </c>
      <c r="Q36" s="64">
        <v>9.59</v>
      </c>
      <c r="R36" s="198"/>
      <c r="S36" s="198"/>
      <c r="T36" s="198"/>
      <c r="U36" s="198"/>
    </row>
    <row r="37" spans="1:21" s="12" customFormat="1" x14ac:dyDescent="0.25">
      <c r="A37" s="214" t="s">
        <v>1234</v>
      </c>
      <c r="B37" s="64">
        <v>15.57</v>
      </c>
      <c r="C37" s="64">
        <v>37.39</v>
      </c>
      <c r="D37" s="64">
        <v>47.67</v>
      </c>
      <c r="E37" s="64">
        <v>6.99</v>
      </c>
      <c r="F37" s="64">
        <v>1.98</v>
      </c>
      <c r="G37" s="64">
        <v>54.23</v>
      </c>
      <c r="H37" s="64">
        <v>16.170000000000002</v>
      </c>
      <c r="I37" s="64">
        <v>3.96</v>
      </c>
      <c r="J37" s="64">
        <v>0.49</v>
      </c>
      <c r="K37" s="64">
        <v>252.77</v>
      </c>
      <c r="L37" s="64">
        <v>34.53</v>
      </c>
      <c r="M37" s="64">
        <v>51.69</v>
      </c>
      <c r="N37" s="64">
        <v>254.6</v>
      </c>
      <c r="O37" s="64">
        <v>0</v>
      </c>
      <c r="P37" s="64">
        <v>0.62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4" t="s">
        <v>1235</v>
      </c>
      <c r="B38" s="64">
        <v>14.28</v>
      </c>
      <c r="C38" s="64">
        <v>35.770000000000003</v>
      </c>
      <c r="D38" s="64">
        <v>46.54</v>
      </c>
      <c r="E38" s="64">
        <v>6.22</v>
      </c>
      <c r="F38" s="64">
        <v>3.08</v>
      </c>
      <c r="G38" s="64">
        <v>54.23</v>
      </c>
      <c r="H38" s="64">
        <v>16.170000000000002</v>
      </c>
      <c r="I38" s="64">
        <v>3.99</v>
      </c>
      <c r="J38" s="64">
        <v>0.36</v>
      </c>
      <c r="K38" s="64">
        <v>220.6</v>
      </c>
      <c r="L38" s="64">
        <v>34.94</v>
      </c>
      <c r="M38" s="64">
        <v>51.35</v>
      </c>
      <c r="N38" s="64">
        <v>306.10000000000002</v>
      </c>
      <c r="O38" s="64">
        <v>0</v>
      </c>
      <c r="P38" s="64">
        <v>0.69</v>
      </c>
      <c r="Q38" s="64">
        <v>9.6300000000000008</v>
      </c>
      <c r="R38" s="198"/>
      <c r="S38" s="198"/>
      <c r="T38" s="198"/>
      <c r="U38" s="198"/>
    </row>
    <row r="39" spans="1:21" s="12" customFormat="1" x14ac:dyDescent="0.25">
      <c r="A39" s="214" t="s">
        <v>1236</v>
      </c>
      <c r="B39" s="64">
        <v>11.96</v>
      </c>
      <c r="C39" s="64">
        <v>34.880000000000003</v>
      </c>
      <c r="D39" s="64">
        <v>48.39</v>
      </c>
      <c r="E39" s="64">
        <v>7.84</v>
      </c>
      <c r="F39" s="64">
        <v>7.07</v>
      </c>
      <c r="G39" s="64">
        <v>54.23</v>
      </c>
      <c r="H39" s="64">
        <v>16.170000000000002</v>
      </c>
      <c r="I39" s="64">
        <v>4.07</v>
      </c>
      <c r="J39" s="64">
        <v>0.45</v>
      </c>
      <c r="K39" s="64">
        <v>247.81</v>
      </c>
      <c r="L39" s="64">
        <v>36.4</v>
      </c>
      <c r="M39" s="64">
        <v>46.65</v>
      </c>
      <c r="N39" s="64">
        <v>359.7</v>
      </c>
      <c r="O39" s="64">
        <v>0</v>
      </c>
      <c r="P39" s="64">
        <v>0.72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4" t="s">
        <v>1237</v>
      </c>
      <c r="B40" s="64">
        <v>12.85</v>
      </c>
      <c r="C40" s="64">
        <v>35.5</v>
      </c>
      <c r="D40" s="64">
        <v>48.23</v>
      </c>
      <c r="E40" s="64">
        <v>8.2100000000000009</v>
      </c>
      <c r="F40" s="64">
        <v>8.35</v>
      </c>
      <c r="G40" s="64">
        <v>54.48</v>
      </c>
      <c r="H40" s="64">
        <v>16.34</v>
      </c>
      <c r="I40" s="64">
        <v>3.98</v>
      </c>
      <c r="J40" s="64">
        <v>0.52</v>
      </c>
      <c r="K40" s="64">
        <v>258.97000000000003</v>
      </c>
      <c r="L40" s="64">
        <v>37.93</v>
      </c>
      <c r="M40" s="64">
        <v>43.64</v>
      </c>
      <c r="N40" s="64">
        <v>407.9</v>
      </c>
      <c r="O40" s="64">
        <v>0</v>
      </c>
      <c r="P40" s="64">
        <v>0.7</v>
      </c>
      <c r="Q40" s="64">
        <v>9.66</v>
      </c>
      <c r="R40" s="198"/>
      <c r="S40" s="198"/>
      <c r="T40" s="198"/>
      <c r="U40" s="198"/>
    </row>
    <row r="41" spans="1:21" s="12" customFormat="1" x14ac:dyDescent="0.25">
      <c r="A41" s="214" t="s">
        <v>1238</v>
      </c>
      <c r="B41" s="64">
        <v>14.46</v>
      </c>
      <c r="C41" s="64">
        <v>35.69</v>
      </c>
      <c r="D41" s="64">
        <v>46.11</v>
      </c>
      <c r="E41" s="64">
        <v>7.96</v>
      </c>
      <c r="F41" s="64">
        <v>8.42</v>
      </c>
      <c r="G41" s="64">
        <v>57.95</v>
      </c>
      <c r="H41" s="64">
        <v>18.7</v>
      </c>
      <c r="I41" s="64">
        <v>3.82</v>
      </c>
      <c r="J41" s="64">
        <v>0.73</v>
      </c>
      <c r="K41" s="64">
        <v>263.35000000000002</v>
      </c>
      <c r="L41" s="64">
        <v>39.659999999999997</v>
      </c>
      <c r="M41" s="64">
        <v>39.630000000000003</v>
      </c>
      <c r="N41" s="64">
        <v>459.6</v>
      </c>
      <c r="O41" s="64">
        <v>0</v>
      </c>
      <c r="P41" s="64">
        <v>0.66</v>
      </c>
      <c r="Q41" s="64">
        <v>9.65</v>
      </c>
      <c r="R41" s="198"/>
      <c r="S41" s="198"/>
      <c r="T41" s="198"/>
      <c r="U41" s="198"/>
    </row>
    <row r="42" spans="1:21" s="12" customFormat="1" x14ac:dyDescent="0.25">
      <c r="A42" s="214" t="s">
        <v>1239</v>
      </c>
      <c r="B42" s="64">
        <v>14.07</v>
      </c>
      <c r="C42" s="64">
        <v>34.17</v>
      </c>
      <c r="D42" s="64">
        <v>43.81</v>
      </c>
      <c r="E42" s="64">
        <v>8.2100000000000009</v>
      </c>
      <c r="F42" s="64">
        <v>10.44</v>
      </c>
      <c r="G42" s="64">
        <v>57.95</v>
      </c>
      <c r="H42" s="64">
        <v>18.7</v>
      </c>
      <c r="I42" s="64">
        <v>3.84</v>
      </c>
      <c r="J42" s="64">
        <v>0.67</v>
      </c>
      <c r="K42" s="64">
        <v>263.64</v>
      </c>
      <c r="L42" s="64">
        <v>40.950000000000003</v>
      </c>
      <c r="M42" s="64">
        <v>36.46</v>
      </c>
      <c r="N42" s="64">
        <v>513.29999999999995</v>
      </c>
      <c r="O42" s="64">
        <v>0</v>
      </c>
      <c r="P42" s="64">
        <v>0.64</v>
      </c>
      <c r="Q42" s="64">
        <v>9.64</v>
      </c>
      <c r="R42" s="198"/>
      <c r="S42" s="198"/>
      <c r="T42" s="198"/>
      <c r="U42" s="198"/>
    </row>
    <row r="43" spans="1:21" s="12" customFormat="1" x14ac:dyDescent="0.25">
      <c r="A43" s="214" t="s">
        <v>1240</v>
      </c>
      <c r="B43" s="64">
        <v>13.75</v>
      </c>
      <c r="C43" s="64">
        <v>34.19</v>
      </c>
      <c r="D43" s="64">
        <v>44.34</v>
      </c>
      <c r="E43" s="64">
        <v>8.2899999999999991</v>
      </c>
      <c r="F43" s="64">
        <v>12.44</v>
      </c>
      <c r="G43" s="64">
        <v>57.95</v>
      </c>
      <c r="H43" s="64">
        <v>18.7</v>
      </c>
      <c r="I43" s="64">
        <v>4</v>
      </c>
      <c r="J43" s="64">
        <v>0.68</v>
      </c>
      <c r="K43" s="64">
        <v>267.16000000000003</v>
      </c>
      <c r="L43" s="64">
        <v>42.13</v>
      </c>
      <c r="M43" s="64">
        <v>34.39</v>
      </c>
      <c r="N43" s="64">
        <v>563.1</v>
      </c>
      <c r="O43" s="64">
        <v>0</v>
      </c>
      <c r="P43" s="64">
        <v>0.63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4" t="s">
        <v>1241</v>
      </c>
      <c r="B44" s="64">
        <v>8.67</v>
      </c>
      <c r="C44" s="64">
        <v>30.34</v>
      </c>
      <c r="D44" s="64">
        <v>44.76</v>
      </c>
      <c r="E44" s="64">
        <v>10.17</v>
      </c>
      <c r="F44" s="64">
        <v>14.63</v>
      </c>
      <c r="G44" s="64">
        <v>57.92</v>
      </c>
      <c r="H44" s="64">
        <v>18.829999999999998</v>
      </c>
      <c r="I44" s="64">
        <v>4.09</v>
      </c>
      <c r="J44" s="64">
        <v>0.49</v>
      </c>
      <c r="K44" s="64">
        <v>223.95</v>
      </c>
      <c r="L44" s="64">
        <v>40.67</v>
      </c>
      <c r="M44" s="64">
        <v>36.19</v>
      </c>
      <c r="N44" s="64">
        <v>601.29999999999995</v>
      </c>
      <c r="O44" s="64">
        <v>0</v>
      </c>
      <c r="P44" s="64">
        <v>0.64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4" t="s">
        <v>1242</v>
      </c>
      <c r="B45" s="64">
        <v>10.71</v>
      </c>
      <c r="C45" s="64">
        <v>30.96</v>
      </c>
      <c r="D45" s="64">
        <v>42.82</v>
      </c>
      <c r="E45" s="64">
        <v>9.56</v>
      </c>
      <c r="F45" s="64">
        <v>12.27</v>
      </c>
      <c r="G45" s="64">
        <v>57.52</v>
      </c>
      <c r="H45" s="64">
        <v>20.72</v>
      </c>
      <c r="I45" s="64">
        <v>3.96</v>
      </c>
      <c r="J45" s="64">
        <v>0.57999999999999996</v>
      </c>
      <c r="K45" s="64">
        <v>252.6</v>
      </c>
      <c r="L45" s="64">
        <v>41.03</v>
      </c>
      <c r="M45" s="64">
        <v>35.130000000000003</v>
      </c>
      <c r="N45" s="64">
        <v>646.29999999999995</v>
      </c>
      <c r="O45" s="64">
        <v>0</v>
      </c>
      <c r="P45" s="64">
        <v>0.65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4" t="s">
        <v>1243</v>
      </c>
      <c r="B46" s="64">
        <v>9.9</v>
      </c>
      <c r="C46" s="64">
        <v>28.92</v>
      </c>
      <c r="D46" s="64">
        <v>40.159999999999997</v>
      </c>
      <c r="E46" s="64">
        <v>7.4</v>
      </c>
      <c r="F46" s="64">
        <v>4.7699999999999996</v>
      </c>
      <c r="G46" s="64">
        <v>57.52</v>
      </c>
      <c r="H46" s="64">
        <v>20.72</v>
      </c>
      <c r="I46" s="64">
        <v>4.08</v>
      </c>
      <c r="J46" s="64">
        <v>0.8</v>
      </c>
      <c r="K46" s="64">
        <v>263.39999999999998</v>
      </c>
      <c r="L46" s="64">
        <v>42.8</v>
      </c>
      <c r="M46" s="64">
        <v>32</v>
      </c>
      <c r="N46" s="64">
        <v>693.1</v>
      </c>
      <c r="O46" s="64">
        <v>0</v>
      </c>
      <c r="P46" s="64">
        <v>0.65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4" t="s">
        <v>1244</v>
      </c>
      <c r="B47" s="64">
        <v>11.06</v>
      </c>
      <c r="C47" s="64">
        <v>33.71</v>
      </c>
      <c r="D47" s="64">
        <v>47.54</v>
      </c>
      <c r="E47" s="64">
        <v>7.27</v>
      </c>
      <c r="F47" s="64">
        <v>7.88</v>
      </c>
      <c r="G47" s="64">
        <v>57.52</v>
      </c>
      <c r="H47" s="64">
        <v>20.72</v>
      </c>
      <c r="I47" s="64">
        <v>3.91</v>
      </c>
      <c r="J47" s="64">
        <v>0.6</v>
      </c>
      <c r="K47" s="64">
        <v>257.75</v>
      </c>
      <c r="L47" s="64">
        <v>43.25</v>
      </c>
      <c r="M47" s="64">
        <v>30.62</v>
      </c>
      <c r="N47" s="64">
        <v>730.1</v>
      </c>
      <c r="O47" s="64">
        <v>0</v>
      </c>
      <c r="P47" s="64">
        <v>0.63</v>
      </c>
      <c r="Q47" s="64">
        <v>9.59</v>
      </c>
      <c r="R47" s="198"/>
      <c r="S47" s="198"/>
      <c r="T47" s="198"/>
      <c r="U47" s="198"/>
    </row>
    <row r="48" spans="1:21" s="12" customFormat="1" x14ac:dyDescent="0.25">
      <c r="A48" s="214" t="s">
        <v>1245</v>
      </c>
      <c r="B48" s="64">
        <v>9.0500000000000007</v>
      </c>
      <c r="C48" s="64">
        <v>31.35</v>
      </c>
      <c r="D48" s="64">
        <v>46.12</v>
      </c>
      <c r="E48" s="64">
        <v>6.79</v>
      </c>
      <c r="F48" s="64">
        <v>4.5999999999999996</v>
      </c>
      <c r="G48" s="64">
        <v>57.11</v>
      </c>
      <c r="H48" s="64">
        <v>20.9</v>
      </c>
      <c r="I48" s="64">
        <v>3.81</v>
      </c>
      <c r="J48" s="64">
        <v>0.96</v>
      </c>
      <c r="K48" s="64">
        <v>263.64</v>
      </c>
      <c r="L48" s="64">
        <v>43.08</v>
      </c>
      <c r="M48" s="64">
        <v>30.72</v>
      </c>
      <c r="N48" s="64">
        <v>766.7</v>
      </c>
      <c r="O48" s="64">
        <v>0</v>
      </c>
      <c r="P48" s="64">
        <v>0.63</v>
      </c>
      <c r="Q48" s="64">
        <v>9.58</v>
      </c>
      <c r="R48" s="198"/>
      <c r="S48" s="198"/>
      <c r="T48" s="198"/>
      <c r="U48" s="198"/>
    </row>
    <row r="49" spans="1:21" s="12" customFormat="1" x14ac:dyDescent="0.25">
      <c r="A49" s="214" t="s">
        <v>1246</v>
      </c>
      <c r="B49" s="64">
        <v>8.19</v>
      </c>
      <c r="C49" s="64">
        <v>29.24</v>
      </c>
      <c r="D49" s="64">
        <v>43.41</v>
      </c>
      <c r="E49" s="64">
        <v>6.36</v>
      </c>
      <c r="F49" s="64">
        <v>4.2699999999999996</v>
      </c>
      <c r="G49" s="64">
        <v>51.32</v>
      </c>
      <c r="H49" s="64">
        <v>23.44</v>
      </c>
      <c r="I49" s="64">
        <v>3.95</v>
      </c>
      <c r="J49" s="64">
        <v>1.05</v>
      </c>
      <c r="K49" s="64">
        <v>261.81</v>
      </c>
      <c r="L49" s="64">
        <v>44.18</v>
      </c>
      <c r="M49" s="64">
        <v>28.86</v>
      </c>
      <c r="N49" s="64">
        <v>801.1</v>
      </c>
      <c r="O49" s="64">
        <v>0</v>
      </c>
      <c r="P49" s="64">
        <v>0.62</v>
      </c>
      <c r="Q49" s="64">
        <v>9.58</v>
      </c>
      <c r="R49" s="198"/>
      <c r="S49" s="198"/>
      <c r="T49" s="198"/>
      <c r="U49" s="198"/>
    </row>
    <row r="50" spans="1:21" s="12" customFormat="1" x14ac:dyDescent="0.25">
      <c r="A50" s="214" t="s">
        <v>1247</v>
      </c>
      <c r="B50" s="64">
        <v>6.84</v>
      </c>
      <c r="C50" s="64">
        <v>28.43</v>
      </c>
      <c r="D50" s="64">
        <v>43.91</v>
      </c>
      <c r="E50" s="64">
        <v>6.87</v>
      </c>
      <c r="F50" s="64">
        <v>7.87</v>
      </c>
      <c r="G50" s="64">
        <v>51.32</v>
      </c>
      <c r="H50" s="64">
        <v>23.44</v>
      </c>
      <c r="I50" s="64">
        <v>4.18</v>
      </c>
      <c r="J50" s="64">
        <v>0.75</v>
      </c>
      <c r="K50" s="64">
        <v>261.3</v>
      </c>
      <c r="L50" s="64">
        <v>43.13</v>
      </c>
      <c r="M50" s="64">
        <v>30.34</v>
      </c>
      <c r="N50" s="64">
        <v>816.4</v>
      </c>
      <c r="O50" s="64">
        <v>0</v>
      </c>
      <c r="P50" s="64">
        <v>0.6</v>
      </c>
      <c r="Q50" s="64">
        <v>9.58</v>
      </c>
      <c r="R50" s="198"/>
      <c r="S50" s="198"/>
      <c r="T50" s="198"/>
      <c r="U50" s="198"/>
    </row>
    <row r="51" spans="1:21" s="12" customFormat="1" x14ac:dyDescent="0.25">
      <c r="A51" s="214" t="s">
        <v>1248</v>
      </c>
      <c r="B51" s="64">
        <v>6.19</v>
      </c>
      <c r="C51" s="64">
        <v>32.07</v>
      </c>
      <c r="D51" s="64">
        <v>51.88</v>
      </c>
      <c r="E51" s="64">
        <v>6.28</v>
      </c>
      <c r="F51" s="64">
        <v>4.25</v>
      </c>
      <c r="G51" s="64">
        <v>51.32</v>
      </c>
      <c r="H51" s="64">
        <v>23.44</v>
      </c>
      <c r="I51" s="64">
        <v>4.1500000000000004</v>
      </c>
      <c r="J51" s="64">
        <v>0.83</v>
      </c>
      <c r="K51" s="64">
        <v>252.09</v>
      </c>
      <c r="L51" s="64">
        <v>43.12</v>
      </c>
      <c r="M51" s="64">
        <v>30.26</v>
      </c>
      <c r="N51" s="64">
        <v>826.7</v>
      </c>
      <c r="O51" s="64">
        <v>0</v>
      </c>
      <c r="P51" s="64">
        <v>0.62</v>
      </c>
      <c r="Q51" s="64">
        <v>9.56</v>
      </c>
      <c r="R51" s="198"/>
      <c r="S51" s="198"/>
      <c r="T51" s="198"/>
      <c r="U51" s="198"/>
    </row>
    <row r="52" spans="1:21" s="12" customFormat="1" x14ac:dyDescent="0.25">
      <c r="A52" s="214" t="s">
        <v>1249</v>
      </c>
      <c r="B52" s="64">
        <v>5.29</v>
      </c>
      <c r="C52" s="64">
        <v>28.23</v>
      </c>
      <c r="D52" s="64">
        <v>45.91</v>
      </c>
      <c r="E52" s="64">
        <v>6.77</v>
      </c>
      <c r="F52" s="64">
        <v>5.88</v>
      </c>
      <c r="G52" s="64">
        <v>51.18</v>
      </c>
      <c r="H52" s="64">
        <v>23.08</v>
      </c>
      <c r="I52" s="64">
        <v>4.0199999999999996</v>
      </c>
      <c r="J52" s="64">
        <v>0.73</v>
      </c>
      <c r="K52" s="64">
        <v>235.32</v>
      </c>
      <c r="L52" s="64">
        <v>42.89</v>
      </c>
      <c r="M52" s="64">
        <v>30.17</v>
      </c>
      <c r="N52" s="64">
        <v>856.8</v>
      </c>
      <c r="O52" s="64">
        <v>0</v>
      </c>
      <c r="P52" s="64">
        <v>0.62</v>
      </c>
      <c r="Q52" s="64">
        <v>9.56</v>
      </c>
      <c r="R52" s="198"/>
      <c r="S52" s="198"/>
      <c r="T52" s="198"/>
      <c r="U52" s="198"/>
    </row>
    <row r="53" spans="1:21" s="12" customFormat="1" x14ac:dyDescent="0.25">
      <c r="A53" s="214" t="s">
        <v>1250</v>
      </c>
      <c r="B53" s="64">
        <v>4.75</v>
      </c>
      <c r="C53" s="64">
        <v>25.67</v>
      </c>
      <c r="D53" s="64">
        <v>41.85</v>
      </c>
      <c r="E53" s="64">
        <v>7.73</v>
      </c>
      <c r="F53" s="64">
        <v>11.14</v>
      </c>
      <c r="G53" s="64">
        <v>49.15</v>
      </c>
      <c r="H53" s="64">
        <v>18.059999999999999</v>
      </c>
      <c r="I53" s="64">
        <v>4.0999999999999996</v>
      </c>
      <c r="J53" s="64">
        <v>0.66</v>
      </c>
      <c r="K53" s="64">
        <v>225.12</v>
      </c>
      <c r="L53" s="64">
        <v>41.93</v>
      </c>
      <c r="M53" s="64">
        <v>30.72</v>
      </c>
      <c r="N53" s="64">
        <v>859.8</v>
      </c>
      <c r="O53" s="64">
        <v>0</v>
      </c>
      <c r="P53" s="64">
        <v>0.6</v>
      </c>
      <c r="Q53" s="64">
        <v>9.56</v>
      </c>
      <c r="R53" s="198"/>
      <c r="S53" s="198"/>
      <c r="T53" s="198"/>
      <c r="U53" s="198"/>
    </row>
    <row r="54" spans="1:21" s="12" customFormat="1" x14ac:dyDescent="0.25">
      <c r="A54" s="214" t="s">
        <v>1251</v>
      </c>
      <c r="B54" s="64">
        <v>4.4800000000000004</v>
      </c>
      <c r="C54" s="64">
        <v>26.06</v>
      </c>
      <c r="D54" s="64">
        <v>42.99</v>
      </c>
      <c r="E54" s="64">
        <v>6.95</v>
      </c>
      <c r="F54" s="64">
        <v>5.24</v>
      </c>
      <c r="G54" s="64">
        <v>49.15</v>
      </c>
      <c r="H54" s="64">
        <v>18.059999999999999</v>
      </c>
      <c r="I54" s="64">
        <v>3.85</v>
      </c>
      <c r="J54" s="64">
        <v>0.68</v>
      </c>
      <c r="K54" s="64">
        <v>241.09</v>
      </c>
      <c r="L54" s="64">
        <v>41.99</v>
      </c>
      <c r="M54" s="64">
        <v>30.03</v>
      </c>
      <c r="N54" s="64">
        <v>877.2</v>
      </c>
      <c r="O54" s="64">
        <v>0</v>
      </c>
      <c r="P54" s="64">
        <v>0.6</v>
      </c>
      <c r="Q54" s="64">
        <v>9.5399999999999991</v>
      </c>
      <c r="R54" s="198"/>
      <c r="S54" s="198"/>
      <c r="T54" s="198"/>
      <c r="U54" s="198"/>
    </row>
    <row r="55" spans="1:21" s="12" customFormat="1" x14ac:dyDescent="0.25">
      <c r="A55" s="214" t="s">
        <v>1252</v>
      </c>
      <c r="B55" s="64">
        <v>4.71</v>
      </c>
      <c r="C55" s="64">
        <v>24.74</v>
      </c>
      <c r="D55" s="64">
        <v>40.119999999999997</v>
      </c>
      <c r="E55" s="64">
        <v>6.87</v>
      </c>
      <c r="F55" s="64">
        <v>10.86</v>
      </c>
      <c r="G55" s="64">
        <v>49.15</v>
      </c>
      <c r="H55" s="64">
        <v>18.059999999999999</v>
      </c>
      <c r="I55" s="64">
        <v>3.85</v>
      </c>
      <c r="J55" s="64">
        <v>0.48</v>
      </c>
      <c r="K55" s="64">
        <v>193.36</v>
      </c>
      <c r="L55" s="64">
        <v>42.14</v>
      </c>
      <c r="M55" s="64">
        <v>29.12</v>
      </c>
      <c r="N55" s="64">
        <v>878.7</v>
      </c>
      <c r="O55" s="64">
        <v>0</v>
      </c>
      <c r="P55" s="64">
        <v>0.56999999999999995</v>
      </c>
      <c r="Q55" s="64">
        <v>9.52</v>
      </c>
      <c r="R55" s="198"/>
      <c r="S55" s="198"/>
      <c r="T55" s="198"/>
      <c r="U55" s="198"/>
    </row>
    <row r="56" spans="1:21" s="12" customFormat="1" x14ac:dyDescent="0.25">
      <c r="A56" s="214" t="s">
        <v>1253</v>
      </c>
      <c r="B56" s="64">
        <v>4.66</v>
      </c>
      <c r="C56" s="64">
        <v>24.28</v>
      </c>
      <c r="D56" s="64">
        <v>39.32</v>
      </c>
      <c r="E56" s="64">
        <v>7.95</v>
      </c>
      <c r="F56" s="64">
        <v>10.61</v>
      </c>
      <c r="G56" s="64">
        <v>48.85</v>
      </c>
      <c r="H56" s="64">
        <v>18.11</v>
      </c>
      <c r="I56" s="64">
        <v>4.01</v>
      </c>
      <c r="J56" s="64">
        <v>0.6</v>
      </c>
      <c r="K56" s="64">
        <v>243.91</v>
      </c>
      <c r="L56" s="64">
        <v>43.1</v>
      </c>
      <c r="M56" s="64">
        <v>29.07</v>
      </c>
      <c r="N56" s="64">
        <v>864.4</v>
      </c>
      <c r="O56" s="64">
        <v>0</v>
      </c>
      <c r="P56" s="64">
        <v>0.57999999999999996</v>
      </c>
      <c r="Q56" s="64">
        <v>9.52</v>
      </c>
      <c r="R56" s="198"/>
      <c r="S56" s="198"/>
      <c r="T56" s="198"/>
      <c r="U56" s="198"/>
    </row>
    <row r="57" spans="1:21" s="12" customFormat="1" x14ac:dyDescent="0.25">
      <c r="A57" s="214" t="s">
        <v>1254</v>
      </c>
      <c r="B57" s="64">
        <v>5.89</v>
      </c>
      <c r="C57" s="64">
        <v>25.19</v>
      </c>
      <c r="D57" s="64">
        <v>38.81</v>
      </c>
      <c r="E57" s="64">
        <v>10.68</v>
      </c>
      <c r="F57" s="64">
        <v>23.23</v>
      </c>
      <c r="G57" s="64">
        <v>44.69</v>
      </c>
      <c r="H57" s="64">
        <v>18.77</v>
      </c>
      <c r="I57" s="64">
        <v>4.32</v>
      </c>
      <c r="J57" s="64">
        <v>0.65</v>
      </c>
      <c r="K57" s="64">
        <v>262.74</v>
      </c>
      <c r="L57" s="64">
        <v>43.81</v>
      </c>
      <c r="M57" s="64">
        <v>27.93</v>
      </c>
      <c r="N57" s="64">
        <v>876.9</v>
      </c>
      <c r="O57" s="64">
        <v>0</v>
      </c>
      <c r="P57" s="64">
        <v>0.55000000000000004</v>
      </c>
      <c r="Q57" s="64">
        <v>9.51</v>
      </c>
      <c r="R57" s="198"/>
      <c r="S57" s="198"/>
      <c r="T57" s="198"/>
      <c r="U57" s="198"/>
    </row>
    <row r="58" spans="1:21" s="12" customFormat="1" x14ac:dyDescent="0.25">
      <c r="A58" s="214" t="s">
        <v>1255</v>
      </c>
      <c r="B58" s="64">
        <v>7.45</v>
      </c>
      <c r="C58" s="64">
        <v>30.95</v>
      </c>
      <c r="D58" s="64">
        <v>47.81</v>
      </c>
      <c r="E58" s="64">
        <v>15.82</v>
      </c>
      <c r="F58" s="64">
        <v>25.14</v>
      </c>
      <c r="G58" s="64">
        <v>44.69</v>
      </c>
      <c r="H58" s="64">
        <v>18.77</v>
      </c>
      <c r="I58" s="64">
        <v>4.03</v>
      </c>
      <c r="J58" s="64">
        <v>0.78</v>
      </c>
      <c r="K58" s="64">
        <v>301.69</v>
      </c>
      <c r="L58" s="64">
        <v>43.72</v>
      </c>
      <c r="M58" s="64">
        <v>27.57</v>
      </c>
      <c r="N58" s="64">
        <v>846.9</v>
      </c>
      <c r="O58" s="64">
        <v>0</v>
      </c>
      <c r="P58" s="64">
        <v>0.63</v>
      </c>
      <c r="Q58" s="64">
        <v>9.52</v>
      </c>
      <c r="R58" s="198"/>
      <c r="S58" s="198"/>
      <c r="T58" s="198"/>
      <c r="U58" s="198"/>
    </row>
    <row r="59" spans="1:21" s="12" customFormat="1" x14ac:dyDescent="0.25">
      <c r="A59" s="214" t="s">
        <v>1256</v>
      </c>
      <c r="B59" s="64">
        <v>6</v>
      </c>
      <c r="C59" s="64">
        <v>30.16</v>
      </c>
      <c r="D59" s="64">
        <v>48.51</v>
      </c>
      <c r="E59" s="64">
        <v>11.01</v>
      </c>
      <c r="F59" s="64">
        <v>21.99</v>
      </c>
      <c r="G59" s="64">
        <v>44.69</v>
      </c>
      <c r="H59" s="64">
        <v>18.77</v>
      </c>
      <c r="I59" s="64">
        <v>3.95</v>
      </c>
      <c r="J59" s="64">
        <v>1.1599999999999999</v>
      </c>
      <c r="K59" s="64">
        <v>267.75</v>
      </c>
      <c r="L59" s="64">
        <v>44.81</v>
      </c>
      <c r="M59" s="64">
        <v>26.7</v>
      </c>
      <c r="N59" s="64">
        <v>764.4</v>
      </c>
      <c r="O59" s="64">
        <v>0</v>
      </c>
      <c r="P59" s="64">
        <v>0.68</v>
      </c>
      <c r="Q59" s="64">
        <v>9.5299999999999994</v>
      </c>
      <c r="R59" s="198"/>
      <c r="S59" s="198"/>
      <c r="T59" s="198"/>
      <c r="U59" s="198"/>
    </row>
    <row r="60" spans="1:21" s="12" customFormat="1" x14ac:dyDescent="0.25">
      <c r="A60" s="214" t="s">
        <v>1257</v>
      </c>
      <c r="B60" s="64">
        <v>4.8099999999999996</v>
      </c>
      <c r="C60" s="64">
        <v>29.4</v>
      </c>
      <c r="D60" s="64">
        <v>48.87</v>
      </c>
      <c r="E60" s="64">
        <v>7.9</v>
      </c>
      <c r="F60" s="64">
        <v>16.71</v>
      </c>
      <c r="G60" s="64">
        <v>43.69</v>
      </c>
      <c r="H60" s="64">
        <v>18.809999999999999</v>
      </c>
      <c r="I60" s="64">
        <v>4.0199999999999996</v>
      </c>
      <c r="J60" s="64">
        <v>0.82</v>
      </c>
      <c r="K60" s="64">
        <v>259.74</v>
      </c>
      <c r="L60" s="64">
        <v>43.55</v>
      </c>
      <c r="M60" s="64">
        <v>27.65</v>
      </c>
      <c r="N60" s="64">
        <v>292.10000000000002</v>
      </c>
      <c r="O60" s="64">
        <v>0</v>
      </c>
      <c r="P60" s="64">
        <v>0.71</v>
      </c>
      <c r="Q60" s="64">
        <v>9.5399999999999991</v>
      </c>
      <c r="R60" s="198"/>
      <c r="S60" s="198"/>
      <c r="T60" s="198"/>
      <c r="U60" s="198"/>
    </row>
    <row r="61" spans="1:21" s="12" customFormat="1" x14ac:dyDescent="0.25">
      <c r="A61" s="214" t="s">
        <v>1258</v>
      </c>
      <c r="B61" s="64">
        <v>6.4</v>
      </c>
      <c r="C61" s="64">
        <v>28.94</v>
      </c>
      <c r="D61" s="64">
        <v>45.56</v>
      </c>
      <c r="E61" s="64">
        <v>14.56</v>
      </c>
      <c r="F61" s="64">
        <v>29.82</v>
      </c>
      <c r="G61" s="64">
        <v>33.33</v>
      </c>
      <c r="H61" s="64">
        <v>19.39</v>
      </c>
      <c r="I61" s="64">
        <v>3.98</v>
      </c>
      <c r="J61" s="64">
        <v>0.3</v>
      </c>
      <c r="K61" s="64">
        <v>159.22</v>
      </c>
      <c r="L61" s="64">
        <v>39.950000000000003</v>
      </c>
      <c r="M61" s="64">
        <v>29.75</v>
      </c>
      <c r="N61" s="64">
        <v>553.6</v>
      </c>
      <c r="O61" s="64">
        <v>0</v>
      </c>
      <c r="P61" s="64">
        <v>0.62</v>
      </c>
      <c r="Q61" s="64">
        <v>9.5399999999999991</v>
      </c>
      <c r="R61" s="198"/>
      <c r="S61" s="198"/>
      <c r="T61" s="198"/>
      <c r="U61" s="198"/>
    </row>
    <row r="62" spans="1:21" s="12" customFormat="1" x14ac:dyDescent="0.25">
      <c r="A62" s="214" t="s">
        <v>1259</v>
      </c>
      <c r="B62" s="64">
        <v>4.25</v>
      </c>
      <c r="C62" s="64">
        <v>19.399999999999999</v>
      </c>
      <c r="D62" s="64">
        <v>30.61</v>
      </c>
      <c r="E62" s="64">
        <v>17.46</v>
      </c>
      <c r="F62" s="64">
        <v>27.28</v>
      </c>
      <c r="G62" s="64">
        <v>33.33</v>
      </c>
      <c r="H62" s="64">
        <v>19.39</v>
      </c>
      <c r="I62" s="64">
        <v>4.03</v>
      </c>
      <c r="J62" s="64">
        <v>0.62</v>
      </c>
      <c r="K62" s="64">
        <v>178.22</v>
      </c>
      <c r="L62" s="64">
        <v>38.78</v>
      </c>
      <c r="M62" s="64">
        <v>30.73</v>
      </c>
      <c r="N62" s="64">
        <v>378</v>
      </c>
      <c r="O62" s="64">
        <v>0</v>
      </c>
      <c r="P62" s="64">
        <v>0.45</v>
      </c>
      <c r="Q62" s="64">
        <v>9.5500000000000007</v>
      </c>
      <c r="R62" s="198"/>
      <c r="S62" s="198"/>
      <c r="T62" s="198"/>
      <c r="U62" s="198"/>
    </row>
    <row r="63" spans="1:21" s="12" customFormat="1" x14ac:dyDescent="0.25">
      <c r="A63" s="214" t="s">
        <v>1260</v>
      </c>
      <c r="B63" s="64">
        <v>4.25</v>
      </c>
      <c r="C63" s="64">
        <v>20.03</v>
      </c>
      <c r="D63" s="64">
        <v>31.83</v>
      </c>
      <c r="E63" s="64">
        <v>9.4499999999999993</v>
      </c>
      <c r="F63" s="64">
        <v>21.62</v>
      </c>
      <c r="G63" s="64">
        <v>33.33</v>
      </c>
      <c r="H63" s="64">
        <v>19.39</v>
      </c>
      <c r="I63" s="64">
        <v>3.94</v>
      </c>
      <c r="J63" s="64">
        <v>0.7</v>
      </c>
      <c r="K63" s="64">
        <v>217.35</v>
      </c>
      <c r="L63" s="64">
        <v>38.270000000000003</v>
      </c>
      <c r="M63" s="64">
        <v>30.33</v>
      </c>
      <c r="N63" s="64">
        <v>212.2</v>
      </c>
      <c r="O63" s="64">
        <v>0</v>
      </c>
      <c r="P63" s="64">
        <v>0.49</v>
      </c>
      <c r="Q63" s="64">
        <v>9.5500000000000007</v>
      </c>
      <c r="R63" s="198"/>
      <c r="S63" s="198"/>
      <c r="T63" s="198"/>
      <c r="U63" s="198"/>
    </row>
    <row r="64" spans="1:21" s="12" customFormat="1" x14ac:dyDescent="0.25">
      <c r="A64" s="214" t="s">
        <v>1261</v>
      </c>
      <c r="B64" s="64">
        <v>6.33</v>
      </c>
      <c r="C64" s="64">
        <v>27.82</v>
      </c>
      <c r="D64" s="64">
        <v>43.53</v>
      </c>
      <c r="E64" s="64">
        <v>10.06</v>
      </c>
      <c r="F64" s="64">
        <v>19.22</v>
      </c>
      <c r="G64" s="64">
        <v>33.51</v>
      </c>
      <c r="H64" s="64">
        <v>19.27</v>
      </c>
      <c r="I64" s="64">
        <v>3.96</v>
      </c>
      <c r="J64" s="64">
        <v>0.7</v>
      </c>
      <c r="K64" s="64">
        <v>224.56</v>
      </c>
      <c r="L64" s="64">
        <v>37.89</v>
      </c>
      <c r="M64" s="64">
        <v>31.66</v>
      </c>
      <c r="N64" s="64">
        <v>312.5</v>
      </c>
      <c r="O64" s="64">
        <v>0</v>
      </c>
      <c r="P64" s="64">
        <v>0.5</v>
      </c>
      <c r="Q64" s="64">
        <v>9.52</v>
      </c>
      <c r="R64" s="198"/>
      <c r="S64" s="198"/>
      <c r="T64" s="198"/>
      <c r="U64" s="198"/>
    </row>
    <row r="65" spans="1:21" s="12" customFormat="1" x14ac:dyDescent="0.25">
      <c r="A65" s="214" t="s">
        <v>1262</v>
      </c>
      <c r="B65" s="64">
        <v>7.01</v>
      </c>
      <c r="C65" s="64">
        <v>25.92</v>
      </c>
      <c r="D65" s="64">
        <v>38.85</v>
      </c>
      <c r="E65" s="64">
        <v>8.36</v>
      </c>
      <c r="F65" s="64">
        <v>18.54</v>
      </c>
      <c r="G65" s="64">
        <v>36.06</v>
      </c>
      <c r="H65" s="64">
        <v>17.61</v>
      </c>
      <c r="I65" s="64">
        <v>4.1500000000000004</v>
      </c>
      <c r="J65" s="64">
        <v>0.72</v>
      </c>
      <c r="K65" s="64">
        <v>235.47</v>
      </c>
      <c r="L65" s="64">
        <v>40.869999999999997</v>
      </c>
      <c r="M65" s="64">
        <v>28.58</v>
      </c>
      <c r="N65" s="64">
        <v>472.2</v>
      </c>
      <c r="O65" s="64">
        <v>0</v>
      </c>
      <c r="P65" s="64">
        <v>0.5</v>
      </c>
      <c r="Q65" s="64">
        <v>9.51</v>
      </c>
      <c r="R65" s="198"/>
      <c r="S65" s="198"/>
      <c r="T65" s="198"/>
      <c r="U65" s="198"/>
    </row>
    <row r="66" spans="1:21" s="12" customFormat="1" x14ac:dyDescent="0.25">
      <c r="A66" s="214" t="s">
        <v>1263</v>
      </c>
      <c r="B66" s="64">
        <v>5.64</v>
      </c>
      <c r="C66" s="64">
        <v>23.64</v>
      </c>
      <c r="D66" s="64">
        <v>36.6</v>
      </c>
      <c r="E66" s="64">
        <v>8.14</v>
      </c>
      <c r="F66" s="64">
        <v>17.77</v>
      </c>
      <c r="G66" s="64">
        <v>36.06</v>
      </c>
      <c r="H66" s="64">
        <v>17.61</v>
      </c>
      <c r="I66" s="64">
        <v>4.0599999999999996</v>
      </c>
      <c r="J66" s="64">
        <v>0.77</v>
      </c>
      <c r="K66" s="64">
        <v>214.85</v>
      </c>
      <c r="L66" s="64">
        <v>40.6</v>
      </c>
      <c r="M66" s="64">
        <v>27.98</v>
      </c>
      <c r="N66" s="64">
        <v>412.5</v>
      </c>
      <c r="O66" s="64">
        <v>0</v>
      </c>
      <c r="P66" s="64">
        <v>0.43</v>
      </c>
      <c r="Q66" s="64">
        <v>9.5</v>
      </c>
      <c r="R66" s="198"/>
      <c r="S66" s="198"/>
      <c r="T66" s="198"/>
      <c r="U66" s="198"/>
    </row>
    <row r="67" spans="1:21" s="12" customFormat="1" x14ac:dyDescent="0.25">
      <c r="A67" s="214" t="s">
        <v>1264</v>
      </c>
      <c r="B67" s="64">
        <v>6.25</v>
      </c>
      <c r="C67" s="64">
        <v>24.43</v>
      </c>
      <c r="D67" s="64">
        <v>37.18</v>
      </c>
      <c r="E67" s="64">
        <v>8.9499999999999993</v>
      </c>
      <c r="F67" s="64">
        <v>21.03</v>
      </c>
      <c r="G67" s="64">
        <v>36.06</v>
      </c>
      <c r="H67" s="64">
        <v>17.61</v>
      </c>
      <c r="I67" s="64">
        <v>3.99</v>
      </c>
      <c r="J67" s="64">
        <v>0.48</v>
      </c>
      <c r="K67" s="64">
        <v>234.98</v>
      </c>
      <c r="L67" s="64">
        <v>40.520000000000003</v>
      </c>
      <c r="M67" s="64">
        <v>27.54</v>
      </c>
      <c r="N67" s="64">
        <v>224</v>
      </c>
      <c r="O67" s="64">
        <v>0</v>
      </c>
      <c r="P67" s="64">
        <v>0.48</v>
      </c>
      <c r="Q67" s="64">
        <v>9.48</v>
      </c>
      <c r="R67" s="198"/>
      <c r="S67" s="198"/>
      <c r="T67" s="198"/>
      <c r="U67" s="198"/>
    </row>
    <row r="68" spans="1:21" s="12" customFormat="1" x14ac:dyDescent="0.25">
      <c r="A68" s="214" t="s">
        <v>1265</v>
      </c>
      <c r="B68" s="64">
        <v>9.86</v>
      </c>
      <c r="C68" s="64">
        <v>28.22</v>
      </c>
      <c r="D68" s="64">
        <v>38.880000000000003</v>
      </c>
      <c r="E68" s="64">
        <v>9.7100000000000009</v>
      </c>
      <c r="F68" s="64">
        <v>27.09</v>
      </c>
      <c r="G68" s="64">
        <v>35.94</v>
      </c>
      <c r="H68" s="64">
        <v>17.61</v>
      </c>
      <c r="I68" s="64">
        <v>4.03</v>
      </c>
      <c r="J68" s="64">
        <v>0.3</v>
      </c>
      <c r="K68" s="64">
        <v>209.87</v>
      </c>
      <c r="L68" s="64">
        <v>40.119999999999997</v>
      </c>
      <c r="M68" s="64">
        <v>27.81</v>
      </c>
      <c r="N68" s="64">
        <v>338.9</v>
      </c>
      <c r="O68" s="64">
        <v>0</v>
      </c>
      <c r="P68" s="64">
        <v>0.42</v>
      </c>
      <c r="Q68" s="64">
        <v>9.48</v>
      </c>
      <c r="R68" s="198"/>
      <c r="S68" s="198"/>
      <c r="T68" s="198"/>
      <c r="U68" s="198"/>
    </row>
    <row r="69" spans="1:21" s="12" customFormat="1" x14ac:dyDescent="0.25">
      <c r="A69" s="214" t="s">
        <v>1266</v>
      </c>
      <c r="B69" s="64">
        <v>5.53</v>
      </c>
      <c r="C69" s="64">
        <v>19.149999999999999</v>
      </c>
      <c r="D69" s="64">
        <v>28.17</v>
      </c>
      <c r="E69" s="64">
        <v>9.27</v>
      </c>
      <c r="F69" s="64">
        <v>21.05</v>
      </c>
      <c r="G69" s="64">
        <v>34.35</v>
      </c>
      <c r="H69" s="64">
        <v>17.55</v>
      </c>
      <c r="I69" s="64">
        <v>4</v>
      </c>
      <c r="J69" s="64">
        <v>0.56999999999999995</v>
      </c>
      <c r="K69" s="64">
        <v>221.27</v>
      </c>
      <c r="L69" s="64">
        <v>40.549999999999997</v>
      </c>
      <c r="M69" s="64">
        <v>27.67</v>
      </c>
      <c r="N69" s="64">
        <v>278.3</v>
      </c>
      <c r="O69" s="64">
        <v>0</v>
      </c>
      <c r="P69" s="64">
        <v>0.39</v>
      </c>
      <c r="Q69" s="64">
        <v>9.49</v>
      </c>
      <c r="R69" s="198"/>
      <c r="S69" s="198"/>
      <c r="T69" s="198"/>
      <c r="U69" s="198"/>
    </row>
    <row r="70" spans="1:21" s="12" customFormat="1" x14ac:dyDescent="0.25">
      <c r="A70" s="214" t="s">
        <v>1267</v>
      </c>
      <c r="B70" s="64">
        <v>6.97</v>
      </c>
      <c r="C70" s="64">
        <v>27.29</v>
      </c>
      <c r="D70" s="64">
        <v>41.55</v>
      </c>
      <c r="E70" s="64">
        <v>8.42</v>
      </c>
      <c r="F70" s="64">
        <v>14.79</v>
      </c>
      <c r="G70" s="64">
        <v>34.35</v>
      </c>
      <c r="H70" s="64">
        <v>17.55</v>
      </c>
      <c r="I70" s="64">
        <v>4.12</v>
      </c>
      <c r="J70" s="64">
        <v>0.9</v>
      </c>
      <c r="K70" s="64">
        <v>236.34</v>
      </c>
      <c r="L70" s="64">
        <v>41.69</v>
      </c>
      <c r="M70" s="64">
        <v>25.97</v>
      </c>
      <c r="N70" s="64">
        <v>339.7</v>
      </c>
      <c r="O70" s="64">
        <v>0</v>
      </c>
      <c r="P70" s="64">
        <v>0.52</v>
      </c>
      <c r="Q70" s="64">
        <v>9.49</v>
      </c>
      <c r="R70" s="198"/>
      <c r="S70" s="198"/>
      <c r="T70" s="198"/>
      <c r="U70" s="198"/>
    </row>
    <row r="71" spans="1:21" s="12" customFormat="1" x14ac:dyDescent="0.25">
      <c r="A71" s="214" t="s">
        <v>1268</v>
      </c>
      <c r="B71" s="64">
        <v>6.66</v>
      </c>
      <c r="C71" s="64">
        <v>26.26</v>
      </c>
      <c r="D71" s="64">
        <v>40.049999999999997</v>
      </c>
      <c r="E71" s="64">
        <v>10.01</v>
      </c>
      <c r="F71" s="64">
        <v>24.47</v>
      </c>
      <c r="G71" s="64">
        <v>34.35</v>
      </c>
      <c r="H71" s="64">
        <v>17.55</v>
      </c>
      <c r="I71" s="64">
        <v>4.1399999999999997</v>
      </c>
      <c r="J71" s="64">
        <v>0.55000000000000004</v>
      </c>
      <c r="K71" s="64">
        <v>209.2</v>
      </c>
      <c r="L71" s="64">
        <v>40.97</v>
      </c>
      <c r="M71" s="64">
        <v>26.3</v>
      </c>
      <c r="N71" s="64">
        <v>240.6</v>
      </c>
      <c r="O71" s="64">
        <v>0</v>
      </c>
      <c r="P71" s="64">
        <v>0.49</v>
      </c>
      <c r="Q71" s="64">
        <v>9.49</v>
      </c>
      <c r="R71" s="198"/>
      <c r="S71" s="198"/>
      <c r="T71" s="198"/>
      <c r="U71" s="198"/>
    </row>
    <row r="72" spans="1:21" s="12" customFormat="1" x14ac:dyDescent="0.25">
      <c r="A72" s="214" t="s">
        <v>1269</v>
      </c>
      <c r="B72" s="64">
        <v>4.9000000000000004</v>
      </c>
      <c r="C72" s="64">
        <v>20.74</v>
      </c>
      <c r="D72" s="64">
        <v>32.159999999999997</v>
      </c>
      <c r="E72" s="64">
        <v>8.08</v>
      </c>
      <c r="F72" s="64">
        <v>19.59</v>
      </c>
      <c r="G72" s="64">
        <v>34.47</v>
      </c>
      <c r="H72" s="64">
        <v>17.350000000000001</v>
      </c>
      <c r="I72" s="64">
        <v>4</v>
      </c>
      <c r="J72" s="64">
        <v>1.23</v>
      </c>
      <c r="K72" s="64">
        <v>149.44999999999999</v>
      </c>
      <c r="L72" s="64">
        <v>39.53</v>
      </c>
      <c r="M72" s="64">
        <v>28.21</v>
      </c>
      <c r="N72" s="64">
        <v>344.1</v>
      </c>
      <c r="O72" s="64">
        <v>0</v>
      </c>
      <c r="P72" s="64">
        <v>0.42</v>
      </c>
      <c r="Q72" s="64">
        <v>9.49</v>
      </c>
      <c r="R72" s="198"/>
      <c r="S72" s="198"/>
      <c r="T72" s="198"/>
      <c r="U72" s="198"/>
    </row>
    <row r="73" spans="1:21" s="12" customFormat="1" x14ac:dyDescent="0.25">
      <c r="A73" s="214" t="s">
        <v>1270</v>
      </c>
      <c r="B73" s="64">
        <v>11.72</v>
      </c>
      <c r="C73" s="64">
        <v>34.01</v>
      </c>
      <c r="D73" s="64">
        <v>47.1</v>
      </c>
      <c r="E73" s="64">
        <v>9.94</v>
      </c>
      <c r="F73" s="64">
        <v>20.28</v>
      </c>
      <c r="G73" s="64">
        <v>36.18</v>
      </c>
      <c r="H73" s="64">
        <v>14.62</v>
      </c>
      <c r="I73" s="64">
        <v>3.97</v>
      </c>
      <c r="J73" s="64">
        <v>0.76</v>
      </c>
      <c r="K73" s="64">
        <v>235.08</v>
      </c>
      <c r="L73" s="64">
        <v>39.78</v>
      </c>
      <c r="M73" s="64">
        <v>27.82</v>
      </c>
      <c r="N73" s="64">
        <v>254.6</v>
      </c>
      <c r="O73" s="64">
        <v>0</v>
      </c>
      <c r="P73" s="64">
        <v>0.59</v>
      </c>
      <c r="Q73" s="64">
        <v>9.5</v>
      </c>
      <c r="R73" s="198"/>
      <c r="S73" s="198"/>
      <c r="T73" s="198"/>
      <c r="U73" s="198"/>
    </row>
    <row r="74" spans="1:21" s="12" customFormat="1" x14ac:dyDescent="0.25">
      <c r="A74" s="214" t="s">
        <v>1271</v>
      </c>
      <c r="B74" s="64">
        <v>7.35</v>
      </c>
      <c r="C74" s="64">
        <v>29.33</v>
      </c>
      <c r="D74" s="64">
        <v>44.86</v>
      </c>
      <c r="E74" s="64">
        <v>10.14</v>
      </c>
      <c r="F74" s="64">
        <v>19.829999999999998</v>
      </c>
      <c r="G74" s="64">
        <v>36.18</v>
      </c>
      <c r="H74" s="64">
        <v>14.62</v>
      </c>
      <c r="I74" s="64">
        <v>4.01</v>
      </c>
      <c r="J74" s="64">
        <v>0.82</v>
      </c>
      <c r="K74" s="64">
        <v>234.79</v>
      </c>
      <c r="L74" s="64">
        <v>39.96</v>
      </c>
      <c r="M74" s="64">
        <v>27.62</v>
      </c>
      <c r="N74" s="64">
        <v>155.19999999999999</v>
      </c>
      <c r="O74" s="64">
        <v>0</v>
      </c>
      <c r="P74" s="64">
        <v>0.57999999999999996</v>
      </c>
      <c r="Q74" s="64">
        <v>9.51</v>
      </c>
      <c r="R74" s="198"/>
      <c r="S74" s="198"/>
      <c r="T74" s="198"/>
      <c r="U74" s="198"/>
    </row>
    <row r="75" spans="1:21" s="12" customFormat="1" x14ac:dyDescent="0.25">
      <c r="A75" s="214" t="s">
        <v>1272</v>
      </c>
      <c r="B75" s="64">
        <v>7.97</v>
      </c>
      <c r="C75" s="64">
        <v>32.85</v>
      </c>
      <c r="D75" s="64">
        <v>50.65</v>
      </c>
      <c r="E75" s="64">
        <v>14.51</v>
      </c>
      <c r="F75" s="64">
        <v>21.89</v>
      </c>
      <c r="G75" s="64">
        <v>36.18</v>
      </c>
      <c r="H75" s="64">
        <v>14.62</v>
      </c>
      <c r="I75" s="64">
        <v>3.95</v>
      </c>
      <c r="J75" s="64">
        <v>0.63</v>
      </c>
      <c r="K75" s="64">
        <v>236.53</v>
      </c>
      <c r="L75" s="64">
        <v>39.9</v>
      </c>
      <c r="M75" s="64">
        <v>28.29</v>
      </c>
      <c r="N75" s="64">
        <v>129.19999999999999</v>
      </c>
      <c r="O75" s="64">
        <v>0</v>
      </c>
      <c r="P75" s="64">
        <v>0.71</v>
      </c>
      <c r="Q75" s="64">
        <v>9.5</v>
      </c>
      <c r="R75" s="198"/>
      <c r="S75" s="198"/>
      <c r="T75" s="198"/>
      <c r="U75" s="198"/>
    </row>
    <row r="76" spans="1:21" s="12" customFormat="1" x14ac:dyDescent="0.25">
      <c r="A76" s="214" t="s">
        <v>1273</v>
      </c>
      <c r="B76" s="64">
        <v>9.91</v>
      </c>
      <c r="C76" s="64">
        <v>36.020000000000003</v>
      </c>
      <c r="D76" s="64">
        <v>53.73</v>
      </c>
      <c r="E76" s="64">
        <v>16.3</v>
      </c>
      <c r="F76" s="64">
        <v>26.82</v>
      </c>
      <c r="G76" s="64">
        <v>36.299999999999997</v>
      </c>
      <c r="H76" s="64">
        <v>14.72</v>
      </c>
      <c r="I76" s="64">
        <v>3.99</v>
      </c>
      <c r="J76" s="64">
        <v>0.68</v>
      </c>
      <c r="K76" s="64">
        <v>235.29</v>
      </c>
      <c r="L76" s="64">
        <v>39.74</v>
      </c>
      <c r="M76" s="64">
        <v>28.16</v>
      </c>
      <c r="N76" s="64">
        <v>139.6</v>
      </c>
      <c r="O76" s="64">
        <v>0</v>
      </c>
      <c r="P76" s="64">
        <v>0.78</v>
      </c>
      <c r="Q76" s="64">
        <v>9.52</v>
      </c>
      <c r="R76" s="198"/>
      <c r="S76" s="198"/>
      <c r="T76" s="198"/>
      <c r="U76" s="198"/>
    </row>
    <row r="77" spans="1:21" s="12" customFormat="1" x14ac:dyDescent="0.25">
      <c r="A77" s="214" t="s">
        <v>1274</v>
      </c>
      <c r="B77" s="64">
        <v>9.86</v>
      </c>
      <c r="C77" s="64">
        <v>40.93</v>
      </c>
      <c r="D77" s="64">
        <v>63.2</v>
      </c>
      <c r="E77" s="64">
        <v>21.52</v>
      </c>
      <c r="F77" s="64">
        <v>22.8</v>
      </c>
      <c r="G77" s="64">
        <v>37.93</v>
      </c>
      <c r="H77" s="64">
        <v>16.13</v>
      </c>
      <c r="I77" s="64">
        <v>3.92</v>
      </c>
      <c r="J77" s="64">
        <v>0.49</v>
      </c>
      <c r="K77" s="64">
        <v>231.93</v>
      </c>
      <c r="L77" s="64">
        <v>39.78</v>
      </c>
      <c r="M77" s="64">
        <v>27.75</v>
      </c>
      <c r="N77" s="64">
        <v>135.6</v>
      </c>
      <c r="O77" s="64">
        <v>0</v>
      </c>
      <c r="P77" s="64">
        <v>0.83</v>
      </c>
      <c r="Q77" s="64">
        <v>9.56</v>
      </c>
      <c r="R77" s="198"/>
      <c r="S77" s="198"/>
      <c r="T77" s="198"/>
      <c r="U77" s="198"/>
    </row>
    <row r="78" spans="1:21" s="12" customFormat="1" x14ac:dyDescent="0.25">
      <c r="A78" s="214" t="s">
        <v>1275</v>
      </c>
      <c r="B78" s="64">
        <v>9.3699999999999992</v>
      </c>
      <c r="C78" s="64">
        <v>36.19</v>
      </c>
      <c r="D78" s="64">
        <v>54.89</v>
      </c>
      <c r="E78" s="64">
        <v>18.309999999999999</v>
      </c>
      <c r="F78" s="64">
        <v>21.64</v>
      </c>
      <c r="G78" s="64">
        <v>37.93</v>
      </c>
      <c r="H78" s="64">
        <v>16.13</v>
      </c>
      <c r="I78" s="64">
        <v>3.91</v>
      </c>
      <c r="J78" s="64">
        <v>0.49</v>
      </c>
      <c r="K78" s="64">
        <v>219.28</v>
      </c>
      <c r="L78" s="64">
        <v>39.32</v>
      </c>
      <c r="M78" s="64">
        <v>28.25</v>
      </c>
      <c r="N78" s="64">
        <v>100.6</v>
      </c>
      <c r="O78" s="64">
        <v>0</v>
      </c>
      <c r="P78" s="64">
        <v>0.78</v>
      </c>
      <c r="Q78" s="64">
        <v>9.58</v>
      </c>
      <c r="R78" s="198"/>
      <c r="S78" s="198"/>
      <c r="T78" s="198"/>
      <c r="U78" s="198"/>
    </row>
    <row r="79" spans="1:21" s="12" customFormat="1" x14ac:dyDescent="0.25">
      <c r="A79" s="214" t="s">
        <v>1276</v>
      </c>
      <c r="B79" s="64">
        <v>8.1</v>
      </c>
      <c r="C79" s="64">
        <v>29.37</v>
      </c>
      <c r="D79" s="64">
        <v>43.78</v>
      </c>
      <c r="E79" s="64">
        <v>9.07</v>
      </c>
      <c r="F79" s="64">
        <v>12.56</v>
      </c>
      <c r="G79" s="64">
        <v>37.93</v>
      </c>
      <c r="H79" s="64">
        <v>16.13</v>
      </c>
      <c r="I79" s="64">
        <v>3.97</v>
      </c>
      <c r="J79" s="64">
        <v>1.38</v>
      </c>
      <c r="K79" s="64">
        <v>111.2</v>
      </c>
      <c r="L79" s="64">
        <v>36.03</v>
      </c>
      <c r="M79" s="64">
        <v>38.659999999999997</v>
      </c>
      <c r="N79" s="64">
        <v>70.099999999999994</v>
      </c>
      <c r="O79" s="64">
        <v>0</v>
      </c>
      <c r="P79" s="64">
        <v>0.61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4" t="s">
        <v>1277</v>
      </c>
      <c r="B80" s="64">
        <v>6.23</v>
      </c>
      <c r="C80" s="64">
        <v>23.97</v>
      </c>
      <c r="D80" s="64">
        <v>36.299999999999997</v>
      </c>
      <c r="E80" s="64">
        <v>6.73</v>
      </c>
      <c r="F80" s="64">
        <v>13.81</v>
      </c>
      <c r="G80" s="64">
        <v>38.58</v>
      </c>
      <c r="H80" s="64">
        <v>16.05</v>
      </c>
      <c r="I80" s="64">
        <v>3.93</v>
      </c>
      <c r="J80" s="64">
        <v>2.68</v>
      </c>
      <c r="K80" s="64">
        <v>102.75</v>
      </c>
      <c r="L80" s="64">
        <v>34</v>
      </c>
      <c r="M80" s="64">
        <v>42.54</v>
      </c>
      <c r="N80" s="64">
        <v>56.4</v>
      </c>
      <c r="O80" s="64">
        <v>0</v>
      </c>
      <c r="P80" s="64">
        <v>0.56000000000000005</v>
      </c>
      <c r="Q80" s="64">
        <v>9.59</v>
      </c>
      <c r="R80" s="198"/>
      <c r="S80" s="198"/>
      <c r="T80" s="198"/>
      <c r="U80" s="198"/>
    </row>
    <row r="81" spans="1:26" s="12" customFormat="1" x14ac:dyDescent="0.25">
      <c r="A81" s="214" t="s">
        <v>1278</v>
      </c>
      <c r="B81" s="64">
        <v>6.18</v>
      </c>
      <c r="C81" s="64">
        <v>23.95</v>
      </c>
      <c r="D81" s="64">
        <v>36.36</v>
      </c>
      <c r="E81" s="64">
        <v>6.24</v>
      </c>
      <c r="F81" s="64">
        <v>10.57</v>
      </c>
      <c r="G81" s="64">
        <v>47.64</v>
      </c>
      <c r="H81" s="64">
        <v>14.94</v>
      </c>
      <c r="I81" s="64">
        <v>4.03</v>
      </c>
      <c r="J81" s="64">
        <v>2.4</v>
      </c>
      <c r="K81" s="64">
        <v>104.34</v>
      </c>
      <c r="L81" s="64">
        <v>33.159999999999997</v>
      </c>
      <c r="M81" s="64">
        <v>44.81</v>
      </c>
      <c r="N81" s="64">
        <v>43.6</v>
      </c>
      <c r="O81" s="64">
        <v>0</v>
      </c>
      <c r="P81" s="64">
        <v>0.56999999999999995</v>
      </c>
      <c r="Q81" s="64">
        <v>9.5500000000000007</v>
      </c>
      <c r="R81" s="198"/>
      <c r="S81" s="198"/>
      <c r="T81" s="198"/>
      <c r="U81" s="198"/>
    </row>
    <row r="82" spans="1:26" s="12" customFormat="1" x14ac:dyDescent="0.25">
      <c r="A82" s="214" t="s">
        <v>1279</v>
      </c>
      <c r="B82" s="64">
        <v>6.04</v>
      </c>
      <c r="C82" s="64">
        <v>27.53</v>
      </c>
      <c r="D82" s="64">
        <v>43.42</v>
      </c>
      <c r="E82" s="64">
        <v>5.77</v>
      </c>
      <c r="F82" s="64">
        <v>12.72</v>
      </c>
      <c r="G82" s="64">
        <v>47.64</v>
      </c>
      <c r="H82" s="64">
        <v>14.94</v>
      </c>
      <c r="I82" s="64">
        <v>3.87</v>
      </c>
      <c r="J82" s="64">
        <v>1.69</v>
      </c>
      <c r="K82" s="64">
        <v>101.09</v>
      </c>
      <c r="L82" s="64">
        <v>31.82</v>
      </c>
      <c r="M82" s="64">
        <v>51.81</v>
      </c>
      <c r="N82" s="64">
        <v>37</v>
      </c>
      <c r="O82" s="64">
        <v>0</v>
      </c>
      <c r="P82" s="64">
        <v>0.54</v>
      </c>
      <c r="Q82" s="64">
        <v>9.52</v>
      </c>
      <c r="R82" s="198"/>
      <c r="S82" s="198"/>
      <c r="T82" s="198"/>
      <c r="U82" s="198"/>
    </row>
    <row r="83" spans="1:26" s="12" customFormat="1" x14ac:dyDescent="0.25">
      <c r="A83" s="214" t="s">
        <v>1280</v>
      </c>
      <c r="B83" s="64">
        <v>5.69</v>
      </c>
      <c r="C83" s="64">
        <v>25.71</v>
      </c>
      <c r="D83" s="64">
        <v>40.47</v>
      </c>
      <c r="E83" s="64">
        <v>5.15</v>
      </c>
      <c r="F83" s="64">
        <v>9.24</v>
      </c>
      <c r="G83" s="64">
        <v>47.64</v>
      </c>
      <c r="H83" s="64">
        <v>14.94</v>
      </c>
      <c r="I83" s="64">
        <v>4.12</v>
      </c>
      <c r="J83" s="64">
        <v>1.34</v>
      </c>
      <c r="K83" s="64">
        <v>95.74</v>
      </c>
      <c r="L83" s="64">
        <v>31.18</v>
      </c>
      <c r="M83" s="64">
        <v>54.44</v>
      </c>
      <c r="N83" s="64">
        <v>29.9</v>
      </c>
      <c r="O83" s="64">
        <v>0</v>
      </c>
      <c r="P83" s="64">
        <v>0.52</v>
      </c>
      <c r="Q83" s="64">
        <v>9.5</v>
      </c>
      <c r="R83" s="198"/>
      <c r="S83" s="198"/>
      <c r="T83" s="198"/>
      <c r="U83" s="198"/>
    </row>
    <row r="84" spans="1:26" s="12" customFormat="1" x14ac:dyDescent="0.25">
      <c r="A84" s="214" t="s">
        <v>1281</v>
      </c>
      <c r="B84" s="64">
        <v>5.39</v>
      </c>
      <c r="C84" s="64">
        <v>23.72</v>
      </c>
      <c r="D84" s="64">
        <v>37.119999999999997</v>
      </c>
      <c r="E84" s="64">
        <v>5.2</v>
      </c>
      <c r="F84" s="64">
        <v>13.59</v>
      </c>
      <c r="G84" s="64">
        <v>47.08</v>
      </c>
      <c r="H84" s="64">
        <v>14.8</v>
      </c>
      <c r="I84" s="64">
        <v>4.17</v>
      </c>
      <c r="J84" s="64">
        <v>0.96</v>
      </c>
      <c r="K84" s="64">
        <v>104.96</v>
      </c>
      <c r="L84" s="64">
        <v>31.35</v>
      </c>
      <c r="M84" s="64">
        <v>53.81</v>
      </c>
      <c r="N84" s="64">
        <v>28.6</v>
      </c>
      <c r="O84" s="64">
        <v>0</v>
      </c>
      <c r="P84" s="64">
        <v>0.46</v>
      </c>
      <c r="Q84" s="64">
        <v>9.4700000000000006</v>
      </c>
      <c r="R84" s="198"/>
      <c r="S84" s="198"/>
      <c r="T84" s="198"/>
      <c r="U84" s="198"/>
    </row>
    <row r="85" spans="1:26" s="12" customFormat="1" x14ac:dyDescent="0.25">
      <c r="A85" s="214" t="s">
        <v>1282</v>
      </c>
      <c r="B85" s="64">
        <v>5.24</v>
      </c>
      <c r="C85" s="64">
        <v>24.04</v>
      </c>
      <c r="D85" s="64">
        <v>37.97</v>
      </c>
      <c r="E85" s="64">
        <v>5.69</v>
      </c>
      <c r="F85" s="64">
        <v>12.12</v>
      </c>
      <c r="G85" s="64">
        <v>39.22</v>
      </c>
      <c r="H85" s="64">
        <v>12.76</v>
      </c>
      <c r="I85" s="64">
        <v>3.95</v>
      </c>
      <c r="J85" s="64">
        <v>0.98</v>
      </c>
      <c r="K85" s="64">
        <v>151.32</v>
      </c>
      <c r="L85" s="64">
        <v>31.62</v>
      </c>
      <c r="M85" s="64">
        <v>52.99</v>
      </c>
      <c r="N85" s="64">
        <v>28.4</v>
      </c>
      <c r="O85" s="64">
        <v>0</v>
      </c>
      <c r="P85" s="64">
        <v>0.4</v>
      </c>
      <c r="Q85" s="64">
        <v>9.4700000000000006</v>
      </c>
      <c r="R85" s="198"/>
      <c r="S85" s="198"/>
      <c r="T85" s="198"/>
      <c r="U85" s="198"/>
    </row>
    <row r="86" spans="1:26" s="12" customFormat="1" x14ac:dyDescent="0.25">
      <c r="A86" s="214" t="s">
        <v>1283</v>
      </c>
      <c r="B86" s="64">
        <v>5.13</v>
      </c>
      <c r="C86" s="64">
        <v>25.71</v>
      </c>
      <c r="D86" s="64">
        <v>41.34</v>
      </c>
      <c r="E86" s="64">
        <v>5.79</v>
      </c>
      <c r="F86" s="64">
        <v>12.01</v>
      </c>
      <c r="G86" s="64">
        <v>39.22</v>
      </c>
      <c r="H86" s="64">
        <v>12.76</v>
      </c>
      <c r="I86" s="64">
        <v>4.12</v>
      </c>
      <c r="J86" s="64">
        <v>1.03</v>
      </c>
      <c r="K86" s="64">
        <v>160.91</v>
      </c>
      <c r="L86" s="64">
        <v>31.66</v>
      </c>
      <c r="M86" s="64">
        <v>54.99</v>
      </c>
      <c r="N86" s="64">
        <v>28.8</v>
      </c>
      <c r="O86" s="64">
        <v>0</v>
      </c>
      <c r="P86" s="64">
        <v>0.45</v>
      </c>
      <c r="Q86" s="64">
        <v>9.4700000000000006</v>
      </c>
      <c r="R86" s="198"/>
      <c r="S86" s="198"/>
      <c r="T86" s="198"/>
      <c r="U86" s="198"/>
    </row>
    <row r="87" spans="1:26" s="12" customFormat="1" x14ac:dyDescent="0.25">
      <c r="A87" s="214" t="s">
        <v>1284</v>
      </c>
      <c r="B87" s="64">
        <v>5.1100000000000003</v>
      </c>
      <c r="C87" s="64">
        <v>23.73</v>
      </c>
      <c r="D87" s="64">
        <v>37.58</v>
      </c>
      <c r="E87" s="64">
        <v>5.7</v>
      </c>
      <c r="F87" s="64">
        <v>12.09</v>
      </c>
      <c r="G87" s="64">
        <v>39.22</v>
      </c>
      <c r="H87" s="64">
        <v>12.76</v>
      </c>
      <c r="I87" s="64">
        <v>3.92</v>
      </c>
      <c r="J87" s="64">
        <v>1.58</v>
      </c>
      <c r="K87" s="64">
        <v>149.32</v>
      </c>
      <c r="L87" s="64">
        <v>31.35</v>
      </c>
      <c r="M87" s="64">
        <v>58.54</v>
      </c>
      <c r="N87" s="64">
        <v>29.1</v>
      </c>
      <c r="O87" s="64">
        <v>0</v>
      </c>
      <c r="P87" s="64">
        <v>0.43</v>
      </c>
      <c r="Q87" s="64">
        <v>9.49</v>
      </c>
      <c r="R87" s="198"/>
      <c r="S87" s="198"/>
      <c r="T87" s="198"/>
      <c r="U87" s="198"/>
    </row>
    <row r="88" spans="1:26" s="12" customFormat="1" x14ac:dyDescent="0.25">
      <c r="A88" s="214" t="s">
        <v>1285</v>
      </c>
      <c r="B88" s="64">
        <v>4.9400000000000004</v>
      </c>
      <c r="C88" s="64">
        <v>21.97</v>
      </c>
      <c r="D88" s="64">
        <v>34.47</v>
      </c>
      <c r="E88" s="64">
        <v>6.02</v>
      </c>
      <c r="F88" s="64">
        <v>15.16</v>
      </c>
      <c r="G88" s="64">
        <v>39.33</v>
      </c>
      <c r="H88" s="64">
        <v>12.86</v>
      </c>
      <c r="I88" s="64">
        <v>4</v>
      </c>
      <c r="J88" s="64">
        <v>0.89</v>
      </c>
      <c r="K88" s="64">
        <v>159.88</v>
      </c>
      <c r="L88" s="64">
        <v>31.56</v>
      </c>
      <c r="M88" s="64">
        <v>55.34</v>
      </c>
      <c r="N88" s="64">
        <v>28.7</v>
      </c>
      <c r="O88" s="64">
        <v>0</v>
      </c>
      <c r="P88" s="64">
        <v>0.41</v>
      </c>
      <c r="Q88" s="64">
        <v>9.49</v>
      </c>
      <c r="R88" s="198"/>
      <c r="S88" s="198"/>
      <c r="T88" s="198"/>
      <c r="U88" s="198"/>
    </row>
    <row r="89" spans="1:26" s="12" customFormat="1" x14ac:dyDescent="0.25">
      <c r="A89" s="214" t="s">
        <v>1286</v>
      </c>
      <c r="B89" s="64">
        <v>5.05</v>
      </c>
      <c r="C89" s="64">
        <v>26.52</v>
      </c>
      <c r="D89" s="64">
        <v>43</v>
      </c>
      <c r="E89" s="64">
        <v>6.11</v>
      </c>
      <c r="F89" s="64">
        <v>14.96</v>
      </c>
      <c r="G89" s="64">
        <v>40.75</v>
      </c>
      <c r="H89" s="64">
        <v>14.35</v>
      </c>
      <c r="I89" s="64">
        <v>3.94</v>
      </c>
      <c r="J89" s="64">
        <v>0.63</v>
      </c>
      <c r="K89" s="64">
        <v>157.68</v>
      </c>
      <c r="L89" s="64">
        <v>31.52</v>
      </c>
      <c r="M89" s="64">
        <v>55.49</v>
      </c>
      <c r="N89" s="64">
        <v>28.8</v>
      </c>
      <c r="O89" s="64">
        <v>0</v>
      </c>
      <c r="P89" s="64">
        <v>0.39</v>
      </c>
      <c r="Q89" s="64">
        <v>9.5</v>
      </c>
      <c r="R89" s="198"/>
      <c r="S89" s="198"/>
      <c r="T89" s="198"/>
      <c r="U89" s="198"/>
    </row>
    <row r="90" spans="1:26" s="12" customFormat="1" x14ac:dyDescent="0.25">
      <c r="A90" s="214" t="s">
        <v>1287</v>
      </c>
      <c r="B90" s="64">
        <v>8.1300000000000008</v>
      </c>
      <c r="C90" s="64">
        <v>41.08</v>
      </c>
      <c r="D90" s="64">
        <v>66.150000000000006</v>
      </c>
      <c r="E90" s="64">
        <v>6.68</v>
      </c>
      <c r="F90" s="64">
        <v>12.98</v>
      </c>
      <c r="G90" s="64">
        <v>40.75</v>
      </c>
      <c r="H90" s="64">
        <v>14.35</v>
      </c>
      <c r="I90" s="64">
        <v>4.05</v>
      </c>
      <c r="J90" s="64">
        <v>0.41</v>
      </c>
      <c r="K90" s="64">
        <v>225.18</v>
      </c>
      <c r="L90" s="64">
        <v>31.78</v>
      </c>
      <c r="M90" s="64">
        <v>52.68</v>
      </c>
      <c r="N90" s="64">
        <v>28.6</v>
      </c>
      <c r="O90" s="64">
        <v>0</v>
      </c>
      <c r="P90" s="64">
        <v>0.69</v>
      </c>
      <c r="Q90" s="64">
        <v>9.51</v>
      </c>
      <c r="R90" s="198"/>
      <c r="S90" s="198"/>
      <c r="T90" s="198"/>
      <c r="U90" s="198"/>
    </row>
    <row r="91" spans="1:26" s="12" customFormat="1" x14ac:dyDescent="0.25">
      <c r="A91" s="214" t="s">
        <v>1288</v>
      </c>
      <c r="B91" s="64">
        <v>5.08</v>
      </c>
      <c r="C91" s="64">
        <v>25.3</v>
      </c>
      <c r="D91" s="64">
        <v>40.630000000000003</v>
      </c>
      <c r="E91" s="64">
        <v>6.57</v>
      </c>
      <c r="F91" s="64">
        <v>16.93</v>
      </c>
      <c r="G91" s="64">
        <v>40.75</v>
      </c>
      <c r="H91" s="64">
        <v>14.35</v>
      </c>
      <c r="I91" s="64">
        <v>4.08</v>
      </c>
      <c r="J91" s="64">
        <v>0.49</v>
      </c>
      <c r="K91" s="64">
        <v>222.61</v>
      </c>
      <c r="L91" s="64">
        <v>32.08</v>
      </c>
      <c r="M91" s="64">
        <v>49.02</v>
      </c>
      <c r="N91" s="64">
        <v>28.5</v>
      </c>
      <c r="O91" s="64">
        <v>0</v>
      </c>
      <c r="P91" s="64">
        <v>0.46</v>
      </c>
      <c r="Q91" s="64">
        <v>9.5</v>
      </c>
      <c r="R91" s="198"/>
      <c r="S91" s="198"/>
      <c r="T91" s="198"/>
      <c r="U91" s="198"/>
    </row>
    <row r="92" spans="1:26" s="12" customFormat="1" x14ac:dyDescent="0.25">
      <c r="A92" s="214" t="s">
        <v>1289</v>
      </c>
      <c r="B92" s="64">
        <v>6.46</v>
      </c>
      <c r="C92" s="64">
        <v>33.44</v>
      </c>
      <c r="D92" s="64">
        <v>54.1</v>
      </c>
      <c r="E92" s="64">
        <v>6.58</v>
      </c>
      <c r="F92" s="64">
        <v>16.21</v>
      </c>
      <c r="G92" s="64">
        <v>40.4</v>
      </c>
      <c r="H92" s="64">
        <v>14.21</v>
      </c>
      <c r="I92" s="64">
        <v>3.95</v>
      </c>
      <c r="J92" s="64">
        <v>0.51</v>
      </c>
      <c r="K92" s="64">
        <v>184.82</v>
      </c>
      <c r="L92" s="64">
        <v>31.98</v>
      </c>
      <c r="M92" s="64">
        <v>49.47</v>
      </c>
      <c r="N92" s="64">
        <v>28.6</v>
      </c>
      <c r="O92" s="64">
        <v>0</v>
      </c>
      <c r="P92" s="64">
        <v>0.37</v>
      </c>
      <c r="Q92" s="64">
        <v>9.5</v>
      </c>
      <c r="R92" s="198"/>
      <c r="S92" s="198"/>
      <c r="T92" s="198"/>
      <c r="U92" s="198"/>
    </row>
    <row r="93" spans="1:26" s="12" customFormat="1" x14ac:dyDescent="0.25">
      <c r="A93" s="214" t="s">
        <v>1290</v>
      </c>
      <c r="B93" s="64">
        <v>5.63</v>
      </c>
      <c r="C93" s="64">
        <v>33.409999999999997</v>
      </c>
      <c r="D93" s="64">
        <v>55.3</v>
      </c>
      <c r="E93" s="64">
        <v>6.85</v>
      </c>
      <c r="F93" s="64">
        <v>14.89</v>
      </c>
      <c r="G93" s="64">
        <v>35.46</v>
      </c>
      <c r="H93" s="64">
        <v>12.26</v>
      </c>
      <c r="I93" s="64">
        <v>3.79</v>
      </c>
      <c r="J93" s="64">
        <v>0.41</v>
      </c>
      <c r="K93" s="64">
        <v>187.18</v>
      </c>
      <c r="L93" s="64">
        <v>31.74</v>
      </c>
      <c r="M93" s="64">
        <v>50.42</v>
      </c>
      <c r="N93" s="64">
        <v>28.9</v>
      </c>
      <c r="O93" s="64">
        <v>0</v>
      </c>
      <c r="P93" s="64">
        <v>0.4</v>
      </c>
      <c r="Q93" s="64">
        <v>9.5</v>
      </c>
      <c r="R93" s="198"/>
      <c r="S93" s="198"/>
      <c r="T93" s="198"/>
      <c r="U93" s="198"/>
    </row>
    <row r="94" spans="1:26" s="12" customFormat="1" x14ac:dyDescent="0.25">
      <c r="A94" s="214" t="s">
        <v>1291</v>
      </c>
      <c r="B94" s="64">
        <v>5.77</v>
      </c>
      <c r="C94" s="64">
        <v>35.369999999999997</v>
      </c>
      <c r="D94" s="64">
        <v>58.84</v>
      </c>
      <c r="E94" s="64">
        <v>6.6</v>
      </c>
      <c r="F94" s="64">
        <v>14.2</v>
      </c>
      <c r="G94" s="64">
        <v>35.46</v>
      </c>
      <c r="H94" s="64">
        <v>12.26</v>
      </c>
      <c r="I94" s="64">
        <v>3.78</v>
      </c>
      <c r="J94" s="64">
        <v>0.2</v>
      </c>
      <c r="K94" s="64">
        <v>190.81</v>
      </c>
      <c r="L94" s="64">
        <v>31.45</v>
      </c>
      <c r="M94" s="64">
        <v>52.23</v>
      </c>
      <c r="N94" s="64">
        <v>28.9</v>
      </c>
      <c r="O94" s="64">
        <v>0</v>
      </c>
      <c r="P94" s="64">
        <v>0.56000000000000005</v>
      </c>
      <c r="Q94" s="64">
        <v>9.51</v>
      </c>
      <c r="R94" s="198"/>
      <c r="S94" s="198"/>
      <c r="T94" s="198"/>
      <c r="U94" s="198"/>
    </row>
    <row r="95" spans="1:26" s="12" customFormat="1" x14ac:dyDescent="0.25">
      <c r="A95" s="214" t="s">
        <v>1292</v>
      </c>
      <c r="B95" s="64">
        <v>5.47</v>
      </c>
      <c r="C95" s="64">
        <v>31.18</v>
      </c>
      <c r="D95" s="64">
        <v>51.28</v>
      </c>
      <c r="E95" s="64">
        <v>6.6</v>
      </c>
      <c r="F95" s="64">
        <v>14.86</v>
      </c>
      <c r="G95" s="64">
        <v>35.46</v>
      </c>
      <c r="H95" s="64">
        <v>12.26</v>
      </c>
      <c r="I95" s="64">
        <v>3.94</v>
      </c>
      <c r="J95" s="64">
        <v>0.35</v>
      </c>
      <c r="K95" s="64">
        <v>208.82</v>
      </c>
      <c r="L95" s="64">
        <v>31.38</v>
      </c>
      <c r="M95" s="64">
        <v>52.89</v>
      </c>
      <c r="N95" s="64">
        <v>28.7</v>
      </c>
      <c r="O95" s="64">
        <v>0</v>
      </c>
      <c r="P95" s="64">
        <v>0.41</v>
      </c>
      <c r="Q95" s="64">
        <v>9.5</v>
      </c>
      <c r="R95" s="198"/>
      <c r="S95" s="198"/>
      <c r="T95" s="198"/>
      <c r="U95" s="198"/>
    </row>
    <row r="96" spans="1:26" s="12" customFormat="1" x14ac:dyDescent="0.25">
      <c r="A96" s="214" t="s">
        <v>1293</v>
      </c>
      <c r="B96" s="64">
        <v>4.88</v>
      </c>
      <c r="C96" s="64">
        <v>29.37</v>
      </c>
      <c r="D96" s="64">
        <v>48.73</v>
      </c>
      <c r="E96" s="64">
        <v>6.71</v>
      </c>
      <c r="F96" s="64">
        <v>14.81</v>
      </c>
      <c r="G96" s="64">
        <v>35.51</v>
      </c>
      <c r="H96" s="64">
        <v>12.22</v>
      </c>
      <c r="I96" s="64">
        <v>4.08</v>
      </c>
      <c r="J96" s="64">
        <v>0.35</v>
      </c>
      <c r="K96" s="64">
        <v>179.95</v>
      </c>
      <c r="L96" s="64">
        <v>31.32</v>
      </c>
      <c r="M96" s="64">
        <v>53.73</v>
      </c>
      <c r="N96" s="64">
        <v>28.6</v>
      </c>
      <c r="O96" s="64">
        <v>0</v>
      </c>
      <c r="P96" s="64">
        <v>0.38</v>
      </c>
      <c r="Q96" s="64">
        <v>9.52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1294</v>
      </c>
      <c r="B97" s="64">
        <v>4.79</v>
      </c>
      <c r="C97" s="64">
        <v>33.049999999999997</v>
      </c>
      <c r="D97" s="64">
        <v>55.9</v>
      </c>
      <c r="E97" s="64">
        <v>6.65</v>
      </c>
      <c r="F97" s="64">
        <v>13.25</v>
      </c>
      <c r="G97" s="64">
        <v>36.32</v>
      </c>
      <c r="H97" s="64">
        <v>11.67</v>
      </c>
      <c r="I97" s="64">
        <v>4.1399999999999997</v>
      </c>
      <c r="J97" s="64">
        <v>0.42</v>
      </c>
      <c r="K97" s="64">
        <v>212.37</v>
      </c>
      <c r="L97" s="64">
        <v>31.48</v>
      </c>
      <c r="M97" s="64">
        <v>52.67</v>
      </c>
      <c r="N97" s="64">
        <v>28.4</v>
      </c>
      <c r="O97" s="64">
        <v>0</v>
      </c>
      <c r="P97" s="64">
        <v>0.41</v>
      </c>
      <c r="Q97" s="64">
        <v>9.52</v>
      </c>
      <c r="R97" s="198"/>
      <c r="S97" s="198"/>
      <c r="T97" s="198"/>
      <c r="U97" s="198"/>
    </row>
    <row r="98" spans="1:33" s="12" customFormat="1" x14ac:dyDescent="0.25">
      <c r="A98" s="214" t="s">
        <v>1295</v>
      </c>
      <c r="B98" s="64">
        <v>8.15</v>
      </c>
      <c r="C98" s="64">
        <v>31.09</v>
      </c>
      <c r="D98" s="64">
        <v>46.99</v>
      </c>
      <c r="E98" s="64">
        <v>6.98</v>
      </c>
      <c r="F98" s="64">
        <v>15.31</v>
      </c>
      <c r="G98" s="64">
        <v>36.32</v>
      </c>
      <c r="H98" s="64">
        <v>11.67</v>
      </c>
      <c r="I98" s="64">
        <v>4.08</v>
      </c>
      <c r="J98" s="64">
        <v>0.36</v>
      </c>
      <c r="K98" s="64">
        <v>227.35</v>
      </c>
      <c r="L98" s="64">
        <v>31.52</v>
      </c>
      <c r="M98" s="64">
        <v>52.28</v>
      </c>
      <c r="N98" s="64">
        <v>28.7</v>
      </c>
      <c r="O98" s="64">
        <v>0</v>
      </c>
      <c r="P98" s="64">
        <v>0.4</v>
      </c>
      <c r="Q98" s="64">
        <v>9.52</v>
      </c>
      <c r="R98" s="198"/>
      <c r="S98" s="198"/>
      <c r="T98" s="198"/>
      <c r="U98" s="198"/>
    </row>
    <row r="99" spans="1:33" s="12" customFormat="1" x14ac:dyDescent="0.25">
      <c r="A99" s="214" t="s">
        <v>1296</v>
      </c>
      <c r="B99" s="64">
        <v>5.09</v>
      </c>
      <c r="C99" s="64">
        <v>26.28</v>
      </c>
      <c r="D99" s="64">
        <v>42.48</v>
      </c>
      <c r="E99" s="64">
        <v>6.55</v>
      </c>
      <c r="F99" s="64">
        <v>14.98</v>
      </c>
      <c r="G99" s="64">
        <v>36.32</v>
      </c>
      <c r="H99" s="64">
        <v>11.67</v>
      </c>
      <c r="I99" s="64">
        <v>4.08</v>
      </c>
      <c r="J99" s="64">
        <v>0.32</v>
      </c>
      <c r="K99" s="64">
        <v>185.98</v>
      </c>
      <c r="L99" s="64">
        <v>31.46</v>
      </c>
      <c r="M99" s="64">
        <v>52.5</v>
      </c>
      <c r="N99" s="64">
        <v>28.5</v>
      </c>
      <c r="O99" s="64">
        <v>0</v>
      </c>
      <c r="P99" s="64">
        <v>0.38</v>
      </c>
      <c r="Q99" s="64">
        <v>9.5299999999999994</v>
      </c>
      <c r="R99" s="198"/>
      <c r="S99" s="198"/>
      <c r="T99" s="198"/>
      <c r="U99" s="198"/>
    </row>
    <row r="100" spans="1:33" s="12" customFormat="1" x14ac:dyDescent="0.25">
      <c r="A100" s="214" t="s">
        <v>1297</v>
      </c>
      <c r="B100" s="64">
        <v>4.91</v>
      </c>
      <c r="C100" s="64">
        <v>28.67</v>
      </c>
      <c r="D100" s="64">
        <v>47.34</v>
      </c>
      <c r="E100" s="64">
        <v>6.85</v>
      </c>
      <c r="F100" s="64">
        <v>14.03</v>
      </c>
      <c r="G100" s="64">
        <v>36.31</v>
      </c>
      <c r="H100" s="64">
        <v>11.7</v>
      </c>
      <c r="I100" s="64">
        <v>4.1500000000000004</v>
      </c>
      <c r="J100" s="64">
        <v>0.35</v>
      </c>
      <c r="K100" s="64">
        <v>197.81</v>
      </c>
      <c r="L100" s="64">
        <v>31.39</v>
      </c>
      <c r="M100" s="64">
        <v>52.35</v>
      </c>
      <c r="N100" s="64">
        <v>28.7</v>
      </c>
      <c r="O100" s="64">
        <v>0</v>
      </c>
      <c r="P100" s="64">
        <v>0.38</v>
      </c>
      <c r="Q100" s="64">
        <v>9.5500000000000007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1298</v>
      </c>
      <c r="B101" s="64">
        <v>4.09</v>
      </c>
      <c r="C101" s="64">
        <v>24.26</v>
      </c>
      <c r="D101" s="64">
        <v>40.15</v>
      </c>
      <c r="E101" s="64">
        <v>7.05</v>
      </c>
      <c r="F101" s="64">
        <v>16.010000000000002</v>
      </c>
      <c r="G101" s="64">
        <v>36.06</v>
      </c>
      <c r="H101" s="64">
        <v>12.04</v>
      </c>
      <c r="I101" s="64">
        <v>3.87</v>
      </c>
      <c r="J101" s="64">
        <v>0.33</v>
      </c>
      <c r="K101" s="64">
        <v>208.35</v>
      </c>
      <c r="L101" s="64">
        <v>31.47</v>
      </c>
      <c r="M101" s="64">
        <v>51.82</v>
      </c>
      <c r="N101" s="64">
        <v>28.6</v>
      </c>
      <c r="O101" s="64">
        <v>0</v>
      </c>
      <c r="P101" s="64">
        <v>0.37</v>
      </c>
      <c r="Q101" s="64">
        <v>9.5500000000000007</v>
      </c>
      <c r="R101" s="198"/>
      <c r="S101" s="198"/>
      <c r="T101" s="198"/>
      <c r="U101" s="198"/>
    </row>
    <row r="102" spans="1:33" s="12" customFormat="1" x14ac:dyDescent="0.25">
      <c r="A102" s="214" t="s">
        <v>1299</v>
      </c>
      <c r="B102" s="64">
        <v>4.16</v>
      </c>
      <c r="C102" s="64">
        <v>28.88</v>
      </c>
      <c r="D102" s="64">
        <v>48.89</v>
      </c>
      <c r="E102" s="64">
        <v>6.6</v>
      </c>
      <c r="F102" s="64">
        <v>13.91</v>
      </c>
      <c r="G102" s="64">
        <v>36.06</v>
      </c>
      <c r="H102" s="64">
        <v>12.04</v>
      </c>
      <c r="I102" s="64">
        <v>4.12</v>
      </c>
      <c r="J102" s="64">
        <v>0.35</v>
      </c>
      <c r="K102" s="64">
        <v>196.79</v>
      </c>
      <c r="L102" s="64">
        <v>31.45</v>
      </c>
      <c r="M102" s="64">
        <v>51.42</v>
      </c>
      <c r="N102" s="64">
        <v>28.4</v>
      </c>
      <c r="O102" s="64">
        <v>0</v>
      </c>
      <c r="P102" s="64">
        <v>0.4</v>
      </c>
      <c r="Q102" s="64">
        <v>9.5399999999999991</v>
      </c>
      <c r="R102" s="198"/>
      <c r="S102" s="198"/>
      <c r="T102" s="198"/>
      <c r="U102" s="198"/>
    </row>
    <row r="103" spans="1:33" s="12" customFormat="1" x14ac:dyDescent="0.25">
      <c r="A103" s="214" t="s">
        <v>1300</v>
      </c>
      <c r="B103" s="64">
        <v>4.3499999999999996</v>
      </c>
      <c r="C103" s="64">
        <v>28.24</v>
      </c>
      <c r="D103" s="64">
        <v>47.39</v>
      </c>
      <c r="E103" s="64">
        <v>6.69</v>
      </c>
      <c r="F103" s="64">
        <v>14.29</v>
      </c>
      <c r="G103" s="64">
        <v>36.06</v>
      </c>
      <c r="H103" s="64">
        <v>12.04</v>
      </c>
      <c r="I103" s="64">
        <v>4.0999999999999996</v>
      </c>
      <c r="J103" s="64">
        <v>0.34</v>
      </c>
      <c r="K103" s="64">
        <v>224.22</v>
      </c>
      <c r="L103" s="64">
        <v>31.49</v>
      </c>
      <c r="M103" s="64">
        <v>51.1</v>
      </c>
      <c r="N103" s="64">
        <v>28.8</v>
      </c>
      <c r="O103" s="64">
        <v>0</v>
      </c>
      <c r="P103" s="64">
        <v>0.37</v>
      </c>
      <c r="Q103" s="64">
        <v>9.57</v>
      </c>
      <c r="R103" s="198"/>
      <c r="S103" s="198"/>
      <c r="T103" s="198"/>
      <c r="U103" s="198"/>
    </row>
    <row r="104" spans="1:33" s="12" customFormat="1" x14ac:dyDescent="0.25">
      <c r="A104" s="214" t="s">
        <v>1301</v>
      </c>
      <c r="B104" s="64">
        <v>4.38</v>
      </c>
      <c r="C104" s="64">
        <v>25.27</v>
      </c>
      <c r="D104" s="64">
        <v>41.64</v>
      </c>
      <c r="E104" s="64">
        <v>6.19</v>
      </c>
      <c r="F104" s="64">
        <v>15.02</v>
      </c>
      <c r="G104" s="64">
        <v>35.86</v>
      </c>
      <c r="H104" s="64">
        <v>12.06</v>
      </c>
      <c r="I104" s="64">
        <v>4.01</v>
      </c>
      <c r="J104" s="64">
        <v>0.33</v>
      </c>
      <c r="K104" s="64">
        <v>216.57</v>
      </c>
      <c r="L104" s="64">
        <v>31.54</v>
      </c>
      <c r="M104" s="64">
        <v>49.69</v>
      </c>
      <c r="N104" s="64">
        <v>28.6</v>
      </c>
      <c r="O104" s="64">
        <v>0</v>
      </c>
      <c r="P104" s="64">
        <v>0.33</v>
      </c>
      <c r="Q104" s="64">
        <v>9.57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4.09</v>
      </c>
      <c r="C106" s="67">
        <f>MIN(C9:C104)</f>
        <v>19.149999999999999</v>
      </c>
      <c r="D106" s="67">
        <f t="shared" ref="D106:Q106" si="0">MIN(D9:D104)</f>
        <v>28.17</v>
      </c>
      <c r="E106" s="67">
        <f t="shared" si="0"/>
        <v>5.15</v>
      </c>
      <c r="F106" s="67">
        <f t="shared" si="0"/>
        <v>1.24</v>
      </c>
      <c r="G106" s="67">
        <f t="shared" si="0"/>
        <v>33.33</v>
      </c>
      <c r="H106" s="67">
        <f t="shared" si="0"/>
        <v>11.67</v>
      </c>
      <c r="I106" s="67">
        <f t="shared" si="0"/>
        <v>3.78</v>
      </c>
      <c r="J106" s="67">
        <f t="shared" si="0"/>
        <v>0.09</v>
      </c>
      <c r="K106" s="67">
        <f t="shared" si="0"/>
        <v>95.74</v>
      </c>
      <c r="L106" s="67">
        <f t="shared" si="0"/>
        <v>31.02</v>
      </c>
      <c r="M106" s="67">
        <f t="shared" si="0"/>
        <v>25.97</v>
      </c>
      <c r="N106" s="67">
        <f t="shared" si="0"/>
        <v>28.4</v>
      </c>
      <c r="O106" s="67">
        <f t="shared" si="0"/>
        <v>0</v>
      </c>
      <c r="P106" s="67">
        <f t="shared" si="0"/>
        <v>0.25</v>
      </c>
      <c r="Q106" s="67">
        <f t="shared" si="0"/>
        <v>9.4700000000000006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22.25</v>
      </c>
      <c r="C107" s="66">
        <f t="shared" ref="C107:Q107" si="1">MAX(C9:C104)</f>
        <v>60.74</v>
      </c>
      <c r="D107" s="66">
        <f t="shared" si="1"/>
        <v>87.88</v>
      </c>
      <c r="E107" s="66">
        <f t="shared" si="1"/>
        <v>47.52</v>
      </c>
      <c r="F107" s="66">
        <f t="shared" si="1"/>
        <v>29.82</v>
      </c>
      <c r="G107" s="66">
        <f t="shared" si="1"/>
        <v>80.459999999999994</v>
      </c>
      <c r="H107" s="66">
        <f t="shared" si="1"/>
        <v>23.44</v>
      </c>
      <c r="I107" s="66">
        <f t="shared" si="1"/>
        <v>4.32</v>
      </c>
      <c r="J107" s="66">
        <f t="shared" si="1"/>
        <v>2.68</v>
      </c>
      <c r="K107" s="66">
        <f t="shared" si="1"/>
        <v>301.69</v>
      </c>
      <c r="L107" s="66">
        <f t="shared" si="1"/>
        <v>44.81</v>
      </c>
      <c r="M107" s="66">
        <f t="shared" si="1"/>
        <v>61.72</v>
      </c>
      <c r="N107" s="66">
        <f t="shared" si="1"/>
        <v>878.7</v>
      </c>
      <c r="O107" s="66">
        <f t="shared" si="1"/>
        <v>0</v>
      </c>
      <c r="P107" s="66">
        <f t="shared" si="1"/>
        <v>0.83</v>
      </c>
      <c r="Q107" s="66">
        <f t="shared" si="1"/>
        <v>9.67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8.6265625000000004</v>
      </c>
      <c r="C108" s="67">
        <f t="shared" ref="C108:Q108" si="2">AVERAGE(C9:C104)</f>
        <v>31.489270833333336</v>
      </c>
      <c r="D108" s="67">
        <f t="shared" si="2"/>
        <v>47.026354166666664</v>
      </c>
      <c r="E108" s="67">
        <f t="shared" si="2"/>
        <v>10.487812500000002</v>
      </c>
      <c r="F108" s="67">
        <f t="shared" si="2"/>
        <v>11.772916666666667</v>
      </c>
      <c r="G108" s="67">
        <f t="shared" si="2"/>
        <v>48.314999999999976</v>
      </c>
      <c r="H108" s="67">
        <f t="shared" si="2"/>
        <v>17.133541666666662</v>
      </c>
      <c r="I108" s="67">
        <f t="shared" si="2"/>
        <v>4.010416666666667</v>
      </c>
      <c r="J108" s="67">
        <f t="shared" si="2"/>
        <v>0.60520833333333346</v>
      </c>
      <c r="K108" s="67">
        <f t="shared" si="2"/>
        <v>215.27291666666679</v>
      </c>
      <c r="L108" s="67">
        <f t="shared" si="2"/>
        <v>35.80833333333333</v>
      </c>
      <c r="M108" s="67">
        <f t="shared" si="2"/>
        <v>44.473020833333329</v>
      </c>
      <c r="N108" s="67">
        <f t="shared" si="2"/>
        <v>240.03020833333323</v>
      </c>
      <c r="O108" s="67">
        <f t="shared" si="2"/>
        <v>0</v>
      </c>
      <c r="P108" s="67">
        <f t="shared" si="2"/>
        <v>0.51791666666666669</v>
      </c>
      <c r="Q108" s="67">
        <f t="shared" si="2"/>
        <v>9.561874999999997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3.8750605640428368</v>
      </c>
      <c r="C109" s="67">
        <f t="shared" ref="C109:Q109" si="3">STDEV(C9:C104)</f>
        <v>7.5202932816258308</v>
      </c>
      <c r="D109" s="67">
        <f t="shared" si="3"/>
        <v>10.751134297051886</v>
      </c>
      <c r="E109" s="67">
        <f t="shared" si="3"/>
        <v>8.2119986929428315</v>
      </c>
      <c r="F109" s="67">
        <f t="shared" si="3"/>
        <v>7.1733575661561577</v>
      </c>
      <c r="G109" s="67">
        <f t="shared" si="3"/>
        <v>13.18377687279256</v>
      </c>
      <c r="H109" s="67">
        <f t="shared" si="3"/>
        <v>3.2009153227645291</v>
      </c>
      <c r="I109" s="67">
        <f t="shared" si="3"/>
        <v>0.10113999330439979</v>
      </c>
      <c r="J109" s="67">
        <f t="shared" si="3"/>
        <v>0.41974172300962365</v>
      </c>
      <c r="K109" s="67">
        <f t="shared" si="3"/>
        <v>44.60633712157351</v>
      </c>
      <c r="L109" s="67">
        <f t="shared" si="3"/>
        <v>4.7442771434682589</v>
      </c>
      <c r="M109" s="67">
        <f t="shared" si="3"/>
        <v>12.601328761998957</v>
      </c>
      <c r="N109" s="67">
        <f t="shared" si="3"/>
        <v>286.98431870594283</v>
      </c>
      <c r="O109" s="67">
        <f t="shared" si="3"/>
        <v>0</v>
      </c>
      <c r="P109" s="67">
        <f t="shared" si="3"/>
        <v>0.13576230518362575</v>
      </c>
      <c r="Q109" s="67">
        <f t="shared" si="3"/>
        <v>5.448925533872178E-2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1302</v>
      </c>
      <c r="B9" s="64">
        <v>4.12</v>
      </c>
      <c r="C9" s="64">
        <v>22</v>
      </c>
      <c r="D9" s="64">
        <v>35.78</v>
      </c>
      <c r="E9" s="64">
        <v>6.49</v>
      </c>
      <c r="F9" s="64">
        <v>16.07</v>
      </c>
      <c r="G9" s="64">
        <v>33.1</v>
      </c>
      <c r="H9" s="64">
        <v>12.3</v>
      </c>
      <c r="I9" s="64">
        <v>4.09</v>
      </c>
      <c r="J9" s="64">
        <v>0.43</v>
      </c>
      <c r="K9" s="64">
        <v>218.77</v>
      </c>
      <c r="L9" s="64">
        <v>31.65</v>
      </c>
      <c r="M9" s="64">
        <v>48.25</v>
      </c>
      <c r="N9" s="64">
        <v>28.7</v>
      </c>
      <c r="O9" s="64">
        <v>0</v>
      </c>
      <c r="P9" s="64">
        <v>0.31</v>
      </c>
      <c r="Q9" s="64">
        <v>9.56</v>
      </c>
      <c r="R9" s="198"/>
      <c r="S9" s="198"/>
      <c r="T9" s="198"/>
      <c r="U9" s="198"/>
    </row>
    <row r="10" spans="1:21" s="12" customFormat="1" x14ac:dyDescent="0.25">
      <c r="A10" s="214" t="s">
        <v>1303</v>
      </c>
      <c r="B10" s="64">
        <v>3.88</v>
      </c>
      <c r="C10" s="64">
        <v>19.63</v>
      </c>
      <c r="D10" s="64">
        <v>31.61</v>
      </c>
      <c r="E10" s="64">
        <v>6.47</v>
      </c>
      <c r="F10" s="64">
        <v>16.7</v>
      </c>
      <c r="G10" s="64">
        <v>33.1</v>
      </c>
      <c r="H10" s="64">
        <v>12.3</v>
      </c>
      <c r="I10" s="64">
        <v>3.95</v>
      </c>
      <c r="J10" s="64">
        <v>0.38</v>
      </c>
      <c r="K10" s="64">
        <v>221.08</v>
      </c>
      <c r="L10" s="64">
        <v>31.73</v>
      </c>
      <c r="M10" s="64">
        <v>48.84</v>
      </c>
      <c r="N10" s="64">
        <v>28.9</v>
      </c>
      <c r="O10" s="64">
        <v>0</v>
      </c>
      <c r="P10" s="64">
        <v>0.28000000000000003</v>
      </c>
      <c r="Q10" s="64">
        <v>9.58</v>
      </c>
      <c r="R10" s="198"/>
      <c r="S10" s="198"/>
      <c r="T10" s="198"/>
      <c r="U10" s="198"/>
    </row>
    <row r="11" spans="1:21" s="12" customFormat="1" x14ac:dyDescent="0.25">
      <c r="A11" s="214" t="s">
        <v>1304</v>
      </c>
      <c r="B11" s="64">
        <v>4</v>
      </c>
      <c r="C11" s="64">
        <v>20.45</v>
      </c>
      <c r="D11" s="64">
        <v>32.99</v>
      </c>
      <c r="E11" s="64">
        <v>6.18</v>
      </c>
      <c r="F11" s="64">
        <v>16.16</v>
      </c>
      <c r="G11" s="64">
        <v>33.1</v>
      </c>
      <c r="H11" s="64">
        <v>12.3</v>
      </c>
      <c r="I11" s="64">
        <v>4.0599999999999996</v>
      </c>
      <c r="J11" s="64">
        <v>0.4</v>
      </c>
      <c r="K11" s="64">
        <v>191.39</v>
      </c>
      <c r="L11" s="64">
        <v>31.5</v>
      </c>
      <c r="M11" s="64">
        <v>50.63</v>
      </c>
      <c r="N11" s="64">
        <v>29</v>
      </c>
      <c r="O11" s="64">
        <v>0</v>
      </c>
      <c r="P11" s="64">
        <v>0.28000000000000003</v>
      </c>
      <c r="Q11" s="64">
        <v>9.57</v>
      </c>
      <c r="R11" s="198"/>
      <c r="S11" s="198"/>
      <c r="T11" s="198"/>
      <c r="U11" s="198"/>
    </row>
    <row r="12" spans="1:21" s="12" customFormat="1" x14ac:dyDescent="0.25">
      <c r="A12" s="214" t="s">
        <v>1305</v>
      </c>
      <c r="B12" s="64">
        <v>4.45</v>
      </c>
      <c r="C12" s="64">
        <v>24.87</v>
      </c>
      <c r="D12" s="64">
        <v>40.78</v>
      </c>
      <c r="E12" s="64">
        <v>6.19</v>
      </c>
      <c r="F12" s="64">
        <v>13.16</v>
      </c>
      <c r="G12" s="64">
        <v>33.21</v>
      </c>
      <c r="H12" s="64">
        <v>12.25</v>
      </c>
      <c r="I12" s="64">
        <v>4.0599999999999996</v>
      </c>
      <c r="J12" s="64">
        <v>0.41</v>
      </c>
      <c r="K12" s="64">
        <v>187.48</v>
      </c>
      <c r="L12" s="64">
        <v>31.12</v>
      </c>
      <c r="M12" s="64">
        <v>52.14</v>
      </c>
      <c r="N12" s="64">
        <v>29.1</v>
      </c>
      <c r="O12" s="64">
        <v>0</v>
      </c>
      <c r="P12" s="64">
        <v>0.31</v>
      </c>
      <c r="Q12" s="64">
        <v>9.5500000000000007</v>
      </c>
      <c r="R12" s="198"/>
      <c r="S12" s="198"/>
      <c r="T12" s="198"/>
      <c r="U12" s="198"/>
    </row>
    <row r="13" spans="1:21" s="12" customFormat="1" x14ac:dyDescent="0.25">
      <c r="A13" s="214" t="s">
        <v>1306</v>
      </c>
      <c r="B13" s="64">
        <v>4.08</v>
      </c>
      <c r="C13" s="64">
        <v>21.64</v>
      </c>
      <c r="D13" s="64">
        <v>35.15</v>
      </c>
      <c r="E13" s="64">
        <v>5.89</v>
      </c>
      <c r="F13" s="64">
        <v>14.76</v>
      </c>
      <c r="G13" s="64">
        <v>34.76</v>
      </c>
      <c r="H13" s="64">
        <v>11.58</v>
      </c>
      <c r="I13" s="64">
        <v>4.0999999999999996</v>
      </c>
      <c r="J13" s="64">
        <v>0.45</v>
      </c>
      <c r="K13" s="64">
        <v>197.18</v>
      </c>
      <c r="L13" s="64">
        <v>30.84</v>
      </c>
      <c r="M13" s="64">
        <v>53.21</v>
      </c>
      <c r="N13" s="64">
        <v>29</v>
      </c>
      <c r="O13" s="64">
        <v>0</v>
      </c>
      <c r="P13" s="64">
        <v>0.31</v>
      </c>
      <c r="Q13" s="64">
        <v>9.56</v>
      </c>
      <c r="R13" s="198"/>
      <c r="S13" s="198"/>
      <c r="T13" s="198"/>
      <c r="U13" s="198"/>
    </row>
    <row r="14" spans="1:21" s="12" customFormat="1" x14ac:dyDescent="0.25">
      <c r="A14" s="214" t="s">
        <v>1307</v>
      </c>
      <c r="B14" s="64">
        <v>3.77</v>
      </c>
      <c r="C14" s="64">
        <v>17.96</v>
      </c>
      <c r="D14" s="64">
        <v>28.58</v>
      </c>
      <c r="E14" s="64">
        <v>5.95</v>
      </c>
      <c r="F14" s="64">
        <v>16.05</v>
      </c>
      <c r="G14" s="64">
        <v>34.76</v>
      </c>
      <c r="H14" s="64">
        <v>11.58</v>
      </c>
      <c r="I14" s="64">
        <v>4.0199999999999996</v>
      </c>
      <c r="J14" s="64">
        <v>0.36</v>
      </c>
      <c r="K14" s="64">
        <v>167.85</v>
      </c>
      <c r="L14" s="64">
        <v>30.53</v>
      </c>
      <c r="M14" s="64">
        <v>55.21</v>
      </c>
      <c r="N14" s="64">
        <v>29</v>
      </c>
      <c r="O14" s="64">
        <v>0</v>
      </c>
      <c r="P14" s="64">
        <v>0.31</v>
      </c>
      <c r="Q14" s="64">
        <v>9.56</v>
      </c>
      <c r="R14" s="198"/>
      <c r="S14" s="198"/>
      <c r="T14" s="198"/>
      <c r="U14" s="198"/>
    </row>
    <row r="15" spans="1:21" s="12" customFormat="1" x14ac:dyDescent="0.25">
      <c r="A15" s="214" t="s">
        <v>1308</v>
      </c>
      <c r="B15" s="64">
        <v>3.73</v>
      </c>
      <c r="C15" s="64">
        <v>16.100000000000001</v>
      </c>
      <c r="D15" s="64">
        <v>25.09</v>
      </c>
      <c r="E15" s="64">
        <v>5.76</v>
      </c>
      <c r="F15" s="64">
        <v>15.56</v>
      </c>
      <c r="G15" s="64">
        <v>34.76</v>
      </c>
      <c r="H15" s="64">
        <v>11.58</v>
      </c>
      <c r="I15" s="64">
        <v>4.1100000000000003</v>
      </c>
      <c r="J15" s="64">
        <v>0.37</v>
      </c>
      <c r="K15" s="64">
        <v>192.94</v>
      </c>
      <c r="L15" s="64">
        <v>30.37</v>
      </c>
      <c r="M15" s="64">
        <v>56.15</v>
      </c>
      <c r="N15" s="64">
        <v>28.8</v>
      </c>
      <c r="O15" s="64">
        <v>0</v>
      </c>
      <c r="P15" s="64">
        <v>0.33</v>
      </c>
      <c r="Q15" s="64">
        <v>9.5299999999999994</v>
      </c>
      <c r="R15" s="198"/>
      <c r="S15" s="198"/>
      <c r="T15" s="198"/>
      <c r="U15" s="198"/>
    </row>
    <row r="16" spans="1:21" s="12" customFormat="1" x14ac:dyDescent="0.25">
      <c r="A16" s="214" t="s">
        <v>1309</v>
      </c>
      <c r="B16" s="64">
        <v>3.78</v>
      </c>
      <c r="C16" s="64">
        <v>16.559999999999999</v>
      </c>
      <c r="D16" s="64">
        <v>25.9</v>
      </c>
      <c r="E16" s="64">
        <v>5.74</v>
      </c>
      <c r="F16" s="64">
        <v>15.03</v>
      </c>
      <c r="G16" s="64">
        <v>34.26</v>
      </c>
      <c r="H16" s="64">
        <v>11.5</v>
      </c>
      <c r="I16" s="64">
        <v>3.95</v>
      </c>
      <c r="J16" s="64">
        <v>0.39</v>
      </c>
      <c r="K16" s="64">
        <v>219.78</v>
      </c>
      <c r="L16" s="64">
        <v>30.23</v>
      </c>
      <c r="M16" s="64">
        <v>56.81</v>
      </c>
      <c r="N16" s="64">
        <v>28.9</v>
      </c>
      <c r="O16" s="64">
        <v>0</v>
      </c>
      <c r="P16" s="64">
        <v>0.37</v>
      </c>
      <c r="Q16" s="64">
        <v>9.52</v>
      </c>
      <c r="R16" s="198"/>
      <c r="S16" s="198"/>
      <c r="T16" s="198"/>
      <c r="U16" s="198"/>
    </row>
    <row r="17" spans="1:21" s="12" customFormat="1" x14ac:dyDescent="0.25">
      <c r="A17" s="214" t="s">
        <v>1310</v>
      </c>
      <c r="B17" s="64">
        <v>5.13</v>
      </c>
      <c r="C17" s="64">
        <v>23.9</v>
      </c>
      <c r="D17" s="64">
        <v>37.880000000000003</v>
      </c>
      <c r="E17" s="64">
        <v>6</v>
      </c>
      <c r="F17" s="64">
        <v>13.18</v>
      </c>
      <c r="G17" s="64">
        <v>27.33</v>
      </c>
      <c r="H17" s="64">
        <v>10.4</v>
      </c>
      <c r="I17" s="64">
        <v>4.0199999999999996</v>
      </c>
      <c r="J17" s="64">
        <v>0.41</v>
      </c>
      <c r="K17" s="64">
        <v>195.45</v>
      </c>
      <c r="L17" s="64">
        <v>30.17</v>
      </c>
      <c r="M17" s="64">
        <v>57.15</v>
      </c>
      <c r="N17" s="64">
        <v>28.7</v>
      </c>
      <c r="O17" s="64">
        <v>0</v>
      </c>
      <c r="P17" s="64">
        <v>0.37</v>
      </c>
      <c r="Q17" s="64">
        <v>9.51</v>
      </c>
      <c r="R17" s="198"/>
      <c r="S17" s="198"/>
      <c r="T17" s="198"/>
      <c r="U17" s="198"/>
    </row>
    <row r="18" spans="1:21" s="12" customFormat="1" x14ac:dyDescent="0.25">
      <c r="A18" s="214" t="s">
        <v>1311</v>
      </c>
      <c r="B18" s="64">
        <v>4.3899999999999997</v>
      </c>
      <c r="C18" s="64">
        <v>21.49</v>
      </c>
      <c r="D18" s="64">
        <v>34.380000000000003</v>
      </c>
      <c r="E18" s="64">
        <v>6.26</v>
      </c>
      <c r="F18" s="64">
        <v>13.38</v>
      </c>
      <c r="G18" s="64">
        <v>27.33</v>
      </c>
      <c r="H18" s="64">
        <v>10.4</v>
      </c>
      <c r="I18" s="64">
        <v>3.9</v>
      </c>
      <c r="J18" s="64">
        <v>0.3</v>
      </c>
      <c r="K18" s="64">
        <v>185.28</v>
      </c>
      <c r="L18" s="64">
        <v>30.11</v>
      </c>
      <c r="M18" s="64">
        <v>57.49</v>
      </c>
      <c r="N18" s="64">
        <v>28.7</v>
      </c>
      <c r="O18" s="64">
        <v>0</v>
      </c>
      <c r="P18" s="64">
        <v>0.33</v>
      </c>
      <c r="Q18" s="64">
        <v>9.51</v>
      </c>
      <c r="R18" s="198"/>
      <c r="S18" s="198"/>
      <c r="T18" s="198"/>
      <c r="U18" s="198"/>
    </row>
    <row r="19" spans="1:21" s="12" customFormat="1" x14ac:dyDescent="0.25">
      <c r="A19" s="214" t="s">
        <v>1312</v>
      </c>
      <c r="B19" s="64">
        <v>3.89</v>
      </c>
      <c r="C19" s="64">
        <v>17.73</v>
      </c>
      <c r="D19" s="64">
        <v>27.98</v>
      </c>
      <c r="E19" s="64">
        <v>5.82</v>
      </c>
      <c r="F19" s="64">
        <v>13.59</v>
      </c>
      <c r="G19" s="64">
        <v>27.33</v>
      </c>
      <c r="H19" s="64">
        <v>10.4</v>
      </c>
      <c r="I19" s="64">
        <v>4.1900000000000004</v>
      </c>
      <c r="J19" s="64">
        <v>0.35</v>
      </c>
      <c r="K19" s="64">
        <v>230.08</v>
      </c>
      <c r="L19" s="64">
        <v>30.03</v>
      </c>
      <c r="M19" s="64">
        <v>57.71</v>
      </c>
      <c r="N19" s="64">
        <v>28.8</v>
      </c>
      <c r="O19" s="64">
        <v>0</v>
      </c>
      <c r="P19" s="64">
        <v>0.34</v>
      </c>
      <c r="Q19" s="64">
        <v>9.51</v>
      </c>
      <c r="R19" s="198"/>
      <c r="S19" s="198"/>
      <c r="T19" s="198"/>
      <c r="U19" s="198"/>
    </row>
    <row r="20" spans="1:21" s="12" customFormat="1" x14ac:dyDescent="0.25">
      <c r="A20" s="214" t="s">
        <v>1313</v>
      </c>
      <c r="B20" s="64">
        <v>3.6</v>
      </c>
      <c r="C20" s="64">
        <v>16.47</v>
      </c>
      <c r="D20" s="64">
        <v>26</v>
      </c>
      <c r="E20" s="64">
        <v>5.75</v>
      </c>
      <c r="F20" s="64">
        <v>13.61</v>
      </c>
      <c r="G20" s="64">
        <v>27.43</v>
      </c>
      <c r="H20" s="64">
        <v>10.36</v>
      </c>
      <c r="I20" s="64">
        <v>4.18</v>
      </c>
      <c r="J20" s="64">
        <v>0.36</v>
      </c>
      <c r="K20" s="64">
        <v>202.42</v>
      </c>
      <c r="L20" s="64">
        <v>29.91</v>
      </c>
      <c r="M20" s="64">
        <v>58.9</v>
      </c>
      <c r="N20" s="64">
        <v>28.7</v>
      </c>
      <c r="O20" s="64">
        <v>0</v>
      </c>
      <c r="P20" s="64">
        <v>0.33</v>
      </c>
      <c r="Q20" s="64">
        <v>9.5</v>
      </c>
      <c r="R20" s="198"/>
      <c r="S20" s="198"/>
      <c r="T20" s="198"/>
      <c r="U20" s="198"/>
    </row>
    <row r="21" spans="1:21" s="12" customFormat="1" x14ac:dyDescent="0.25">
      <c r="A21" s="214" t="s">
        <v>1314</v>
      </c>
      <c r="B21" s="64">
        <v>3.88</v>
      </c>
      <c r="C21" s="64">
        <v>16.75</v>
      </c>
      <c r="D21" s="64">
        <v>26.11</v>
      </c>
      <c r="E21" s="64">
        <v>5.61</v>
      </c>
      <c r="F21" s="64">
        <v>10.69</v>
      </c>
      <c r="G21" s="64">
        <v>28.8</v>
      </c>
      <c r="H21" s="64">
        <v>9.8699999999999992</v>
      </c>
      <c r="I21" s="64">
        <v>3.98</v>
      </c>
      <c r="J21" s="64">
        <v>0.35</v>
      </c>
      <c r="K21" s="64">
        <v>195.2</v>
      </c>
      <c r="L21" s="64">
        <v>29.7</v>
      </c>
      <c r="M21" s="64">
        <v>60.54</v>
      </c>
      <c r="N21" s="64">
        <v>28.8</v>
      </c>
      <c r="O21" s="64">
        <v>0</v>
      </c>
      <c r="P21" s="64">
        <v>0.36</v>
      </c>
      <c r="Q21" s="64">
        <v>9.51</v>
      </c>
      <c r="R21" s="198"/>
      <c r="S21" s="198"/>
      <c r="T21" s="198"/>
      <c r="U21" s="198"/>
    </row>
    <row r="22" spans="1:21" s="12" customFormat="1" x14ac:dyDescent="0.25">
      <c r="A22" s="214" t="s">
        <v>1315</v>
      </c>
      <c r="B22" s="64">
        <v>3.8</v>
      </c>
      <c r="C22" s="64">
        <v>17.440000000000001</v>
      </c>
      <c r="D22" s="64">
        <v>27.55</v>
      </c>
      <c r="E22" s="64">
        <v>5.67</v>
      </c>
      <c r="F22" s="64">
        <v>11.62</v>
      </c>
      <c r="G22" s="64">
        <v>28.8</v>
      </c>
      <c r="H22" s="64">
        <v>9.8699999999999992</v>
      </c>
      <c r="I22" s="64">
        <v>3.97</v>
      </c>
      <c r="J22" s="64">
        <v>0.41</v>
      </c>
      <c r="K22" s="64">
        <v>214.5</v>
      </c>
      <c r="L22" s="64">
        <v>29.53</v>
      </c>
      <c r="M22" s="64">
        <v>61.47</v>
      </c>
      <c r="N22" s="64">
        <v>28.8</v>
      </c>
      <c r="O22" s="64">
        <v>0</v>
      </c>
      <c r="P22" s="64">
        <v>0.34</v>
      </c>
      <c r="Q22" s="64">
        <v>9.51</v>
      </c>
      <c r="R22" s="198"/>
      <c r="S22" s="198"/>
      <c r="T22" s="198"/>
      <c r="U22" s="198"/>
    </row>
    <row r="23" spans="1:21" s="12" customFormat="1" x14ac:dyDescent="0.25">
      <c r="A23" s="214" t="s">
        <v>1316</v>
      </c>
      <c r="B23" s="64">
        <v>3.74</v>
      </c>
      <c r="C23" s="64">
        <v>18.579999999999998</v>
      </c>
      <c r="D23" s="64">
        <v>29.82</v>
      </c>
      <c r="E23" s="64">
        <v>5.61</v>
      </c>
      <c r="F23" s="64">
        <v>10.72</v>
      </c>
      <c r="G23" s="64">
        <v>28.8</v>
      </c>
      <c r="H23" s="64">
        <v>9.8699999999999992</v>
      </c>
      <c r="I23" s="64">
        <v>4.05</v>
      </c>
      <c r="J23" s="64">
        <v>0.38</v>
      </c>
      <c r="K23" s="64">
        <v>171.12</v>
      </c>
      <c r="L23" s="64">
        <v>29.45</v>
      </c>
      <c r="M23" s="64">
        <v>62.93</v>
      </c>
      <c r="N23" s="64">
        <v>28.7</v>
      </c>
      <c r="O23" s="64">
        <v>0</v>
      </c>
      <c r="P23" s="64">
        <v>0.36</v>
      </c>
      <c r="Q23" s="64">
        <v>9.52</v>
      </c>
      <c r="R23" s="198"/>
      <c r="S23" s="198"/>
      <c r="T23" s="198"/>
      <c r="U23" s="198"/>
    </row>
    <row r="24" spans="1:21" s="12" customFormat="1" x14ac:dyDescent="0.25">
      <c r="A24" s="214" t="s">
        <v>1317</v>
      </c>
      <c r="B24" s="64">
        <v>5.0999999999999996</v>
      </c>
      <c r="C24" s="64">
        <v>21.26</v>
      </c>
      <c r="D24" s="64">
        <v>32.869999999999997</v>
      </c>
      <c r="E24" s="64">
        <v>5.31</v>
      </c>
      <c r="F24" s="64">
        <v>10.55</v>
      </c>
      <c r="G24" s="64">
        <v>28.76</v>
      </c>
      <c r="H24" s="64">
        <v>9.92</v>
      </c>
      <c r="I24" s="64">
        <v>4.01</v>
      </c>
      <c r="J24" s="64">
        <v>0.26</v>
      </c>
      <c r="K24" s="64">
        <v>236.42</v>
      </c>
      <c r="L24" s="64">
        <v>29.18</v>
      </c>
      <c r="M24" s="64">
        <v>63.22</v>
      </c>
      <c r="N24" s="64">
        <v>28.8</v>
      </c>
      <c r="O24" s="64">
        <v>0</v>
      </c>
      <c r="P24" s="64">
        <v>0.37</v>
      </c>
      <c r="Q24" s="64">
        <v>9.5399999999999991</v>
      </c>
      <c r="R24" s="198"/>
      <c r="S24" s="198"/>
      <c r="T24" s="198"/>
      <c r="U24" s="198"/>
    </row>
    <row r="25" spans="1:21" s="12" customFormat="1" x14ac:dyDescent="0.25">
      <c r="A25" s="214" t="s">
        <v>1318</v>
      </c>
      <c r="B25" s="64">
        <v>7.68</v>
      </c>
      <c r="C25" s="64">
        <v>29.92</v>
      </c>
      <c r="D25" s="64">
        <v>45.49</v>
      </c>
      <c r="E25" s="64">
        <v>5.51</v>
      </c>
      <c r="F25" s="64">
        <v>8.0399999999999991</v>
      </c>
      <c r="G25" s="64">
        <v>28.22</v>
      </c>
      <c r="H25" s="64">
        <v>10.55</v>
      </c>
      <c r="I25" s="64">
        <v>3.98</v>
      </c>
      <c r="J25" s="64">
        <v>0.39</v>
      </c>
      <c r="K25" s="64">
        <v>207.26</v>
      </c>
      <c r="L25" s="64">
        <v>29.21</v>
      </c>
      <c r="M25" s="64">
        <v>63.17</v>
      </c>
      <c r="N25" s="64">
        <v>28.5</v>
      </c>
      <c r="O25" s="64">
        <v>0</v>
      </c>
      <c r="P25" s="64">
        <v>0.4</v>
      </c>
      <c r="Q25" s="64">
        <v>9.5500000000000007</v>
      </c>
      <c r="R25" s="198"/>
      <c r="S25" s="198"/>
      <c r="T25" s="198"/>
      <c r="U25" s="198"/>
    </row>
    <row r="26" spans="1:21" s="12" customFormat="1" x14ac:dyDescent="0.25">
      <c r="A26" s="214" t="s">
        <v>1319</v>
      </c>
      <c r="B26" s="64">
        <v>6.6</v>
      </c>
      <c r="C26" s="64">
        <v>30.42</v>
      </c>
      <c r="D26" s="64">
        <v>48.08</v>
      </c>
      <c r="E26" s="64">
        <v>5.08</v>
      </c>
      <c r="F26" s="64">
        <v>7.19</v>
      </c>
      <c r="G26" s="64">
        <v>28.22</v>
      </c>
      <c r="H26" s="64">
        <v>10.55</v>
      </c>
      <c r="I26" s="64">
        <v>3.97</v>
      </c>
      <c r="J26" s="64">
        <v>0.32</v>
      </c>
      <c r="K26" s="64">
        <v>215.37</v>
      </c>
      <c r="L26" s="64">
        <v>29.04</v>
      </c>
      <c r="M26" s="64">
        <v>64.66</v>
      </c>
      <c r="N26" s="64">
        <v>28.8</v>
      </c>
      <c r="O26" s="64">
        <v>0</v>
      </c>
      <c r="P26" s="64">
        <v>0.42</v>
      </c>
      <c r="Q26" s="64">
        <v>9.57</v>
      </c>
      <c r="R26" s="198"/>
      <c r="S26" s="198"/>
      <c r="T26" s="198"/>
      <c r="U26" s="198"/>
    </row>
    <row r="27" spans="1:21" s="12" customFormat="1" x14ac:dyDescent="0.25">
      <c r="A27" s="214" t="s">
        <v>1320</v>
      </c>
      <c r="B27" s="64">
        <v>12.85</v>
      </c>
      <c r="C27" s="64">
        <v>41.31</v>
      </c>
      <c r="D27" s="64">
        <v>59.34</v>
      </c>
      <c r="E27" s="64">
        <v>5.01</v>
      </c>
      <c r="F27" s="64">
        <v>6.75</v>
      </c>
      <c r="G27" s="64">
        <v>28.22</v>
      </c>
      <c r="H27" s="64">
        <v>10.55</v>
      </c>
      <c r="I27" s="64">
        <v>4.0599999999999996</v>
      </c>
      <c r="J27" s="64">
        <v>0.25</v>
      </c>
      <c r="K27" s="64">
        <v>220.22</v>
      </c>
      <c r="L27" s="64">
        <v>29.03</v>
      </c>
      <c r="M27" s="64">
        <v>65.19</v>
      </c>
      <c r="N27" s="64">
        <v>28.8</v>
      </c>
      <c r="O27" s="64">
        <v>0</v>
      </c>
      <c r="P27" s="64">
        <v>0.45</v>
      </c>
      <c r="Q27" s="64">
        <v>9.58</v>
      </c>
      <c r="R27" s="198"/>
      <c r="S27" s="198"/>
      <c r="T27" s="198"/>
      <c r="U27" s="198"/>
    </row>
    <row r="28" spans="1:21" s="12" customFormat="1" x14ac:dyDescent="0.25">
      <c r="A28" s="214" t="s">
        <v>1321</v>
      </c>
      <c r="B28" s="64">
        <v>8.59</v>
      </c>
      <c r="C28" s="64">
        <v>28.39</v>
      </c>
      <c r="D28" s="64">
        <v>41.14</v>
      </c>
      <c r="E28" s="64">
        <v>4.8600000000000003</v>
      </c>
      <c r="F28" s="64">
        <v>6.22</v>
      </c>
      <c r="G28" s="64">
        <v>28.18</v>
      </c>
      <c r="H28" s="64">
        <v>10.68</v>
      </c>
      <c r="I28" s="64">
        <v>4.0199999999999996</v>
      </c>
      <c r="J28" s="64">
        <v>0.45</v>
      </c>
      <c r="K28" s="64">
        <v>229.11</v>
      </c>
      <c r="L28" s="64">
        <v>29.01</v>
      </c>
      <c r="M28" s="64">
        <v>64.400000000000006</v>
      </c>
      <c r="N28" s="64">
        <v>28.4</v>
      </c>
      <c r="O28" s="64">
        <v>0</v>
      </c>
      <c r="P28" s="64">
        <v>0.48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4" t="s">
        <v>1322</v>
      </c>
      <c r="B29" s="64">
        <v>6.11</v>
      </c>
      <c r="C29" s="64">
        <v>25.47</v>
      </c>
      <c r="D29" s="64">
        <v>39.36</v>
      </c>
      <c r="E29" s="64">
        <v>4.93</v>
      </c>
      <c r="F29" s="64">
        <v>7.96</v>
      </c>
      <c r="G29" s="64">
        <v>27.59</v>
      </c>
      <c r="H29" s="64">
        <v>12.6</v>
      </c>
      <c r="I29" s="64">
        <v>4.1900000000000004</v>
      </c>
      <c r="J29" s="64">
        <v>0.4</v>
      </c>
      <c r="K29" s="64">
        <v>234.53</v>
      </c>
      <c r="L29" s="64">
        <v>29.18</v>
      </c>
      <c r="M29" s="64">
        <v>62.63</v>
      </c>
      <c r="N29" s="64">
        <v>28.9</v>
      </c>
      <c r="O29" s="64">
        <v>0</v>
      </c>
      <c r="P29" s="64">
        <v>0.46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4" t="s">
        <v>1323</v>
      </c>
      <c r="B30" s="64">
        <v>18.16</v>
      </c>
      <c r="C30" s="64">
        <v>35.33</v>
      </c>
      <c r="D30" s="64">
        <v>39.75</v>
      </c>
      <c r="E30" s="64">
        <v>5.13</v>
      </c>
      <c r="F30" s="64">
        <v>6.73</v>
      </c>
      <c r="G30" s="64">
        <v>27.59</v>
      </c>
      <c r="H30" s="64">
        <v>12.6</v>
      </c>
      <c r="I30" s="64">
        <v>4.1399999999999997</v>
      </c>
      <c r="J30" s="64">
        <v>0.41</v>
      </c>
      <c r="K30" s="64">
        <v>234.4</v>
      </c>
      <c r="L30" s="64">
        <v>28.96</v>
      </c>
      <c r="M30" s="64">
        <v>65.19</v>
      </c>
      <c r="N30" s="64">
        <v>32.4</v>
      </c>
      <c r="O30" s="64">
        <v>0</v>
      </c>
      <c r="P30" s="64">
        <v>0.49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4" t="s">
        <v>1324</v>
      </c>
      <c r="B31" s="64">
        <v>10.39</v>
      </c>
      <c r="C31" s="64">
        <v>34.31</v>
      </c>
      <c r="D31" s="64">
        <v>49.71</v>
      </c>
      <c r="E31" s="64">
        <v>5.28</v>
      </c>
      <c r="F31" s="64">
        <v>6.46</v>
      </c>
      <c r="G31" s="64">
        <v>27.59</v>
      </c>
      <c r="H31" s="64">
        <v>12.6</v>
      </c>
      <c r="I31" s="64">
        <v>3.96</v>
      </c>
      <c r="J31" s="64">
        <v>0.23</v>
      </c>
      <c r="K31" s="64">
        <v>227.43</v>
      </c>
      <c r="L31" s="64">
        <v>29.08</v>
      </c>
      <c r="M31" s="64">
        <v>63.17</v>
      </c>
      <c r="N31" s="64">
        <v>43.4</v>
      </c>
      <c r="O31" s="64">
        <v>0</v>
      </c>
      <c r="P31" s="64">
        <v>0.62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4" t="s">
        <v>1325</v>
      </c>
      <c r="B32" s="64">
        <v>20.329999999999998</v>
      </c>
      <c r="C32" s="64">
        <v>46.05</v>
      </c>
      <c r="D32" s="64">
        <v>56.95</v>
      </c>
      <c r="E32" s="64">
        <v>5.23</v>
      </c>
      <c r="F32" s="64">
        <v>6.35</v>
      </c>
      <c r="G32" s="64">
        <v>27.67</v>
      </c>
      <c r="H32" s="64">
        <v>12.35</v>
      </c>
      <c r="I32" s="64">
        <v>3.98</v>
      </c>
      <c r="J32" s="64">
        <v>0.31</v>
      </c>
      <c r="K32" s="64">
        <v>240.52</v>
      </c>
      <c r="L32" s="64">
        <v>29.2</v>
      </c>
      <c r="M32" s="64">
        <v>64.62</v>
      </c>
      <c r="N32" s="64">
        <v>63.5</v>
      </c>
      <c r="O32" s="64">
        <v>0</v>
      </c>
      <c r="P32" s="64">
        <v>0.78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4" t="s">
        <v>1326</v>
      </c>
      <c r="B33" s="64">
        <v>17.78</v>
      </c>
      <c r="C33" s="64">
        <v>47.87</v>
      </c>
      <c r="D33" s="64">
        <v>64.319999999999993</v>
      </c>
      <c r="E33" s="64">
        <v>5.63</v>
      </c>
      <c r="F33" s="64">
        <v>5.95</v>
      </c>
      <c r="G33" s="64">
        <v>28.73</v>
      </c>
      <c r="H33" s="64">
        <v>8.82</v>
      </c>
      <c r="I33" s="64">
        <v>3.97</v>
      </c>
      <c r="J33" s="64">
        <v>0.34</v>
      </c>
      <c r="K33" s="64">
        <v>233.03</v>
      </c>
      <c r="L33" s="64">
        <v>29.87</v>
      </c>
      <c r="M33" s="64">
        <v>60.7</v>
      </c>
      <c r="N33" s="64">
        <v>92.5</v>
      </c>
      <c r="O33" s="64">
        <v>0</v>
      </c>
      <c r="P33" s="64">
        <v>0.8</v>
      </c>
      <c r="Q33" s="64">
        <v>9.66</v>
      </c>
      <c r="R33" s="198"/>
      <c r="S33" s="198"/>
      <c r="T33" s="198"/>
      <c r="U33" s="198"/>
    </row>
    <row r="34" spans="1:21" s="12" customFormat="1" x14ac:dyDescent="0.25">
      <c r="A34" s="214" t="s">
        <v>1327</v>
      </c>
      <c r="B34" s="64">
        <v>13.3</v>
      </c>
      <c r="C34" s="64">
        <v>39.26</v>
      </c>
      <c r="D34" s="64">
        <v>54.73</v>
      </c>
      <c r="E34" s="64">
        <v>6</v>
      </c>
      <c r="F34" s="64">
        <v>8.35</v>
      </c>
      <c r="G34" s="64">
        <v>28.73</v>
      </c>
      <c r="H34" s="64">
        <v>8.82</v>
      </c>
      <c r="I34" s="64">
        <v>3.99</v>
      </c>
      <c r="J34" s="64">
        <v>0.26</v>
      </c>
      <c r="K34" s="64">
        <v>223.67</v>
      </c>
      <c r="L34" s="64">
        <v>30.84</v>
      </c>
      <c r="M34" s="64">
        <v>56.84</v>
      </c>
      <c r="N34" s="64">
        <v>127.3</v>
      </c>
      <c r="O34" s="64">
        <v>0</v>
      </c>
      <c r="P34" s="64">
        <v>0.82</v>
      </c>
      <c r="Q34" s="64">
        <v>9.66</v>
      </c>
      <c r="R34" s="198"/>
      <c r="S34" s="198"/>
      <c r="T34" s="198"/>
      <c r="U34" s="198"/>
    </row>
    <row r="35" spans="1:21" s="12" customFormat="1" x14ac:dyDescent="0.25">
      <c r="A35" s="214" t="s">
        <v>1328</v>
      </c>
      <c r="B35" s="64">
        <v>8.19</v>
      </c>
      <c r="C35" s="64">
        <v>32.85</v>
      </c>
      <c r="D35" s="64">
        <v>50.31</v>
      </c>
      <c r="E35" s="64">
        <v>6.71</v>
      </c>
      <c r="F35" s="64">
        <v>8.26</v>
      </c>
      <c r="G35" s="64">
        <v>28.73</v>
      </c>
      <c r="H35" s="64">
        <v>8.82</v>
      </c>
      <c r="I35" s="64">
        <v>3.84</v>
      </c>
      <c r="J35" s="64">
        <v>0.51</v>
      </c>
      <c r="K35" s="64">
        <v>231.2</v>
      </c>
      <c r="L35" s="64">
        <v>31.14</v>
      </c>
      <c r="M35" s="64">
        <v>54.94</v>
      </c>
      <c r="N35" s="64">
        <v>170.3</v>
      </c>
      <c r="O35" s="64">
        <v>0</v>
      </c>
      <c r="P35" s="64">
        <v>0.72</v>
      </c>
      <c r="Q35" s="64">
        <v>9.64</v>
      </c>
      <c r="R35" s="198"/>
      <c r="S35" s="198"/>
      <c r="T35" s="198"/>
      <c r="U35" s="198"/>
    </row>
    <row r="36" spans="1:21" s="12" customFormat="1" x14ac:dyDescent="0.25">
      <c r="A36" s="214" t="s">
        <v>1329</v>
      </c>
      <c r="B36" s="64">
        <v>14.65</v>
      </c>
      <c r="C36" s="64">
        <v>40.119999999999997</v>
      </c>
      <c r="D36" s="64">
        <v>54.3</v>
      </c>
      <c r="E36" s="64">
        <v>7.13</v>
      </c>
      <c r="F36" s="64">
        <v>9.1</v>
      </c>
      <c r="G36" s="64">
        <v>29.74</v>
      </c>
      <c r="H36" s="64">
        <v>9.31</v>
      </c>
      <c r="I36" s="64">
        <v>3.9</v>
      </c>
      <c r="J36" s="64">
        <v>0.47</v>
      </c>
      <c r="K36" s="64">
        <v>234.39</v>
      </c>
      <c r="L36" s="64">
        <v>32.14</v>
      </c>
      <c r="M36" s="64">
        <v>52.62</v>
      </c>
      <c r="N36" s="64">
        <v>211.3</v>
      </c>
      <c r="O36" s="64">
        <v>0</v>
      </c>
      <c r="P36" s="64">
        <v>0.86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14" t="s">
        <v>1330</v>
      </c>
      <c r="B37" s="64">
        <v>13.99</v>
      </c>
      <c r="C37" s="64">
        <v>33.85</v>
      </c>
      <c r="D37" s="64">
        <v>43.31</v>
      </c>
      <c r="E37" s="64">
        <v>6.52</v>
      </c>
      <c r="F37" s="64">
        <v>7.84</v>
      </c>
      <c r="G37" s="64">
        <v>43.81</v>
      </c>
      <c r="H37" s="64">
        <v>16.13</v>
      </c>
      <c r="I37" s="64">
        <v>3.88</v>
      </c>
      <c r="J37" s="64">
        <v>0.63</v>
      </c>
      <c r="K37" s="64">
        <v>239.53</v>
      </c>
      <c r="L37" s="64">
        <v>32.869999999999997</v>
      </c>
      <c r="M37" s="64">
        <v>51.69</v>
      </c>
      <c r="N37" s="64">
        <v>251.1</v>
      </c>
      <c r="O37" s="64">
        <v>0</v>
      </c>
      <c r="P37" s="64">
        <v>0.77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4" t="s">
        <v>1331</v>
      </c>
      <c r="B38" s="64">
        <v>12.69</v>
      </c>
      <c r="C38" s="64">
        <v>27.56</v>
      </c>
      <c r="D38" s="64">
        <v>33.270000000000003</v>
      </c>
      <c r="E38" s="64">
        <v>5.64</v>
      </c>
      <c r="F38" s="64">
        <v>5.16</v>
      </c>
      <c r="G38" s="64">
        <v>43.81</v>
      </c>
      <c r="H38" s="64">
        <v>16.13</v>
      </c>
      <c r="I38" s="64">
        <v>4</v>
      </c>
      <c r="J38" s="64">
        <v>0.83</v>
      </c>
      <c r="K38" s="64">
        <v>240.66</v>
      </c>
      <c r="L38" s="64">
        <v>33.97</v>
      </c>
      <c r="M38" s="64">
        <v>47.64</v>
      </c>
      <c r="N38" s="64">
        <v>311.3</v>
      </c>
      <c r="O38" s="64">
        <v>0</v>
      </c>
      <c r="P38" s="64">
        <v>0.71</v>
      </c>
      <c r="Q38" s="64">
        <v>9.66</v>
      </c>
      <c r="R38" s="198"/>
      <c r="S38" s="198"/>
      <c r="T38" s="198"/>
      <c r="U38" s="198"/>
    </row>
    <row r="39" spans="1:21" s="12" customFormat="1" x14ac:dyDescent="0.25">
      <c r="A39" s="214" t="s">
        <v>1332</v>
      </c>
      <c r="B39" s="64">
        <v>12.34</v>
      </c>
      <c r="C39" s="64">
        <v>28.83</v>
      </c>
      <c r="D39" s="64">
        <v>36.25</v>
      </c>
      <c r="E39" s="64">
        <v>5.59</v>
      </c>
      <c r="F39" s="64">
        <v>4.62</v>
      </c>
      <c r="G39" s="64">
        <v>43.81</v>
      </c>
      <c r="H39" s="64">
        <v>16.13</v>
      </c>
      <c r="I39" s="64">
        <v>4.0599999999999996</v>
      </c>
      <c r="J39" s="64">
        <v>0.86</v>
      </c>
      <c r="K39" s="64">
        <v>242.58</v>
      </c>
      <c r="L39" s="64">
        <v>35.15</v>
      </c>
      <c r="M39" s="64">
        <v>43.03</v>
      </c>
      <c r="N39" s="64">
        <v>362.2</v>
      </c>
      <c r="O39" s="64">
        <v>0</v>
      </c>
      <c r="P39" s="64">
        <v>0.67</v>
      </c>
      <c r="Q39" s="64">
        <v>9.66</v>
      </c>
      <c r="R39" s="198"/>
      <c r="S39" s="198"/>
      <c r="T39" s="198"/>
      <c r="U39" s="198"/>
    </row>
    <row r="40" spans="1:21" s="12" customFormat="1" x14ac:dyDescent="0.25">
      <c r="A40" s="214" t="s">
        <v>1333</v>
      </c>
      <c r="B40" s="64">
        <v>11.37</v>
      </c>
      <c r="C40" s="64">
        <v>29.42</v>
      </c>
      <c r="D40" s="64">
        <v>38.86</v>
      </c>
      <c r="E40" s="64">
        <v>3.89</v>
      </c>
      <c r="F40" s="64">
        <v>4.4800000000000004</v>
      </c>
      <c r="G40" s="64">
        <v>44.14</v>
      </c>
      <c r="H40" s="64">
        <v>16.12</v>
      </c>
      <c r="I40" s="64">
        <v>4.04</v>
      </c>
      <c r="J40" s="64">
        <v>1.1399999999999999</v>
      </c>
      <c r="K40" s="64">
        <v>243.68</v>
      </c>
      <c r="L40" s="64">
        <v>35.79</v>
      </c>
      <c r="M40" s="64">
        <v>39.51</v>
      </c>
      <c r="N40" s="64">
        <v>422.7</v>
      </c>
      <c r="O40" s="64">
        <v>0</v>
      </c>
      <c r="P40" s="64">
        <v>0.67</v>
      </c>
      <c r="Q40" s="64">
        <v>9.66</v>
      </c>
      <c r="R40" s="198"/>
      <c r="S40" s="198"/>
      <c r="T40" s="198"/>
      <c r="U40" s="198"/>
    </row>
    <row r="41" spans="1:21" s="12" customFormat="1" x14ac:dyDescent="0.25">
      <c r="A41" s="214" t="s">
        <v>1334</v>
      </c>
      <c r="B41" s="64">
        <v>9.5500000000000007</v>
      </c>
      <c r="C41" s="64">
        <v>28.89</v>
      </c>
      <c r="D41" s="64">
        <v>40.630000000000003</v>
      </c>
      <c r="E41" s="64">
        <v>3.72</v>
      </c>
      <c r="F41" s="64">
        <v>4.28</v>
      </c>
      <c r="G41" s="64">
        <v>48.82</v>
      </c>
      <c r="H41" s="64">
        <v>16.02</v>
      </c>
      <c r="I41" s="64">
        <v>3.99</v>
      </c>
      <c r="J41" s="64">
        <v>1.57</v>
      </c>
      <c r="K41" s="64">
        <v>243.12</v>
      </c>
      <c r="L41" s="64">
        <v>36.409999999999997</v>
      </c>
      <c r="M41" s="64">
        <v>38.74</v>
      </c>
      <c r="N41" s="64">
        <v>481.4</v>
      </c>
      <c r="O41" s="64">
        <v>0</v>
      </c>
      <c r="P41" s="64">
        <v>0.65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4" t="s">
        <v>1335</v>
      </c>
      <c r="B42" s="64">
        <v>7.63</v>
      </c>
      <c r="C42" s="64">
        <v>25.85</v>
      </c>
      <c r="D42" s="64">
        <v>37.76</v>
      </c>
      <c r="E42" s="64">
        <v>3.42</v>
      </c>
      <c r="F42" s="64">
        <v>4.33</v>
      </c>
      <c r="G42" s="64">
        <v>48.82</v>
      </c>
      <c r="H42" s="64">
        <v>16.02</v>
      </c>
      <c r="I42" s="64">
        <v>4.03</v>
      </c>
      <c r="J42" s="64">
        <v>1.77</v>
      </c>
      <c r="K42" s="64">
        <v>242.85</v>
      </c>
      <c r="L42" s="64">
        <v>36.950000000000003</v>
      </c>
      <c r="M42" s="64">
        <v>38.049999999999997</v>
      </c>
      <c r="N42" s="64">
        <v>530.1</v>
      </c>
      <c r="O42" s="64">
        <v>0</v>
      </c>
      <c r="P42" s="64">
        <v>0.62</v>
      </c>
      <c r="Q42" s="64">
        <v>9.58</v>
      </c>
      <c r="R42" s="198"/>
      <c r="S42" s="198"/>
      <c r="T42" s="198"/>
      <c r="U42" s="198"/>
    </row>
    <row r="43" spans="1:21" s="12" customFormat="1" x14ac:dyDescent="0.25">
      <c r="A43" s="214" t="s">
        <v>1336</v>
      </c>
      <c r="B43" s="64">
        <v>6.13</v>
      </c>
      <c r="C43" s="64">
        <v>24.72</v>
      </c>
      <c r="D43" s="64">
        <v>37.89</v>
      </c>
      <c r="E43" s="64">
        <v>3.22</v>
      </c>
      <c r="F43" s="64">
        <v>4.37</v>
      </c>
      <c r="G43" s="64">
        <v>48.82</v>
      </c>
      <c r="H43" s="64">
        <v>16.02</v>
      </c>
      <c r="I43" s="64">
        <v>4.0199999999999996</v>
      </c>
      <c r="J43" s="64">
        <v>1.61</v>
      </c>
      <c r="K43" s="64">
        <v>242.41</v>
      </c>
      <c r="L43" s="64">
        <v>37.520000000000003</v>
      </c>
      <c r="M43" s="64">
        <v>36.909999999999997</v>
      </c>
      <c r="N43" s="64">
        <v>579.20000000000005</v>
      </c>
      <c r="O43" s="64">
        <v>0</v>
      </c>
      <c r="P43" s="64">
        <v>0.6</v>
      </c>
      <c r="Q43" s="64">
        <v>9.52</v>
      </c>
      <c r="R43" s="198"/>
      <c r="S43" s="198"/>
      <c r="T43" s="198"/>
      <c r="U43" s="198"/>
    </row>
    <row r="44" spans="1:21" s="12" customFormat="1" x14ac:dyDescent="0.25">
      <c r="A44" s="214" t="s">
        <v>1337</v>
      </c>
      <c r="B44" s="64">
        <v>5.67</v>
      </c>
      <c r="C44" s="64">
        <v>25.39</v>
      </c>
      <c r="D44" s="64">
        <v>39.89</v>
      </c>
      <c r="E44" s="64">
        <v>3.64</v>
      </c>
      <c r="F44" s="64">
        <v>5.43</v>
      </c>
      <c r="G44" s="64">
        <v>48.6</v>
      </c>
      <c r="H44" s="64">
        <v>16.079999999999998</v>
      </c>
      <c r="I44" s="64">
        <v>4.07</v>
      </c>
      <c r="J44" s="64">
        <v>1.4</v>
      </c>
      <c r="K44" s="64">
        <v>244.52</v>
      </c>
      <c r="L44" s="64">
        <v>38.83</v>
      </c>
      <c r="M44" s="64">
        <v>34.950000000000003</v>
      </c>
      <c r="N44" s="64">
        <v>615.20000000000005</v>
      </c>
      <c r="O44" s="64">
        <v>0</v>
      </c>
      <c r="P44" s="64">
        <v>0.57999999999999996</v>
      </c>
      <c r="Q44" s="64">
        <v>9.51</v>
      </c>
      <c r="R44" s="198"/>
      <c r="S44" s="198"/>
      <c r="T44" s="198"/>
      <c r="U44" s="198"/>
    </row>
    <row r="45" spans="1:21" s="12" customFormat="1" x14ac:dyDescent="0.25">
      <c r="A45" s="214" t="s">
        <v>1338</v>
      </c>
      <c r="B45" s="64">
        <v>5</v>
      </c>
      <c r="C45" s="64">
        <v>23.2</v>
      </c>
      <c r="D45" s="64">
        <v>36.729999999999997</v>
      </c>
      <c r="E45" s="64">
        <v>3.31</v>
      </c>
      <c r="F45" s="64">
        <v>5.43</v>
      </c>
      <c r="G45" s="64">
        <v>45.5</v>
      </c>
      <c r="H45" s="64">
        <v>16.989999999999998</v>
      </c>
      <c r="I45" s="64">
        <v>4.2</v>
      </c>
      <c r="J45" s="64">
        <v>1.57</v>
      </c>
      <c r="K45" s="64">
        <v>242.95</v>
      </c>
      <c r="L45" s="64">
        <v>39.47</v>
      </c>
      <c r="M45" s="64">
        <v>34</v>
      </c>
      <c r="N45" s="64">
        <v>675.2</v>
      </c>
      <c r="O45" s="64">
        <v>0</v>
      </c>
      <c r="P45" s="64">
        <v>0.56999999999999995</v>
      </c>
      <c r="Q45" s="64">
        <v>9.5</v>
      </c>
      <c r="R45" s="198"/>
      <c r="S45" s="198"/>
      <c r="T45" s="198"/>
      <c r="U45" s="198"/>
    </row>
    <row r="46" spans="1:21" s="12" customFormat="1" x14ac:dyDescent="0.25">
      <c r="A46" s="214" t="s">
        <v>1339</v>
      </c>
      <c r="B46" s="64">
        <v>4.97</v>
      </c>
      <c r="C46" s="64">
        <v>24.95</v>
      </c>
      <c r="D46" s="64">
        <v>40.130000000000003</v>
      </c>
      <c r="E46" s="64">
        <v>3.41</v>
      </c>
      <c r="F46" s="64">
        <v>4.91</v>
      </c>
      <c r="G46" s="64">
        <v>45.5</v>
      </c>
      <c r="H46" s="64">
        <v>16.989999999999998</v>
      </c>
      <c r="I46" s="64">
        <v>3.92</v>
      </c>
      <c r="J46" s="64">
        <v>1.1499999999999999</v>
      </c>
      <c r="K46" s="64">
        <v>243.39</v>
      </c>
      <c r="L46" s="64">
        <v>39.94</v>
      </c>
      <c r="M46" s="64">
        <v>32.44</v>
      </c>
      <c r="N46" s="64">
        <v>682.6</v>
      </c>
      <c r="O46" s="64">
        <v>0</v>
      </c>
      <c r="P46" s="64">
        <v>0.56999999999999995</v>
      </c>
      <c r="Q46" s="64">
        <v>9.51</v>
      </c>
      <c r="R46" s="198"/>
      <c r="S46" s="198"/>
      <c r="T46" s="198"/>
      <c r="U46" s="198"/>
    </row>
    <row r="47" spans="1:21" s="12" customFormat="1" x14ac:dyDescent="0.25">
      <c r="A47" s="214" t="s">
        <v>1340</v>
      </c>
      <c r="B47" s="64">
        <v>5.65</v>
      </c>
      <c r="C47" s="64">
        <v>23.26</v>
      </c>
      <c r="D47" s="64">
        <v>35.840000000000003</v>
      </c>
      <c r="E47" s="64">
        <v>3.24</v>
      </c>
      <c r="F47" s="64">
        <v>6.37</v>
      </c>
      <c r="G47" s="64">
        <v>45.5</v>
      </c>
      <c r="H47" s="64">
        <v>16.989999999999998</v>
      </c>
      <c r="I47" s="64">
        <v>3.97</v>
      </c>
      <c r="J47" s="64">
        <v>1.1299999999999999</v>
      </c>
      <c r="K47" s="64">
        <v>243.78</v>
      </c>
      <c r="L47" s="64">
        <v>40.31</v>
      </c>
      <c r="M47" s="64">
        <v>31.63</v>
      </c>
      <c r="N47" s="64">
        <v>727.6</v>
      </c>
      <c r="O47" s="64">
        <v>0</v>
      </c>
      <c r="P47" s="64">
        <v>0.56000000000000005</v>
      </c>
      <c r="Q47" s="64">
        <v>9.51</v>
      </c>
      <c r="R47" s="198"/>
      <c r="S47" s="198"/>
      <c r="T47" s="198"/>
      <c r="U47" s="198"/>
    </row>
    <row r="48" spans="1:21" s="12" customFormat="1" x14ac:dyDescent="0.25">
      <c r="A48" s="214" t="s">
        <v>1341</v>
      </c>
      <c r="B48" s="64">
        <v>5.43</v>
      </c>
      <c r="C48" s="64">
        <v>24.61</v>
      </c>
      <c r="D48" s="64">
        <v>38.76</v>
      </c>
      <c r="E48" s="64">
        <v>3.44</v>
      </c>
      <c r="F48" s="64">
        <v>6.46</v>
      </c>
      <c r="G48" s="64">
        <v>45.18</v>
      </c>
      <c r="H48" s="64">
        <v>16.739999999999998</v>
      </c>
      <c r="I48" s="64">
        <v>3.99</v>
      </c>
      <c r="J48" s="64">
        <v>1.1000000000000001</v>
      </c>
      <c r="K48" s="64">
        <v>243.64</v>
      </c>
      <c r="L48" s="64">
        <v>41.25</v>
      </c>
      <c r="M48" s="64">
        <v>30.66</v>
      </c>
      <c r="N48" s="64">
        <v>762.5</v>
      </c>
      <c r="O48" s="64">
        <v>0</v>
      </c>
      <c r="P48" s="64">
        <v>0.55000000000000004</v>
      </c>
      <c r="Q48" s="64">
        <v>9.48</v>
      </c>
      <c r="R48" s="198"/>
      <c r="S48" s="198"/>
      <c r="T48" s="198"/>
      <c r="U48" s="198"/>
    </row>
    <row r="49" spans="1:21" s="12" customFormat="1" x14ac:dyDescent="0.25">
      <c r="A49" s="214" t="s">
        <v>1342</v>
      </c>
      <c r="B49" s="64">
        <v>5.08</v>
      </c>
      <c r="C49" s="64">
        <v>24.98</v>
      </c>
      <c r="D49" s="64">
        <v>40.01</v>
      </c>
      <c r="E49" s="64">
        <v>3.24</v>
      </c>
      <c r="F49" s="64">
        <v>5.89</v>
      </c>
      <c r="G49" s="64">
        <v>40.71</v>
      </c>
      <c r="H49" s="64">
        <v>13.36</v>
      </c>
      <c r="I49" s="64">
        <v>3.92</v>
      </c>
      <c r="J49" s="64">
        <v>1.28</v>
      </c>
      <c r="K49" s="64">
        <v>243.83</v>
      </c>
      <c r="L49" s="64">
        <v>41.37</v>
      </c>
      <c r="M49" s="64">
        <v>30.02</v>
      </c>
      <c r="N49" s="64">
        <v>791.5</v>
      </c>
      <c r="O49" s="64">
        <v>0</v>
      </c>
      <c r="P49" s="64">
        <v>0.56000000000000005</v>
      </c>
      <c r="Q49" s="64">
        <v>9.51</v>
      </c>
      <c r="R49" s="198"/>
      <c r="S49" s="198"/>
      <c r="T49" s="198"/>
      <c r="U49" s="198"/>
    </row>
    <row r="50" spans="1:21" s="12" customFormat="1" x14ac:dyDescent="0.25">
      <c r="A50" s="214" t="s">
        <v>1343</v>
      </c>
      <c r="B50" s="64">
        <v>6.63</v>
      </c>
      <c r="C50" s="64">
        <v>24.86</v>
      </c>
      <c r="D50" s="64">
        <v>37.409999999999997</v>
      </c>
      <c r="E50" s="64">
        <v>3.14</v>
      </c>
      <c r="F50" s="64">
        <v>7.67</v>
      </c>
      <c r="G50" s="64">
        <v>40.71</v>
      </c>
      <c r="H50" s="64">
        <v>13.36</v>
      </c>
      <c r="I50" s="64">
        <v>4.17</v>
      </c>
      <c r="J50" s="64">
        <v>1.4</v>
      </c>
      <c r="K50" s="64">
        <v>243.82</v>
      </c>
      <c r="L50" s="64">
        <v>41.83</v>
      </c>
      <c r="M50" s="64">
        <v>29.1</v>
      </c>
      <c r="N50" s="64">
        <v>826.7</v>
      </c>
      <c r="O50" s="64">
        <v>0</v>
      </c>
      <c r="P50" s="64">
        <v>0.56000000000000005</v>
      </c>
      <c r="Q50" s="64">
        <v>9.51</v>
      </c>
      <c r="R50" s="198"/>
      <c r="S50" s="198"/>
      <c r="T50" s="198"/>
      <c r="U50" s="198"/>
    </row>
    <row r="51" spans="1:21" s="12" customFormat="1" x14ac:dyDescent="0.25">
      <c r="A51" s="214" t="s">
        <v>1344</v>
      </c>
      <c r="B51" s="64">
        <v>6.15</v>
      </c>
      <c r="C51" s="64">
        <v>23.75</v>
      </c>
      <c r="D51" s="64">
        <v>36.01</v>
      </c>
      <c r="E51" s="64">
        <v>3.67</v>
      </c>
      <c r="F51" s="64">
        <v>8.23</v>
      </c>
      <c r="G51" s="64">
        <v>40.71</v>
      </c>
      <c r="H51" s="64">
        <v>13.36</v>
      </c>
      <c r="I51" s="64">
        <v>4.24</v>
      </c>
      <c r="J51" s="64">
        <v>1.21</v>
      </c>
      <c r="K51" s="64">
        <v>243.79</v>
      </c>
      <c r="L51" s="64">
        <v>42.47</v>
      </c>
      <c r="M51" s="64">
        <v>28.26</v>
      </c>
      <c r="N51" s="64">
        <v>852</v>
      </c>
      <c r="O51" s="64">
        <v>0</v>
      </c>
      <c r="P51" s="64">
        <v>0.55000000000000004</v>
      </c>
      <c r="Q51" s="64">
        <v>9.5</v>
      </c>
      <c r="R51" s="198"/>
      <c r="S51" s="198"/>
      <c r="T51" s="198"/>
      <c r="U51" s="198"/>
    </row>
    <row r="52" spans="1:21" s="12" customFormat="1" x14ac:dyDescent="0.25">
      <c r="A52" s="214" t="s">
        <v>1345</v>
      </c>
      <c r="B52" s="64">
        <v>7.53</v>
      </c>
      <c r="C52" s="64">
        <v>24.54</v>
      </c>
      <c r="D52" s="64">
        <v>35.409999999999997</v>
      </c>
      <c r="E52" s="64">
        <v>4.22</v>
      </c>
      <c r="F52" s="64">
        <v>12.09</v>
      </c>
      <c r="G52" s="64">
        <v>40.6</v>
      </c>
      <c r="H52" s="64">
        <v>13.42</v>
      </c>
      <c r="I52" s="64">
        <v>4.0999999999999996</v>
      </c>
      <c r="J52" s="64">
        <v>1.25</v>
      </c>
      <c r="K52" s="64">
        <v>244.58</v>
      </c>
      <c r="L52" s="64">
        <v>42.8</v>
      </c>
      <c r="M52" s="64">
        <v>27.62</v>
      </c>
      <c r="N52" s="64">
        <v>866.7</v>
      </c>
      <c r="O52" s="64">
        <v>0</v>
      </c>
      <c r="P52" s="64">
        <v>0.54</v>
      </c>
      <c r="Q52" s="64">
        <v>9.49</v>
      </c>
      <c r="R52" s="198"/>
      <c r="S52" s="198"/>
      <c r="T52" s="198"/>
      <c r="U52" s="198"/>
    </row>
    <row r="53" spans="1:21" s="12" customFormat="1" x14ac:dyDescent="0.25">
      <c r="A53" s="214" t="s">
        <v>1346</v>
      </c>
      <c r="B53" s="64">
        <v>7.09</v>
      </c>
      <c r="C53" s="64">
        <v>24.31</v>
      </c>
      <c r="D53" s="64">
        <v>35.64</v>
      </c>
      <c r="E53" s="64">
        <v>3.59</v>
      </c>
      <c r="F53" s="64">
        <v>7.51</v>
      </c>
      <c r="G53" s="64">
        <v>39.03</v>
      </c>
      <c r="H53" s="64">
        <v>14.36</v>
      </c>
      <c r="I53" s="64">
        <v>4.03</v>
      </c>
      <c r="J53" s="64">
        <v>1.35</v>
      </c>
      <c r="K53" s="64">
        <v>245.87</v>
      </c>
      <c r="L53" s="64">
        <v>42.81</v>
      </c>
      <c r="M53" s="64">
        <v>27</v>
      </c>
      <c r="N53" s="64">
        <v>879.7</v>
      </c>
      <c r="O53" s="64">
        <v>0</v>
      </c>
      <c r="P53" s="64">
        <v>0.55000000000000004</v>
      </c>
      <c r="Q53" s="64">
        <v>9.49</v>
      </c>
      <c r="R53" s="198"/>
      <c r="S53" s="198"/>
      <c r="T53" s="198"/>
      <c r="U53" s="198"/>
    </row>
    <row r="54" spans="1:21" s="12" customFormat="1" x14ac:dyDescent="0.25">
      <c r="A54" s="214" t="s">
        <v>1347</v>
      </c>
      <c r="B54" s="64">
        <v>6.05</v>
      </c>
      <c r="C54" s="64">
        <v>22.44</v>
      </c>
      <c r="D54" s="64">
        <v>33.67</v>
      </c>
      <c r="E54" s="64">
        <v>4.32</v>
      </c>
      <c r="F54" s="64">
        <v>13.96</v>
      </c>
      <c r="G54" s="64">
        <v>39.03</v>
      </c>
      <c r="H54" s="64">
        <v>14.36</v>
      </c>
      <c r="I54" s="64">
        <v>4.0999999999999996</v>
      </c>
      <c r="J54" s="64">
        <v>0.83</v>
      </c>
      <c r="K54" s="64">
        <v>239.33</v>
      </c>
      <c r="L54" s="64">
        <v>42.06</v>
      </c>
      <c r="M54" s="64">
        <v>27.12</v>
      </c>
      <c r="N54" s="64">
        <v>878.9</v>
      </c>
      <c r="O54" s="64">
        <v>0</v>
      </c>
      <c r="P54" s="64">
        <v>0.49</v>
      </c>
      <c r="Q54" s="64">
        <v>9.48</v>
      </c>
      <c r="R54" s="198"/>
      <c r="S54" s="198"/>
      <c r="T54" s="198"/>
      <c r="U54" s="198"/>
    </row>
    <row r="55" spans="1:21" s="12" customFormat="1" x14ac:dyDescent="0.25">
      <c r="A55" s="214" t="s">
        <v>1348</v>
      </c>
      <c r="B55" s="64">
        <v>5.82</v>
      </c>
      <c r="C55" s="64">
        <v>20.54</v>
      </c>
      <c r="D55" s="64">
        <v>30.38</v>
      </c>
      <c r="E55" s="64">
        <v>4.66</v>
      </c>
      <c r="F55" s="64">
        <v>8.3699999999999992</v>
      </c>
      <c r="G55" s="64">
        <v>39.03</v>
      </c>
      <c r="H55" s="64">
        <v>14.36</v>
      </c>
      <c r="I55" s="64">
        <v>4.0199999999999996</v>
      </c>
      <c r="J55" s="64">
        <v>1.23</v>
      </c>
      <c r="K55" s="64">
        <v>245.12</v>
      </c>
      <c r="L55" s="64">
        <v>42.71</v>
      </c>
      <c r="M55" s="64">
        <v>26.3</v>
      </c>
      <c r="N55" s="64">
        <v>888.2</v>
      </c>
      <c r="O55" s="64">
        <v>0</v>
      </c>
      <c r="P55" s="64">
        <v>0.52</v>
      </c>
      <c r="Q55" s="64">
        <v>9.4600000000000009</v>
      </c>
      <c r="R55" s="198"/>
      <c r="S55" s="198"/>
      <c r="T55" s="198"/>
      <c r="U55" s="198"/>
    </row>
    <row r="56" spans="1:21" s="12" customFormat="1" x14ac:dyDescent="0.25">
      <c r="A56" s="214" t="s">
        <v>1349</v>
      </c>
      <c r="B56" s="64">
        <v>5.52</v>
      </c>
      <c r="C56" s="64">
        <v>21.53</v>
      </c>
      <c r="D56" s="64">
        <v>32.729999999999997</v>
      </c>
      <c r="E56" s="64">
        <v>3.74</v>
      </c>
      <c r="F56" s="64">
        <v>7.67</v>
      </c>
      <c r="G56" s="64">
        <v>38.65</v>
      </c>
      <c r="H56" s="64">
        <v>14.37</v>
      </c>
      <c r="I56" s="64">
        <v>3.94</v>
      </c>
      <c r="J56" s="64">
        <v>1.1000000000000001</v>
      </c>
      <c r="K56" s="64">
        <v>244.89</v>
      </c>
      <c r="L56" s="64">
        <v>42.13</v>
      </c>
      <c r="M56" s="64">
        <v>26.19</v>
      </c>
      <c r="N56" s="64">
        <v>893.3</v>
      </c>
      <c r="O56" s="64">
        <v>0</v>
      </c>
      <c r="P56" s="64">
        <v>0.5</v>
      </c>
      <c r="Q56" s="64">
        <v>9.4700000000000006</v>
      </c>
      <c r="R56" s="198"/>
      <c r="S56" s="198"/>
      <c r="T56" s="198"/>
      <c r="U56" s="198"/>
    </row>
    <row r="57" spans="1:21" s="12" customFormat="1" x14ac:dyDescent="0.25">
      <c r="A57" s="214" t="s">
        <v>1350</v>
      </c>
      <c r="B57" s="64">
        <v>5.76</v>
      </c>
      <c r="C57" s="64">
        <v>23.86</v>
      </c>
      <c r="D57" s="64">
        <v>36.83</v>
      </c>
      <c r="E57" s="64">
        <v>3.71</v>
      </c>
      <c r="F57" s="64">
        <v>7.06</v>
      </c>
      <c r="G57" s="64">
        <v>33.33</v>
      </c>
      <c r="H57" s="64">
        <v>14.62</v>
      </c>
      <c r="I57" s="64">
        <v>4</v>
      </c>
      <c r="J57" s="64">
        <v>1.24</v>
      </c>
      <c r="K57" s="64">
        <v>244.65</v>
      </c>
      <c r="L57" s="64">
        <v>42.23</v>
      </c>
      <c r="M57" s="64">
        <v>26.38</v>
      </c>
      <c r="N57" s="64">
        <v>903.8</v>
      </c>
      <c r="O57" s="64">
        <v>0</v>
      </c>
      <c r="P57" s="64">
        <v>0.5</v>
      </c>
      <c r="Q57" s="64">
        <v>9.4499999999999993</v>
      </c>
      <c r="R57" s="198"/>
      <c r="S57" s="198"/>
      <c r="T57" s="198"/>
      <c r="U57" s="198"/>
    </row>
    <row r="58" spans="1:21" s="12" customFormat="1" x14ac:dyDescent="0.25">
      <c r="A58" s="214" t="s">
        <v>1351</v>
      </c>
      <c r="B58" s="64">
        <v>6.57</v>
      </c>
      <c r="C58" s="64">
        <v>23.89</v>
      </c>
      <c r="D58" s="64">
        <v>35.64</v>
      </c>
      <c r="E58" s="64">
        <v>4.8099999999999996</v>
      </c>
      <c r="F58" s="64">
        <v>12.49</v>
      </c>
      <c r="G58" s="64">
        <v>33.33</v>
      </c>
      <c r="H58" s="64">
        <v>14.62</v>
      </c>
      <c r="I58" s="64">
        <v>3.89</v>
      </c>
      <c r="J58" s="64">
        <v>1.04</v>
      </c>
      <c r="K58" s="64">
        <v>251.89</v>
      </c>
      <c r="L58" s="64">
        <v>43.01</v>
      </c>
      <c r="M58" s="64">
        <v>25.35</v>
      </c>
      <c r="N58" s="64">
        <v>886.4</v>
      </c>
      <c r="O58" s="64">
        <v>0</v>
      </c>
      <c r="P58" s="64">
        <v>0.47</v>
      </c>
      <c r="Q58" s="64">
        <v>9.4499999999999993</v>
      </c>
      <c r="R58" s="198"/>
      <c r="S58" s="198"/>
      <c r="T58" s="198"/>
      <c r="U58" s="198"/>
    </row>
    <row r="59" spans="1:21" s="12" customFormat="1" x14ac:dyDescent="0.25">
      <c r="A59" s="214" t="s">
        <v>1352</v>
      </c>
      <c r="B59" s="64">
        <v>4.96</v>
      </c>
      <c r="C59" s="64">
        <v>21.68</v>
      </c>
      <c r="D59" s="64">
        <v>33.880000000000003</v>
      </c>
      <c r="E59" s="64">
        <v>3.89</v>
      </c>
      <c r="F59" s="64">
        <v>7.55</v>
      </c>
      <c r="G59" s="64">
        <v>33.33</v>
      </c>
      <c r="H59" s="64">
        <v>14.62</v>
      </c>
      <c r="I59" s="64">
        <v>3.82</v>
      </c>
      <c r="J59" s="64">
        <v>1.18</v>
      </c>
      <c r="K59" s="64">
        <v>244.24</v>
      </c>
      <c r="L59" s="64">
        <v>42.94</v>
      </c>
      <c r="M59" s="64">
        <v>25.02</v>
      </c>
      <c r="N59" s="64">
        <v>849.9</v>
      </c>
      <c r="O59" s="64">
        <v>0</v>
      </c>
      <c r="P59" s="64">
        <v>0.47</v>
      </c>
      <c r="Q59" s="64">
        <v>9.4600000000000009</v>
      </c>
      <c r="R59" s="198"/>
      <c r="S59" s="198"/>
      <c r="T59" s="198"/>
      <c r="U59" s="198"/>
    </row>
    <row r="60" spans="1:21" s="12" customFormat="1" x14ac:dyDescent="0.25">
      <c r="A60" s="214" t="s">
        <v>1353</v>
      </c>
      <c r="B60" s="64">
        <v>7.22</v>
      </c>
      <c r="C60" s="64">
        <v>25.95</v>
      </c>
      <c r="D60" s="64">
        <v>38.590000000000003</v>
      </c>
      <c r="E60" s="64">
        <v>5.17</v>
      </c>
      <c r="F60" s="64">
        <v>15.21</v>
      </c>
      <c r="G60" s="64">
        <v>33.299999999999997</v>
      </c>
      <c r="H60" s="64">
        <v>14.44</v>
      </c>
      <c r="I60" s="64">
        <v>3.96</v>
      </c>
      <c r="J60" s="64">
        <v>0.89</v>
      </c>
      <c r="K60" s="64">
        <v>248</v>
      </c>
      <c r="L60" s="64">
        <v>43.41</v>
      </c>
      <c r="M60" s="64">
        <v>24.32</v>
      </c>
      <c r="N60" s="64">
        <v>850.9</v>
      </c>
      <c r="O60" s="64">
        <v>0</v>
      </c>
      <c r="P60" s="64">
        <v>0.48</v>
      </c>
      <c r="Q60" s="64">
        <v>9.4600000000000009</v>
      </c>
      <c r="R60" s="198"/>
      <c r="S60" s="198"/>
      <c r="T60" s="198"/>
      <c r="U60" s="198"/>
    </row>
    <row r="61" spans="1:21" s="12" customFormat="1" x14ac:dyDescent="0.25">
      <c r="A61" s="214" t="s">
        <v>1354</v>
      </c>
      <c r="B61" s="64">
        <v>6.32</v>
      </c>
      <c r="C61" s="64">
        <v>22.95</v>
      </c>
      <c r="D61" s="64">
        <v>34.229999999999997</v>
      </c>
      <c r="E61" s="64">
        <v>8.08</v>
      </c>
      <c r="F61" s="64">
        <v>19.98</v>
      </c>
      <c r="G61" s="64">
        <v>32.93</v>
      </c>
      <c r="H61" s="64">
        <v>11.9</v>
      </c>
      <c r="I61" s="64">
        <v>4.0599999999999996</v>
      </c>
      <c r="J61" s="64">
        <v>1.19</v>
      </c>
      <c r="K61" s="64">
        <v>250.45</v>
      </c>
      <c r="L61" s="64">
        <v>43.56</v>
      </c>
      <c r="M61" s="64">
        <v>23.99</v>
      </c>
      <c r="N61" s="64">
        <v>629.1</v>
      </c>
      <c r="O61" s="64">
        <v>0</v>
      </c>
      <c r="P61" s="64">
        <v>0.4</v>
      </c>
      <c r="Q61" s="64">
        <v>9.4600000000000009</v>
      </c>
      <c r="R61" s="198"/>
      <c r="S61" s="198"/>
      <c r="T61" s="198"/>
      <c r="U61" s="198"/>
    </row>
    <row r="62" spans="1:21" s="12" customFormat="1" x14ac:dyDescent="0.25">
      <c r="A62" s="214" t="s">
        <v>1355</v>
      </c>
      <c r="B62" s="64">
        <v>6.15</v>
      </c>
      <c r="C62" s="64">
        <v>24.94</v>
      </c>
      <c r="D62" s="64">
        <v>38.299999999999997</v>
      </c>
      <c r="E62" s="64">
        <v>5.31</v>
      </c>
      <c r="F62" s="64">
        <v>7.85</v>
      </c>
      <c r="G62" s="64">
        <v>32.93</v>
      </c>
      <c r="H62" s="64">
        <v>11.9</v>
      </c>
      <c r="I62" s="64">
        <v>4.1900000000000004</v>
      </c>
      <c r="J62" s="64">
        <v>1.7</v>
      </c>
      <c r="K62" s="64">
        <v>245.96</v>
      </c>
      <c r="L62" s="64">
        <v>43.21</v>
      </c>
      <c r="M62" s="64">
        <v>24.85</v>
      </c>
      <c r="N62" s="64">
        <v>577.9</v>
      </c>
      <c r="O62" s="64">
        <v>0</v>
      </c>
      <c r="P62" s="64">
        <v>0.44</v>
      </c>
      <c r="Q62" s="64">
        <v>9.4600000000000009</v>
      </c>
      <c r="R62" s="198"/>
      <c r="S62" s="198"/>
      <c r="T62" s="198"/>
      <c r="U62" s="198"/>
    </row>
    <row r="63" spans="1:21" s="12" customFormat="1" x14ac:dyDescent="0.25">
      <c r="A63" s="214" t="s">
        <v>1356</v>
      </c>
      <c r="B63" s="64">
        <v>6.7</v>
      </c>
      <c r="C63" s="64">
        <v>25.08</v>
      </c>
      <c r="D63" s="64">
        <v>37.71</v>
      </c>
      <c r="E63" s="64">
        <v>3.54</v>
      </c>
      <c r="F63" s="64">
        <v>10.64</v>
      </c>
      <c r="G63" s="64">
        <v>32.93</v>
      </c>
      <c r="H63" s="64">
        <v>11.9</v>
      </c>
      <c r="I63" s="64">
        <v>3.87</v>
      </c>
      <c r="J63" s="64">
        <v>1.1200000000000001</v>
      </c>
      <c r="K63" s="64">
        <v>246.31</v>
      </c>
      <c r="L63" s="64">
        <v>42.08</v>
      </c>
      <c r="M63" s="64">
        <v>25.92</v>
      </c>
      <c r="N63" s="64">
        <v>453.2</v>
      </c>
      <c r="O63" s="64">
        <v>0</v>
      </c>
      <c r="P63" s="64">
        <v>0.42</v>
      </c>
      <c r="Q63" s="64">
        <v>9.4700000000000006</v>
      </c>
      <c r="R63" s="198"/>
      <c r="S63" s="198"/>
      <c r="T63" s="198"/>
      <c r="U63" s="198"/>
    </row>
    <row r="64" spans="1:21" s="12" customFormat="1" x14ac:dyDescent="0.25">
      <c r="A64" s="214" t="s">
        <v>1357</v>
      </c>
      <c r="B64" s="64">
        <v>7.75</v>
      </c>
      <c r="C64" s="64">
        <v>27</v>
      </c>
      <c r="D64" s="64">
        <v>39.79</v>
      </c>
      <c r="E64" s="64">
        <v>4.97</v>
      </c>
      <c r="F64" s="64">
        <v>17.559999999999999</v>
      </c>
      <c r="G64" s="64">
        <v>32.700000000000003</v>
      </c>
      <c r="H64" s="64">
        <v>11.87</v>
      </c>
      <c r="I64" s="64">
        <v>4</v>
      </c>
      <c r="J64" s="64">
        <v>0.95</v>
      </c>
      <c r="K64" s="64">
        <v>252.6</v>
      </c>
      <c r="L64" s="64">
        <v>41.97</v>
      </c>
      <c r="M64" s="64">
        <v>26.04</v>
      </c>
      <c r="N64" s="64">
        <v>430.6</v>
      </c>
      <c r="O64" s="64">
        <v>0</v>
      </c>
      <c r="P64" s="64">
        <v>0.4</v>
      </c>
      <c r="Q64" s="64">
        <v>9.4700000000000006</v>
      </c>
      <c r="R64" s="198"/>
      <c r="S64" s="198"/>
      <c r="T64" s="198"/>
      <c r="U64" s="198"/>
    </row>
    <row r="65" spans="1:21" s="12" customFormat="1" x14ac:dyDescent="0.25">
      <c r="A65" s="214" t="s">
        <v>1358</v>
      </c>
      <c r="B65" s="64">
        <v>6.92</v>
      </c>
      <c r="C65" s="64">
        <v>23.71</v>
      </c>
      <c r="D65" s="64">
        <v>34.74</v>
      </c>
      <c r="E65" s="64">
        <v>4.4400000000000004</v>
      </c>
      <c r="F65" s="64">
        <v>7.8</v>
      </c>
      <c r="G65" s="64">
        <v>29.4</v>
      </c>
      <c r="H65" s="64">
        <v>11.44</v>
      </c>
      <c r="I65" s="64">
        <v>4.08</v>
      </c>
      <c r="J65" s="64">
        <v>1.3</v>
      </c>
      <c r="K65" s="64">
        <v>246.81</v>
      </c>
      <c r="L65" s="64">
        <v>41.63</v>
      </c>
      <c r="M65" s="64">
        <v>26.27</v>
      </c>
      <c r="N65" s="64">
        <v>397.1</v>
      </c>
      <c r="O65" s="64">
        <v>0</v>
      </c>
      <c r="P65" s="64">
        <v>0.4</v>
      </c>
      <c r="Q65" s="64">
        <v>9.48</v>
      </c>
      <c r="R65" s="198"/>
      <c r="S65" s="198"/>
      <c r="T65" s="198"/>
      <c r="U65" s="198"/>
    </row>
    <row r="66" spans="1:21" s="12" customFormat="1" x14ac:dyDescent="0.25">
      <c r="A66" s="214" t="s">
        <v>1359</v>
      </c>
      <c r="B66" s="64">
        <v>8.1</v>
      </c>
      <c r="C66" s="64">
        <v>26.99</v>
      </c>
      <c r="D66" s="64">
        <v>39.22</v>
      </c>
      <c r="E66" s="64">
        <v>5.98</v>
      </c>
      <c r="F66" s="64">
        <v>23.34</v>
      </c>
      <c r="G66" s="64">
        <v>29.4</v>
      </c>
      <c r="H66" s="64">
        <v>11.44</v>
      </c>
      <c r="I66" s="64">
        <v>3.85</v>
      </c>
      <c r="J66" s="64">
        <v>0.73</v>
      </c>
      <c r="K66" s="64">
        <v>245.9</v>
      </c>
      <c r="L66" s="64">
        <v>41.78</v>
      </c>
      <c r="M66" s="64">
        <v>25.51</v>
      </c>
      <c r="N66" s="64">
        <v>296.5</v>
      </c>
      <c r="O66" s="64">
        <v>0</v>
      </c>
      <c r="P66" s="64">
        <v>0.43</v>
      </c>
      <c r="Q66" s="64">
        <v>9.4700000000000006</v>
      </c>
      <c r="R66" s="198"/>
      <c r="S66" s="198"/>
      <c r="T66" s="198"/>
      <c r="U66" s="198"/>
    </row>
    <row r="67" spans="1:21" s="12" customFormat="1" x14ac:dyDescent="0.25">
      <c r="A67" s="214" t="s">
        <v>1360</v>
      </c>
      <c r="B67" s="64">
        <v>8.31</v>
      </c>
      <c r="C67" s="64">
        <v>26.1</v>
      </c>
      <c r="D67" s="64">
        <v>37.200000000000003</v>
      </c>
      <c r="E67" s="64">
        <v>6.79</v>
      </c>
      <c r="F67" s="64">
        <v>23.45</v>
      </c>
      <c r="G67" s="64">
        <v>29.4</v>
      </c>
      <c r="H67" s="64">
        <v>11.44</v>
      </c>
      <c r="I67" s="64">
        <v>4</v>
      </c>
      <c r="J67" s="64">
        <v>0.72</v>
      </c>
      <c r="K67" s="64">
        <v>255.29</v>
      </c>
      <c r="L67" s="64">
        <v>42.11</v>
      </c>
      <c r="M67" s="64">
        <v>25.2</v>
      </c>
      <c r="N67" s="64">
        <v>294.60000000000002</v>
      </c>
      <c r="O67" s="64">
        <v>0</v>
      </c>
      <c r="P67" s="64">
        <v>0.4</v>
      </c>
      <c r="Q67" s="64">
        <v>9.48</v>
      </c>
      <c r="R67" s="198"/>
      <c r="S67" s="198"/>
      <c r="T67" s="198"/>
      <c r="U67" s="198"/>
    </row>
    <row r="68" spans="1:21" s="12" customFormat="1" x14ac:dyDescent="0.25">
      <c r="A68" s="214" t="s">
        <v>1361</v>
      </c>
      <c r="B68" s="64">
        <v>6.02</v>
      </c>
      <c r="C68" s="64">
        <v>23.61</v>
      </c>
      <c r="D68" s="64">
        <v>35.96</v>
      </c>
      <c r="E68" s="64">
        <v>6.2</v>
      </c>
      <c r="F68" s="64">
        <v>19.670000000000002</v>
      </c>
      <c r="G68" s="64">
        <v>29.5</v>
      </c>
      <c r="H68" s="64">
        <v>11.53</v>
      </c>
      <c r="I68" s="64">
        <v>3.97</v>
      </c>
      <c r="J68" s="64">
        <v>0.69</v>
      </c>
      <c r="K68" s="64">
        <v>245.57</v>
      </c>
      <c r="L68" s="64">
        <v>41.2</v>
      </c>
      <c r="M68" s="64">
        <v>26.71</v>
      </c>
      <c r="N68" s="64">
        <v>200.3</v>
      </c>
      <c r="O68" s="64">
        <v>0</v>
      </c>
      <c r="P68" s="64">
        <v>0.35</v>
      </c>
      <c r="Q68" s="64">
        <v>9.5</v>
      </c>
      <c r="R68" s="198"/>
      <c r="S68" s="198"/>
      <c r="T68" s="198"/>
      <c r="U68" s="198"/>
    </row>
    <row r="69" spans="1:21" s="12" customFormat="1" x14ac:dyDescent="0.25">
      <c r="A69" s="214" t="s">
        <v>1362</v>
      </c>
      <c r="B69" s="64">
        <v>8.1</v>
      </c>
      <c r="C69" s="64">
        <v>29.79</v>
      </c>
      <c r="D69" s="64">
        <v>44.59</v>
      </c>
      <c r="E69" s="64">
        <v>4.18</v>
      </c>
      <c r="F69" s="64">
        <v>13.9</v>
      </c>
      <c r="G69" s="64">
        <v>30.85</v>
      </c>
      <c r="H69" s="64">
        <v>12.77</v>
      </c>
      <c r="I69" s="64">
        <v>3.89</v>
      </c>
      <c r="J69" s="64">
        <v>0.68</v>
      </c>
      <c r="K69" s="64">
        <v>243.3</v>
      </c>
      <c r="L69" s="64">
        <v>40.36</v>
      </c>
      <c r="M69" s="64">
        <v>26.79</v>
      </c>
      <c r="N69" s="64">
        <v>184.3</v>
      </c>
      <c r="O69" s="64">
        <v>0</v>
      </c>
      <c r="P69" s="64">
        <v>0.41</v>
      </c>
      <c r="Q69" s="64">
        <v>9.5299999999999994</v>
      </c>
      <c r="R69" s="198"/>
      <c r="S69" s="198"/>
      <c r="T69" s="198"/>
      <c r="U69" s="198"/>
    </row>
    <row r="70" spans="1:21" s="12" customFormat="1" x14ac:dyDescent="0.25">
      <c r="A70" s="214" t="s">
        <v>1363</v>
      </c>
      <c r="B70" s="64">
        <v>6.99</v>
      </c>
      <c r="C70" s="64">
        <v>26.11</v>
      </c>
      <c r="D70" s="64">
        <v>39.25</v>
      </c>
      <c r="E70" s="64">
        <v>4.29</v>
      </c>
      <c r="F70" s="64">
        <v>9.7100000000000009</v>
      </c>
      <c r="G70" s="64">
        <v>30.85</v>
      </c>
      <c r="H70" s="64">
        <v>12.77</v>
      </c>
      <c r="I70" s="64">
        <v>4.08</v>
      </c>
      <c r="J70" s="64">
        <v>1.22</v>
      </c>
      <c r="K70" s="64">
        <v>247.29</v>
      </c>
      <c r="L70" s="64">
        <v>40.21</v>
      </c>
      <c r="M70" s="64">
        <v>27.53</v>
      </c>
      <c r="N70" s="64">
        <v>363.5</v>
      </c>
      <c r="O70" s="64">
        <v>0</v>
      </c>
      <c r="P70" s="64">
        <v>0.43</v>
      </c>
      <c r="Q70" s="64">
        <v>9.5399999999999991</v>
      </c>
      <c r="R70" s="198"/>
      <c r="S70" s="198"/>
      <c r="T70" s="198"/>
      <c r="U70" s="198"/>
    </row>
    <row r="71" spans="1:21" s="12" customFormat="1" x14ac:dyDescent="0.25">
      <c r="A71" s="214" t="s">
        <v>1364</v>
      </c>
      <c r="B71" s="64">
        <v>7.54</v>
      </c>
      <c r="C71" s="64">
        <v>27.23</v>
      </c>
      <c r="D71" s="64">
        <v>40.549999999999997</v>
      </c>
      <c r="E71" s="64">
        <v>4.32</v>
      </c>
      <c r="F71" s="64">
        <v>10.71</v>
      </c>
      <c r="G71" s="64">
        <v>30.85</v>
      </c>
      <c r="H71" s="64">
        <v>12.77</v>
      </c>
      <c r="I71" s="64">
        <v>4.1399999999999997</v>
      </c>
      <c r="J71" s="64">
        <v>1.1399999999999999</v>
      </c>
      <c r="K71" s="64">
        <v>246.07</v>
      </c>
      <c r="L71" s="64">
        <v>40.97</v>
      </c>
      <c r="M71" s="64">
        <v>26.26</v>
      </c>
      <c r="N71" s="64">
        <v>301.89999999999998</v>
      </c>
      <c r="O71" s="64">
        <v>0</v>
      </c>
      <c r="P71" s="64">
        <v>0.42</v>
      </c>
      <c r="Q71" s="64">
        <v>9.56</v>
      </c>
      <c r="R71" s="198"/>
      <c r="S71" s="198"/>
      <c r="T71" s="198"/>
      <c r="U71" s="198"/>
    </row>
    <row r="72" spans="1:21" s="12" customFormat="1" x14ac:dyDescent="0.25">
      <c r="A72" s="214" t="s">
        <v>1365</v>
      </c>
      <c r="B72" s="64">
        <v>6.92</v>
      </c>
      <c r="C72" s="64">
        <v>26.5</v>
      </c>
      <c r="D72" s="64">
        <v>40.1</v>
      </c>
      <c r="E72" s="64">
        <v>5.19</v>
      </c>
      <c r="F72" s="64">
        <v>16.14</v>
      </c>
      <c r="G72" s="64">
        <v>30.78</v>
      </c>
      <c r="H72" s="64">
        <v>12.63</v>
      </c>
      <c r="I72" s="64">
        <v>3.95</v>
      </c>
      <c r="J72" s="64">
        <v>1.25</v>
      </c>
      <c r="K72" s="64">
        <v>245.21</v>
      </c>
      <c r="L72" s="64">
        <v>40.840000000000003</v>
      </c>
      <c r="M72" s="64">
        <v>25.91</v>
      </c>
      <c r="N72" s="64">
        <v>355.7</v>
      </c>
      <c r="O72" s="64">
        <v>0</v>
      </c>
      <c r="P72" s="64">
        <v>0.4</v>
      </c>
      <c r="Q72" s="64">
        <v>9.57</v>
      </c>
      <c r="R72" s="198"/>
      <c r="S72" s="198"/>
      <c r="T72" s="198"/>
      <c r="U72" s="198"/>
    </row>
    <row r="73" spans="1:21" s="12" customFormat="1" x14ac:dyDescent="0.25">
      <c r="A73" s="214" t="s">
        <v>1366</v>
      </c>
      <c r="B73" s="64">
        <v>6.16</v>
      </c>
      <c r="C73" s="64">
        <v>25.56</v>
      </c>
      <c r="D73" s="64">
        <v>39.46</v>
      </c>
      <c r="E73" s="64">
        <v>5.57</v>
      </c>
      <c r="F73" s="64">
        <v>10.93</v>
      </c>
      <c r="G73" s="64">
        <v>29.89</v>
      </c>
      <c r="H73" s="64">
        <v>10.67</v>
      </c>
      <c r="I73" s="64">
        <v>4.1399999999999997</v>
      </c>
      <c r="J73" s="64">
        <v>0.92</v>
      </c>
      <c r="K73" s="64">
        <v>245.48</v>
      </c>
      <c r="L73" s="64">
        <v>40.53</v>
      </c>
      <c r="M73" s="64">
        <v>24.53</v>
      </c>
      <c r="N73" s="64">
        <v>297</v>
      </c>
      <c r="O73" s="64">
        <v>0</v>
      </c>
      <c r="P73" s="64">
        <v>0.41</v>
      </c>
      <c r="Q73" s="64">
        <v>9.57</v>
      </c>
      <c r="R73" s="198"/>
      <c r="S73" s="198"/>
      <c r="T73" s="198"/>
      <c r="U73" s="198"/>
    </row>
    <row r="74" spans="1:21" s="12" customFormat="1" x14ac:dyDescent="0.25">
      <c r="A74" s="214" t="s">
        <v>1367</v>
      </c>
      <c r="B74" s="64">
        <v>6.29</v>
      </c>
      <c r="C74" s="64">
        <v>24.69</v>
      </c>
      <c r="D74" s="64">
        <v>37.61</v>
      </c>
      <c r="E74" s="64">
        <v>5.13</v>
      </c>
      <c r="F74" s="64">
        <v>7.32</v>
      </c>
      <c r="G74" s="64">
        <v>29.89</v>
      </c>
      <c r="H74" s="64">
        <v>10.67</v>
      </c>
      <c r="I74" s="64">
        <v>3.99</v>
      </c>
      <c r="J74" s="64">
        <v>1.46</v>
      </c>
      <c r="K74" s="64">
        <v>245.34</v>
      </c>
      <c r="L74" s="64">
        <v>39.69</v>
      </c>
      <c r="M74" s="64">
        <v>26.58</v>
      </c>
      <c r="N74" s="64">
        <v>116.6</v>
      </c>
      <c r="O74" s="64">
        <v>0</v>
      </c>
      <c r="P74" s="64">
        <v>0.41</v>
      </c>
      <c r="Q74" s="64">
        <v>9.56</v>
      </c>
      <c r="R74" s="198"/>
      <c r="S74" s="198"/>
      <c r="T74" s="198"/>
      <c r="U74" s="198"/>
    </row>
    <row r="75" spans="1:21" s="12" customFormat="1" x14ac:dyDescent="0.25">
      <c r="A75" s="214" t="s">
        <v>1368</v>
      </c>
      <c r="B75" s="64">
        <v>9.27</v>
      </c>
      <c r="C75" s="64">
        <v>28.95</v>
      </c>
      <c r="D75" s="64">
        <v>41.18</v>
      </c>
      <c r="E75" s="64">
        <v>5.67</v>
      </c>
      <c r="F75" s="64">
        <v>17.09</v>
      </c>
      <c r="G75" s="64">
        <v>29.89</v>
      </c>
      <c r="H75" s="64">
        <v>10.67</v>
      </c>
      <c r="I75" s="64">
        <v>4.0999999999999996</v>
      </c>
      <c r="J75" s="64">
        <v>1.24</v>
      </c>
      <c r="K75" s="64">
        <v>246.47</v>
      </c>
      <c r="L75" s="64">
        <v>39.19</v>
      </c>
      <c r="M75" s="64">
        <v>28.69</v>
      </c>
      <c r="N75" s="64">
        <v>97.7</v>
      </c>
      <c r="O75" s="64">
        <v>0</v>
      </c>
      <c r="P75" s="64">
        <v>0.47</v>
      </c>
      <c r="Q75" s="64">
        <v>9.5500000000000007</v>
      </c>
      <c r="R75" s="198"/>
      <c r="S75" s="198"/>
      <c r="T75" s="198"/>
      <c r="U75" s="198"/>
    </row>
    <row r="76" spans="1:21" s="12" customFormat="1" x14ac:dyDescent="0.25">
      <c r="A76" s="214" t="s">
        <v>1369</v>
      </c>
      <c r="B76" s="64">
        <v>8.85</v>
      </c>
      <c r="C76" s="64">
        <v>28.35</v>
      </c>
      <c r="D76" s="64">
        <v>40.67</v>
      </c>
      <c r="E76" s="64">
        <v>5.34</v>
      </c>
      <c r="F76" s="64">
        <v>11.9</v>
      </c>
      <c r="G76" s="64">
        <v>29.67</v>
      </c>
      <c r="H76" s="64">
        <v>10.7</v>
      </c>
      <c r="I76" s="64">
        <v>4.07</v>
      </c>
      <c r="J76" s="64">
        <v>1.26</v>
      </c>
      <c r="K76" s="64">
        <v>244.62</v>
      </c>
      <c r="L76" s="64">
        <v>38.840000000000003</v>
      </c>
      <c r="M76" s="64">
        <v>29.13</v>
      </c>
      <c r="N76" s="64">
        <v>120.1</v>
      </c>
      <c r="O76" s="64">
        <v>0</v>
      </c>
      <c r="P76" s="64">
        <v>0.42</v>
      </c>
      <c r="Q76" s="64">
        <v>9.5299999999999994</v>
      </c>
      <c r="R76" s="198"/>
      <c r="S76" s="198"/>
      <c r="T76" s="198"/>
      <c r="U76" s="198"/>
    </row>
    <row r="77" spans="1:21" s="12" customFormat="1" x14ac:dyDescent="0.25">
      <c r="A77" s="214" t="s">
        <v>1370</v>
      </c>
      <c r="B77" s="64">
        <v>8.61</v>
      </c>
      <c r="C77" s="64">
        <v>27.38</v>
      </c>
      <c r="D77" s="64">
        <v>39.19</v>
      </c>
      <c r="E77" s="64">
        <v>5</v>
      </c>
      <c r="F77" s="64">
        <v>12.03</v>
      </c>
      <c r="G77" s="64">
        <v>26.61</v>
      </c>
      <c r="H77" s="64">
        <v>11.14</v>
      </c>
      <c r="I77" s="64">
        <v>3.94</v>
      </c>
      <c r="J77" s="64">
        <v>1.7</v>
      </c>
      <c r="K77" s="64">
        <v>246.11</v>
      </c>
      <c r="L77" s="64">
        <v>38.840000000000003</v>
      </c>
      <c r="M77" s="64">
        <v>29.37</v>
      </c>
      <c r="N77" s="64">
        <v>103.7</v>
      </c>
      <c r="O77" s="64">
        <v>0</v>
      </c>
      <c r="P77" s="64">
        <v>0.45</v>
      </c>
      <c r="Q77" s="64">
        <v>9.52</v>
      </c>
      <c r="R77" s="198"/>
      <c r="S77" s="198"/>
      <c r="T77" s="198"/>
      <c r="U77" s="198"/>
    </row>
    <row r="78" spans="1:21" s="12" customFormat="1" x14ac:dyDescent="0.25">
      <c r="A78" s="214" t="s">
        <v>1371</v>
      </c>
      <c r="B78" s="64">
        <v>8.17</v>
      </c>
      <c r="C78" s="64">
        <v>25.49</v>
      </c>
      <c r="D78" s="64">
        <v>36.25</v>
      </c>
      <c r="E78" s="64">
        <v>4.5</v>
      </c>
      <c r="F78" s="64">
        <v>5.92</v>
      </c>
      <c r="G78" s="64">
        <v>26.61</v>
      </c>
      <c r="H78" s="64">
        <v>11.14</v>
      </c>
      <c r="I78" s="64">
        <v>4.12</v>
      </c>
      <c r="J78" s="64">
        <v>2.2400000000000002</v>
      </c>
      <c r="K78" s="64">
        <v>244.17</v>
      </c>
      <c r="L78" s="64">
        <v>38.28</v>
      </c>
      <c r="M78" s="64">
        <v>30.2</v>
      </c>
      <c r="N78" s="64">
        <v>82.1</v>
      </c>
      <c r="O78" s="64">
        <v>0</v>
      </c>
      <c r="P78" s="64">
        <v>0.44</v>
      </c>
      <c r="Q78" s="64">
        <v>9.51</v>
      </c>
      <c r="R78" s="198"/>
      <c r="S78" s="198"/>
      <c r="T78" s="198"/>
      <c r="U78" s="198"/>
    </row>
    <row r="79" spans="1:21" s="12" customFormat="1" x14ac:dyDescent="0.25">
      <c r="A79" s="214" t="s">
        <v>1372</v>
      </c>
      <c r="B79" s="64">
        <v>7.58</v>
      </c>
      <c r="C79" s="64">
        <v>25.88</v>
      </c>
      <c r="D79" s="64">
        <v>37.9</v>
      </c>
      <c r="E79" s="64">
        <v>4.5199999999999996</v>
      </c>
      <c r="F79" s="64">
        <v>10.57</v>
      </c>
      <c r="G79" s="64">
        <v>26.61</v>
      </c>
      <c r="H79" s="64">
        <v>11.14</v>
      </c>
      <c r="I79" s="64">
        <v>4.13</v>
      </c>
      <c r="J79" s="64">
        <v>1.76</v>
      </c>
      <c r="K79" s="64">
        <v>245.73</v>
      </c>
      <c r="L79" s="64">
        <v>37.74</v>
      </c>
      <c r="M79" s="64">
        <v>30.66</v>
      </c>
      <c r="N79" s="64">
        <v>61.2</v>
      </c>
      <c r="O79" s="64">
        <v>0</v>
      </c>
      <c r="P79" s="64">
        <v>0.45</v>
      </c>
      <c r="Q79" s="64">
        <v>9.5</v>
      </c>
      <c r="R79" s="198"/>
      <c r="S79" s="198"/>
      <c r="T79" s="198"/>
      <c r="U79" s="198"/>
    </row>
    <row r="80" spans="1:21" s="12" customFormat="1" x14ac:dyDescent="0.25">
      <c r="A80" s="214" t="s">
        <v>1373</v>
      </c>
      <c r="B80" s="64">
        <v>11.19</v>
      </c>
      <c r="C80" s="64">
        <v>33.42</v>
      </c>
      <c r="D80" s="64">
        <v>46.79</v>
      </c>
      <c r="E80" s="64">
        <v>7.33</v>
      </c>
      <c r="F80" s="64">
        <v>17.41</v>
      </c>
      <c r="G80" s="64">
        <v>26.53</v>
      </c>
      <c r="H80" s="64">
        <v>11.04</v>
      </c>
      <c r="I80" s="64">
        <v>3.93</v>
      </c>
      <c r="J80" s="64">
        <v>1.22</v>
      </c>
      <c r="K80" s="64">
        <v>245.67</v>
      </c>
      <c r="L80" s="64">
        <v>37.270000000000003</v>
      </c>
      <c r="M80" s="64">
        <v>31.71</v>
      </c>
      <c r="N80" s="64">
        <v>46</v>
      </c>
      <c r="O80" s="64">
        <v>0</v>
      </c>
      <c r="P80" s="64">
        <v>0.66</v>
      </c>
      <c r="Q80" s="64">
        <v>9.5</v>
      </c>
      <c r="R80" s="198"/>
      <c r="S80" s="198"/>
      <c r="T80" s="198"/>
      <c r="U80" s="198"/>
    </row>
    <row r="81" spans="1:26" s="12" customFormat="1" x14ac:dyDescent="0.25">
      <c r="A81" s="214" t="s">
        <v>1374</v>
      </c>
      <c r="B81" s="64">
        <v>12.2</v>
      </c>
      <c r="C81" s="64">
        <v>33.36</v>
      </c>
      <c r="D81" s="64">
        <v>45.13</v>
      </c>
      <c r="E81" s="64">
        <v>7.31</v>
      </c>
      <c r="F81" s="64">
        <v>14.48</v>
      </c>
      <c r="G81" s="64">
        <v>25.4</v>
      </c>
      <c r="H81" s="64">
        <v>9.6300000000000008</v>
      </c>
      <c r="I81" s="64">
        <v>4</v>
      </c>
      <c r="J81" s="64">
        <v>1.26</v>
      </c>
      <c r="K81" s="64">
        <v>244.59</v>
      </c>
      <c r="L81" s="64">
        <v>36.909999999999997</v>
      </c>
      <c r="M81" s="64">
        <v>32.53</v>
      </c>
      <c r="N81" s="64">
        <v>39.200000000000003</v>
      </c>
      <c r="O81" s="64">
        <v>0</v>
      </c>
      <c r="P81" s="64">
        <v>0.61</v>
      </c>
      <c r="Q81" s="64">
        <v>9.51</v>
      </c>
      <c r="R81" s="198"/>
      <c r="S81" s="198"/>
      <c r="T81" s="198"/>
      <c r="U81" s="198"/>
    </row>
    <row r="82" spans="1:26" s="12" customFormat="1" x14ac:dyDescent="0.25">
      <c r="A82" s="214" t="s">
        <v>1375</v>
      </c>
      <c r="B82" s="64">
        <v>15.45</v>
      </c>
      <c r="C82" s="64">
        <v>39.06</v>
      </c>
      <c r="D82" s="64">
        <v>51.04</v>
      </c>
      <c r="E82" s="64">
        <v>6.17</v>
      </c>
      <c r="F82" s="64">
        <v>14.63</v>
      </c>
      <c r="G82" s="64">
        <v>25.4</v>
      </c>
      <c r="H82" s="64">
        <v>9.6300000000000008</v>
      </c>
      <c r="I82" s="64">
        <v>4.07</v>
      </c>
      <c r="J82" s="64">
        <v>1.1499999999999999</v>
      </c>
      <c r="K82" s="64">
        <v>243.56</v>
      </c>
      <c r="L82" s="64">
        <v>36.520000000000003</v>
      </c>
      <c r="M82" s="64">
        <v>33.409999999999997</v>
      </c>
      <c r="N82" s="64">
        <v>32.5</v>
      </c>
      <c r="O82" s="64">
        <v>0</v>
      </c>
      <c r="P82" s="64">
        <v>0.65</v>
      </c>
      <c r="Q82" s="64">
        <v>9.52</v>
      </c>
      <c r="R82" s="198"/>
      <c r="S82" s="198"/>
      <c r="T82" s="198"/>
      <c r="U82" s="198"/>
    </row>
    <row r="83" spans="1:26" s="12" customFormat="1" x14ac:dyDescent="0.25">
      <c r="A83" s="214" t="s">
        <v>1376</v>
      </c>
      <c r="B83" s="64">
        <v>8.92</v>
      </c>
      <c r="C83" s="64">
        <v>31.55</v>
      </c>
      <c r="D83" s="64">
        <v>46.7</v>
      </c>
      <c r="E83" s="64">
        <v>5.78</v>
      </c>
      <c r="F83" s="64">
        <v>9.15</v>
      </c>
      <c r="G83" s="64">
        <v>25.4</v>
      </c>
      <c r="H83" s="64">
        <v>9.6300000000000008</v>
      </c>
      <c r="I83" s="64">
        <v>3.98</v>
      </c>
      <c r="J83" s="64">
        <v>1.22</v>
      </c>
      <c r="K83" s="64">
        <v>242.53</v>
      </c>
      <c r="L83" s="64">
        <v>36.11</v>
      </c>
      <c r="M83" s="64">
        <v>34.17</v>
      </c>
      <c r="N83" s="64">
        <v>29.2</v>
      </c>
      <c r="O83" s="64">
        <v>0</v>
      </c>
      <c r="P83" s="64">
        <v>0.59</v>
      </c>
      <c r="Q83" s="64">
        <v>9.5399999999999991</v>
      </c>
      <c r="R83" s="198"/>
      <c r="S83" s="198"/>
      <c r="T83" s="198"/>
      <c r="U83" s="198"/>
    </row>
    <row r="84" spans="1:26" s="12" customFormat="1" x14ac:dyDescent="0.25">
      <c r="A84" s="214" t="s">
        <v>1377</v>
      </c>
      <c r="B84" s="64">
        <v>8.31</v>
      </c>
      <c r="C84" s="64">
        <v>31.16</v>
      </c>
      <c r="D84" s="64">
        <v>46.88</v>
      </c>
      <c r="E84" s="64">
        <v>5.09</v>
      </c>
      <c r="F84" s="64">
        <v>11.21</v>
      </c>
      <c r="G84" s="64">
        <v>25.59</v>
      </c>
      <c r="H84" s="64">
        <v>9.6999999999999993</v>
      </c>
      <c r="I84" s="64">
        <v>3.97</v>
      </c>
      <c r="J84" s="64">
        <v>1.1499999999999999</v>
      </c>
      <c r="K84" s="64">
        <v>239.42</v>
      </c>
      <c r="L84" s="64">
        <v>35.82</v>
      </c>
      <c r="M84" s="64">
        <v>35.69</v>
      </c>
      <c r="N84" s="64">
        <v>28.9</v>
      </c>
      <c r="O84" s="64">
        <v>0</v>
      </c>
      <c r="P84" s="64">
        <v>0.56999999999999995</v>
      </c>
      <c r="Q84" s="64">
        <v>9.57</v>
      </c>
      <c r="R84" s="198"/>
      <c r="S84" s="198"/>
      <c r="T84" s="198"/>
      <c r="U84" s="198"/>
    </row>
    <row r="85" spans="1:26" s="12" customFormat="1" x14ac:dyDescent="0.25">
      <c r="A85" s="214" t="s">
        <v>1378</v>
      </c>
      <c r="B85" s="64">
        <v>11.31</v>
      </c>
      <c r="C85" s="64">
        <v>34.24</v>
      </c>
      <c r="D85" s="64">
        <v>48.18</v>
      </c>
      <c r="E85" s="64">
        <v>5.15</v>
      </c>
      <c r="F85" s="64">
        <v>13.6</v>
      </c>
      <c r="G85" s="64">
        <v>28.29</v>
      </c>
      <c r="H85" s="64">
        <v>10.6</v>
      </c>
      <c r="I85" s="64">
        <v>4.0599999999999996</v>
      </c>
      <c r="J85" s="64">
        <v>1.1000000000000001</v>
      </c>
      <c r="K85" s="64">
        <v>244.19</v>
      </c>
      <c r="L85" s="64">
        <v>35.53</v>
      </c>
      <c r="M85" s="64">
        <v>37.31</v>
      </c>
      <c r="N85" s="64">
        <v>28.8</v>
      </c>
      <c r="O85" s="64">
        <v>0</v>
      </c>
      <c r="P85" s="64">
        <v>0.64</v>
      </c>
      <c r="Q85" s="64">
        <v>9.59</v>
      </c>
      <c r="R85" s="198"/>
      <c r="S85" s="198"/>
      <c r="T85" s="198"/>
      <c r="U85" s="198"/>
    </row>
    <row r="86" spans="1:26" s="12" customFormat="1" x14ac:dyDescent="0.25">
      <c r="A86" s="214" t="s">
        <v>1379</v>
      </c>
      <c r="B86" s="64">
        <v>10.029999999999999</v>
      </c>
      <c r="C86" s="64">
        <v>32.229999999999997</v>
      </c>
      <c r="D86" s="64">
        <v>46.29</v>
      </c>
      <c r="E86" s="64">
        <v>5.56</v>
      </c>
      <c r="F86" s="64">
        <v>15.32</v>
      </c>
      <c r="G86" s="64">
        <v>28.29</v>
      </c>
      <c r="H86" s="64">
        <v>10.6</v>
      </c>
      <c r="I86" s="64">
        <v>3.91</v>
      </c>
      <c r="J86" s="64">
        <v>0.85</v>
      </c>
      <c r="K86" s="64">
        <v>244.65</v>
      </c>
      <c r="L86" s="64">
        <v>35.26</v>
      </c>
      <c r="M86" s="64">
        <v>38.409999999999997</v>
      </c>
      <c r="N86" s="64">
        <v>28.8</v>
      </c>
      <c r="O86" s="64">
        <v>0</v>
      </c>
      <c r="P86" s="64">
        <v>0.71</v>
      </c>
      <c r="Q86" s="64">
        <v>9.59</v>
      </c>
      <c r="R86" s="198"/>
      <c r="S86" s="198"/>
      <c r="T86" s="198"/>
      <c r="U86" s="198"/>
    </row>
    <row r="87" spans="1:26" s="12" customFormat="1" x14ac:dyDescent="0.25">
      <c r="A87" s="214" t="s">
        <v>1380</v>
      </c>
      <c r="B87" s="64">
        <v>13.23</v>
      </c>
      <c r="C87" s="64">
        <v>45.74</v>
      </c>
      <c r="D87" s="64">
        <v>67.239999999999995</v>
      </c>
      <c r="E87" s="64">
        <v>6.29</v>
      </c>
      <c r="F87" s="64">
        <v>15.17</v>
      </c>
      <c r="G87" s="64">
        <v>28.29</v>
      </c>
      <c r="H87" s="64">
        <v>10.6</v>
      </c>
      <c r="I87" s="64">
        <v>4.03</v>
      </c>
      <c r="J87" s="64">
        <v>0.56999999999999995</v>
      </c>
      <c r="K87" s="64">
        <v>244.98</v>
      </c>
      <c r="L87" s="64">
        <v>35.1</v>
      </c>
      <c r="M87" s="64">
        <v>38.53</v>
      </c>
      <c r="N87" s="64">
        <v>28.8</v>
      </c>
      <c r="O87" s="64">
        <v>0</v>
      </c>
      <c r="P87" s="64">
        <v>0.99</v>
      </c>
      <c r="Q87" s="64">
        <v>9.59</v>
      </c>
      <c r="R87" s="198"/>
      <c r="S87" s="198"/>
      <c r="T87" s="198"/>
      <c r="U87" s="198"/>
    </row>
    <row r="88" spans="1:26" s="12" customFormat="1" x14ac:dyDescent="0.25">
      <c r="A88" s="214" t="s">
        <v>1381</v>
      </c>
      <c r="B88" s="64">
        <v>17.2</v>
      </c>
      <c r="C88" s="64">
        <v>52.16</v>
      </c>
      <c r="D88" s="64">
        <v>73.430000000000007</v>
      </c>
      <c r="E88" s="64">
        <v>6.67</v>
      </c>
      <c r="F88" s="64">
        <v>14.65</v>
      </c>
      <c r="G88" s="64">
        <v>28.46</v>
      </c>
      <c r="H88" s="64">
        <v>10.43</v>
      </c>
      <c r="I88" s="64">
        <v>3.97</v>
      </c>
      <c r="J88" s="64">
        <v>0.49</v>
      </c>
      <c r="K88" s="64">
        <v>244.74</v>
      </c>
      <c r="L88" s="64">
        <v>34.9</v>
      </c>
      <c r="M88" s="64">
        <v>38.57</v>
      </c>
      <c r="N88" s="64">
        <v>28.8</v>
      </c>
      <c r="O88" s="64">
        <v>0</v>
      </c>
      <c r="P88" s="64">
        <v>1</v>
      </c>
      <c r="Q88" s="64">
        <v>9.59</v>
      </c>
      <c r="R88" s="198"/>
      <c r="S88" s="198"/>
      <c r="T88" s="198"/>
      <c r="U88" s="198"/>
    </row>
    <row r="89" spans="1:26" s="12" customFormat="1" x14ac:dyDescent="0.25">
      <c r="A89" s="214" t="s">
        <v>1382</v>
      </c>
      <c r="B89" s="64">
        <v>17.920000000000002</v>
      </c>
      <c r="C89" s="64">
        <v>52.25</v>
      </c>
      <c r="D89" s="64">
        <v>72.5</v>
      </c>
      <c r="E89" s="64">
        <v>6.75</v>
      </c>
      <c r="F89" s="64">
        <v>13.13</v>
      </c>
      <c r="G89" s="64">
        <v>30.77</v>
      </c>
      <c r="H89" s="64">
        <v>8.15</v>
      </c>
      <c r="I89" s="64">
        <v>4.05</v>
      </c>
      <c r="J89" s="64">
        <v>0.5</v>
      </c>
      <c r="K89" s="64">
        <v>244.22</v>
      </c>
      <c r="L89" s="64">
        <v>34.520000000000003</v>
      </c>
      <c r="M89" s="64">
        <v>39.1</v>
      </c>
      <c r="N89" s="64">
        <v>28.8</v>
      </c>
      <c r="O89" s="64">
        <v>0</v>
      </c>
      <c r="P89" s="64">
        <v>1.28</v>
      </c>
      <c r="Q89" s="64">
        <v>9.57</v>
      </c>
      <c r="R89" s="198"/>
      <c r="S89" s="198"/>
      <c r="T89" s="198"/>
      <c r="U89" s="198"/>
    </row>
    <row r="90" spans="1:26" s="12" customFormat="1" x14ac:dyDescent="0.25">
      <c r="A90" s="214" t="s">
        <v>1383</v>
      </c>
      <c r="B90" s="64">
        <v>17.579999999999998</v>
      </c>
      <c r="C90" s="64">
        <v>47.66</v>
      </c>
      <c r="D90" s="64">
        <v>64.23</v>
      </c>
      <c r="E90" s="64">
        <v>6.72</v>
      </c>
      <c r="F90" s="64">
        <v>13.5</v>
      </c>
      <c r="G90" s="64">
        <v>30.77</v>
      </c>
      <c r="H90" s="64">
        <v>8.15</v>
      </c>
      <c r="I90" s="64">
        <v>3.9</v>
      </c>
      <c r="J90" s="64">
        <v>0.59</v>
      </c>
      <c r="K90" s="64">
        <v>243.58</v>
      </c>
      <c r="L90" s="64">
        <v>34.43</v>
      </c>
      <c r="M90" s="64">
        <v>37.229999999999997</v>
      </c>
      <c r="N90" s="64">
        <v>28.5</v>
      </c>
      <c r="O90" s="64">
        <v>0</v>
      </c>
      <c r="P90" s="64">
        <v>1.1100000000000001</v>
      </c>
      <c r="Q90" s="64">
        <v>9.57</v>
      </c>
      <c r="R90" s="198"/>
      <c r="S90" s="198"/>
      <c r="T90" s="198"/>
      <c r="U90" s="198"/>
    </row>
    <row r="91" spans="1:26" s="12" customFormat="1" x14ac:dyDescent="0.25">
      <c r="A91" s="214" t="s">
        <v>1384</v>
      </c>
      <c r="B91" s="64">
        <v>11.51</v>
      </c>
      <c r="C91" s="64">
        <v>38.26</v>
      </c>
      <c r="D91" s="64">
        <v>55.56</v>
      </c>
      <c r="E91" s="64">
        <v>7.28</v>
      </c>
      <c r="F91" s="64">
        <v>13.83</v>
      </c>
      <c r="G91" s="64">
        <v>30.77</v>
      </c>
      <c r="H91" s="64">
        <v>8.15</v>
      </c>
      <c r="I91" s="64">
        <v>4.04</v>
      </c>
      <c r="J91" s="64">
        <v>0.59</v>
      </c>
      <c r="K91" s="64">
        <v>244.39</v>
      </c>
      <c r="L91" s="64">
        <v>34.22</v>
      </c>
      <c r="M91" s="64">
        <v>37.229999999999997</v>
      </c>
      <c r="N91" s="64">
        <v>28.6</v>
      </c>
      <c r="O91" s="64">
        <v>0</v>
      </c>
      <c r="P91" s="64">
        <v>1.03</v>
      </c>
      <c r="Q91" s="64">
        <v>9.59</v>
      </c>
      <c r="R91" s="198"/>
      <c r="S91" s="198"/>
      <c r="T91" s="198"/>
      <c r="U91" s="198"/>
    </row>
    <row r="92" spans="1:26" s="12" customFormat="1" x14ac:dyDescent="0.25">
      <c r="A92" s="214" t="s">
        <v>1385</v>
      </c>
      <c r="B92" s="64">
        <v>17.14</v>
      </c>
      <c r="C92" s="64">
        <v>44.19</v>
      </c>
      <c r="D92" s="64">
        <v>58.34</v>
      </c>
      <c r="E92" s="64">
        <v>6.16</v>
      </c>
      <c r="F92" s="64">
        <v>11.42</v>
      </c>
      <c r="G92" s="64">
        <v>30.83</v>
      </c>
      <c r="H92" s="64">
        <v>8.52</v>
      </c>
      <c r="I92" s="64">
        <v>4.1500000000000004</v>
      </c>
      <c r="J92" s="64">
        <v>0.56999999999999995</v>
      </c>
      <c r="K92" s="64">
        <v>244.19</v>
      </c>
      <c r="L92" s="64">
        <v>34.11</v>
      </c>
      <c r="M92" s="64">
        <v>37.24</v>
      </c>
      <c r="N92" s="64">
        <v>28.7</v>
      </c>
      <c r="O92" s="64">
        <v>0</v>
      </c>
      <c r="P92" s="64">
        <v>1.01</v>
      </c>
      <c r="Q92" s="64">
        <v>9.59</v>
      </c>
      <c r="R92" s="198"/>
      <c r="S92" s="198"/>
      <c r="T92" s="198"/>
      <c r="U92" s="198"/>
    </row>
    <row r="93" spans="1:26" s="12" customFormat="1" x14ac:dyDescent="0.25">
      <c r="A93" s="214" t="s">
        <v>1386</v>
      </c>
      <c r="B93" s="64">
        <v>15.96</v>
      </c>
      <c r="C93" s="64">
        <v>49.38</v>
      </c>
      <c r="D93" s="64">
        <v>70</v>
      </c>
      <c r="E93" s="64">
        <v>6.87</v>
      </c>
      <c r="F93" s="64">
        <v>11.95</v>
      </c>
      <c r="G93" s="64">
        <v>31.61</v>
      </c>
      <c r="H93" s="64">
        <v>13.7</v>
      </c>
      <c r="I93" s="64">
        <v>3.92</v>
      </c>
      <c r="J93" s="64">
        <v>0.51</v>
      </c>
      <c r="K93" s="64">
        <v>244.01</v>
      </c>
      <c r="L93" s="64">
        <v>33.840000000000003</v>
      </c>
      <c r="M93" s="64">
        <v>38.590000000000003</v>
      </c>
      <c r="N93" s="64">
        <v>28.9</v>
      </c>
      <c r="O93" s="64">
        <v>0</v>
      </c>
      <c r="P93" s="64">
        <v>1.19</v>
      </c>
      <c r="Q93" s="64">
        <v>9.57</v>
      </c>
      <c r="R93" s="198"/>
      <c r="S93" s="198"/>
      <c r="T93" s="198"/>
      <c r="U93" s="198"/>
    </row>
    <row r="94" spans="1:26" s="12" customFormat="1" x14ac:dyDescent="0.25">
      <c r="A94" s="214" t="s">
        <v>1387</v>
      </c>
      <c r="B94" s="64">
        <v>13.12</v>
      </c>
      <c r="C94" s="64">
        <v>43.53</v>
      </c>
      <c r="D94" s="64">
        <v>63.17</v>
      </c>
      <c r="E94" s="64">
        <v>6.6</v>
      </c>
      <c r="F94" s="64">
        <v>12.17</v>
      </c>
      <c r="G94" s="64">
        <v>31.61</v>
      </c>
      <c r="H94" s="64">
        <v>13.7</v>
      </c>
      <c r="I94" s="64">
        <v>3.76</v>
      </c>
      <c r="J94" s="64">
        <v>0.49</v>
      </c>
      <c r="K94" s="64">
        <v>243.28</v>
      </c>
      <c r="L94" s="64">
        <v>33.74</v>
      </c>
      <c r="M94" s="64">
        <v>38.700000000000003</v>
      </c>
      <c r="N94" s="64">
        <v>28.8</v>
      </c>
      <c r="O94" s="64">
        <v>0</v>
      </c>
      <c r="P94" s="64">
        <v>0.87</v>
      </c>
      <c r="Q94" s="64">
        <v>9.57</v>
      </c>
      <c r="R94" s="198"/>
      <c r="S94" s="198"/>
      <c r="T94" s="198"/>
      <c r="U94" s="198"/>
    </row>
    <row r="95" spans="1:26" s="12" customFormat="1" x14ac:dyDescent="0.25">
      <c r="A95" s="214" t="s">
        <v>1388</v>
      </c>
      <c r="B95" s="64">
        <v>18.25</v>
      </c>
      <c r="C95" s="64">
        <v>47.71</v>
      </c>
      <c r="D95" s="64">
        <v>63.29</v>
      </c>
      <c r="E95" s="64">
        <v>6.08</v>
      </c>
      <c r="F95" s="64">
        <v>11.46</v>
      </c>
      <c r="G95" s="64">
        <v>31.61</v>
      </c>
      <c r="H95" s="64">
        <v>13.7</v>
      </c>
      <c r="I95" s="64">
        <v>3.91</v>
      </c>
      <c r="J95" s="64">
        <v>0.46</v>
      </c>
      <c r="K95" s="64">
        <v>244.19</v>
      </c>
      <c r="L95" s="64">
        <v>33.76</v>
      </c>
      <c r="M95" s="64">
        <v>38.54</v>
      </c>
      <c r="N95" s="64">
        <v>28.8</v>
      </c>
      <c r="O95" s="64">
        <v>0</v>
      </c>
      <c r="P95" s="64">
        <v>0.92</v>
      </c>
      <c r="Q95" s="64">
        <v>9.58</v>
      </c>
      <c r="R95" s="198"/>
      <c r="S95" s="198"/>
      <c r="T95" s="198"/>
      <c r="U95" s="198"/>
    </row>
    <row r="96" spans="1:26" s="12" customFormat="1" x14ac:dyDescent="0.25">
      <c r="A96" s="214" t="s">
        <v>1389</v>
      </c>
      <c r="B96" s="64">
        <v>17.38</v>
      </c>
      <c r="C96" s="64">
        <v>48.17</v>
      </c>
      <c r="D96" s="64">
        <v>65.52</v>
      </c>
      <c r="E96" s="64">
        <v>7.16</v>
      </c>
      <c r="F96" s="64">
        <v>12.33</v>
      </c>
      <c r="G96" s="64">
        <v>31.95</v>
      </c>
      <c r="H96" s="64">
        <v>13.65</v>
      </c>
      <c r="I96" s="64">
        <v>3.95</v>
      </c>
      <c r="J96" s="64">
        <v>0.47</v>
      </c>
      <c r="K96" s="64">
        <v>243.25</v>
      </c>
      <c r="L96" s="64">
        <v>33.54</v>
      </c>
      <c r="M96" s="64">
        <v>39.42</v>
      </c>
      <c r="N96" s="64">
        <v>28.8</v>
      </c>
      <c r="O96" s="64">
        <v>0</v>
      </c>
      <c r="P96" s="64">
        <v>1</v>
      </c>
      <c r="Q96" s="64">
        <v>9.59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1390</v>
      </c>
      <c r="B97" s="64">
        <v>40.08</v>
      </c>
      <c r="C97" s="64">
        <v>79.73</v>
      </c>
      <c r="D97" s="64">
        <v>91.07</v>
      </c>
      <c r="E97" s="64">
        <v>7.62</v>
      </c>
      <c r="F97" s="64">
        <v>8.83</v>
      </c>
      <c r="G97" s="64">
        <v>36.700000000000003</v>
      </c>
      <c r="H97" s="64">
        <v>12.95</v>
      </c>
      <c r="I97" s="64">
        <v>4.01</v>
      </c>
      <c r="J97" s="64">
        <v>0.35</v>
      </c>
      <c r="K97" s="64">
        <v>240.87</v>
      </c>
      <c r="L97" s="64">
        <v>33.36</v>
      </c>
      <c r="M97" s="64">
        <v>39.76</v>
      </c>
      <c r="N97" s="64">
        <v>28.9</v>
      </c>
      <c r="O97" s="64">
        <v>0</v>
      </c>
      <c r="P97" s="64">
        <v>1.03</v>
      </c>
      <c r="Q97" s="64">
        <v>9.57</v>
      </c>
      <c r="R97" s="198"/>
      <c r="S97" s="198"/>
      <c r="T97" s="198"/>
      <c r="U97" s="198"/>
    </row>
    <row r="98" spans="1:33" s="12" customFormat="1" x14ac:dyDescent="0.25">
      <c r="A98" s="214" t="s">
        <v>1391</v>
      </c>
      <c r="B98" s="64">
        <v>32.58</v>
      </c>
      <c r="C98" s="64">
        <v>71.650000000000006</v>
      </c>
      <c r="D98" s="64">
        <v>87.14</v>
      </c>
      <c r="E98" s="64">
        <v>9.69</v>
      </c>
      <c r="F98" s="64">
        <v>8.5500000000000007</v>
      </c>
      <c r="G98" s="64">
        <v>36.700000000000003</v>
      </c>
      <c r="H98" s="64">
        <v>12.95</v>
      </c>
      <c r="I98" s="64">
        <v>4.0199999999999996</v>
      </c>
      <c r="J98" s="64">
        <v>0.4</v>
      </c>
      <c r="K98" s="64">
        <v>241.45</v>
      </c>
      <c r="L98" s="64">
        <v>33.11</v>
      </c>
      <c r="M98" s="64">
        <v>40.880000000000003</v>
      </c>
      <c r="N98" s="64">
        <v>28.8</v>
      </c>
      <c r="O98" s="64">
        <v>0</v>
      </c>
      <c r="P98" s="64">
        <v>1.1499999999999999</v>
      </c>
      <c r="Q98" s="64">
        <v>9.5399999999999991</v>
      </c>
      <c r="R98" s="198"/>
      <c r="S98" s="198"/>
      <c r="T98" s="198"/>
      <c r="U98" s="198"/>
    </row>
    <row r="99" spans="1:33" s="12" customFormat="1" x14ac:dyDescent="0.25">
      <c r="A99" s="214" t="s">
        <v>1392</v>
      </c>
      <c r="B99" s="64">
        <v>23.49</v>
      </c>
      <c r="C99" s="64">
        <v>57.16</v>
      </c>
      <c r="D99" s="64">
        <v>73.349999999999994</v>
      </c>
      <c r="E99" s="64">
        <v>10.28</v>
      </c>
      <c r="F99" s="64">
        <v>9.57</v>
      </c>
      <c r="G99" s="64">
        <v>36.700000000000003</v>
      </c>
      <c r="H99" s="64">
        <v>12.95</v>
      </c>
      <c r="I99" s="64">
        <v>4.01</v>
      </c>
      <c r="J99" s="64">
        <v>0.47</v>
      </c>
      <c r="K99" s="64">
        <v>242.59</v>
      </c>
      <c r="L99" s="64">
        <v>32.9</v>
      </c>
      <c r="M99" s="64">
        <v>42.3</v>
      </c>
      <c r="N99" s="64">
        <v>28.7</v>
      </c>
      <c r="O99" s="64">
        <v>0</v>
      </c>
      <c r="P99" s="64">
        <v>0.97</v>
      </c>
      <c r="Q99" s="64">
        <v>9.59</v>
      </c>
      <c r="R99" s="198"/>
      <c r="S99" s="198"/>
      <c r="T99" s="198"/>
      <c r="U99" s="198"/>
    </row>
    <row r="100" spans="1:33" s="12" customFormat="1" x14ac:dyDescent="0.25">
      <c r="A100" s="214" t="s">
        <v>1393</v>
      </c>
      <c r="B100" s="64">
        <v>19.48</v>
      </c>
      <c r="C100" s="64">
        <v>54</v>
      </c>
      <c r="D100" s="64">
        <v>73.459999999999994</v>
      </c>
      <c r="E100" s="64">
        <v>8.7100000000000009</v>
      </c>
      <c r="F100" s="64">
        <v>9.24</v>
      </c>
      <c r="G100" s="64">
        <v>37.07</v>
      </c>
      <c r="H100" s="64">
        <v>12.91</v>
      </c>
      <c r="I100" s="64">
        <v>3.93</v>
      </c>
      <c r="J100" s="64">
        <v>0.4</v>
      </c>
      <c r="K100" s="64">
        <v>242.6</v>
      </c>
      <c r="L100" s="64">
        <v>32.770000000000003</v>
      </c>
      <c r="M100" s="64">
        <v>42.35</v>
      </c>
      <c r="N100" s="64">
        <v>28.8</v>
      </c>
      <c r="O100" s="64">
        <v>0</v>
      </c>
      <c r="P100" s="64">
        <v>0.94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1394</v>
      </c>
      <c r="B101" s="64">
        <v>11.46</v>
      </c>
      <c r="C101" s="64">
        <v>38.299999999999997</v>
      </c>
      <c r="D101" s="64">
        <v>55.71</v>
      </c>
      <c r="E101" s="64">
        <v>7.93</v>
      </c>
      <c r="F101" s="64">
        <v>10.4</v>
      </c>
      <c r="G101" s="64">
        <v>42.24</v>
      </c>
      <c r="H101" s="64">
        <v>12.35</v>
      </c>
      <c r="I101" s="64">
        <v>3.92</v>
      </c>
      <c r="J101" s="64">
        <v>0.47</v>
      </c>
      <c r="K101" s="64">
        <v>243.15</v>
      </c>
      <c r="L101" s="64">
        <v>32.61</v>
      </c>
      <c r="M101" s="64">
        <v>42.93</v>
      </c>
      <c r="N101" s="64">
        <v>28.8</v>
      </c>
      <c r="O101" s="64">
        <v>0</v>
      </c>
      <c r="P101" s="64">
        <v>0.89</v>
      </c>
      <c r="Q101" s="64">
        <v>9.57</v>
      </c>
      <c r="R101" s="198"/>
      <c r="S101" s="198"/>
      <c r="T101" s="198"/>
      <c r="U101" s="198"/>
    </row>
    <row r="102" spans="1:33" s="12" customFormat="1" x14ac:dyDescent="0.25">
      <c r="A102" s="214" t="s">
        <v>1395</v>
      </c>
      <c r="B102" s="64">
        <v>10.26</v>
      </c>
      <c r="C102" s="64">
        <v>36.22</v>
      </c>
      <c r="D102" s="64">
        <v>53.57</v>
      </c>
      <c r="E102" s="64">
        <v>7.83</v>
      </c>
      <c r="F102" s="64">
        <v>10.73</v>
      </c>
      <c r="G102" s="64">
        <v>42.24</v>
      </c>
      <c r="H102" s="64">
        <v>12.35</v>
      </c>
      <c r="I102" s="64">
        <v>3.94</v>
      </c>
      <c r="J102" s="64">
        <v>0.44</v>
      </c>
      <c r="K102" s="64">
        <v>243.65</v>
      </c>
      <c r="L102" s="64">
        <v>32.57</v>
      </c>
      <c r="M102" s="64">
        <v>43.44</v>
      </c>
      <c r="N102" s="64">
        <v>28.8</v>
      </c>
      <c r="O102" s="64">
        <v>0</v>
      </c>
      <c r="P102" s="64">
        <v>0.89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4" t="s">
        <v>1396</v>
      </c>
      <c r="B103" s="64">
        <v>15.63</v>
      </c>
      <c r="C103" s="64">
        <v>44.01</v>
      </c>
      <c r="D103" s="64">
        <v>60.23</v>
      </c>
      <c r="E103" s="64">
        <v>9.49</v>
      </c>
      <c r="F103" s="64">
        <v>9.77</v>
      </c>
      <c r="G103" s="64">
        <v>42.24</v>
      </c>
      <c r="H103" s="64">
        <v>12.35</v>
      </c>
      <c r="I103" s="64">
        <v>4.0599999999999996</v>
      </c>
      <c r="J103" s="64">
        <v>0.44</v>
      </c>
      <c r="K103" s="64">
        <v>244.06</v>
      </c>
      <c r="L103" s="64">
        <v>32.61</v>
      </c>
      <c r="M103" s="64">
        <v>43.67</v>
      </c>
      <c r="N103" s="64">
        <v>28.8</v>
      </c>
      <c r="O103" s="64">
        <v>0</v>
      </c>
      <c r="P103" s="64">
        <v>0.9</v>
      </c>
      <c r="Q103" s="64">
        <v>9.64</v>
      </c>
      <c r="R103" s="198"/>
      <c r="S103" s="198"/>
      <c r="T103" s="198"/>
      <c r="U103" s="198"/>
    </row>
    <row r="104" spans="1:33" s="12" customFormat="1" x14ac:dyDescent="0.25">
      <c r="A104" s="214" t="s">
        <v>1397</v>
      </c>
      <c r="B104" s="64">
        <v>10.45</v>
      </c>
      <c r="C104" s="64">
        <v>35.590000000000003</v>
      </c>
      <c r="D104" s="64">
        <v>52.09</v>
      </c>
      <c r="E104" s="64">
        <v>10.96</v>
      </c>
      <c r="F104" s="64">
        <v>9.99</v>
      </c>
      <c r="G104" s="64">
        <v>42.52</v>
      </c>
      <c r="H104" s="64">
        <v>12.58</v>
      </c>
      <c r="I104" s="64">
        <v>4.08</v>
      </c>
      <c r="J104" s="64">
        <v>0.47</v>
      </c>
      <c r="K104" s="64">
        <v>241.97</v>
      </c>
      <c r="L104" s="64">
        <v>32.46</v>
      </c>
      <c r="M104" s="64">
        <v>44.58</v>
      </c>
      <c r="N104" s="64">
        <v>28.8</v>
      </c>
      <c r="O104" s="64">
        <v>0</v>
      </c>
      <c r="P104" s="64">
        <v>0.81</v>
      </c>
      <c r="Q104" s="64">
        <v>9.6300000000000008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3.6</v>
      </c>
      <c r="C106" s="67">
        <f>MIN(C9:C104)</f>
        <v>16.100000000000001</v>
      </c>
      <c r="D106" s="67">
        <f t="shared" ref="D106:Q106" si="0">MIN(D9:D104)</f>
        <v>25.09</v>
      </c>
      <c r="E106" s="67">
        <f t="shared" si="0"/>
        <v>3.14</v>
      </c>
      <c r="F106" s="67">
        <f t="shared" si="0"/>
        <v>4.28</v>
      </c>
      <c r="G106" s="67">
        <f t="shared" si="0"/>
        <v>25.4</v>
      </c>
      <c r="H106" s="67">
        <f t="shared" si="0"/>
        <v>8.15</v>
      </c>
      <c r="I106" s="67">
        <f t="shared" si="0"/>
        <v>3.76</v>
      </c>
      <c r="J106" s="67">
        <f t="shared" si="0"/>
        <v>0.23</v>
      </c>
      <c r="K106" s="67">
        <f t="shared" si="0"/>
        <v>167.85</v>
      </c>
      <c r="L106" s="67">
        <f t="shared" si="0"/>
        <v>28.96</v>
      </c>
      <c r="M106" s="67">
        <f t="shared" si="0"/>
        <v>23.99</v>
      </c>
      <c r="N106" s="67">
        <f t="shared" si="0"/>
        <v>28.4</v>
      </c>
      <c r="O106" s="67">
        <f t="shared" si="0"/>
        <v>0</v>
      </c>
      <c r="P106" s="67">
        <f t="shared" si="0"/>
        <v>0.28000000000000003</v>
      </c>
      <c r="Q106" s="67">
        <f t="shared" si="0"/>
        <v>9.4499999999999993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40.08</v>
      </c>
      <c r="C107" s="66">
        <f t="shared" ref="C107:Q107" si="1">MAX(C9:C104)</f>
        <v>79.73</v>
      </c>
      <c r="D107" s="66">
        <f t="shared" si="1"/>
        <v>91.07</v>
      </c>
      <c r="E107" s="66">
        <f t="shared" si="1"/>
        <v>10.96</v>
      </c>
      <c r="F107" s="66">
        <f t="shared" si="1"/>
        <v>23.45</v>
      </c>
      <c r="G107" s="66">
        <f t="shared" si="1"/>
        <v>48.82</v>
      </c>
      <c r="H107" s="66">
        <f t="shared" si="1"/>
        <v>16.989999999999998</v>
      </c>
      <c r="I107" s="66">
        <f t="shared" si="1"/>
        <v>4.24</v>
      </c>
      <c r="J107" s="66">
        <f t="shared" si="1"/>
        <v>2.2400000000000002</v>
      </c>
      <c r="K107" s="66">
        <f t="shared" si="1"/>
        <v>255.29</v>
      </c>
      <c r="L107" s="66">
        <f t="shared" si="1"/>
        <v>43.56</v>
      </c>
      <c r="M107" s="66">
        <f t="shared" si="1"/>
        <v>65.19</v>
      </c>
      <c r="N107" s="66">
        <f t="shared" si="1"/>
        <v>903.8</v>
      </c>
      <c r="O107" s="66">
        <f t="shared" si="1"/>
        <v>0</v>
      </c>
      <c r="P107" s="66">
        <f t="shared" si="1"/>
        <v>1.28</v>
      </c>
      <c r="Q107" s="66">
        <f t="shared" si="1"/>
        <v>9.66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9.6421875000000039</v>
      </c>
      <c r="C108" s="67">
        <f t="shared" ref="C108:Q108" si="2">AVERAGE(C9:C104)</f>
        <v>30.875312500000003</v>
      </c>
      <c r="D108" s="67">
        <f t="shared" si="2"/>
        <v>44.294583333333328</v>
      </c>
      <c r="E108" s="67">
        <f t="shared" si="2"/>
        <v>5.6135416666666664</v>
      </c>
      <c r="F108" s="67">
        <f t="shared" si="2"/>
        <v>10.880937500000002</v>
      </c>
      <c r="G108" s="67">
        <f t="shared" si="2"/>
        <v>33.526874999999997</v>
      </c>
      <c r="H108" s="67">
        <f t="shared" si="2"/>
        <v>12.206249999999999</v>
      </c>
      <c r="I108" s="67">
        <f t="shared" si="2"/>
        <v>4.0118749999999999</v>
      </c>
      <c r="J108" s="67">
        <f t="shared" si="2"/>
        <v>0.82302083333333309</v>
      </c>
      <c r="K108" s="67">
        <f t="shared" si="2"/>
        <v>235.26718749999998</v>
      </c>
      <c r="L108" s="67">
        <f t="shared" si="2"/>
        <v>35.749791666666688</v>
      </c>
      <c r="M108" s="67">
        <f t="shared" si="2"/>
        <v>40.595208333333339</v>
      </c>
      <c r="N108" s="67">
        <f t="shared" si="2"/>
        <v>252.3854166666666</v>
      </c>
      <c r="O108" s="67">
        <f t="shared" si="2"/>
        <v>0</v>
      </c>
      <c r="P108" s="67">
        <f t="shared" si="2"/>
        <v>0.59031249999999991</v>
      </c>
      <c r="Q108" s="67">
        <f t="shared" si="2"/>
        <v>9.5489583333333368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6.0833567954966847</v>
      </c>
      <c r="C109" s="67">
        <f t="shared" ref="C109:Q109" si="3">STDEV(C9:C104)</f>
        <v>11.642700713378991</v>
      </c>
      <c r="D109" s="67">
        <f t="shared" si="3"/>
        <v>13.579168094561265</v>
      </c>
      <c r="E109" s="67">
        <f t="shared" si="3"/>
        <v>1.5699983098661141</v>
      </c>
      <c r="F109" s="67">
        <f t="shared" si="3"/>
        <v>4.2439090912742152</v>
      </c>
      <c r="G109" s="67">
        <f t="shared" si="3"/>
        <v>6.4401885086010058</v>
      </c>
      <c r="H109" s="67">
        <f t="shared" si="3"/>
        <v>2.2366691635931506</v>
      </c>
      <c r="I109" s="67">
        <f t="shared" si="3"/>
        <v>9.2147621838690505E-2</v>
      </c>
      <c r="J109" s="67">
        <f t="shared" si="3"/>
        <v>0.46045999835785922</v>
      </c>
      <c r="K109" s="67">
        <f t="shared" si="3"/>
        <v>18.368714174585861</v>
      </c>
      <c r="L109" s="67">
        <f t="shared" si="3"/>
        <v>4.7976320868059021</v>
      </c>
      <c r="M109" s="67">
        <f t="shared" si="3"/>
        <v>13.207329462654002</v>
      </c>
      <c r="N109" s="67">
        <f t="shared" si="3"/>
        <v>303.53739836491371</v>
      </c>
      <c r="O109" s="67">
        <f t="shared" si="3"/>
        <v>0</v>
      </c>
      <c r="P109" s="67">
        <f t="shared" si="3"/>
        <v>0.23920241648576976</v>
      </c>
      <c r="Q109" s="67">
        <f t="shared" si="3"/>
        <v>5.8101167062590817E-2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9" sqref="L9:N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1398</v>
      </c>
      <c r="B9" s="64">
        <v>10.39</v>
      </c>
      <c r="C9" s="64">
        <v>36.85</v>
      </c>
      <c r="D9" s="64">
        <v>54.59</v>
      </c>
      <c r="E9" s="64">
        <v>14.17</v>
      </c>
      <c r="F9" s="64">
        <v>10.57</v>
      </c>
      <c r="G9" s="64">
        <v>46.47</v>
      </c>
      <c r="H9" s="64">
        <v>15.78</v>
      </c>
      <c r="I9" s="64">
        <v>3.89</v>
      </c>
      <c r="J9" s="64">
        <v>0.46</v>
      </c>
      <c r="K9" s="64">
        <v>242.28</v>
      </c>
      <c r="L9" s="64">
        <v>32.51</v>
      </c>
      <c r="M9" s="64">
        <v>44.32</v>
      </c>
      <c r="N9" s="64">
        <v>28.7</v>
      </c>
      <c r="O9" s="64">
        <v>0</v>
      </c>
      <c r="P9" s="64">
        <v>0.83</v>
      </c>
      <c r="Q9" s="64">
        <v>9.6300000000000008</v>
      </c>
      <c r="R9" s="198"/>
      <c r="S9" s="198"/>
      <c r="T9" s="198"/>
      <c r="U9" s="198"/>
    </row>
    <row r="10" spans="1:21" s="12" customFormat="1" x14ac:dyDescent="0.25">
      <c r="A10" s="214" t="s">
        <v>1399</v>
      </c>
      <c r="B10" s="64">
        <v>8.9</v>
      </c>
      <c r="C10" s="64">
        <v>30.38</v>
      </c>
      <c r="D10" s="64">
        <v>44.48</v>
      </c>
      <c r="E10" s="64">
        <v>13.99</v>
      </c>
      <c r="F10" s="64">
        <v>12.26</v>
      </c>
      <c r="G10" s="64">
        <v>46.47</v>
      </c>
      <c r="H10" s="64">
        <v>15.78</v>
      </c>
      <c r="I10" s="64">
        <v>4.18</v>
      </c>
      <c r="J10" s="64">
        <v>0.54</v>
      </c>
      <c r="K10" s="64">
        <v>242.98</v>
      </c>
      <c r="L10" s="64">
        <v>32.380000000000003</v>
      </c>
      <c r="M10" s="64">
        <v>45.04</v>
      </c>
      <c r="N10" s="64">
        <v>28.8</v>
      </c>
      <c r="O10" s="64">
        <v>0</v>
      </c>
      <c r="P10" s="64">
        <v>0.77</v>
      </c>
      <c r="Q10" s="64">
        <v>9.6300000000000008</v>
      </c>
      <c r="R10" s="198"/>
      <c r="S10" s="198"/>
      <c r="T10" s="198"/>
      <c r="U10" s="198"/>
    </row>
    <row r="11" spans="1:21" s="12" customFormat="1" x14ac:dyDescent="0.25">
      <c r="A11" s="214" t="s">
        <v>1400</v>
      </c>
      <c r="B11" s="64">
        <v>7.93</v>
      </c>
      <c r="C11" s="64">
        <v>29.15</v>
      </c>
      <c r="D11" s="64">
        <v>43.61</v>
      </c>
      <c r="E11" s="64">
        <v>14.37</v>
      </c>
      <c r="F11" s="64">
        <v>13.96</v>
      </c>
      <c r="G11" s="64">
        <v>46.47</v>
      </c>
      <c r="H11" s="64">
        <v>15.78</v>
      </c>
      <c r="I11" s="64">
        <v>3.94</v>
      </c>
      <c r="J11" s="64">
        <v>0.39</v>
      </c>
      <c r="K11" s="64">
        <v>242.92</v>
      </c>
      <c r="L11" s="64">
        <v>32.229999999999997</v>
      </c>
      <c r="M11" s="64">
        <v>45.46</v>
      </c>
      <c r="N11" s="64">
        <v>28.8</v>
      </c>
      <c r="O11" s="64">
        <v>0</v>
      </c>
      <c r="P11" s="64">
        <v>0.71</v>
      </c>
      <c r="Q11" s="64">
        <v>9.64</v>
      </c>
      <c r="R11" s="198"/>
      <c r="S11" s="198"/>
      <c r="T11" s="198"/>
      <c r="U11" s="198"/>
    </row>
    <row r="12" spans="1:21" s="12" customFormat="1" x14ac:dyDescent="0.25">
      <c r="A12" s="214" t="s">
        <v>1401</v>
      </c>
      <c r="B12" s="64">
        <v>6.49</v>
      </c>
      <c r="C12" s="64">
        <v>26.66</v>
      </c>
      <c r="D12" s="64">
        <v>41.05</v>
      </c>
      <c r="E12" s="64">
        <v>16.010000000000002</v>
      </c>
      <c r="F12" s="64">
        <v>14.11</v>
      </c>
      <c r="G12" s="64">
        <v>46.73</v>
      </c>
      <c r="H12" s="64">
        <v>15.72</v>
      </c>
      <c r="I12" s="64">
        <v>4.1500000000000004</v>
      </c>
      <c r="J12" s="64">
        <v>0.46</v>
      </c>
      <c r="K12" s="64">
        <v>243.45</v>
      </c>
      <c r="L12" s="64">
        <v>32.15</v>
      </c>
      <c r="M12" s="64">
        <v>46.01</v>
      </c>
      <c r="N12" s="64">
        <v>28.8</v>
      </c>
      <c r="O12" s="64">
        <v>0</v>
      </c>
      <c r="P12" s="64">
        <v>0.67</v>
      </c>
      <c r="Q12" s="64">
        <v>9.64</v>
      </c>
      <c r="R12" s="198"/>
      <c r="S12" s="198"/>
      <c r="T12" s="198"/>
      <c r="U12" s="198"/>
    </row>
    <row r="13" spans="1:21" s="12" customFormat="1" x14ac:dyDescent="0.25">
      <c r="A13" s="214" t="s">
        <v>1402</v>
      </c>
      <c r="B13" s="64">
        <v>7.17</v>
      </c>
      <c r="C13" s="64">
        <v>28.72</v>
      </c>
      <c r="D13" s="64">
        <v>43.97</v>
      </c>
      <c r="E13" s="64">
        <v>18.170000000000002</v>
      </c>
      <c r="F13" s="64">
        <v>13.2</v>
      </c>
      <c r="G13" s="64">
        <v>50.34</v>
      </c>
      <c r="H13" s="64">
        <v>14.82</v>
      </c>
      <c r="I13" s="64">
        <v>4.16</v>
      </c>
      <c r="J13" s="64">
        <v>0.45</v>
      </c>
      <c r="K13" s="64">
        <v>233.55</v>
      </c>
      <c r="L13" s="64">
        <v>32.32</v>
      </c>
      <c r="M13" s="64">
        <v>45.3</v>
      </c>
      <c r="N13" s="64">
        <v>28.8</v>
      </c>
      <c r="O13" s="64">
        <v>0</v>
      </c>
      <c r="P13" s="64">
        <v>0.55000000000000004</v>
      </c>
      <c r="Q13" s="64">
        <v>9.6199999999999992</v>
      </c>
      <c r="R13" s="198"/>
      <c r="S13" s="198"/>
      <c r="T13" s="198"/>
      <c r="U13" s="198"/>
    </row>
    <row r="14" spans="1:21" s="12" customFormat="1" x14ac:dyDescent="0.25">
      <c r="A14" s="214" t="s">
        <v>1403</v>
      </c>
      <c r="B14" s="64">
        <v>5.43</v>
      </c>
      <c r="C14" s="64">
        <v>25.96</v>
      </c>
      <c r="D14" s="64">
        <v>41.35</v>
      </c>
      <c r="E14" s="64">
        <v>18.37</v>
      </c>
      <c r="F14" s="64">
        <v>13.16</v>
      </c>
      <c r="G14" s="64">
        <v>50.34</v>
      </c>
      <c r="H14" s="64">
        <v>14.82</v>
      </c>
      <c r="I14" s="64">
        <v>4.05</v>
      </c>
      <c r="J14" s="64">
        <v>0.38</v>
      </c>
      <c r="K14" s="64">
        <v>235.63</v>
      </c>
      <c r="L14" s="64">
        <v>32.229999999999997</v>
      </c>
      <c r="M14" s="64">
        <v>45.56</v>
      </c>
      <c r="N14" s="64">
        <v>29.1</v>
      </c>
      <c r="O14" s="64">
        <v>0</v>
      </c>
      <c r="P14" s="64">
        <v>0.7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4" t="s">
        <v>1404</v>
      </c>
      <c r="B15" s="64">
        <v>4.6100000000000003</v>
      </c>
      <c r="C15" s="64">
        <v>25.55</v>
      </c>
      <c r="D15" s="64">
        <v>41.82</v>
      </c>
      <c r="E15" s="64">
        <v>18.43</v>
      </c>
      <c r="F15" s="64">
        <v>12.62</v>
      </c>
      <c r="G15" s="64">
        <v>50.34</v>
      </c>
      <c r="H15" s="64">
        <v>14.82</v>
      </c>
      <c r="I15" s="64">
        <v>4.01</v>
      </c>
      <c r="J15" s="64">
        <v>0.36</v>
      </c>
      <c r="K15" s="64">
        <v>235.54</v>
      </c>
      <c r="L15" s="64">
        <v>32.06</v>
      </c>
      <c r="M15" s="64">
        <v>46.63</v>
      </c>
      <c r="N15" s="64">
        <v>28.9</v>
      </c>
      <c r="O15" s="64">
        <v>0</v>
      </c>
      <c r="P15" s="64">
        <v>0.67</v>
      </c>
      <c r="Q15" s="64">
        <v>9.6300000000000008</v>
      </c>
      <c r="R15" s="198"/>
      <c r="S15" s="198"/>
      <c r="T15" s="198"/>
      <c r="U15" s="198"/>
    </row>
    <row r="16" spans="1:21" s="12" customFormat="1" x14ac:dyDescent="0.25">
      <c r="A16" s="214" t="s">
        <v>1405</v>
      </c>
      <c r="B16" s="64">
        <v>4.34</v>
      </c>
      <c r="C16" s="64">
        <v>23.6</v>
      </c>
      <c r="D16" s="64">
        <v>38.51</v>
      </c>
      <c r="E16" s="64">
        <v>15.88</v>
      </c>
      <c r="F16" s="64">
        <v>13.62</v>
      </c>
      <c r="G16" s="64">
        <v>50.26</v>
      </c>
      <c r="H16" s="64">
        <v>14.74</v>
      </c>
      <c r="I16" s="64">
        <v>4.1399999999999997</v>
      </c>
      <c r="J16" s="64">
        <v>0.38</v>
      </c>
      <c r="K16" s="64">
        <v>235.67</v>
      </c>
      <c r="L16" s="64">
        <v>32.04</v>
      </c>
      <c r="M16" s="64">
        <v>46.51</v>
      </c>
      <c r="N16" s="64">
        <v>28.9</v>
      </c>
      <c r="O16" s="64">
        <v>0</v>
      </c>
      <c r="P16" s="64">
        <v>0.53</v>
      </c>
      <c r="Q16" s="64">
        <v>9.66</v>
      </c>
      <c r="R16" s="198"/>
      <c r="S16" s="198"/>
      <c r="T16" s="198"/>
      <c r="U16" s="198"/>
    </row>
    <row r="17" spans="1:21" s="12" customFormat="1" x14ac:dyDescent="0.25">
      <c r="A17" s="214" t="s">
        <v>1406</v>
      </c>
      <c r="B17" s="64">
        <v>4.95</v>
      </c>
      <c r="C17" s="64">
        <v>23.1</v>
      </c>
      <c r="D17" s="64">
        <v>36.61</v>
      </c>
      <c r="E17" s="64">
        <v>13.31</v>
      </c>
      <c r="F17" s="64">
        <v>12.57</v>
      </c>
      <c r="G17" s="64">
        <v>49.24</v>
      </c>
      <c r="H17" s="64">
        <v>13.66</v>
      </c>
      <c r="I17" s="64">
        <v>3.9</v>
      </c>
      <c r="J17" s="64">
        <v>0.33</v>
      </c>
      <c r="K17" s="64">
        <v>243.64</v>
      </c>
      <c r="L17" s="64">
        <v>31.83</v>
      </c>
      <c r="M17" s="64">
        <v>48</v>
      </c>
      <c r="N17" s="64">
        <v>29.2</v>
      </c>
      <c r="O17" s="64">
        <v>0</v>
      </c>
      <c r="P17" s="64">
        <v>0.59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14" t="s">
        <v>1407</v>
      </c>
      <c r="B18" s="64">
        <v>4.33</v>
      </c>
      <c r="C18" s="64">
        <v>21.34</v>
      </c>
      <c r="D18" s="64">
        <v>34.21</v>
      </c>
      <c r="E18" s="64">
        <v>14.09</v>
      </c>
      <c r="F18" s="64">
        <v>13.34</v>
      </c>
      <c r="G18" s="64">
        <v>49.24</v>
      </c>
      <c r="H18" s="64">
        <v>13.66</v>
      </c>
      <c r="I18" s="64">
        <v>3.98</v>
      </c>
      <c r="J18" s="64">
        <v>0.37</v>
      </c>
      <c r="K18" s="64">
        <v>246.68</v>
      </c>
      <c r="L18" s="64">
        <v>31.63</v>
      </c>
      <c r="M18" s="64">
        <v>49.23</v>
      </c>
      <c r="N18" s="64">
        <v>29.1</v>
      </c>
      <c r="O18" s="64">
        <v>0</v>
      </c>
      <c r="P18" s="64">
        <v>0.55000000000000004</v>
      </c>
      <c r="Q18" s="64">
        <v>9.64</v>
      </c>
      <c r="R18" s="198"/>
      <c r="S18" s="198"/>
      <c r="T18" s="198"/>
      <c r="U18" s="198"/>
    </row>
    <row r="19" spans="1:21" s="12" customFormat="1" x14ac:dyDescent="0.25">
      <c r="A19" s="214" t="s">
        <v>1408</v>
      </c>
      <c r="B19" s="64">
        <v>4.8</v>
      </c>
      <c r="C19" s="64">
        <v>21.67</v>
      </c>
      <c r="D19" s="64">
        <v>34.11</v>
      </c>
      <c r="E19" s="64">
        <v>12.9</v>
      </c>
      <c r="F19" s="64">
        <v>11.42</v>
      </c>
      <c r="G19" s="64">
        <v>49.24</v>
      </c>
      <c r="H19" s="64">
        <v>13.66</v>
      </c>
      <c r="I19" s="64">
        <v>4.05</v>
      </c>
      <c r="J19" s="64">
        <v>0.4</v>
      </c>
      <c r="K19" s="64">
        <v>237.7</v>
      </c>
      <c r="L19" s="64">
        <v>31.6</v>
      </c>
      <c r="M19" s="64">
        <v>48.94</v>
      </c>
      <c r="N19" s="64">
        <v>28.9</v>
      </c>
      <c r="O19" s="64">
        <v>0</v>
      </c>
      <c r="P19" s="64">
        <v>0.49</v>
      </c>
      <c r="Q19" s="64">
        <v>9.64</v>
      </c>
      <c r="R19" s="198"/>
      <c r="S19" s="198"/>
      <c r="T19" s="198"/>
      <c r="U19" s="198"/>
    </row>
    <row r="20" spans="1:21" s="12" customFormat="1" x14ac:dyDescent="0.25">
      <c r="A20" s="214" t="s">
        <v>1409</v>
      </c>
      <c r="B20" s="64">
        <v>4.83</v>
      </c>
      <c r="C20" s="64">
        <v>20.58</v>
      </c>
      <c r="D20" s="64">
        <v>31.97</v>
      </c>
      <c r="E20" s="64">
        <v>11.98</v>
      </c>
      <c r="F20" s="64">
        <v>11.92</v>
      </c>
      <c r="G20" s="64">
        <v>49.08</v>
      </c>
      <c r="H20" s="64">
        <v>13.7</v>
      </c>
      <c r="I20" s="64">
        <v>4.0599999999999996</v>
      </c>
      <c r="J20" s="64">
        <v>0.44</v>
      </c>
      <c r="K20" s="64">
        <v>240.81</v>
      </c>
      <c r="L20" s="64">
        <v>31.57</v>
      </c>
      <c r="M20" s="64">
        <v>48.74</v>
      </c>
      <c r="N20" s="64">
        <v>29</v>
      </c>
      <c r="O20" s="64">
        <v>0</v>
      </c>
      <c r="P20" s="64">
        <v>0.5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4" t="s">
        <v>1410</v>
      </c>
      <c r="B21" s="64">
        <v>5.8</v>
      </c>
      <c r="C21" s="64">
        <v>21.99</v>
      </c>
      <c r="D21" s="64">
        <v>33.200000000000003</v>
      </c>
      <c r="E21" s="64">
        <v>12.47</v>
      </c>
      <c r="F21" s="64">
        <v>13.5</v>
      </c>
      <c r="G21" s="64">
        <v>46.85</v>
      </c>
      <c r="H21" s="64">
        <v>14.31</v>
      </c>
      <c r="I21" s="64">
        <v>4</v>
      </c>
      <c r="J21" s="64">
        <v>0.39</v>
      </c>
      <c r="K21" s="64">
        <v>241.13</v>
      </c>
      <c r="L21" s="64">
        <v>31.44</v>
      </c>
      <c r="M21" s="64">
        <v>49.26</v>
      </c>
      <c r="N21" s="64">
        <v>28.9</v>
      </c>
      <c r="O21" s="64">
        <v>0</v>
      </c>
      <c r="P21" s="64">
        <v>0.6</v>
      </c>
      <c r="Q21" s="64">
        <v>9.6300000000000008</v>
      </c>
      <c r="R21" s="198"/>
      <c r="S21" s="198"/>
      <c r="T21" s="198"/>
      <c r="U21" s="198"/>
    </row>
    <row r="22" spans="1:21" s="12" customFormat="1" x14ac:dyDescent="0.25">
      <c r="A22" s="214" t="s">
        <v>1411</v>
      </c>
      <c r="B22" s="64">
        <v>5.43</v>
      </c>
      <c r="C22" s="64">
        <v>24.08</v>
      </c>
      <c r="D22" s="64">
        <v>37.75</v>
      </c>
      <c r="E22" s="64">
        <v>13.38</v>
      </c>
      <c r="F22" s="64">
        <v>12.27</v>
      </c>
      <c r="G22" s="64">
        <v>46.85</v>
      </c>
      <c r="H22" s="64">
        <v>14.31</v>
      </c>
      <c r="I22" s="64">
        <v>4.05</v>
      </c>
      <c r="J22" s="64">
        <v>0.33</v>
      </c>
      <c r="K22" s="64">
        <v>232.77</v>
      </c>
      <c r="L22" s="64">
        <v>31.42</v>
      </c>
      <c r="M22" s="64">
        <v>49.23</v>
      </c>
      <c r="N22" s="64">
        <v>29</v>
      </c>
      <c r="O22" s="64">
        <v>0</v>
      </c>
      <c r="P22" s="64">
        <v>0.66</v>
      </c>
      <c r="Q22" s="64">
        <v>9.6300000000000008</v>
      </c>
      <c r="R22" s="198"/>
      <c r="S22" s="198"/>
      <c r="T22" s="198"/>
      <c r="U22" s="198"/>
    </row>
    <row r="23" spans="1:21" s="12" customFormat="1" x14ac:dyDescent="0.25">
      <c r="A23" s="214" t="s">
        <v>1412</v>
      </c>
      <c r="B23" s="64">
        <v>4.5</v>
      </c>
      <c r="C23" s="64">
        <v>23.48</v>
      </c>
      <c r="D23" s="64">
        <v>38.03</v>
      </c>
      <c r="E23" s="64">
        <v>13.53</v>
      </c>
      <c r="F23" s="64">
        <v>11.31</v>
      </c>
      <c r="G23" s="64">
        <v>46.85</v>
      </c>
      <c r="H23" s="64">
        <v>14.31</v>
      </c>
      <c r="I23" s="64">
        <v>4.09</v>
      </c>
      <c r="J23" s="64">
        <v>0.45</v>
      </c>
      <c r="K23" s="64">
        <v>228.9</v>
      </c>
      <c r="L23" s="64">
        <v>31.5</v>
      </c>
      <c r="M23" s="64">
        <v>48.5</v>
      </c>
      <c r="N23" s="64">
        <v>28.9</v>
      </c>
      <c r="O23" s="64">
        <v>0</v>
      </c>
      <c r="P23" s="64">
        <v>0.8</v>
      </c>
      <c r="Q23" s="64">
        <v>9.6</v>
      </c>
      <c r="R23" s="198"/>
      <c r="S23" s="198"/>
      <c r="T23" s="198"/>
      <c r="U23" s="198"/>
    </row>
    <row r="24" spans="1:21" s="12" customFormat="1" x14ac:dyDescent="0.25">
      <c r="A24" s="214" t="s">
        <v>1413</v>
      </c>
      <c r="B24" s="64">
        <v>4.3099999999999996</v>
      </c>
      <c r="C24" s="64">
        <v>22.62</v>
      </c>
      <c r="D24" s="64">
        <v>36.69</v>
      </c>
      <c r="E24" s="64">
        <v>13.45</v>
      </c>
      <c r="F24" s="64">
        <v>11.52</v>
      </c>
      <c r="G24" s="64">
        <v>46.91</v>
      </c>
      <c r="H24" s="64">
        <v>14.29</v>
      </c>
      <c r="I24" s="64">
        <v>3.88</v>
      </c>
      <c r="J24" s="64">
        <v>0.35</v>
      </c>
      <c r="K24" s="64">
        <v>240.64</v>
      </c>
      <c r="L24" s="64">
        <v>31.36</v>
      </c>
      <c r="M24" s="64">
        <v>49.66</v>
      </c>
      <c r="N24" s="64">
        <v>29.2</v>
      </c>
      <c r="O24" s="64">
        <v>0</v>
      </c>
      <c r="P24" s="64">
        <v>1.1200000000000001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4" t="s">
        <v>1414</v>
      </c>
      <c r="B25" s="64">
        <v>10.76</v>
      </c>
      <c r="C25" s="64">
        <v>34.520000000000003</v>
      </c>
      <c r="D25" s="64">
        <v>49.56</v>
      </c>
      <c r="E25" s="64">
        <v>12.94</v>
      </c>
      <c r="F25" s="64">
        <v>9.39</v>
      </c>
      <c r="G25" s="64">
        <v>47.68</v>
      </c>
      <c r="H25" s="64">
        <v>14.02</v>
      </c>
      <c r="I25" s="64">
        <v>3.78</v>
      </c>
      <c r="J25" s="64">
        <v>0.31</v>
      </c>
      <c r="K25" s="64">
        <v>245.39</v>
      </c>
      <c r="L25" s="64">
        <v>31.04</v>
      </c>
      <c r="M25" s="64">
        <v>52.01</v>
      </c>
      <c r="N25" s="64">
        <v>29.3</v>
      </c>
      <c r="O25" s="64">
        <v>0</v>
      </c>
      <c r="P25" s="64">
        <v>0.99</v>
      </c>
      <c r="Q25" s="64">
        <v>9.64</v>
      </c>
      <c r="R25" s="198"/>
      <c r="S25" s="198"/>
      <c r="T25" s="198"/>
      <c r="U25" s="198"/>
    </row>
    <row r="26" spans="1:21" s="12" customFormat="1" x14ac:dyDescent="0.25">
      <c r="A26" s="214" t="s">
        <v>1415</v>
      </c>
      <c r="B26" s="64">
        <v>9.9600000000000009</v>
      </c>
      <c r="C26" s="64">
        <v>30.24</v>
      </c>
      <c r="D26" s="64">
        <v>42.59</v>
      </c>
      <c r="E26" s="64">
        <v>13.25</v>
      </c>
      <c r="F26" s="64">
        <v>9.7100000000000009</v>
      </c>
      <c r="G26" s="64">
        <v>47.68</v>
      </c>
      <c r="H26" s="64">
        <v>14.02</v>
      </c>
      <c r="I26" s="64">
        <v>4.07</v>
      </c>
      <c r="J26" s="64">
        <v>0.37</v>
      </c>
      <c r="K26" s="64">
        <v>243.07</v>
      </c>
      <c r="L26" s="64">
        <v>30.82</v>
      </c>
      <c r="M26" s="64">
        <v>52.5</v>
      </c>
      <c r="N26" s="64">
        <v>29.1</v>
      </c>
      <c r="O26" s="64">
        <v>0</v>
      </c>
      <c r="P26" s="64">
        <v>0.75</v>
      </c>
      <c r="Q26" s="64">
        <v>9.6300000000000008</v>
      </c>
      <c r="R26" s="198"/>
      <c r="S26" s="198"/>
      <c r="T26" s="198"/>
      <c r="U26" s="198"/>
    </row>
    <row r="27" spans="1:21" s="12" customFormat="1" x14ac:dyDescent="0.25">
      <c r="A27" s="214" t="s">
        <v>1416</v>
      </c>
      <c r="B27" s="64">
        <v>8.09</v>
      </c>
      <c r="C27" s="64">
        <v>32.659999999999997</v>
      </c>
      <c r="D27" s="64">
        <v>50.1</v>
      </c>
      <c r="E27" s="64">
        <v>13.71</v>
      </c>
      <c r="F27" s="64">
        <v>9.18</v>
      </c>
      <c r="G27" s="64">
        <v>47.68</v>
      </c>
      <c r="H27" s="64">
        <v>14.02</v>
      </c>
      <c r="I27" s="64">
        <v>3.85</v>
      </c>
      <c r="J27" s="64">
        <v>0.41</v>
      </c>
      <c r="K27" s="64">
        <v>233.3</v>
      </c>
      <c r="L27" s="64">
        <v>30.89</v>
      </c>
      <c r="M27" s="64">
        <v>51.86</v>
      </c>
      <c r="N27" s="64">
        <v>28.8</v>
      </c>
      <c r="O27" s="64">
        <v>0</v>
      </c>
      <c r="P27" s="64">
        <v>0.65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4" t="s">
        <v>1417</v>
      </c>
      <c r="B28" s="64">
        <v>4.18</v>
      </c>
      <c r="C28" s="64">
        <v>24.37</v>
      </c>
      <c r="D28" s="64">
        <v>40.229999999999997</v>
      </c>
      <c r="E28" s="64">
        <v>13.02</v>
      </c>
      <c r="F28" s="64">
        <v>10.95</v>
      </c>
      <c r="G28" s="64">
        <v>47.72</v>
      </c>
      <c r="H28" s="64">
        <v>14.2</v>
      </c>
      <c r="I28" s="64">
        <v>4.18</v>
      </c>
      <c r="J28" s="64">
        <v>0.45</v>
      </c>
      <c r="K28" s="64">
        <v>225.71</v>
      </c>
      <c r="L28" s="64">
        <v>30.91</v>
      </c>
      <c r="M28" s="64">
        <v>52.39</v>
      </c>
      <c r="N28" s="64">
        <v>28.9</v>
      </c>
      <c r="O28" s="64">
        <v>0</v>
      </c>
      <c r="P28" s="64">
        <v>0.55000000000000004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4" t="s">
        <v>1418</v>
      </c>
      <c r="B29" s="64">
        <v>4.97</v>
      </c>
      <c r="C29" s="64">
        <v>23.95</v>
      </c>
      <c r="D29" s="64">
        <v>38.200000000000003</v>
      </c>
      <c r="E29" s="64">
        <v>11.93</v>
      </c>
      <c r="F29" s="64">
        <v>10.87</v>
      </c>
      <c r="G29" s="64">
        <v>48.28</v>
      </c>
      <c r="H29" s="64">
        <v>16.75</v>
      </c>
      <c r="I29" s="64">
        <v>4.05</v>
      </c>
      <c r="J29" s="64">
        <v>0.25</v>
      </c>
      <c r="K29" s="64">
        <v>213.14</v>
      </c>
      <c r="L29" s="64">
        <v>30.48</v>
      </c>
      <c r="M29" s="64">
        <v>54.29</v>
      </c>
      <c r="N29" s="64">
        <v>29.5</v>
      </c>
      <c r="O29" s="64">
        <v>0</v>
      </c>
      <c r="P29" s="64">
        <v>0.51</v>
      </c>
      <c r="Q29" s="64">
        <v>9.6300000000000008</v>
      </c>
      <c r="R29" s="198"/>
      <c r="S29" s="198"/>
      <c r="T29" s="198"/>
      <c r="U29" s="198"/>
    </row>
    <row r="30" spans="1:21" s="12" customFormat="1" x14ac:dyDescent="0.25">
      <c r="A30" s="214" t="s">
        <v>1419</v>
      </c>
      <c r="B30" s="64">
        <v>5.32</v>
      </c>
      <c r="C30" s="64">
        <v>26.73</v>
      </c>
      <c r="D30" s="64">
        <v>43</v>
      </c>
      <c r="E30" s="64">
        <v>10.97</v>
      </c>
      <c r="F30" s="64">
        <v>10.52</v>
      </c>
      <c r="G30" s="64">
        <v>48.28</v>
      </c>
      <c r="H30" s="64">
        <v>16.75</v>
      </c>
      <c r="I30" s="64">
        <v>4.13</v>
      </c>
      <c r="J30" s="64">
        <v>0.37</v>
      </c>
      <c r="K30" s="64">
        <v>220.49</v>
      </c>
      <c r="L30" s="64">
        <v>30.93</v>
      </c>
      <c r="M30" s="64">
        <v>51.85</v>
      </c>
      <c r="N30" s="64">
        <v>29.6</v>
      </c>
      <c r="O30" s="64">
        <v>0</v>
      </c>
      <c r="P30" s="64">
        <v>0.54</v>
      </c>
      <c r="Q30" s="64">
        <v>9.6300000000000008</v>
      </c>
      <c r="R30" s="198"/>
      <c r="S30" s="198"/>
      <c r="T30" s="198"/>
      <c r="U30" s="198"/>
    </row>
    <row r="31" spans="1:21" s="12" customFormat="1" x14ac:dyDescent="0.25">
      <c r="A31" s="214" t="s">
        <v>1420</v>
      </c>
      <c r="B31" s="64">
        <v>4.6100000000000003</v>
      </c>
      <c r="C31" s="64">
        <v>26.27</v>
      </c>
      <c r="D31" s="64">
        <v>43.2</v>
      </c>
      <c r="E31" s="64">
        <v>10.43</v>
      </c>
      <c r="F31" s="64">
        <v>9.7899999999999991</v>
      </c>
      <c r="G31" s="64">
        <v>48.28</v>
      </c>
      <c r="H31" s="64">
        <v>16.75</v>
      </c>
      <c r="I31" s="64">
        <v>4.01</v>
      </c>
      <c r="J31" s="64">
        <v>0.5</v>
      </c>
      <c r="K31" s="64">
        <v>160.69</v>
      </c>
      <c r="L31" s="64">
        <v>30.96</v>
      </c>
      <c r="M31" s="64">
        <v>52.22</v>
      </c>
      <c r="N31" s="64">
        <v>34.4</v>
      </c>
      <c r="O31" s="64">
        <v>0</v>
      </c>
      <c r="P31" s="64">
        <v>0.46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4" t="s">
        <v>1421</v>
      </c>
      <c r="B32" s="64">
        <v>4.4400000000000004</v>
      </c>
      <c r="C32" s="64">
        <v>23.34</v>
      </c>
      <c r="D32" s="64">
        <v>37.85</v>
      </c>
      <c r="E32" s="64">
        <v>9.81</v>
      </c>
      <c r="F32" s="64">
        <v>9.99</v>
      </c>
      <c r="G32" s="64">
        <v>47.96</v>
      </c>
      <c r="H32" s="64">
        <v>16.5</v>
      </c>
      <c r="I32" s="64">
        <v>4.0199999999999996</v>
      </c>
      <c r="J32" s="64">
        <v>0.45</v>
      </c>
      <c r="K32" s="64">
        <v>218.39</v>
      </c>
      <c r="L32" s="64">
        <v>31</v>
      </c>
      <c r="M32" s="64">
        <v>51.01</v>
      </c>
      <c r="N32" s="64">
        <v>41.1</v>
      </c>
      <c r="O32" s="64">
        <v>0</v>
      </c>
      <c r="P32" s="64">
        <v>0.41</v>
      </c>
      <c r="Q32" s="64">
        <v>9.6</v>
      </c>
      <c r="R32" s="198"/>
      <c r="S32" s="198"/>
      <c r="T32" s="198"/>
      <c r="U32" s="198"/>
    </row>
    <row r="33" spans="1:21" s="12" customFormat="1" x14ac:dyDescent="0.25">
      <c r="A33" s="214" t="s">
        <v>1422</v>
      </c>
      <c r="B33" s="64">
        <v>4.8600000000000003</v>
      </c>
      <c r="C33" s="64">
        <v>21.5</v>
      </c>
      <c r="D33" s="64">
        <v>33.700000000000003</v>
      </c>
      <c r="E33" s="64">
        <v>9.9700000000000006</v>
      </c>
      <c r="F33" s="64">
        <v>10.74</v>
      </c>
      <c r="G33" s="64">
        <v>43.4</v>
      </c>
      <c r="H33" s="64">
        <v>13.01</v>
      </c>
      <c r="I33" s="64">
        <v>3.85</v>
      </c>
      <c r="J33" s="64">
        <v>0.4</v>
      </c>
      <c r="K33" s="64">
        <v>236.2</v>
      </c>
      <c r="L33" s="64">
        <v>31.05</v>
      </c>
      <c r="M33" s="64">
        <v>50.56</v>
      </c>
      <c r="N33" s="64">
        <v>52.6</v>
      </c>
      <c r="O33" s="64">
        <v>0</v>
      </c>
      <c r="P33" s="64">
        <v>0.42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14" t="s">
        <v>1423</v>
      </c>
      <c r="B34" s="64">
        <v>10.8</v>
      </c>
      <c r="C34" s="64">
        <v>34.299999999999997</v>
      </c>
      <c r="D34" s="64">
        <v>49.07</v>
      </c>
      <c r="E34" s="64">
        <v>9.17</v>
      </c>
      <c r="F34" s="64">
        <v>8.0500000000000007</v>
      </c>
      <c r="G34" s="64">
        <v>43.4</v>
      </c>
      <c r="H34" s="64">
        <v>13.01</v>
      </c>
      <c r="I34" s="64">
        <v>4.1100000000000003</v>
      </c>
      <c r="J34" s="64">
        <v>0.41</v>
      </c>
      <c r="K34" s="64">
        <v>239.51</v>
      </c>
      <c r="L34" s="64">
        <v>31.17</v>
      </c>
      <c r="M34" s="64">
        <v>50.73</v>
      </c>
      <c r="N34" s="64">
        <v>70.599999999999994</v>
      </c>
      <c r="O34" s="64">
        <v>0</v>
      </c>
      <c r="P34" s="64">
        <v>0.73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4" t="s">
        <v>1424</v>
      </c>
      <c r="B35" s="64">
        <v>22.8</v>
      </c>
      <c r="C35" s="64">
        <v>48.52</v>
      </c>
      <c r="D35" s="64">
        <v>57.88</v>
      </c>
      <c r="E35" s="64">
        <v>9.77</v>
      </c>
      <c r="F35" s="64">
        <v>8.83</v>
      </c>
      <c r="G35" s="64">
        <v>43.4</v>
      </c>
      <c r="H35" s="64">
        <v>13.01</v>
      </c>
      <c r="I35" s="64">
        <v>4.1100000000000003</v>
      </c>
      <c r="J35" s="64">
        <v>0.37</v>
      </c>
      <c r="K35" s="64">
        <v>241.24</v>
      </c>
      <c r="L35" s="64">
        <v>31.49</v>
      </c>
      <c r="M35" s="64">
        <v>51.42</v>
      </c>
      <c r="N35" s="64">
        <v>93.9</v>
      </c>
      <c r="O35" s="64">
        <v>0</v>
      </c>
      <c r="P35" s="64">
        <v>0.69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4" t="s">
        <v>1425</v>
      </c>
      <c r="B36" s="64">
        <v>15.62</v>
      </c>
      <c r="C36" s="64">
        <v>38.57</v>
      </c>
      <c r="D36" s="64">
        <v>49.85</v>
      </c>
      <c r="E36" s="64">
        <v>9.33</v>
      </c>
      <c r="F36" s="64">
        <v>8.5299999999999994</v>
      </c>
      <c r="G36" s="64">
        <v>43.78</v>
      </c>
      <c r="H36" s="64">
        <v>13.1</v>
      </c>
      <c r="I36" s="64">
        <v>4.05</v>
      </c>
      <c r="J36" s="64">
        <v>0.38</v>
      </c>
      <c r="K36" s="64">
        <v>242.82</v>
      </c>
      <c r="L36" s="64">
        <v>32.020000000000003</v>
      </c>
      <c r="M36" s="64">
        <v>51.14</v>
      </c>
      <c r="N36" s="64">
        <v>123.3</v>
      </c>
      <c r="O36" s="64">
        <v>0</v>
      </c>
      <c r="P36" s="64">
        <v>0.78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4" t="s">
        <v>1426</v>
      </c>
      <c r="B37" s="64">
        <v>22.44</v>
      </c>
      <c r="C37" s="64">
        <v>51.1</v>
      </c>
      <c r="D37" s="64">
        <v>63.35</v>
      </c>
      <c r="E37" s="64">
        <v>9.43</v>
      </c>
      <c r="F37" s="64">
        <v>8.74</v>
      </c>
      <c r="G37" s="64">
        <v>49.03</v>
      </c>
      <c r="H37" s="64">
        <v>14.38</v>
      </c>
      <c r="I37" s="64">
        <v>3.94</v>
      </c>
      <c r="J37" s="64">
        <v>0.37</v>
      </c>
      <c r="K37" s="64">
        <v>243.16</v>
      </c>
      <c r="L37" s="64">
        <v>32.57</v>
      </c>
      <c r="M37" s="64">
        <v>49.66</v>
      </c>
      <c r="N37" s="64">
        <v>138.5</v>
      </c>
      <c r="O37" s="64">
        <v>0</v>
      </c>
      <c r="P37" s="64">
        <v>0.84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4" t="s">
        <v>1427</v>
      </c>
      <c r="B38" s="64">
        <v>20.96</v>
      </c>
      <c r="C38" s="64">
        <v>48.21</v>
      </c>
      <c r="D38" s="64">
        <v>60.1</v>
      </c>
      <c r="E38" s="64">
        <v>11.2</v>
      </c>
      <c r="F38" s="64">
        <v>9.4700000000000006</v>
      </c>
      <c r="G38" s="64">
        <v>49.03</v>
      </c>
      <c r="H38" s="64">
        <v>14.38</v>
      </c>
      <c r="I38" s="64">
        <v>3.95</v>
      </c>
      <c r="J38" s="64">
        <v>0.28000000000000003</v>
      </c>
      <c r="K38" s="64">
        <v>242.88</v>
      </c>
      <c r="L38" s="64">
        <v>33.03</v>
      </c>
      <c r="M38" s="64">
        <v>48.94</v>
      </c>
      <c r="N38" s="64">
        <v>144.80000000000001</v>
      </c>
      <c r="O38" s="64">
        <v>0</v>
      </c>
      <c r="P38" s="64">
        <v>0.92</v>
      </c>
      <c r="Q38" s="64">
        <v>9.6300000000000008</v>
      </c>
      <c r="R38" s="198"/>
      <c r="S38" s="198"/>
      <c r="T38" s="198"/>
      <c r="U38" s="198"/>
    </row>
    <row r="39" spans="1:21" s="12" customFormat="1" x14ac:dyDescent="0.25">
      <c r="A39" s="214" t="s">
        <v>1428</v>
      </c>
      <c r="B39" s="64">
        <v>10.55</v>
      </c>
      <c r="C39" s="64">
        <v>34.630000000000003</v>
      </c>
      <c r="D39" s="64">
        <v>50.09</v>
      </c>
      <c r="E39" s="64">
        <v>11.06</v>
      </c>
      <c r="F39" s="64">
        <v>10.52</v>
      </c>
      <c r="G39" s="64">
        <v>49.03</v>
      </c>
      <c r="H39" s="64">
        <v>14.38</v>
      </c>
      <c r="I39" s="64">
        <v>4.03</v>
      </c>
      <c r="J39" s="64">
        <v>0.54</v>
      </c>
      <c r="K39" s="64">
        <v>161.34</v>
      </c>
      <c r="L39" s="64">
        <v>33.31</v>
      </c>
      <c r="M39" s="64">
        <v>47.87</v>
      </c>
      <c r="N39" s="64">
        <v>262.60000000000002</v>
      </c>
      <c r="O39" s="64">
        <v>0</v>
      </c>
      <c r="P39" s="64">
        <v>0.78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4" t="s">
        <v>1429</v>
      </c>
      <c r="B40" s="64">
        <v>11.75</v>
      </c>
      <c r="C40" s="64">
        <v>38.25</v>
      </c>
      <c r="D40" s="64">
        <v>55.17</v>
      </c>
      <c r="E40" s="64">
        <v>10.029999999999999</v>
      </c>
      <c r="F40" s="64">
        <v>12.06</v>
      </c>
      <c r="G40" s="64">
        <v>49.33</v>
      </c>
      <c r="H40" s="64">
        <v>14.63</v>
      </c>
      <c r="I40" s="64">
        <v>4</v>
      </c>
      <c r="J40" s="64">
        <v>0.36</v>
      </c>
      <c r="K40" s="64">
        <v>175.57</v>
      </c>
      <c r="L40" s="64">
        <v>34.24</v>
      </c>
      <c r="M40" s="64">
        <v>46.79</v>
      </c>
      <c r="N40" s="64">
        <v>432.3</v>
      </c>
      <c r="O40" s="64">
        <v>0</v>
      </c>
      <c r="P40" s="64">
        <v>0.81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4" t="s">
        <v>1430</v>
      </c>
      <c r="B41" s="64">
        <v>8.9</v>
      </c>
      <c r="C41" s="64">
        <v>33.450000000000003</v>
      </c>
      <c r="D41" s="64">
        <v>50.36</v>
      </c>
      <c r="E41" s="64">
        <v>10.47</v>
      </c>
      <c r="F41" s="64">
        <v>13.96</v>
      </c>
      <c r="G41" s="64">
        <v>53.55</v>
      </c>
      <c r="H41" s="64">
        <v>18.14</v>
      </c>
      <c r="I41" s="64">
        <v>4.03</v>
      </c>
      <c r="J41" s="64">
        <v>0.52</v>
      </c>
      <c r="K41" s="64">
        <v>236.99</v>
      </c>
      <c r="L41" s="64">
        <v>35.479999999999997</v>
      </c>
      <c r="M41" s="64">
        <v>43.98</v>
      </c>
      <c r="N41" s="64">
        <v>369.3</v>
      </c>
      <c r="O41" s="64">
        <v>0</v>
      </c>
      <c r="P41" s="64">
        <v>0.83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4" t="s">
        <v>1431</v>
      </c>
      <c r="B42" s="64">
        <v>11.1</v>
      </c>
      <c r="C42" s="64">
        <v>34.49</v>
      </c>
      <c r="D42" s="64">
        <v>48.97</v>
      </c>
      <c r="E42" s="64">
        <v>10.77</v>
      </c>
      <c r="F42" s="64">
        <v>13.07</v>
      </c>
      <c r="G42" s="64">
        <v>53.55</v>
      </c>
      <c r="H42" s="64">
        <v>18.14</v>
      </c>
      <c r="I42" s="64">
        <v>4.04</v>
      </c>
      <c r="J42" s="64">
        <v>0.61</v>
      </c>
      <c r="K42" s="64">
        <v>239.95</v>
      </c>
      <c r="L42" s="64">
        <v>36.159999999999997</v>
      </c>
      <c r="M42" s="64">
        <v>41.73</v>
      </c>
      <c r="N42" s="64">
        <v>457</v>
      </c>
      <c r="O42" s="64">
        <v>0</v>
      </c>
      <c r="P42" s="64">
        <v>0.76</v>
      </c>
      <c r="Q42" s="64">
        <v>9.65</v>
      </c>
      <c r="R42" s="198"/>
      <c r="S42" s="198"/>
      <c r="T42" s="198"/>
      <c r="U42" s="198"/>
    </row>
    <row r="43" spans="1:21" s="12" customFormat="1" x14ac:dyDescent="0.25">
      <c r="A43" s="214" t="s">
        <v>1432</v>
      </c>
      <c r="B43" s="64">
        <v>12.13</v>
      </c>
      <c r="C43" s="64">
        <v>36.99</v>
      </c>
      <c r="D43" s="64">
        <v>52.19</v>
      </c>
      <c r="E43" s="64">
        <v>11.2</v>
      </c>
      <c r="F43" s="64">
        <v>15.18</v>
      </c>
      <c r="G43" s="64">
        <v>53.55</v>
      </c>
      <c r="H43" s="64">
        <v>18.14</v>
      </c>
      <c r="I43" s="64">
        <v>4.08</v>
      </c>
      <c r="J43" s="64">
        <v>0.54</v>
      </c>
      <c r="K43" s="64">
        <v>243.44</v>
      </c>
      <c r="L43" s="64">
        <v>37.479999999999997</v>
      </c>
      <c r="M43" s="64">
        <v>37.619999999999997</v>
      </c>
      <c r="N43" s="64">
        <v>224.7</v>
      </c>
      <c r="O43" s="64">
        <v>0</v>
      </c>
      <c r="P43" s="64">
        <v>0.72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4" t="s">
        <v>1433</v>
      </c>
      <c r="B44" s="64">
        <v>7.87</v>
      </c>
      <c r="C44" s="64">
        <v>30.73</v>
      </c>
      <c r="D44" s="64">
        <v>46.74</v>
      </c>
      <c r="E44" s="64">
        <v>13.88</v>
      </c>
      <c r="F44" s="64">
        <v>18.75</v>
      </c>
      <c r="G44" s="64">
        <v>53.76</v>
      </c>
      <c r="H44" s="64">
        <v>18.29</v>
      </c>
      <c r="I44" s="64">
        <v>3.93</v>
      </c>
      <c r="J44" s="64">
        <v>0.59</v>
      </c>
      <c r="K44" s="64">
        <v>227.96</v>
      </c>
      <c r="L44" s="64">
        <v>36.26</v>
      </c>
      <c r="M44" s="64">
        <v>40.22</v>
      </c>
      <c r="N44" s="64">
        <v>560.20000000000005</v>
      </c>
      <c r="O44" s="64">
        <v>0</v>
      </c>
      <c r="P44" s="64">
        <v>0.76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4" t="s">
        <v>1434</v>
      </c>
      <c r="B45" s="64">
        <v>7.76</v>
      </c>
      <c r="C45" s="64">
        <v>26.69</v>
      </c>
      <c r="D45" s="64">
        <v>39.17</v>
      </c>
      <c r="E45" s="64">
        <v>11.43</v>
      </c>
      <c r="F45" s="64">
        <v>19.399999999999999</v>
      </c>
      <c r="G45" s="64">
        <v>56.74</v>
      </c>
      <c r="H45" s="64">
        <v>20.34</v>
      </c>
      <c r="I45" s="64">
        <v>4.03</v>
      </c>
      <c r="J45" s="64">
        <v>0.64</v>
      </c>
      <c r="K45" s="64">
        <v>231</v>
      </c>
      <c r="L45" s="64">
        <v>36.979999999999997</v>
      </c>
      <c r="M45" s="64">
        <v>37.22</v>
      </c>
      <c r="N45" s="64">
        <v>521.6</v>
      </c>
      <c r="O45" s="64">
        <v>0</v>
      </c>
      <c r="P45" s="64">
        <v>0.64</v>
      </c>
      <c r="Q45" s="64">
        <v>9.61</v>
      </c>
      <c r="R45" s="198"/>
      <c r="S45" s="198"/>
      <c r="T45" s="198"/>
      <c r="U45" s="198"/>
    </row>
    <row r="46" spans="1:21" s="12" customFormat="1" x14ac:dyDescent="0.25">
      <c r="A46" s="214" t="s">
        <v>1435</v>
      </c>
      <c r="B46" s="64">
        <v>4.97</v>
      </c>
      <c r="C46" s="64">
        <v>22.17</v>
      </c>
      <c r="D46" s="64">
        <v>34.82</v>
      </c>
      <c r="E46" s="64">
        <v>11.67</v>
      </c>
      <c r="F46" s="64">
        <v>22.92</v>
      </c>
      <c r="G46" s="64">
        <v>56.74</v>
      </c>
      <c r="H46" s="64">
        <v>20.34</v>
      </c>
      <c r="I46" s="64">
        <v>4.1100000000000003</v>
      </c>
      <c r="J46" s="64">
        <v>0.47</v>
      </c>
      <c r="K46" s="64">
        <v>233.34</v>
      </c>
      <c r="L46" s="64">
        <v>37.93</v>
      </c>
      <c r="M46" s="64">
        <v>35.159999999999997</v>
      </c>
      <c r="N46" s="64">
        <v>439.1</v>
      </c>
      <c r="O46" s="64">
        <v>0</v>
      </c>
      <c r="P46" s="64">
        <v>0.56999999999999995</v>
      </c>
      <c r="Q46" s="64">
        <v>9.6</v>
      </c>
      <c r="R46" s="198"/>
      <c r="S46" s="198"/>
      <c r="T46" s="198"/>
      <c r="U46" s="198"/>
    </row>
    <row r="47" spans="1:21" s="12" customFormat="1" x14ac:dyDescent="0.25">
      <c r="A47" s="214" t="s">
        <v>1436</v>
      </c>
      <c r="B47" s="64">
        <v>8.69</v>
      </c>
      <c r="C47" s="64">
        <v>35.94</v>
      </c>
      <c r="D47" s="64">
        <v>55.46</v>
      </c>
      <c r="E47" s="64">
        <v>12.64</v>
      </c>
      <c r="F47" s="64">
        <v>24.09</v>
      </c>
      <c r="G47" s="64">
        <v>56.74</v>
      </c>
      <c r="H47" s="64">
        <v>20.34</v>
      </c>
      <c r="I47" s="64">
        <v>4.0599999999999996</v>
      </c>
      <c r="J47" s="64">
        <v>0.14000000000000001</v>
      </c>
      <c r="K47" s="64">
        <v>240.45</v>
      </c>
      <c r="L47" s="64">
        <v>37.99</v>
      </c>
      <c r="M47" s="64">
        <v>34.979999999999997</v>
      </c>
      <c r="N47" s="64">
        <v>239.4</v>
      </c>
      <c r="O47" s="64">
        <v>0</v>
      </c>
      <c r="P47" s="64">
        <v>0.8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4" t="s">
        <v>1437</v>
      </c>
      <c r="B48" s="64">
        <v>7.61</v>
      </c>
      <c r="C48" s="64">
        <v>31.64</v>
      </c>
      <c r="D48" s="64">
        <v>48.87</v>
      </c>
      <c r="E48" s="64">
        <v>11.44</v>
      </c>
      <c r="F48" s="64">
        <v>24.37</v>
      </c>
      <c r="G48" s="64">
        <v>56.38</v>
      </c>
      <c r="H48" s="64">
        <v>20.25</v>
      </c>
      <c r="I48" s="64">
        <v>4.1500000000000004</v>
      </c>
      <c r="J48" s="64">
        <v>0.44</v>
      </c>
      <c r="K48" s="64">
        <v>244.97</v>
      </c>
      <c r="L48" s="64">
        <v>38.200000000000003</v>
      </c>
      <c r="M48" s="64">
        <v>33.880000000000003</v>
      </c>
      <c r="N48" s="64">
        <v>320.39999999999998</v>
      </c>
      <c r="O48" s="64">
        <v>0</v>
      </c>
      <c r="P48" s="64">
        <v>0.65</v>
      </c>
      <c r="Q48" s="64">
        <v>9.59</v>
      </c>
      <c r="R48" s="198"/>
      <c r="S48" s="198"/>
      <c r="T48" s="198"/>
      <c r="U48" s="198"/>
    </row>
    <row r="49" spans="1:21" s="12" customFormat="1" x14ac:dyDescent="0.25">
      <c r="A49" s="214" t="s">
        <v>1438</v>
      </c>
      <c r="B49" s="64">
        <v>7.44</v>
      </c>
      <c r="C49" s="64">
        <v>29.27</v>
      </c>
      <c r="D49" s="64">
        <v>44.62</v>
      </c>
      <c r="E49" s="64">
        <v>10.09</v>
      </c>
      <c r="F49" s="64">
        <v>20.6</v>
      </c>
      <c r="G49" s="64">
        <v>51.31</v>
      </c>
      <c r="H49" s="64">
        <v>19</v>
      </c>
      <c r="I49" s="64">
        <v>3.91</v>
      </c>
      <c r="J49" s="64">
        <v>0.48</v>
      </c>
      <c r="K49" s="64">
        <v>252.52</v>
      </c>
      <c r="L49" s="64">
        <v>39.880000000000003</v>
      </c>
      <c r="M49" s="64">
        <v>31.16</v>
      </c>
      <c r="N49" s="64">
        <v>748.8</v>
      </c>
      <c r="O49" s="64">
        <v>0</v>
      </c>
      <c r="P49" s="64">
        <v>0.64</v>
      </c>
      <c r="Q49" s="64">
        <v>9.58</v>
      </c>
      <c r="R49" s="198"/>
      <c r="S49" s="198"/>
      <c r="T49" s="198"/>
      <c r="U49" s="198"/>
    </row>
    <row r="50" spans="1:21" s="12" customFormat="1" x14ac:dyDescent="0.25">
      <c r="A50" s="214" t="s">
        <v>1439</v>
      </c>
      <c r="B50" s="64">
        <v>6.97</v>
      </c>
      <c r="C50" s="64">
        <v>25.59</v>
      </c>
      <c r="D50" s="64">
        <v>38.29</v>
      </c>
      <c r="E50" s="64">
        <v>8.99</v>
      </c>
      <c r="F50" s="64">
        <v>23.11</v>
      </c>
      <c r="G50" s="64">
        <v>51.31</v>
      </c>
      <c r="H50" s="64">
        <v>19</v>
      </c>
      <c r="I50" s="64">
        <v>4.16</v>
      </c>
      <c r="J50" s="64">
        <v>0.61</v>
      </c>
      <c r="K50" s="64">
        <v>247.46</v>
      </c>
      <c r="L50" s="64">
        <v>41.27</v>
      </c>
      <c r="M50" s="64">
        <v>28.01</v>
      </c>
      <c r="N50" s="64">
        <v>812</v>
      </c>
      <c r="O50" s="64">
        <v>0</v>
      </c>
      <c r="P50" s="64">
        <v>0.55000000000000004</v>
      </c>
      <c r="Q50" s="64">
        <v>9.56</v>
      </c>
      <c r="R50" s="198"/>
      <c r="S50" s="198"/>
      <c r="T50" s="198"/>
      <c r="U50" s="198"/>
    </row>
    <row r="51" spans="1:21" s="12" customFormat="1" x14ac:dyDescent="0.25">
      <c r="A51" s="214" t="s">
        <v>1440</v>
      </c>
      <c r="B51" s="64">
        <v>5.87</v>
      </c>
      <c r="C51" s="64">
        <v>24.56</v>
      </c>
      <c r="D51" s="64">
        <v>38</v>
      </c>
      <c r="E51" s="64">
        <v>7.65</v>
      </c>
      <c r="F51" s="64">
        <v>20.72</v>
      </c>
      <c r="G51" s="64">
        <v>51.31</v>
      </c>
      <c r="H51" s="64">
        <v>19</v>
      </c>
      <c r="I51" s="64">
        <v>4.17</v>
      </c>
      <c r="J51" s="64">
        <v>0.47</v>
      </c>
      <c r="K51" s="64">
        <v>237.21</v>
      </c>
      <c r="L51" s="64">
        <v>42.11</v>
      </c>
      <c r="M51" s="64">
        <v>26.43</v>
      </c>
      <c r="N51" s="64">
        <v>836.5</v>
      </c>
      <c r="O51" s="64">
        <v>0</v>
      </c>
      <c r="P51" s="64">
        <v>0.57999999999999996</v>
      </c>
      <c r="Q51" s="64">
        <v>9.56</v>
      </c>
      <c r="R51" s="198"/>
      <c r="S51" s="198"/>
      <c r="T51" s="198"/>
      <c r="U51" s="198"/>
    </row>
    <row r="52" spans="1:21" s="12" customFormat="1" x14ac:dyDescent="0.25">
      <c r="A52" s="214" t="s">
        <v>1441</v>
      </c>
      <c r="B52" s="64">
        <v>4.38</v>
      </c>
      <c r="C52" s="64">
        <v>30.14</v>
      </c>
      <c r="D52" s="64">
        <v>50.96</v>
      </c>
      <c r="E52" s="64">
        <v>7.19</v>
      </c>
      <c r="F52" s="64">
        <v>15.91</v>
      </c>
      <c r="G52" s="64">
        <v>50</v>
      </c>
      <c r="H52" s="64">
        <v>18.809999999999999</v>
      </c>
      <c r="I52" s="64">
        <v>4.07</v>
      </c>
      <c r="J52" s="64">
        <v>0.78</v>
      </c>
      <c r="K52" s="64">
        <v>246.94</v>
      </c>
      <c r="L52" s="64">
        <v>42.79</v>
      </c>
      <c r="M52" s="64">
        <v>25.41</v>
      </c>
      <c r="N52" s="64">
        <v>846.4</v>
      </c>
      <c r="O52" s="64">
        <v>0</v>
      </c>
      <c r="P52" s="64">
        <v>0.6</v>
      </c>
      <c r="Q52" s="64">
        <v>9.5500000000000007</v>
      </c>
      <c r="R52" s="198"/>
      <c r="S52" s="198"/>
      <c r="T52" s="198"/>
      <c r="U52" s="198"/>
    </row>
    <row r="53" spans="1:21" s="12" customFormat="1" x14ac:dyDescent="0.25">
      <c r="A53" s="214" t="s">
        <v>1442</v>
      </c>
      <c r="B53" s="64">
        <v>3.93</v>
      </c>
      <c r="C53" s="64">
        <v>26.89</v>
      </c>
      <c r="D53" s="64">
        <v>45.44</v>
      </c>
      <c r="E53" s="64">
        <v>5.69</v>
      </c>
      <c r="F53" s="64">
        <v>10.56</v>
      </c>
      <c r="G53" s="64">
        <v>36.450000000000003</v>
      </c>
      <c r="H53" s="64">
        <v>16.25</v>
      </c>
      <c r="I53" s="64">
        <v>4.01</v>
      </c>
      <c r="J53" s="64">
        <v>0.81</v>
      </c>
      <c r="K53" s="64">
        <v>241.48</v>
      </c>
      <c r="L53" s="64">
        <v>43.01</v>
      </c>
      <c r="M53" s="64">
        <v>24.33</v>
      </c>
      <c r="N53" s="64">
        <v>866.5</v>
      </c>
      <c r="O53" s="64">
        <v>0</v>
      </c>
      <c r="P53" s="64">
        <v>0.55000000000000004</v>
      </c>
      <c r="Q53" s="64">
        <v>9.5399999999999991</v>
      </c>
      <c r="R53" s="198"/>
      <c r="S53" s="198"/>
      <c r="T53" s="198"/>
      <c r="U53" s="198"/>
    </row>
    <row r="54" spans="1:21" s="12" customFormat="1" x14ac:dyDescent="0.25">
      <c r="A54" s="214" t="s">
        <v>1443</v>
      </c>
      <c r="B54" s="64">
        <v>5.15</v>
      </c>
      <c r="C54" s="64">
        <v>25.11</v>
      </c>
      <c r="D54" s="64">
        <v>40.159999999999997</v>
      </c>
      <c r="E54" s="64">
        <v>6.1</v>
      </c>
      <c r="F54" s="64">
        <v>14.04</v>
      </c>
      <c r="G54" s="64">
        <v>36.450000000000003</v>
      </c>
      <c r="H54" s="64">
        <v>16.25</v>
      </c>
      <c r="I54" s="64">
        <v>3.97</v>
      </c>
      <c r="J54" s="64">
        <v>0.92</v>
      </c>
      <c r="K54" s="64">
        <v>246.44</v>
      </c>
      <c r="L54" s="64">
        <v>42.11</v>
      </c>
      <c r="M54" s="64">
        <v>26.1</v>
      </c>
      <c r="N54" s="64">
        <v>878.3</v>
      </c>
      <c r="O54" s="64">
        <v>0</v>
      </c>
      <c r="P54" s="64">
        <v>0.52</v>
      </c>
      <c r="Q54" s="64">
        <v>9.5299999999999994</v>
      </c>
      <c r="R54" s="198"/>
      <c r="S54" s="198"/>
      <c r="T54" s="198"/>
      <c r="U54" s="198"/>
    </row>
    <row r="55" spans="1:21" s="12" customFormat="1" x14ac:dyDescent="0.25">
      <c r="A55" s="214" t="s">
        <v>1444</v>
      </c>
      <c r="B55" s="64">
        <v>3.71</v>
      </c>
      <c r="C55" s="64">
        <v>22.07</v>
      </c>
      <c r="D55" s="64">
        <v>36.54</v>
      </c>
      <c r="E55" s="64">
        <v>5.45</v>
      </c>
      <c r="F55" s="64">
        <v>11.39</v>
      </c>
      <c r="G55" s="64">
        <v>36.450000000000003</v>
      </c>
      <c r="H55" s="64">
        <v>16.25</v>
      </c>
      <c r="I55" s="64">
        <v>3.9</v>
      </c>
      <c r="J55" s="64">
        <v>0.76</v>
      </c>
      <c r="K55" s="64">
        <v>231.66</v>
      </c>
      <c r="L55" s="64">
        <v>41.25</v>
      </c>
      <c r="M55" s="64">
        <v>26.79</v>
      </c>
      <c r="N55" s="64">
        <v>867.5</v>
      </c>
      <c r="O55" s="64">
        <v>0</v>
      </c>
      <c r="P55" s="64">
        <v>0.49</v>
      </c>
      <c r="Q55" s="64">
        <v>9.51</v>
      </c>
      <c r="R55" s="198"/>
      <c r="S55" s="198"/>
      <c r="T55" s="198"/>
      <c r="U55" s="198"/>
    </row>
    <row r="56" spans="1:21" s="12" customFormat="1" x14ac:dyDescent="0.25">
      <c r="A56" s="214" t="s">
        <v>1445</v>
      </c>
      <c r="B56" s="64">
        <v>4.01</v>
      </c>
      <c r="C56" s="64">
        <v>21.18</v>
      </c>
      <c r="D56" s="64">
        <v>34.39</v>
      </c>
      <c r="E56" s="64">
        <v>5.29</v>
      </c>
      <c r="F56" s="64">
        <v>10.85</v>
      </c>
      <c r="G56" s="64">
        <v>37.32</v>
      </c>
      <c r="H56" s="64">
        <v>16.149999999999999</v>
      </c>
      <c r="I56" s="64">
        <v>4.07</v>
      </c>
      <c r="J56" s="64">
        <v>0.79</v>
      </c>
      <c r="K56" s="64">
        <v>238.5</v>
      </c>
      <c r="L56" s="64">
        <v>41.03</v>
      </c>
      <c r="M56" s="64">
        <v>27.02</v>
      </c>
      <c r="N56" s="64">
        <v>874.3</v>
      </c>
      <c r="O56" s="64">
        <v>0</v>
      </c>
      <c r="P56" s="64">
        <v>0.45</v>
      </c>
      <c r="Q56" s="64">
        <v>9.5</v>
      </c>
      <c r="R56" s="198"/>
      <c r="S56" s="198"/>
      <c r="T56" s="198"/>
      <c r="U56" s="198"/>
    </row>
    <row r="57" spans="1:21" s="12" customFormat="1" x14ac:dyDescent="0.25">
      <c r="A57" s="214" t="s">
        <v>1446</v>
      </c>
      <c r="B57" s="64">
        <v>5.64</v>
      </c>
      <c r="C57" s="64">
        <v>24.44</v>
      </c>
      <c r="D57" s="64">
        <v>38.119999999999997</v>
      </c>
      <c r="E57" s="64">
        <v>6.36</v>
      </c>
      <c r="F57" s="64">
        <v>15.68</v>
      </c>
      <c r="G57" s="64">
        <v>49.52</v>
      </c>
      <c r="H57" s="64">
        <v>14.76</v>
      </c>
      <c r="I57" s="64">
        <v>3.99</v>
      </c>
      <c r="J57" s="64">
        <v>0.57999999999999996</v>
      </c>
      <c r="K57" s="64">
        <v>197.29</v>
      </c>
      <c r="L57" s="64">
        <v>42.11</v>
      </c>
      <c r="M57" s="64">
        <v>26.27</v>
      </c>
      <c r="N57" s="64">
        <v>876.7</v>
      </c>
      <c r="O57" s="64">
        <v>0</v>
      </c>
      <c r="P57" s="64">
        <v>0.42</v>
      </c>
      <c r="Q57" s="64">
        <v>9.49</v>
      </c>
      <c r="R57" s="198"/>
      <c r="S57" s="198"/>
      <c r="T57" s="198"/>
      <c r="U57" s="198"/>
    </row>
    <row r="58" spans="1:21" s="12" customFormat="1" x14ac:dyDescent="0.25">
      <c r="A58" s="214" t="s">
        <v>1447</v>
      </c>
      <c r="B58" s="64">
        <v>4.2300000000000004</v>
      </c>
      <c r="C58" s="64">
        <v>22.42</v>
      </c>
      <c r="D58" s="64">
        <v>36.409999999999997</v>
      </c>
      <c r="E58" s="64">
        <v>4.62</v>
      </c>
      <c r="F58" s="64">
        <v>7.67</v>
      </c>
      <c r="G58" s="64">
        <v>49.52</v>
      </c>
      <c r="H58" s="64">
        <v>14.76</v>
      </c>
      <c r="I58" s="64">
        <v>3.99</v>
      </c>
      <c r="J58" s="64">
        <v>0.63</v>
      </c>
      <c r="K58" s="64">
        <v>217.82</v>
      </c>
      <c r="L58" s="64">
        <v>41.05</v>
      </c>
      <c r="M58" s="64">
        <v>26.68</v>
      </c>
      <c r="N58" s="64">
        <v>821.3</v>
      </c>
      <c r="O58" s="64">
        <v>0</v>
      </c>
      <c r="P58" s="64">
        <v>0.37</v>
      </c>
      <c r="Q58" s="64">
        <v>9.52</v>
      </c>
      <c r="R58" s="198"/>
      <c r="S58" s="198"/>
      <c r="T58" s="198"/>
      <c r="U58" s="198"/>
    </row>
    <row r="59" spans="1:21" s="12" customFormat="1" x14ac:dyDescent="0.25">
      <c r="A59" s="214" t="s">
        <v>1448</v>
      </c>
      <c r="B59" s="64">
        <v>4.57</v>
      </c>
      <c r="C59" s="64">
        <v>23.74</v>
      </c>
      <c r="D59" s="64">
        <v>38.42</v>
      </c>
      <c r="E59" s="64">
        <v>4.8</v>
      </c>
      <c r="F59" s="64">
        <v>7.86</v>
      </c>
      <c r="G59" s="64">
        <v>49.52</v>
      </c>
      <c r="H59" s="64">
        <v>14.76</v>
      </c>
      <c r="I59" s="64">
        <v>3.96</v>
      </c>
      <c r="J59" s="64">
        <v>1.27</v>
      </c>
      <c r="K59" s="64">
        <v>244.6</v>
      </c>
      <c r="L59" s="64">
        <v>43.51</v>
      </c>
      <c r="M59" s="64">
        <v>24.34</v>
      </c>
      <c r="N59" s="64">
        <v>710.5</v>
      </c>
      <c r="O59" s="64">
        <v>0</v>
      </c>
      <c r="P59" s="64">
        <v>0.42</v>
      </c>
      <c r="Q59" s="64">
        <v>9.5299999999999994</v>
      </c>
      <c r="R59" s="198"/>
      <c r="S59" s="198"/>
      <c r="T59" s="198"/>
      <c r="U59" s="198"/>
    </row>
    <row r="60" spans="1:21" s="12" customFormat="1" x14ac:dyDescent="0.25">
      <c r="A60" s="214" t="s">
        <v>1449</v>
      </c>
      <c r="B60" s="64">
        <v>4.63</v>
      </c>
      <c r="C60" s="64">
        <v>23.99</v>
      </c>
      <c r="D60" s="64">
        <v>38.81</v>
      </c>
      <c r="E60" s="64">
        <v>4.72</v>
      </c>
      <c r="F60" s="64">
        <v>8.41</v>
      </c>
      <c r="G60" s="64">
        <v>49.24</v>
      </c>
      <c r="H60" s="64">
        <v>14.8</v>
      </c>
      <c r="I60" s="64">
        <v>3.87</v>
      </c>
      <c r="J60" s="64">
        <v>0.87</v>
      </c>
      <c r="K60" s="64">
        <v>235.26</v>
      </c>
      <c r="L60" s="64">
        <v>42.74</v>
      </c>
      <c r="M60" s="64">
        <v>24.53</v>
      </c>
      <c r="N60" s="64">
        <v>439.9</v>
      </c>
      <c r="O60" s="64">
        <v>0</v>
      </c>
      <c r="P60" s="64">
        <v>0.4</v>
      </c>
      <c r="Q60" s="64">
        <v>9.5299999999999994</v>
      </c>
      <c r="R60" s="198"/>
      <c r="S60" s="198"/>
      <c r="T60" s="198"/>
      <c r="U60" s="198"/>
    </row>
    <row r="61" spans="1:21" s="12" customFormat="1" x14ac:dyDescent="0.25">
      <c r="A61" s="214" t="s">
        <v>1450</v>
      </c>
      <c r="B61" s="64">
        <v>4.22</v>
      </c>
      <c r="C61" s="64">
        <v>23.85</v>
      </c>
      <c r="D61" s="64">
        <v>39.17</v>
      </c>
      <c r="E61" s="64">
        <v>4.54</v>
      </c>
      <c r="F61" s="64">
        <v>9.59</v>
      </c>
      <c r="G61" s="64">
        <v>45.29</v>
      </c>
      <c r="H61" s="64">
        <v>15.4</v>
      </c>
      <c r="I61" s="64">
        <v>3.91</v>
      </c>
      <c r="J61" s="64">
        <v>0.67</v>
      </c>
      <c r="K61" s="64">
        <v>209.1</v>
      </c>
      <c r="L61" s="64">
        <v>41.01</v>
      </c>
      <c r="M61" s="64">
        <v>25.46</v>
      </c>
      <c r="N61" s="64">
        <v>501.7</v>
      </c>
      <c r="O61" s="64">
        <v>0</v>
      </c>
      <c r="P61" s="64">
        <v>0.38</v>
      </c>
      <c r="Q61" s="64">
        <v>9.5500000000000007</v>
      </c>
      <c r="R61" s="198"/>
      <c r="S61" s="198"/>
      <c r="T61" s="198"/>
      <c r="U61" s="198"/>
    </row>
    <row r="62" spans="1:21" s="12" customFormat="1" x14ac:dyDescent="0.25">
      <c r="A62" s="214" t="s">
        <v>1451</v>
      </c>
      <c r="B62" s="64">
        <v>4.2</v>
      </c>
      <c r="C62" s="64">
        <v>23.2</v>
      </c>
      <c r="D62" s="64">
        <v>37.950000000000003</v>
      </c>
      <c r="E62" s="64">
        <v>4.87</v>
      </c>
      <c r="F62" s="64">
        <v>8.5500000000000007</v>
      </c>
      <c r="G62" s="64">
        <v>45.29</v>
      </c>
      <c r="H62" s="64">
        <v>15.4</v>
      </c>
      <c r="I62" s="64">
        <v>3.89</v>
      </c>
      <c r="J62" s="64">
        <v>0.72</v>
      </c>
      <c r="K62" s="64">
        <v>255.18</v>
      </c>
      <c r="L62" s="64">
        <v>41.65</v>
      </c>
      <c r="M62" s="64">
        <v>24.87</v>
      </c>
      <c r="N62" s="64">
        <v>651.5</v>
      </c>
      <c r="O62" s="64">
        <v>0</v>
      </c>
      <c r="P62" s="64">
        <v>0.43</v>
      </c>
      <c r="Q62" s="64">
        <v>9.57</v>
      </c>
      <c r="R62" s="198"/>
      <c r="S62" s="198"/>
      <c r="T62" s="198"/>
      <c r="U62" s="198"/>
    </row>
    <row r="63" spans="1:21" s="12" customFormat="1" x14ac:dyDescent="0.25">
      <c r="A63" s="214" t="s">
        <v>1452</v>
      </c>
      <c r="B63" s="64">
        <v>4.25</v>
      </c>
      <c r="C63" s="64">
        <v>24.13</v>
      </c>
      <c r="D63" s="64">
        <v>39.659999999999997</v>
      </c>
      <c r="E63" s="64">
        <v>5.44</v>
      </c>
      <c r="F63" s="64">
        <v>8.7200000000000006</v>
      </c>
      <c r="G63" s="64">
        <v>45.29</v>
      </c>
      <c r="H63" s="64">
        <v>15.4</v>
      </c>
      <c r="I63" s="64">
        <v>4.08</v>
      </c>
      <c r="J63" s="64">
        <v>0.55000000000000004</v>
      </c>
      <c r="K63" s="64">
        <v>239.22</v>
      </c>
      <c r="L63" s="64">
        <v>43.38</v>
      </c>
      <c r="M63" s="64">
        <v>23.2</v>
      </c>
      <c r="N63" s="64">
        <v>505.8</v>
      </c>
      <c r="O63" s="64">
        <v>0</v>
      </c>
      <c r="P63" s="64">
        <v>0.46</v>
      </c>
      <c r="Q63" s="64">
        <v>9.57</v>
      </c>
      <c r="R63" s="198"/>
      <c r="S63" s="198"/>
      <c r="T63" s="198"/>
      <c r="U63" s="198"/>
    </row>
    <row r="64" spans="1:21" s="12" customFormat="1" x14ac:dyDescent="0.25">
      <c r="A64" s="214" t="s">
        <v>1453</v>
      </c>
      <c r="B64" s="64">
        <v>4.21</v>
      </c>
      <c r="C64" s="64">
        <v>24.15</v>
      </c>
      <c r="D64" s="64">
        <v>39.770000000000003</v>
      </c>
      <c r="E64" s="64">
        <v>4.26</v>
      </c>
      <c r="F64" s="64">
        <v>6.83</v>
      </c>
      <c r="G64" s="64">
        <v>44.92</v>
      </c>
      <c r="H64" s="64">
        <v>15.27</v>
      </c>
      <c r="I64" s="64">
        <v>4.0599999999999996</v>
      </c>
      <c r="J64" s="64">
        <v>0.96</v>
      </c>
      <c r="K64" s="64">
        <v>238.33</v>
      </c>
      <c r="L64" s="64">
        <v>41.9</v>
      </c>
      <c r="M64" s="64">
        <v>24.03</v>
      </c>
      <c r="N64" s="64">
        <v>619.20000000000005</v>
      </c>
      <c r="O64" s="64">
        <v>0</v>
      </c>
      <c r="P64" s="64">
        <v>0.45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4" t="s">
        <v>1454</v>
      </c>
      <c r="B65" s="64">
        <v>4.37</v>
      </c>
      <c r="C65" s="64">
        <v>23.29</v>
      </c>
      <c r="D65" s="64">
        <v>37.85</v>
      </c>
      <c r="E65" s="64">
        <v>4.18</v>
      </c>
      <c r="F65" s="64">
        <v>5.97</v>
      </c>
      <c r="G65" s="64">
        <v>39.729999999999997</v>
      </c>
      <c r="H65" s="64">
        <v>13.44</v>
      </c>
      <c r="I65" s="64">
        <v>3.95</v>
      </c>
      <c r="J65" s="64">
        <v>1.26</v>
      </c>
      <c r="K65" s="64">
        <v>247.07</v>
      </c>
      <c r="L65" s="64">
        <v>43.03</v>
      </c>
      <c r="M65" s="64">
        <v>23.12</v>
      </c>
      <c r="N65" s="64">
        <v>449.9</v>
      </c>
      <c r="O65" s="64">
        <v>0</v>
      </c>
      <c r="P65" s="64">
        <v>0.45</v>
      </c>
      <c r="Q65" s="64">
        <v>9.58</v>
      </c>
      <c r="R65" s="198"/>
      <c r="S65" s="198"/>
      <c r="T65" s="198"/>
      <c r="U65" s="198"/>
    </row>
    <row r="66" spans="1:21" s="12" customFormat="1" x14ac:dyDescent="0.25">
      <c r="A66" s="214" t="s">
        <v>1455</v>
      </c>
      <c r="B66" s="64">
        <v>4.78</v>
      </c>
      <c r="C66" s="64">
        <v>22.5</v>
      </c>
      <c r="D66" s="64">
        <v>35.729999999999997</v>
      </c>
      <c r="E66" s="64">
        <v>4.16</v>
      </c>
      <c r="F66" s="64">
        <v>5.93</v>
      </c>
      <c r="G66" s="64">
        <v>39.729999999999997</v>
      </c>
      <c r="H66" s="64">
        <v>13.44</v>
      </c>
      <c r="I66" s="64">
        <v>4.18</v>
      </c>
      <c r="J66" s="64">
        <v>0.82</v>
      </c>
      <c r="K66" s="64">
        <v>235.29</v>
      </c>
      <c r="L66" s="64">
        <v>42.7</v>
      </c>
      <c r="M66" s="64">
        <v>22.92</v>
      </c>
      <c r="N66" s="64">
        <v>325.60000000000002</v>
      </c>
      <c r="O66" s="64">
        <v>0</v>
      </c>
      <c r="P66" s="64">
        <v>0.44</v>
      </c>
      <c r="Q66" s="64">
        <v>9.58</v>
      </c>
      <c r="R66" s="198"/>
      <c r="S66" s="198"/>
      <c r="T66" s="198"/>
      <c r="U66" s="198"/>
    </row>
    <row r="67" spans="1:21" s="12" customFormat="1" x14ac:dyDescent="0.25">
      <c r="A67" s="214" t="s">
        <v>1456</v>
      </c>
      <c r="B67" s="64">
        <v>5.04</v>
      </c>
      <c r="C67" s="64">
        <v>23.2</v>
      </c>
      <c r="D67" s="64">
        <v>36.67</v>
      </c>
      <c r="E67" s="64">
        <v>4.0999999999999996</v>
      </c>
      <c r="F67" s="64">
        <v>5.21</v>
      </c>
      <c r="G67" s="64">
        <v>39.729999999999997</v>
      </c>
      <c r="H67" s="64">
        <v>13.44</v>
      </c>
      <c r="I67" s="64">
        <v>3.95</v>
      </c>
      <c r="J67" s="64">
        <v>0.75</v>
      </c>
      <c r="K67" s="64">
        <v>243.55</v>
      </c>
      <c r="L67" s="64">
        <v>42.11</v>
      </c>
      <c r="M67" s="64">
        <v>23.86</v>
      </c>
      <c r="N67" s="64">
        <v>322</v>
      </c>
      <c r="O67" s="64">
        <v>0</v>
      </c>
      <c r="P67" s="64">
        <v>0.47</v>
      </c>
      <c r="Q67" s="64">
        <v>9.57</v>
      </c>
      <c r="R67" s="198"/>
      <c r="S67" s="198"/>
      <c r="T67" s="198"/>
      <c r="U67" s="198"/>
    </row>
    <row r="68" spans="1:21" s="12" customFormat="1" x14ac:dyDescent="0.25">
      <c r="A68" s="214" t="s">
        <v>1457</v>
      </c>
      <c r="B68" s="64">
        <v>7.31</v>
      </c>
      <c r="C68" s="64">
        <v>29</v>
      </c>
      <c r="D68" s="64">
        <v>44.3</v>
      </c>
      <c r="E68" s="64">
        <v>5.17</v>
      </c>
      <c r="F68" s="64">
        <v>15.66</v>
      </c>
      <c r="G68" s="64">
        <v>39.770000000000003</v>
      </c>
      <c r="H68" s="64">
        <v>13.42</v>
      </c>
      <c r="I68" s="64">
        <v>4.08</v>
      </c>
      <c r="J68" s="64">
        <v>0.51</v>
      </c>
      <c r="K68" s="64">
        <v>244.68</v>
      </c>
      <c r="L68" s="64">
        <v>41.4</v>
      </c>
      <c r="M68" s="64">
        <v>24.72</v>
      </c>
      <c r="N68" s="64">
        <v>205.9</v>
      </c>
      <c r="O68" s="64">
        <v>0</v>
      </c>
      <c r="P68" s="64">
        <v>0.46</v>
      </c>
      <c r="Q68" s="64">
        <v>9.56</v>
      </c>
      <c r="R68" s="198"/>
      <c r="S68" s="198"/>
      <c r="T68" s="198"/>
      <c r="U68" s="198"/>
    </row>
    <row r="69" spans="1:21" s="12" customFormat="1" x14ac:dyDescent="0.25">
      <c r="A69" s="214" t="s">
        <v>1458</v>
      </c>
      <c r="B69" s="64">
        <v>5.03</v>
      </c>
      <c r="C69" s="64">
        <v>24.51</v>
      </c>
      <c r="D69" s="64">
        <v>39.18</v>
      </c>
      <c r="E69" s="64">
        <v>5</v>
      </c>
      <c r="F69" s="64">
        <v>14.72</v>
      </c>
      <c r="G69" s="64">
        <v>40.35</v>
      </c>
      <c r="H69" s="64">
        <v>13.11</v>
      </c>
      <c r="I69" s="64">
        <v>4.09</v>
      </c>
      <c r="J69" s="64">
        <v>0.68</v>
      </c>
      <c r="K69" s="64">
        <v>228.59</v>
      </c>
      <c r="L69" s="64">
        <v>40.08</v>
      </c>
      <c r="M69" s="64">
        <v>26.05</v>
      </c>
      <c r="N69" s="64">
        <v>237.2</v>
      </c>
      <c r="O69" s="64">
        <v>0</v>
      </c>
      <c r="P69" s="64">
        <v>0.44</v>
      </c>
      <c r="Q69" s="64">
        <v>9.52</v>
      </c>
      <c r="R69" s="198"/>
      <c r="S69" s="198"/>
      <c r="T69" s="198"/>
      <c r="U69" s="198"/>
    </row>
    <row r="70" spans="1:21" s="12" customFormat="1" x14ac:dyDescent="0.25">
      <c r="A70" s="214" t="s">
        <v>1459</v>
      </c>
      <c r="B70" s="64">
        <v>4.1500000000000004</v>
      </c>
      <c r="C70" s="64">
        <v>21.68</v>
      </c>
      <c r="D70" s="64">
        <v>35.14</v>
      </c>
      <c r="E70" s="64">
        <v>5.39</v>
      </c>
      <c r="F70" s="64">
        <v>14.41</v>
      </c>
      <c r="G70" s="64">
        <v>40.35</v>
      </c>
      <c r="H70" s="64">
        <v>13.11</v>
      </c>
      <c r="I70" s="64">
        <v>3.98</v>
      </c>
      <c r="J70" s="64">
        <v>0.64</v>
      </c>
      <c r="K70" s="64">
        <v>232.39</v>
      </c>
      <c r="L70" s="64">
        <v>39.85</v>
      </c>
      <c r="M70" s="64">
        <v>25.97</v>
      </c>
      <c r="N70" s="64">
        <v>212.9</v>
      </c>
      <c r="O70" s="64">
        <v>0</v>
      </c>
      <c r="P70" s="64">
        <v>0.4</v>
      </c>
      <c r="Q70" s="64">
        <v>9.51</v>
      </c>
      <c r="R70" s="198"/>
      <c r="S70" s="198"/>
      <c r="T70" s="198"/>
      <c r="U70" s="198"/>
    </row>
    <row r="71" spans="1:21" s="12" customFormat="1" x14ac:dyDescent="0.25">
      <c r="A71" s="214" t="s">
        <v>1460</v>
      </c>
      <c r="B71" s="64">
        <v>4.53</v>
      </c>
      <c r="C71" s="64">
        <v>20.49</v>
      </c>
      <c r="D71" s="64">
        <v>32.26</v>
      </c>
      <c r="E71" s="64">
        <v>5.12</v>
      </c>
      <c r="F71" s="64">
        <v>10.199999999999999</v>
      </c>
      <c r="G71" s="64">
        <v>40.35</v>
      </c>
      <c r="H71" s="64">
        <v>13.11</v>
      </c>
      <c r="I71" s="64">
        <v>3.91</v>
      </c>
      <c r="J71" s="64">
        <v>0.78</v>
      </c>
      <c r="K71" s="64">
        <v>237.05</v>
      </c>
      <c r="L71" s="64">
        <v>39.69</v>
      </c>
      <c r="M71" s="64">
        <v>27.03</v>
      </c>
      <c r="N71" s="64">
        <v>237.9</v>
      </c>
      <c r="O71" s="64">
        <v>0</v>
      </c>
      <c r="P71" s="64">
        <v>0.41</v>
      </c>
      <c r="Q71" s="64">
        <v>9.52</v>
      </c>
      <c r="R71" s="198"/>
      <c r="S71" s="198"/>
      <c r="T71" s="198"/>
      <c r="U71" s="198"/>
    </row>
    <row r="72" spans="1:21" s="12" customFormat="1" x14ac:dyDescent="0.25">
      <c r="A72" s="214" t="s">
        <v>1461</v>
      </c>
      <c r="B72" s="64">
        <v>5.74</v>
      </c>
      <c r="C72" s="64">
        <v>22.94</v>
      </c>
      <c r="D72" s="64">
        <v>35.1</v>
      </c>
      <c r="E72" s="64">
        <v>6.6</v>
      </c>
      <c r="F72" s="64">
        <v>21.07</v>
      </c>
      <c r="G72" s="64">
        <v>40.659999999999997</v>
      </c>
      <c r="H72" s="64">
        <v>13.12</v>
      </c>
      <c r="I72" s="64">
        <v>3.98</v>
      </c>
      <c r="J72" s="64">
        <v>0.78</v>
      </c>
      <c r="K72" s="64">
        <v>277.41000000000003</v>
      </c>
      <c r="L72" s="64">
        <v>37.229999999999997</v>
      </c>
      <c r="M72" s="64">
        <v>37.340000000000003</v>
      </c>
      <c r="N72" s="64">
        <v>364.1</v>
      </c>
      <c r="O72" s="64">
        <v>0</v>
      </c>
      <c r="P72" s="64">
        <v>0.43</v>
      </c>
      <c r="Q72" s="64">
        <v>9.5</v>
      </c>
      <c r="R72" s="198"/>
      <c r="S72" s="198"/>
      <c r="T72" s="198"/>
      <c r="U72" s="198"/>
    </row>
    <row r="73" spans="1:21" s="12" customFormat="1" x14ac:dyDescent="0.25">
      <c r="A73" s="214" t="s">
        <v>1462</v>
      </c>
      <c r="B73" s="64">
        <v>10.56</v>
      </c>
      <c r="C73" s="64">
        <v>35.44</v>
      </c>
      <c r="D73" s="64">
        <v>51.62</v>
      </c>
      <c r="E73" s="64">
        <v>10.08</v>
      </c>
      <c r="F73" s="64">
        <v>22.77</v>
      </c>
      <c r="G73" s="64">
        <v>45.07</v>
      </c>
      <c r="H73" s="64">
        <v>13.21</v>
      </c>
      <c r="I73" s="64">
        <v>4.0599999999999996</v>
      </c>
      <c r="J73" s="64">
        <v>0.14000000000000001</v>
      </c>
      <c r="K73" s="64">
        <v>283.97000000000003</v>
      </c>
      <c r="L73" s="64">
        <v>36.33</v>
      </c>
      <c r="M73" s="64">
        <v>38.880000000000003</v>
      </c>
      <c r="N73" s="64">
        <v>197.9</v>
      </c>
      <c r="O73" s="64">
        <v>0</v>
      </c>
      <c r="P73" s="64">
        <v>0.56999999999999995</v>
      </c>
      <c r="Q73" s="64">
        <v>9.4600000000000009</v>
      </c>
      <c r="R73" s="198"/>
      <c r="S73" s="198"/>
      <c r="T73" s="198"/>
      <c r="U73" s="198"/>
    </row>
    <row r="74" spans="1:21" s="12" customFormat="1" x14ac:dyDescent="0.25">
      <c r="A74" s="214" t="s">
        <v>1463</v>
      </c>
      <c r="B74" s="64">
        <v>15.24</v>
      </c>
      <c r="C74" s="64">
        <v>44.88</v>
      </c>
      <c r="D74" s="64">
        <v>62.51</v>
      </c>
      <c r="E74" s="64">
        <v>9.14</v>
      </c>
      <c r="F74" s="64">
        <v>17.88</v>
      </c>
      <c r="G74" s="64">
        <v>45.07</v>
      </c>
      <c r="H74" s="64">
        <v>13.21</v>
      </c>
      <c r="I74" s="64">
        <v>3.87</v>
      </c>
      <c r="J74" s="64">
        <v>0.79</v>
      </c>
      <c r="K74" s="64">
        <v>253.16</v>
      </c>
      <c r="L74" s="64">
        <v>36.83</v>
      </c>
      <c r="M74" s="64">
        <v>39.56</v>
      </c>
      <c r="N74" s="64">
        <v>135.30000000000001</v>
      </c>
      <c r="O74" s="64">
        <v>0</v>
      </c>
      <c r="P74" s="64">
        <v>0.68</v>
      </c>
      <c r="Q74" s="64">
        <v>9.44</v>
      </c>
      <c r="R74" s="198"/>
      <c r="S74" s="198"/>
      <c r="T74" s="198"/>
      <c r="U74" s="198"/>
    </row>
    <row r="75" spans="1:21" s="12" customFormat="1" x14ac:dyDescent="0.25">
      <c r="A75" s="214" t="s">
        <v>1464</v>
      </c>
      <c r="B75" s="64">
        <v>16</v>
      </c>
      <c r="C75" s="64">
        <v>48.76</v>
      </c>
      <c r="D75" s="64">
        <v>68.77</v>
      </c>
      <c r="E75" s="64">
        <v>12.07</v>
      </c>
      <c r="F75" s="64">
        <v>22.3</v>
      </c>
      <c r="G75" s="64">
        <v>45.07</v>
      </c>
      <c r="H75" s="64">
        <v>13.21</v>
      </c>
      <c r="I75" s="64">
        <v>3.84</v>
      </c>
      <c r="J75" s="64">
        <v>0.34</v>
      </c>
      <c r="K75" s="64">
        <v>271.20999999999998</v>
      </c>
      <c r="L75" s="64">
        <v>37.22</v>
      </c>
      <c r="M75" s="64">
        <v>37.020000000000003</v>
      </c>
      <c r="N75" s="64">
        <v>123.1</v>
      </c>
      <c r="O75" s="64">
        <v>0</v>
      </c>
      <c r="P75" s="64">
        <v>0.83</v>
      </c>
      <c r="Q75" s="64">
        <v>9.4700000000000006</v>
      </c>
      <c r="R75" s="198"/>
      <c r="S75" s="198"/>
      <c r="T75" s="198"/>
      <c r="U75" s="198"/>
    </row>
    <row r="76" spans="1:21" s="12" customFormat="1" x14ac:dyDescent="0.25">
      <c r="A76" s="214" t="s">
        <v>1465</v>
      </c>
      <c r="B76" s="64">
        <v>16.3</v>
      </c>
      <c r="C76" s="64">
        <v>50.18</v>
      </c>
      <c r="D76" s="64">
        <v>71.03</v>
      </c>
      <c r="E76" s="64">
        <v>12.16</v>
      </c>
      <c r="F76" s="64">
        <v>22.09</v>
      </c>
      <c r="G76" s="64">
        <v>45.21</v>
      </c>
      <c r="H76" s="64">
        <v>12.94</v>
      </c>
      <c r="I76" s="64">
        <v>4.03</v>
      </c>
      <c r="J76" s="64">
        <v>0.42</v>
      </c>
      <c r="K76" s="64">
        <v>336.69</v>
      </c>
      <c r="L76" s="64">
        <v>37.58</v>
      </c>
      <c r="M76" s="64">
        <v>37.799999999999997</v>
      </c>
      <c r="N76" s="64">
        <v>104.4</v>
      </c>
      <c r="O76" s="64">
        <v>0</v>
      </c>
      <c r="P76" s="64">
        <v>1.01</v>
      </c>
      <c r="Q76" s="64">
        <v>9.52</v>
      </c>
      <c r="R76" s="198"/>
      <c r="S76" s="198"/>
      <c r="T76" s="198"/>
      <c r="U76" s="198"/>
    </row>
    <row r="77" spans="1:21" s="12" customFormat="1" x14ac:dyDescent="0.25">
      <c r="A77" s="214" t="s">
        <v>1466</v>
      </c>
      <c r="B77" s="64">
        <v>10.7</v>
      </c>
      <c r="C77" s="64">
        <v>39.25</v>
      </c>
      <c r="D77" s="64">
        <v>58.7</v>
      </c>
      <c r="E77" s="64">
        <v>9.81</v>
      </c>
      <c r="F77" s="64">
        <v>15</v>
      </c>
      <c r="G77" s="64">
        <v>47.29</v>
      </c>
      <c r="H77" s="64">
        <v>9.25</v>
      </c>
      <c r="I77" s="64">
        <v>4.0999999999999996</v>
      </c>
      <c r="J77" s="64">
        <v>1.82</v>
      </c>
      <c r="K77" s="64">
        <v>247.4</v>
      </c>
      <c r="L77" s="64">
        <v>37.65</v>
      </c>
      <c r="M77" s="64">
        <v>34.69</v>
      </c>
      <c r="N77" s="64">
        <v>89</v>
      </c>
      <c r="O77" s="64">
        <v>0</v>
      </c>
      <c r="P77" s="64">
        <v>0.8</v>
      </c>
      <c r="Q77" s="64">
        <v>9.51</v>
      </c>
      <c r="R77" s="198"/>
      <c r="S77" s="198"/>
      <c r="T77" s="198"/>
      <c r="U77" s="198"/>
    </row>
    <row r="78" spans="1:21" s="12" customFormat="1" x14ac:dyDescent="0.25">
      <c r="A78" s="214" t="s">
        <v>1467</v>
      </c>
      <c r="B78" s="64">
        <v>6.48</v>
      </c>
      <c r="C78" s="64">
        <v>33.090000000000003</v>
      </c>
      <c r="D78" s="64">
        <v>53.4</v>
      </c>
      <c r="E78" s="64">
        <v>6.09</v>
      </c>
      <c r="F78" s="64">
        <v>6.38</v>
      </c>
      <c r="G78" s="64">
        <v>47.29</v>
      </c>
      <c r="H78" s="64">
        <v>9.25</v>
      </c>
      <c r="I78" s="64">
        <v>4.05</v>
      </c>
      <c r="J78" s="64">
        <v>2.5299999999999998</v>
      </c>
      <c r="K78" s="64">
        <v>243.78</v>
      </c>
      <c r="L78" s="64">
        <v>36.11</v>
      </c>
      <c r="M78" s="64">
        <v>36.21</v>
      </c>
      <c r="N78" s="64">
        <v>76</v>
      </c>
      <c r="O78" s="64">
        <v>0</v>
      </c>
      <c r="P78" s="64">
        <v>0.71</v>
      </c>
      <c r="Q78" s="64">
        <v>9.52</v>
      </c>
      <c r="R78" s="198"/>
      <c r="S78" s="198"/>
      <c r="T78" s="198"/>
      <c r="U78" s="198"/>
    </row>
    <row r="79" spans="1:21" s="12" customFormat="1" x14ac:dyDescent="0.25">
      <c r="A79" s="214" t="s">
        <v>1468</v>
      </c>
      <c r="B79" s="64">
        <v>8.35</v>
      </c>
      <c r="C79" s="64">
        <v>33.01</v>
      </c>
      <c r="D79" s="64">
        <v>50.37</v>
      </c>
      <c r="E79" s="64">
        <v>6.67</v>
      </c>
      <c r="F79" s="64">
        <v>7.23</v>
      </c>
      <c r="G79" s="64">
        <v>47.29</v>
      </c>
      <c r="H79" s="64">
        <v>9.25</v>
      </c>
      <c r="I79" s="64">
        <v>4.05</v>
      </c>
      <c r="J79" s="64">
        <v>2.19</v>
      </c>
      <c r="K79" s="64">
        <v>241.93</v>
      </c>
      <c r="L79" s="64">
        <v>35.32</v>
      </c>
      <c r="M79" s="64">
        <v>38.54</v>
      </c>
      <c r="N79" s="64">
        <v>65.8</v>
      </c>
      <c r="O79" s="64">
        <v>0</v>
      </c>
      <c r="P79" s="64">
        <v>0.68</v>
      </c>
      <c r="Q79" s="64">
        <v>9.51</v>
      </c>
      <c r="R79" s="198"/>
      <c r="S79" s="198"/>
      <c r="T79" s="198"/>
      <c r="U79" s="198"/>
    </row>
    <row r="80" spans="1:21" s="12" customFormat="1" x14ac:dyDescent="0.25">
      <c r="A80" s="214" t="s">
        <v>1469</v>
      </c>
      <c r="B80" s="64">
        <v>7.01</v>
      </c>
      <c r="C80" s="64">
        <v>35.33</v>
      </c>
      <c r="D80" s="64">
        <v>56.86</v>
      </c>
      <c r="E80" s="64">
        <v>7.27</v>
      </c>
      <c r="F80" s="64">
        <v>11.49</v>
      </c>
      <c r="G80" s="64">
        <v>47.41</v>
      </c>
      <c r="H80" s="64">
        <v>47.88</v>
      </c>
      <c r="I80" s="64">
        <v>3.96</v>
      </c>
      <c r="J80" s="64">
        <v>2.77</v>
      </c>
      <c r="K80" s="64">
        <v>244.74</v>
      </c>
      <c r="L80" s="64">
        <v>35.049999999999997</v>
      </c>
      <c r="M80" s="64">
        <v>38.39</v>
      </c>
      <c r="N80" s="64">
        <v>55.3</v>
      </c>
      <c r="O80" s="64">
        <v>0</v>
      </c>
      <c r="P80" s="64">
        <v>0.69</v>
      </c>
      <c r="Q80" s="64">
        <v>9.5500000000000007</v>
      </c>
      <c r="R80" s="198"/>
      <c r="S80" s="198"/>
      <c r="T80" s="198"/>
      <c r="U80" s="198"/>
    </row>
    <row r="81" spans="1:26" s="12" customFormat="1" x14ac:dyDescent="0.25">
      <c r="A81" s="214" t="s">
        <v>1470</v>
      </c>
      <c r="B81" s="64">
        <v>5.51</v>
      </c>
      <c r="C81" s="64">
        <v>30.06</v>
      </c>
      <c r="D81" s="64">
        <v>49.08</v>
      </c>
      <c r="E81" s="64">
        <v>6.5</v>
      </c>
      <c r="F81" s="64">
        <v>11.55</v>
      </c>
      <c r="G81" s="64">
        <v>31.76</v>
      </c>
      <c r="H81" s="64">
        <v>287.8</v>
      </c>
      <c r="I81" s="64">
        <v>4.0199999999999996</v>
      </c>
      <c r="J81" s="64">
        <v>2.39</v>
      </c>
      <c r="K81" s="64">
        <v>243.86</v>
      </c>
      <c r="L81" s="64">
        <v>34.78</v>
      </c>
      <c r="M81" s="64">
        <v>37.659999999999997</v>
      </c>
      <c r="N81" s="64">
        <v>42.7</v>
      </c>
      <c r="O81" s="64">
        <v>0</v>
      </c>
      <c r="P81" s="64">
        <v>0.62</v>
      </c>
      <c r="Q81" s="64">
        <v>9.57</v>
      </c>
      <c r="R81" s="198"/>
      <c r="S81" s="198"/>
      <c r="T81" s="198"/>
      <c r="U81" s="198"/>
    </row>
    <row r="82" spans="1:26" s="12" customFormat="1" x14ac:dyDescent="0.25">
      <c r="A82" s="214" t="s">
        <v>1471</v>
      </c>
      <c r="B82" s="64">
        <v>6.84</v>
      </c>
      <c r="C82" s="64">
        <v>30.2</v>
      </c>
      <c r="D82" s="64">
        <v>47.3</v>
      </c>
      <c r="E82" s="64">
        <v>6.64</v>
      </c>
      <c r="F82" s="64">
        <v>12.23</v>
      </c>
      <c r="G82" s="212" t="s">
        <v>42</v>
      </c>
      <c r="H82" s="212" t="s">
        <v>42</v>
      </c>
      <c r="I82" s="64">
        <v>3.89</v>
      </c>
      <c r="J82" s="64">
        <v>2.02</v>
      </c>
      <c r="K82" s="64">
        <v>243.33</v>
      </c>
      <c r="L82" s="64">
        <v>34.43</v>
      </c>
      <c r="M82" s="64">
        <v>38.270000000000003</v>
      </c>
      <c r="N82" s="64">
        <v>32.9</v>
      </c>
      <c r="O82" s="64">
        <v>0</v>
      </c>
      <c r="P82" s="64">
        <v>0.61</v>
      </c>
      <c r="Q82" s="64">
        <v>9.56</v>
      </c>
      <c r="R82" s="198"/>
      <c r="S82" s="198"/>
      <c r="T82" s="198"/>
      <c r="U82" s="198"/>
    </row>
    <row r="83" spans="1:26" s="12" customFormat="1" x14ac:dyDescent="0.25">
      <c r="A83" s="214" t="s">
        <v>1472</v>
      </c>
      <c r="B83" s="64">
        <v>10.61</v>
      </c>
      <c r="C83" s="64">
        <v>38.74</v>
      </c>
      <c r="D83" s="64">
        <v>57.86</v>
      </c>
      <c r="E83" s="64">
        <v>8.44</v>
      </c>
      <c r="F83" s="64">
        <v>15.91</v>
      </c>
      <c r="G83" s="212" t="s">
        <v>42</v>
      </c>
      <c r="H83" s="212" t="s">
        <v>42</v>
      </c>
      <c r="I83" s="64">
        <v>4.03</v>
      </c>
      <c r="J83" s="64">
        <v>1.18</v>
      </c>
      <c r="K83" s="64">
        <v>250.42</v>
      </c>
      <c r="L83" s="64">
        <v>34.19</v>
      </c>
      <c r="M83" s="64">
        <v>39.42</v>
      </c>
      <c r="N83" s="64">
        <v>29.5</v>
      </c>
      <c r="O83" s="64">
        <v>0</v>
      </c>
      <c r="P83" s="64">
        <v>0.79</v>
      </c>
      <c r="Q83" s="64">
        <v>9.5399999999999991</v>
      </c>
      <c r="R83" s="198"/>
      <c r="S83" s="198"/>
      <c r="T83" s="198"/>
      <c r="U83" s="198"/>
    </row>
    <row r="84" spans="1:26" s="12" customFormat="1" x14ac:dyDescent="0.25">
      <c r="A84" s="214" t="s">
        <v>1473</v>
      </c>
      <c r="B84" s="64">
        <v>4.6900000000000004</v>
      </c>
      <c r="C84" s="64">
        <v>30.87</v>
      </c>
      <c r="D84" s="64">
        <v>51.89</v>
      </c>
      <c r="E84" s="64">
        <v>6.82</v>
      </c>
      <c r="F84" s="64">
        <v>7.98</v>
      </c>
      <c r="G84" s="212" t="s">
        <v>42</v>
      </c>
      <c r="H84" s="212" t="s">
        <v>42</v>
      </c>
      <c r="I84" s="64">
        <v>3.88</v>
      </c>
      <c r="J84" s="64">
        <v>1.9</v>
      </c>
      <c r="K84" s="64">
        <v>241.02</v>
      </c>
      <c r="L84" s="64">
        <v>33.96</v>
      </c>
      <c r="M84" s="64">
        <v>39.729999999999997</v>
      </c>
      <c r="N84" s="64">
        <v>28.8</v>
      </c>
      <c r="O84" s="64">
        <v>0</v>
      </c>
      <c r="P84" s="64">
        <v>0.67</v>
      </c>
      <c r="Q84" s="64">
        <v>9.52</v>
      </c>
      <c r="R84" s="198"/>
      <c r="S84" s="198"/>
      <c r="T84" s="198"/>
      <c r="U84" s="198"/>
    </row>
    <row r="85" spans="1:26" s="12" customFormat="1" x14ac:dyDescent="0.25">
      <c r="A85" s="214" t="s">
        <v>1474</v>
      </c>
      <c r="B85" s="64">
        <v>7.4</v>
      </c>
      <c r="C85" s="64">
        <v>33.14</v>
      </c>
      <c r="D85" s="64">
        <v>52.08</v>
      </c>
      <c r="E85" s="64">
        <v>7.53</v>
      </c>
      <c r="F85" s="64">
        <v>10.16</v>
      </c>
      <c r="G85" s="64">
        <v>45.39</v>
      </c>
      <c r="H85" s="64">
        <v>10.62</v>
      </c>
      <c r="I85" s="64">
        <v>4.01</v>
      </c>
      <c r="J85" s="64">
        <v>1.4</v>
      </c>
      <c r="K85" s="64">
        <v>243.48</v>
      </c>
      <c r="L85" s="64">
        <v>33.69</v>
      </c>
      <c r="M85" s="64">
        <v>40.67</v>
      </c>
      <c r="N85" s="64">
        <v>28.9</v>
      </c>
      <c r="O85" s="64">
        <v>0</v>
      </c>
      <c r="P85" s="64">
        <v>0.72</v>
      </c>
      <c r="Q85" s="64">
        <v>9.49</v>
      </c>
      <c r="R85" s="198"/>
      <c r="S85" s="198"/>
      <c r="T85" s="198"/>
      <c r="U85" s="198"/>
    </row>
    <row r="86" spans="1:26" s="12" customFormat="1" x14ac:dyDescent="0.25">
      <c r="A86" s="214" t="s">
        <v>1475</v>
      </c>
      <c r="B86" s="64">
        <v>11.9</v>
      </c>
      <c r="C86" s="64">
        <v>36.53</v>
      </c>
      <c r="D86" s="64">
        <v>51.64</v>
      </c>
      <c r="E86" s="64">
        <v>11.84</v>
      </c>
      <c r="F86" s="64">
        <v>13.49</v>
      </c>
      <c r="G86" s="64">
        <v>86.93</v>
      </c>
      <c r="H86" s="64">
        <v>20.34</v>
      </c>
      <c r="I86" s="64">
        <v>3.83</v>
      </c>
      <c r="J86" s="64">
        <v>1.19</v>
      </c>
      <c r="K86" s="64">
        <v>243.67</v>
      </c>
      <c r="L86" s="64">
        <v>33.520000000000003</v>
      </c>
      <c r="M86" s="64">
        <v>41.15</v>
      </c>
      <c r="N86" s="64">
        <v>28.8</v>
      </c>
      <c r="O86" s="64">
        <v>0</v>
      </c>
      <c r="P86" s="64">
        <v>0.89</v>
      </c>
      <c r="Q86" s="64">
        <v>9.5500000000000007</v>
      </c>
      <c r="R86" s="198"/>
      <c r="S86" s="198"/>
      <c r="T86" s="198"/>
      <c r="U86" s="198"/>
    </row>
    <row r="87" spans="1:26" s="12" customFormat="1" x14ac:dyDescent="0.25">
      <c r="A87" s="214" t="s">
        <v>1476</v>
      </c>
      <c r="B87" s="64">
        <v>15.46</v>
      </c>
      <c r="C87" s="64">
        <v>46.5</v>
      </c>
      <c r="D87" s="64">
        <v>65.28</v>
      </c>
      <c r="E87" s="64">
        <v>16.59</v>
      </c>
      <c r="F87" s="64">
        <v>16.98</v>
      </c>
      <c r="G87" s="64">
        <v>86.93</v>
      </c>
      <c r="H87" s="64">
        <v>20.34</v>
      </c>
      <c r="I87" s="64">
        <v>4</v>
      </c>
      <c r="J87" s="64">
        <v>0.85</v>
      </c>
      <c r="K87" s="64">
        <v>246.85</v>
      </c>
      <c r="L87" s="64">
        <v>33.340000000000003</v>
      </c>
      <c r="M87" s="64">
        <v>41.46</v>
      </c>
      <c r="N87" s="64">
        <v>28.8</v>
      </c>
      <c r="O87" s="64">
        <v>0</v>
      </c>
      <c r="P87" s="64">
        <v>1.04</v>
      </c>
      <c r="Q87" s="64">
        <v>9.58</v>
      </c>
      <c r="R87" s="198"/>
      <c r="S87" s="198"/>
      <c r="T87" s="198"/>
      <c r="U87" s="198"/>
    </row>
    <row r="88" spans="1:26" s="12" customFormat="1" x14ac:dyDescent="0.25">
      <c r="A88" s="214" t="s">
        <v>1477</v>
      </c>
      <c r="B88" s="64">
        <v>34.31</v>
      </c>
      <c r="C88" s="64">
        <v>78.040000000000006</v>
      </c>
      <c r="D88" s="64">
        <v>96.7</v>
      </c>
      <c r="E88" s="64">
        <v>29.7</v>
      </c>
      <c r="F88" s="64">
        <v>14.42</v>
      </c>
      <c r="G88" s="64">
        <v>86.93</v>
      </c>
      <c r="H88" s="64">
        <v>20.34</v>
      </c>
      <c r="I88" s="64">
        <v>3.99</v>
      </c>
      <c r="J88" s="64">
        <v>0.48</v>
      </c>
      <c r="K88" s="64">
        <v>251.17</v>
      </c>
      <c r="L88" s="64">
        <v>33.1</v>
      </c>
      <c r="M88" s="64">
        <v>43.2</v>
      </c>
      <c r="N88" s="64">
        <v>28.9</v>
      </c>
      <c r="O88" s="64">
        <v>0</v>
      </c>
      <c r="P88" s="64">
        <v>1.76</v>
      </c>
      <c r="Q88" s="64">
        <v>9.58</v>
      </c>
      <c r="R88" s="198"/>
      <c r="S88" s="198"/>
      <c r="T88" s="198"/>
      <c r="U88" s="198"/>
    </row>
    <row r="89" spans="1:26" s="12" customFormat="1" x14ac:dyDescent="0.25">
      <c r="A89" s="214" t="s">
        <v>1478</v>
      </c>
      <c r="B89" s="64">
        <v>25.84</v>
      </c>
      <c r="C89" s="64">
        <v>72.56</v>
      </c>
      <c r="D89" s="64">
        <v>99.22</v>
      </c>
      <c r="E89" s="64">
        <v>29.32</v>
      </c>
      <c r="F89" s="64">
        <v>11.93</v>
      </c>
      <c r="G89" s="64">
        <v>85.62</v>
      </c>
      <c r="H89" s="64">
        <v>21.06</v>
      </c>
      <c r="I89" s="64">
        <v>4.01</v>
      </c>
      <c r="J89" s="64">
        <v>0.42</v>
      </c>
      <c r="K89" s="64">
        <v>246.77</v>
      </c>
      <c r="L89" s="64">
        <v>32.64</v>
      </c>
      <c r="M89" s="64">
        <v>44.8</v>
      </c>
      <c r="N89" s="64">
        <v>28.9</v>
      </c>
      <c r="O89" s="64">
        <v>0</v>
      </c>
      <c r="P89" s="64">
        <v>1.95</v>
      </c>
      <c r="Q89" s="64">
        <v>9.57</v>
      </c>
      <c r="R89" s="198"/>
      <c r="S89" s="198"/>
      <c r="T89" s="198"/>
      <c r="U89" s="198"/>
    </row>
    <row r="90" spans="1:26" s="12" customFormat="1" x14ac:dyDescent="0.25">
      <c r="A90" s="214" t="s">
        <v>1479</v>
      </c>
      <c r="B90" s="64">
        <v>26.12</v>
      </c>
      <c r="C90" s="64">
        <v>65.680000000000007</v>
      </c>
      <c r="D90" s="64">
        <v>85.63</v>
      </c>
      <c r="E90" s="64">
        <v>28.28</v>
      </c>
      <c r="F90" s="64">
        <v>14.06</v>
      </c>
      <c r="G90" s="64">
        <v>84.43</v>
      </c>
      <c r="H90" s="64">
        <v>21.73</v>
      </c>
      <c r="I90" s="64">
        <v>3.9</v>
      </c>
      <c r="J90" s="64">
        <v>0.46</v>
      </c>
      <c r="K90" s="64">
        <v>242.84</v>
      </c>
      <c r="L90" s="64">
        <v>32.520000000000003</v>
      </c>
      <c r="M90" s="64">
        <v>45.19</v>
      </c>
      <c r="N90" s="64">
        <v>28.8</v>
      </c>
      <c r="O90" s="64">
        <v>0</v>
      </c>
      <c r="P90" s="64">
        <v>1.49</v>
      </c>
      <c r="Q90" s="64">
        <v>9.57</v>
      </c>
      <c r="R90" s="198"/>
      <c r="S90" s="198"/>
      <c r="T90" s="198"/>
      <c r="U90" s="198"/>
    </row>
    <row r="91" spans="1:26" s="12" customFormat="1" x14ac:dyDescent="0.25">
      <c r="A91" s="214" t="s">
        <v>1480</v>
      </c>
      <c r="B91" s="64">
        <v>21.9</v>
      </c>
      <c r="C91" s="64">
        <v>61.73</v>
      </c>
      <c r="D91" s="64">
        <v>84.54</v>
      </c>
      <c r="E91" s="64">
        <v>17.48</v>
      </c>
      <c r="F91" s="64">
        <v>12.57</v>
      </c>
      <c r="G91" s="64">
        <v>84.43</v>
      </c>
      <c r="H91" s="64">
        <v>21.73</v>
      </c>
      <c r="I91" s="64">
        <v>4.0999999999999996</v>
      </c>
      <c r="J91" s="64">
        <v>0.28999999999999998</v>
      </c>
      <c r="K91" s="64">
        <v>243.78</v>
      </c>
      <c r="L91" s="64">
        <v>32.409999999999997</v>
      </c>
      <c r="M91" s="64">
        <v>44.64</v>
      </c>
      <c r="N91" s="64">
        <v>28.9</v>
      </c>
      <c r="O91" s="64">
        <v>0</v>
      </c>
      <c r="P91" s="64">
        <v>1.35</v>
      </c>
      <c r="Q91" s="64">
        <v>9.52</v>
      </c>
      <c r="R91" s="198"/>
      <c r="S91" s="198"/>
      <c r="T91" s="198"/>
      <c r="U91" s="198"/>
    </row>
    <row r="92" spans="1:26" s="12" customFormat="1" x14ac:dyDescent="0.25">
      <c r="A92" s="214" t="s">
        <v>1481</v>
      </c>
      <c r="B92" s="64">
        <v>18.399999999999999</v>
      </c>
      <c r="C92" s="64">
        <v>67.39</v>
      </c>
      <c r="D92" s="64">
        <v>100.75</v>
      </c>
      <c r="E92" s="64">
        <v>13.6</v>
      </c>
      <c r="F92" s="64">
        <v>9.2899999999999991</v>
      </c>
      <c r="G92" s="64">
        <v>84.43</v>
      </c>
      <c r="H92" s="64">
        <v>21.73</v>
      </c>
      <c r="I92" s="64">
        <v>4.01</v>
      </c>
      <c r="J92" s="64">
        <v>0.28000000000000003</v>
      </c>
      <c r="K92" s="64">
        <v>76.66</v>
      </c>
      <c r="L92" s="64">
        <v>32.229999999999997</v>
      </c>
      <c r="M92" s="64">
        <v>43.75</v>
      </c>
      <c r="N92" s="64">
        <v>29</v>
      </c>
      <c r="O92" s="64">
        <v>0</v>
      </c>
      <c r="P92" s="64">
        <v>1.23</v>
      </c>
      <c r="Q92" s="64">
        <v>9.5299999999999994</v>
      </c>
      <c r="R92" s="198"/>
      <c r="S92" s="198"/>
      <c r="T92" s="198"/>
      <c r="U92" s="198"/>
    </row>
    <row r="93" spans="1:26" s="12" customFormat="1" x14ac:dyDescent="0.25">
      <c r="A93" s="214" t="s">
        <v>1482</v>
      </c>
      <c r="B93" s="64">
        <v>12.84</v>
      </c>
      <c r="C93" s="64">
        <v>57.77</v>
      </c>
      <c r="D93" s="64">
        <v>90.87</v>
      </c>
      <c r="E93" s="64">
        <v>12.87</v>
      </c>
      <c r="F93" s="64">
        <v>10.74</v>
      </c>
      <c r="G93" s="64">
        <v>79.180000000000007</v>
      </c>
      <c r="H93" s="64">
        <v>22.64</v>
      </c>
      <c r="I93" s="64">
        <v>4.0199999999999996</v>
      </c>
      <c r="J93" s="64">
        <v>0.45</v>
      </c>
      <c r="K93" s="64">
        <v>97.52</v>
      </c>
      <c r="L93" s="64">
        <v>32.450000000000003</v>
      </c>
      <c r="M93" s="64">
        <v>45</v>
      </c>
      <c r="N93" s="64">
        <v>28.6</v>
      </c>
      <c r="O93" s="64">
        <v>0</v>
      </c>
      <c r="P93" s="64">
        <v>1.34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14" t="s">
        <v>1483</v>
      </c>
      <c r="B94" s="64">
        <v>18.739999999999998</v>
      </c>
      <c r="C94" s="64">
        <v>66.599999999999994</v>
      </c>
      <c r="D94" s="64">
        <v>98.71</v>
      </c>
      <c r="E94" s="64">
        <v>16.809999999999999</v>
      </c>
      <c r="F94" s="64">
        <v>8.4600000000000009</v>
      </c>
      <c r="G94" s="64">
        <v>74.37</v>
      </c>
      <c r="H94" s="64">
        <v>23.48</v>
      </c>
      <c r="I94" s="64">
        <v>4.12</v>
      </c>
      <c r="J94" s="64">
        <v>0.68</v>
      </c>
      <c r="K94" s="64">
        <v>114.36</v>
      </c>
      <c r="L94" s="64">
        <v>32.44</v>
      </c>
      <c r="M94" s="64">
        <v>45.85</v>
      </c>
      <c r="N94" s="64">
        <v>28.3</v>
      </c>
      <c r="O94" s="64">
        <v>0</v>
      </c>
      <c r="P94" s="64">
        <v>1.35</v>
      </c>
      <c r="Q94" s="64">
        <v>9.67</v>
      </c>
      <c r="R94" s="198"/>
      <c r="S94" s="198"/>
      <c r="T94" s="198"/>
      <c r="U94" s="198"/>
    </row>
    <row r="95" spans="1:26" s="12" customFormat="1" x14ac:dyDescent="0.25">
      <c r="A95" s="214" t="s">
        <v>1484</v>
      </c>
      <c r="B95" s="64">
        <v>7.33</v>
      </c>
      <c r="C95" s="64">
        <v>43.88</v>
      </c>
      <c r="D95" s="64">
        <v>72.73</v>
      </c>
      <c r="E95" s="64">
        <v>22.84</v>
      </c>
      <c r="F95" s="64">
        <v>14.4</v>
      </c>
      <c r="G95" s="64">
        <v>74.37</v>
      </c>
      <c r="H95" s="64">
        <v>23.48</v>
      </c>
      <c r="I95" s="64">
        <v>3.92</v>
      </c>
      <c r="J95" s="64">
        <v>0.68</v>
      </c>
      <c r="K95" s="64">
        <v>103.68</v>
      </c>
      <c r="L95" s="64">
        <v>32.75</v>
      </c>
      <c r="M95" s="64">
        <v>44.42</v>
      </c>
      <c r="N95" s="64">
        <v>28.7</v>
      </c>
      <c r="O95" s="64">
        <v>0</v>
      </c>
      <c r="P95" s="64">
        <v>0.96</v>
      </c>
      <c r="Q95" s="64">
        <v>9.65</v>
      </c>
      <c r="R95" s="198"/>
      <c r="S95" s="198"/>
      <c r="T95" s="198"/>
      <c r="U95" s="198"/>
    </row>
    <row r="96" spans="1:26" s="12" customFormat="1" x14ac:dyDescent="0.25">
      <c r="A96" s="214" t="s">
        <v>1485</v>
      </c>
      <c r="B96" s="64">
        <v>7.38</v>
      </c>
      <c r="C96" s="64">
        <v>48.5</v>
      </c>
      <c r="D96" s="64">
        <v>81.5</v>
      </c>
      <c r="E96" s="64">
        <v>30.37</v>
      </c>
      <c r="F96" s="64">
        <v>13.68</v>
      </c>
      <c r="G96" s="64">
        <v>74.37</v>
      </c>
      <c r="H96" s="64">
        <v>23.48</v>
      </c>
      <c r="I96" s="64">
        <v>3.95</v>
      </c>
      <c r="J96" s="64">
        <v>0.87</v>
      </c>
      <c r="K96" s="64">
        <v>92.89</v>
      </c>
      <c r="L96" s="64">
        <v>33.06</v>
      </c>
      <c r="M96" s="64">
        <v>42.61</v>
      </c>
      <c r="N96" s="64">
        <v>28.3</v>
      </c>
      <c r="O96" s="64">
        <v>0</v>
      </c>
      <c r="P96" s="64">
        <v>0.94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1486</v>
      </c>
      <c r="B97" s="64">
        <v>18.440000000000001</v>
      </c>
      <c r="C97" s="64">
        <v>72.42</v>
      </c>
      <c r="D97" s="64">
        <v>110.31</v>
      </c>
      <c r="E97" s="64">
        <v>36.64</v>
      </c>
      <c r="F97" s="64">
        <v>10.24</v>
      </c>
      <c r="G97" s="64">
        <v>74.98</v>
      </c>
      <c r="H97" s="64">
        <v>24.18</v>
      </c>
      <c r="I97" s="64">
        <v>3.87</v>
      </c>
      <c r="J97" s="64">
        <v>0.39</v>
      </c>
      <c r="K97" s="64">
        <v>157.93</v>
      </c>
      <c r="L97" s="64">
        <v>33.11</v>
      </c>
      <c r="M97" s="64">
        <v>41.76</v>
      </c>
      <c r="N97" s="64">
        <v>28.9</v>
      </c>
      <c r="O97" s="64">
        <v>0</v>
      </c>
      <c r="P97" s="64">
        <v>0.83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4" t="s">
        <v>1487</v>
      </c>
      <c r="B98" s="64">
        <v>10.94</v>
      </c>
      <c r="C98" s="64">
        <v>37.700000000000003</v>
      </c>
      <c r="D98" s="64">
        <v>55.38</v>
      </c>
      <c r="E98" s="64">
        <v>24.37</v>
      </c>
      <c r="F98" s="64">
        <v>10.55</v>
      </c>
      <c r="G98" s="64">
        <v>75.540000000000006</v>
      </c>
      <c r="H98" s="64">
        <v>24.81</v>
      </c>
      <c r="I98" s="64">
        <v>3.98</v>
      </c>
      <c r="J98" s="64">
        <v>0.68</v>
      </c>
      <c r="K98" s="64">
        <v>194.35</v>
      </c>
      <c r="L98" s="64">
        <v>32.14</v>
      </c>
      <c r="M98" s="64">
        <v>46.75</v>
      </c>
      <c r="N98" s="64">
        <v>30</v>
      </c>
      <c r="O98" s="64">
        <v>0</v>
      </c>
      <c r="P98" s="64">
        <v>0.78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4" t="s">
        <v>1488</v>
      </c>
      <c r="B99" s="64">
        <v>14.62</v>
      </c>
      <c r="C99" s="64">
        <v>43.51</v>
      </c>
      <c r="D99" s="64">
        <v>60.84</v>
      </c>
      <c r="E99" s="64">
        <v>16.64</v>
      </c>
      <c r="F99" s="64">
        <v>12.75</v>
      </c>
      <c r="G99" s="64">
        <v>75.540000000000006</v>
      </c>
      <c r="H99" s="64">
        <v>24.81</v>
      </c>
      <c r="I99" s="64">
        <v>3.95</v>
      </c>
      <c r="J99" s="64">
        <v>0.42</v>
      </c>
      <c r="K99" s="64">
        <v>229.34</v>
      </c>
      <c r="L99" s="64">
        <v>31.57</v>
      </c>
      <c r="M99" s="64">
        <v>48.29</v>
      </c>
      <c r="N99" s="64">
        <v>29.2</v>
      </c>
      <c r="O99" s="64">
        <v>0</v>
      </c>
      <c r="P99" s="64">
        <v>0.8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4" t="s">
        <v>1489</v>
      </c>
      <c r="B100" s="64">
        <v>14.34</v>
      </c>
      <c r="C100" s="64">
        <v>41.28</v>
      </c>
      <c r="D100" s="64">
        <v>57</v>
      </c>
      <c r="E100" s="64">
        <v>14.98</v>
      </c>
      <c r="F100" s="64">
        <v>12.01</v>
      </c>
      <c r="G100" s="64">
        <v>75.540000000000006</v>
      </c>
      <c r="H100" s="64">
        <v>24.81</v>
      </c>
      <c r="I100" s="64">
        <v>4.0599999999999996</v>
      </c>
      <c r="J100" s="64">
        <v>0.17</v>
      </c>
      <c r="K100" s="64">
        <v>243.84</v>
      </c>
      <c r="L100" s="64">
        <v>31.27</v>
      </c>
      <c r="M100" s="64">
        <v>49.67</v>
      </c>
      <c r="N100" s="64">
        <v>29.2</v>
      </c>
      <c r="O100" s="64">
        <v>0</v>
      </c>
      <c r="P100" s="64">
        <v>0.64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1490</v>
      </c>
      <c r="B101" s="64">
        <v>18.54</v>
      </c>
      <c r="C101" s="64">
        <v>52.47</v>
      </c>
      <c r="D101" s="64">
        <v>71.98</v>
      </c>
      <c r="E101" s="64">
        <v>13.12</v>
      </c>
      <c r="F101" s="64">
        <v>9.0399999999999991</v>
      </c>
      <c r="G101" s="64">
        <v>73.03</v>
      </c>
      <c r="H101" s="64">
        <v>23.32</v>
      </c>
      <c r="I101" s="64">
        <v>4.1399999999999997</v>
      </c>
      <c r="J101" s="64">
        <v>0.13</v>
      </c>
      <c r="K101" s="64">
        <v>235.52</v>
      </c>
      <c r="L101" s="64">
        <v>31.1</v>
      </c>
      <c r="M101" s="64">
        <v>49.55</v>
      </c>
      <c r="N101" s="64">
        <v>29</v>
      </c>
      <c r="O101" s="64">
        <v>0</v>
      </c>
      <c r="P101" s="64">
        <v>0.83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4" t="s">
        <v>1491</v>
      </c>
      <c r="B102" s="64">
        <v>15.19</v>
      </c>
      <c r="C102" s="64">
        <v>50.5</v>
      </c>
      <c r="D102" s="64">
        <v>73.33</v>
      </c>
      <c r="E102" s="64">
        <v>12.22</v>
      </c>
      <c r="F102" s="64">
        <v>8.1</v>
      </c>
      <c r="G102" s="64">
        <v>70.739999999999995</v>
      </c>
      <c r="H102" s="64">
        <v>21.96</v>
      </c>
      <c r="I102" s="64">
        <v>3.95</v>
      </c>
      <c r="J102" s="64">
        <v>0.14000000000000001</v>
      </c>
      <c r="K102" s="64">
        <v>231.91</v>
      </c>
      <c r="L102" s="64">
        <v>31.05</v>
      </c>
      <c r="M102" s="64">
        <v>49.52</v>
      </c>
      <c r="N102" s="64">
        <v>28.9</v>
      </c>
      <c r="O102" s="64">
        <v>0</v>
      </c>
      <c r="P102" s="64">
        <v>0.83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4" t="s">
        <v>1492</v>
      </c>
      <c r="B103" s="64">
        <v>10.83</v>
      </c>
      <c r="C103" s="64">
        <v>44.13</v>
      </c>
      <c r="D103" s="64">
        <v>67.83</v>
      </c>
      <c r="E103" s="64">
        <v>11.35</v>
      </c>
      <c r="F103" s="64">
        <v>9.51</v>
      </c>
      <c r="G103" s="64">
        <v>70.739999999999995</v>
      </c>
      <c r="H103" s="64">
        <v>21.96</v>
      </c>
      <c r="I103" s="64">
        <v>3.99</v>
      </c>
      <c r="J103" s="64">
        <v>0.28999999999999998</v>
      </c>
      <c r="K103" s="64">
        <v>214.65</v>
      </c>
      <c r="L103" s="64">
        <v>31.16</v>
      </c>
      <c r="M103" s="64">
        <v>48.05</v>
      </c>
      <c r="N103" s="64">
        <v>28.6</v>
      </c>
      <c r="O103" s="64">
        <v>0</v>
      </c>
      <c r="P103" s="64">
        <v>0.59</v>
      </c>
      <c r="Q103" s="64">
        <v>9.58</v>
      </c>
      <c r="R103" s="198"/>
      <c r="S103" s="198"/>
      <c r="T103" s="198"/>
      <c r="U103" s="198"/>
    </row>
    <row r="104" spans="1:33" s="12" customFormat="1" x14ac:dyDescent="0.25">
      <c r="A104" s="214" t="s">
        <v>1493</v>
      </c>
      <c r="B104" s="64">
        <v>7.83</v>
      </c>
      <c r="C104" s="64">
        <v>35.49</v>
      </c>
      <c r="D104" s="64">
        <v>55.9</v>
      </c>
      <c r="E104" s="64">
        <v>9.7100000000000009</v>
      </c>
      <c r="F104" s="64">
        <v>12.26</v>
      </c>
      <c r="G104" s="64">
        <v>70.739999999999995</v>
      </c>
      <c r="H104" s="64">
        <v>21.96</v>
      </c>
      <c r="I104" s="64">
        <v>3.88</v>
      </c>
      <c r="J104" s="64">
        <v>0.36</v>
      </c>
      <c r="K104" s="64">
        <v>239.33</v>
      </c>
      <c r="L104" s="64">
        <v>31.42</v>
      </c>
      <c r="M104" s="64">
        <v>46.98</v>
      </c>
      <c r="N104" s="64">
        <v>28.8</v>
      </c>
      <c r="O104" s="64">
        <v>0</v>
      </c>
      <c r="P104" s="64">
        <v>0.52</v>
      </c>
      <c r="Q104" s="64">
        <v>9.6300000000000008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3.71</v>
      </c>
      <c r="C106" s="67">
        <f>MIN(C9:C104)</f>
        <v>20.49</v>
      </c>
      <c r="D106" s="67">
        <f t="shared" ref="D106:Q106" si="0">MIN(D9:D104)</f>
        <v>31.97</v>
      </c>
      <c r="E106" s="67">
        <f t="shared" si="0"/>
        <v>4.0999999999999996</v>
      </c>
      <c r="F106" s="67">
        <f t="shared" si="0"/>
        <v>5.21</v>
      </c>
      <c r="G106" s="67">
        <f t="shared" si="0"/>
        <v>31.76</v>
      </c>
      <c r="H106" s="67">
        <f t="shared" si="0"/>
        <v>9.25</v>
      </c>
      <c r="I106" s="67">
        <f t="shared" si="0"/>
        <v>3.78</v>
      </c>
      <c r="J106" s="67">
        <f t="shared" si="0"/>
        <v>0.13</v>
      </c>
      <c r="K106" s="67">
        <f t="shared" si="0"/>
        <v>76.66</v>
      </c>
      <c r="L106" s="67">
        <f t="shared" si="0"/>
        <v>30.48</v>
      </c>
      <c r="M106" s="67">
        <f t="shared" si="0"/>
        <v>22.92</v>
      </c>
      <c r="N106" s="67">
        <f t="shared" si="0"/>
        <v>28.3</v>
      </c>
      <c r="O106" s="67">
        <f t="shared" si="0"/>
        <v>0</v>
      </c>
      <c r="P106" s="67">
        <f t="shared" si="0"/>
        <v>0.37</v>
      </c>
      <c r="Q106" s="67">
        <f t="shared" si="0"/>
        <v>9.44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34.31</v>
      </c>
      <c r="C107" s="66">
        <f t="shared" ref="C107:Q107" si="1">MAX(C9:C104)</f>
        <v>78.040000000000006</v>
      </c>
      <c r="D107" s="66">
        <f t="shared" si="1"/>
        <v>110.31</v>
      </c>
      <c r="E107" s="66">
        <f t="shared" si="1"/>
        <v>36.64</v>
      </c>
      <c r="F107" s="66">
        <f t="shared" si="1"/>
        <v>24.37</v>
      </c>
      <c r="G107" s="66">
        <f t="shared" si="1"/>
        <v>86.93</v>
      </c>
      <c r="H107" s="66">
        <f t="shared" si="1"/>
        <v>287.8</v>
      </c>
      <c r="I107" s="66">
        <f t="shared" si="1"/>
        <v>4.18</v>
      </c>
      <c r="J107" s="66">
        <f t="shared" si="1"/>
        <v>2.77</v>
      </c>
      <c r="K107" s="66">
        <f t="shared" si="1"/>
        <v>336.69</v>
      </c>
      <c r="L107" s="66">
        <f t="shared" si="1"/>
        <v>43.51</v>
      </c>
      <c r="M107" s="66">
        <f t="shared" si="1"/>
        <v>54.29</v>
      </c>
      <c r="N107" s="66">
        <f t="shared" si="1"/>
        <v>878.3</v>
      </c>
      <c r="O107" s="66">
        <f t="shared" si="1"/>
        <v>0</v>
      </c>
      <c r="P107" s="66">
        <f t="shared" si="1"/>
        <v>1.95</v>
      </c>
      <c r="Q107" s="66">
        <f t="shared" si="1"/>
        <v>9.67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9.274479166666671</v>
      </c>
      <c r="C108" s="67">
        <f t="shared" ref="C108:Q108" si="2">AVERAGE(C9:C104)</f>
        <v>34.197499999999998</v>
      </c>
      <c r="D108" s="67">
        <f t="shared" si="2"/>
        <v>51.218958333333319</v>
      </c>
      <c r="E108" s="67">
        <f t="shared" si="2"/>
        <v>11.64322916666667</v>
      </c>
      <c r="F108" s="67">
        <f t="shared" si="2"/>
        <v>12.620208333333331</v>
      </c>
      <c r="G108" s="67">
        <f t="shared" si="2"/>
        <v>53.249462365591356</v>
      </c>
      <c r="H108" s="67">
        <f t="shared" si="2"/>
        <v>19.820215053763437</v>
      </c>
      <c r="I108" s="67">
        <f t="shared" si="2"/>
        <v>4.0070833333333313</v>
      </c>
      <c r="J108" s="67">
        <f t="shared" si="2"/>
        <v>0.66520833333333351</v>
      </c>
      <c r="K108" s="67">
        <f t="shared" si="2"/>
        <v>229.60812499999994</v>
      </c>
      <c r="L108" s="67">
        <f t="shared" si="2"/>
        <v>35.270520833333336</v>
      </c>
      <c r="M108" s="67">
        <f t="shared" si="2"/>
        <v>40.224375000000016</v>
      </c>
      <c r="N108" s="67">
        <f t="shared" si="2"/>
        <v>218.06875000000011</v>
      </c>
      <c r="O108" s="67">
        <f t="shared" si="2"/>
        <v>0</v>
      </c>
      <c r="P108" s="67">
        <f t="shared" si="2"/>
        <v>0.70843749999999994</v>
      </c>
      <c r="Q108" s="67">
        <f t="shared" si="2"/>
        <v>9.5838541666666668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6.038697466697446</v>
      </c>
      <c r="C109" s="67">
        <f t="shared" ref="C109:Q109" si="3">STDEV(C9:C104)</f>
        <v>13.334737619031772</v>
      </c>
      <c r="D109" s="67">
        <f t="shared" si="3"/>
        <v>17.417412429681285</v>
      </c>
      <c r="E109" s="67">
        <f t="shared" si="3"/>
        <v>6.2194845775263152</v>
      </c>
      <c r="F109" s="67">
        <f t="shared" si="3"/>
        <v>4.3731915309836076</v>
      </c>
      <c r="G109" s="67">
        <f t="shared" si="3"/>
        <v>13.820407513465234</v>
      </c>
      <c r="H109" s="67">
        <f t="shared" si="3"/>
        <v>28.529588491923022</v>
      </c>
      <c r="I109" s="67">
        <f t="shared" si="3"/>
        <v>9.2325701122273049E-2</v>
      </c>
      <c r="J109" s="67">
        <f t="shared" si="3"/>
        <v>0.51471807135795822</v>
      </c>
      <c r="K109" s="67">
        <f t="shared" si="3"/>
        <v>38.399485476610842</v>
      </c>
      <c r="L109" s="67">
        <f t="shared" si="3"/>
        <v>4.1632083705243375</v>
      </c>
      <c r="M109" s="67">
        <f t="shared" si="3"/>
        <v>9.5212511133335855</v>
      </c>
      <c r="N109" s="67">
        <f t="shared" si="3"/>
        <v>273.79833274356866</v>
      </c>
      <c r="O109" s="67">
        <f t="shared" si="3"/>
        <v>0</v>
      </c>
      <c r="P109" s="67">
        <f t="shared" si="3"/>
        <v>0.28563255057392972</v>
      </c>
      <c r="Q109" s="67">
        <f t="shared" si="3"/>
        <v>5.1735558201841718E-2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1494</v>
      </c>
      <c r="B9" s="64">
        <v>5.94</v>
      </c>
      <c r="C9" s="64">
        <v>25.81</v>
      </c>
      <c r="D9" s="64">
        <v>40.29</v>
      </c>
      <c r="E9" s="64">
        <v>10.37</v>
      </c>
      <c r="F9" s="64">
        <v>13.2</v>
      </c>
      <c r="G9" s="64">
        <v>64.94</v>
      </c>
      <c r="H9" s="64">
        <v>20.239999999999998</v>
      </c>
      <c r="I9" s="64">
        <v>3.96</v>
      </c>
      <c r="J9" s="64">
        <v>0.23</v>
      </c>
      <c r="K9" s="64">
        <v>227.32</v>
      </c>
      <c r="L9" s="64">
        <v>31.13</v>
      </c>
      <c r="M9" s="64">
        <v>48.28</v>
      </c>
      <c r="N9" s="64">
        <v>28.9</v>
      </c>
      <c r="O9" s="64">
        <v>0</v>
      </c>
      <c r="P9" s="64">
        <v>0.55000000000000004</v>
      </c>
      <c r="Q9" s="64">
        <v>9.6999999999999993</v>
      </c>
      <c r="R9" s="198"/>
      <c r="S9" s="198"/>
      <c r="T9" s="198"/>
      <c r="U9" s="198"/>
    </row>
    <row r="10" spans="1:21" s="12" customFormat="1" x14ac:dyDescent="0.25">
      <c r="A10" s="214" t="s">
        <v>1495</v>
      </c>
      <c r="B10" s="64">
        <v>4.67</v>
      </c>
      <c r="C10" s="64">
        <v>23.58</v>
      </c>
      <c r="D10" s="64">
        <v>37.97</v>
      </c>
      <c r="E10" s="64">
        <v>10.61</v>
      </c>
      <c r="F10" s="64">
        <v>14.16</v>
      </c>
      <c r="G10" s="64">
        <v>59.63</v>
      </c>
      <c r="H10" s="64">
        <v>18.670000000000002</v>
      </c>
      <c r="I10" s="64">
        <v>3.95</v>
      </c>
      <c r="J10" s="64">
        <v>0.2</v>
      </c>
      <c r="K10" s="64">
        <v>209.89</v>
      </c>
      <c r="L10" s="64">
        <v>31.1</v>
      </c>
      <c r="M10" s="64">
        <v>47.43</v>
      </c>
      <c r="N10" s="64">
        <v>28.7</v>
      </c>
      <c r="O10" s="64">
        <v>0</v>
      </c>
      <c r="P10" s="64">
        <v>0.48</v>
      </c>
      <c r="Q10" s="64">
        <v>9.66</v>
      </c>
      <c r="R10" s="198"/>
      <c r="S10" s="198"/>
      <c r="T10" s="198"/>
      <c r="U10" s="198"/>
    </row>
    <row r="11" spans="1:21" s="12" customFormat="1" x14ac:dyDescent="0.25">
      <c r="A11" s="214" t="s">
        <v>1496</v>
      </c>
      <c r="B11" s="64">
        <v>4.6500000000000004</v>
      </c>
      <c r="C11" s="64">
        <v>24.25</v>
      </c>
      <c r="D11" s="64">
        <v>39.270000000000003</v>
      </c>
      <c r="E11" s="64">
        <v>10.97</v>
      </c>
      <c r="F11" s="64">
        <v>14</v>
      </c>
      <c r="G11" s="64">
        <v>59.63</v>
      </c>
      <c r="H11" s="64">
        <v>18.670000000000002</v>
      </c>
      <c r="I11" s="64">
        <v>4.08</v>
      </c>
      <c r="J11" s="64">
        <v>0.06</v>
      </c>
      <c r="K11" s="64">
        <v>226.21</v>
      </c>
      <c r="L11" s="64">
        <v>31.19</v>
      </c>
      <c r="M11" s="64">
        <v>47.43</v>
      </c>
      <c r="N11" s="64">
        <v>29</v>
      </c>
      <c r="O11" s="64">
        <v>0</v>
      </c>
      <c r="P11" s="64">
        <v>0.49</v>
      </c>
      <c r="Q11" s="64">
        <v>9.68</v>
      </c>
      <c r="R11" s="198"/>
      <c r="S11" s="198"/>
      <c r="T11" s="198"/>
      <c r="U11" s="198"/>
    </row>
    <row r="12" spans="1:21" s="12" customFormat="1" x14ac:dyDescent="0.25">
      <c r="A12" s="214" t="s">
        <v>1497</v>
      </c>
      <c r="B12" s="64">
        <v>5.4</v>
      </c>
      <c r="C12" s="64">
        <v>31.89</v>
      </c>
      <c r="D12" s="64">
        <v>52.75</v>
      </c>
      <c r="E12" s="64">
        <v>10.36</v>
      </c>
      <c r="F12" s="64">
        <v>11.59</v>
      </c>
      <c r="G12" s="64">
        <v>59.63</v>
      </c>
      <c r="H12" s="64">
        <v>18.670000000000002</v>
      </c>
      <c r="I12" s="64">
        <v>4.03</v>
      </c>
      <c r="J12" s="64">
        <v>0.06</v>
      </c>
      <c r="K12" s="64">
        <v>124.33</v>
      </c>
      <c r="L12" s="64">
        <v>30.94</v>
      </c>
      <c r="M12" s="64">
        <v>50.73</v>
      </c>
      <c r="N12" s="64">
        <v>29.1</v>
      </c>
      <c r="O12" s="64">
        <v>0</v>
      </c>
      <c r="P12" s="64">
        <v>0.49</v>
      </c>
      <c r="Q12" s="64">
        <v>9.73</v>
      </c>
      <c r="R12" s="198"/>
      <c r="S12" s="198"/>
      <c r="T12" s="198"/>
      <c r="U12" s="198"/>
    </row>
    <row r="13" spans="1:21" s="12" customFormat="1" x14ac:dyDescent="0.25">
      <c r="A13" s="214" t="s">
        <v>1498</v>
      </c>
      <c r="B13" s="64">
        <v>4.75</v>
      </c>
      <c r="C13" s="64">
        <v>27.79</v>
      </c>
      <c r="D13" s="64">
        <v>45.9</v>
      </c>
      <c r="E13" s="64">
        <v>9.41</v>
      </c>
      <c r="F13" s="64">
        <v>11.1</v>
      </c>
      <c r="G13" s="64">
        <v>58.04</v>
      </c>
      <c r="H13" s="64">
        <v>17.68</v>
      </c>
      <c r="I13" s="64">
        <v>3.89</v>
      </c>
      <c r="J13" s="64">
        <v>0.2</v>
      </c>
      <c r="K13" s="64">
        <v>164.4</v>
      </c>
      <c r="L13" s="64">
        <v>30.75</v>
      </c>
      <c r="M13" s="64">
        <v>54.18</v>
      </c>
      <c r="N13" s="64">
        <v>29</v>
      </c>
      <c r="O13" s="64">
        <v>0</v>
      </c>
      <c r="P13" s="64">
        <v>0.45</v>
      </c>
      <c r="Q13" s="64">
        <v>9.67</v>
      </c>
      <c r="R13" s="198"/>
      <c r="S13" s="198"/>
      <c r="T13" s="198"/>
      <c r="U13" s="198"/>
    </row>
    <row r="14" spans="1:21" s="12" customFormat="1" x14ac:dyDescent="0.25">
      <c r="A14" s="214" t="s">
        <v>1499</v>
      </c>
      <c r="B14" s="64">
        <v>7.17</v>
      </c>
      <c r="C14" s="64">
        <v>32.340000000000003</v>
      </c>
      <c r="D14" s="64">
        <v>50.89</v>
      </c>
      <c r="E14" s="64">
        <v>8.8699999999999992</v>
      </c>
      <c r="F14" s="64">
        <v>8.3800000000000008</v>
      </c>
      <c r="G14" s="64">
        <v>56.59</v>
      </c>
      <c r="H14" s="64">
        <v>16.77</v>
      </c>
      <c r="I14" s="64">
        <v>3.99</v>
      </c>
      <c r="J14" s="64">
        <v>0.25</v>
      </c>
      <c r="K14" s="64">
        <v>244.85</v>
      </c>
      <c r="L14" s="64">
        <v>30.72</v>
      </c>
      <c r="M14" s="64">
        <v>56.34</v>
      </c>
      <c r="N14" s="64">
        <v>29.1</v>
      </c>
      <c r="O14" s="64">
        <v>0</v>
      </c>
      <c r="P14" s="64">
        <v>0.51</v>
      </c>
      <c r="Q14" s="64">
        <v>9.69</v>
      </c>
      <c r="R14" s="198"/>
      <c r="S14" s="198"/>
      <c r="T14" s="198"/>
      <c r="U14" s="198"/>
    </row>
    <row r="15" spans="1:21" s="12" customFormat="1" x14ac:dyDescent="0.25">
      <c r="A15" s="214" t="s">
        <v>1500</v>
      </c>
      <c r="B15" s="64">
        <v>12.62</v>
      </c>
      <c r="C15" s="64">
        <v>41.2</v>
      </c>
      <c r="D15" s="64">
        <v>59.48</v>
      </c>
      <c r="E15" s="64">
        <v>8.3800000000000008</v>
      </c>
      <c r="F15" s="64">
        <v>6.94</v>
      </c>
      <c r="G15" s="64">
        <v>56.59</v>
      </c>
      <c r="H15" s="64">
        <v>16.77</v>
      </c>
      <c r="I15" s="64">
        <v>3.78</v>
      </c>
      <c r="J15" s="64">
        <v>0.19</v>
      </c>
      <c r="K15" s="64">
        <v>109.59</v>
      </c>
      <c r="L15" s="64">
        <v>30.51</v>
      </c>
      <c r="M15" s="64">
        <v>54.76</v>
      </c>
      <c r="N15" s="64">
        <v>28.8</v>
      </c>
      <c r="O15" s="64">
        <v>0</v>
      </c>
      <c r="P15" s="64">
        <v>0.53</v>
      </c>
      <c r="Q15" s="64">
        <v>9.7100000000000009</v>
      </c>
      <c r="R15" s="198"/>
      <c r="S15" s="198"/>
      <c r="T15" s="198"/>
      <c r="U15" s="198"/>
    </row>
    <row r="16" spans="1:21" s="12" customFormat="1" x14ac:dyDescent="0.25">
      <c r="A16" s="214" t="s">
        <v>1501</v>
      </c>
      <c r="B16" s="64">
        <v>11.31</v>
      </c>
      <c r="C16" s="64">
        <v>36.85</v>
      </c>
      <c r="D16" s="64">
        <v>53.16</v>
      </c>
      <c r="E16" s="64">
        <v>8.5500000000000007</v>
      </c>
      <c r="F16" s="64">
        <v>7.1</v>
      </c>
      <c r="G16" s="64">
        <v>56.59</v>
      </c>
      <c r="H16" s="64">
        <v>16.77</v>
      </c>
      <c r="I16" s="64">
        <v>4.22</v>
      </c>
      <c r="J16" s="64">
        <v>0.33</v>
      </c>
      <c r="K16" s="64">
        <v>234.77</v>
      </c>
      <c r="L16" s="64">
        <v>30.57</v>
      </c>
      <c r="M16" s="64">
        <v>56.03</v>
      </c>
      <c r="N16" s="64">
        <v>29.1</v>
      </c>
      <c r="O16" s="64">
        <v>0</v>
      </c>
      <c r="P16" s="64">
        <v>0.44</v>
      </c>
      <c r="Q16" s="64">
        <v>9.65</v>
      </c>
      <c r="R16" s="198"/>
      <c r="S16" s="198"/>
      <c r="T16" s="198"/>
      <c r="U16" s="198"/>
    </row>
    <row r="17" spans="1:21" s="12" customFormat="1" x14ac:dyDescent="0.25">
      <c r="A17" s="214" t="s">
        <v>1502</v>
      </c>
      <c r="B17" s="64">
        <v>5.27</v>
      </c>
      <c r="C17" s="64">
        <v>32.06</v>
      </c>
      <c r="D17" s="64">
        <v>53.27</v>
      </c>
      <c r="E17" s="64">
        <v>8.23</v>
      </c>
      <c r="F17" s="64">
        <v>6.49</v>
      </c>
      <c r="G17" s="64">
        <v>51.35</v>
      </c>
      <c r="H17" s="64">
        <v>17.66</v>
      </c>
      <c r="I17" s="64">
        <v>4.18</v>
      </c>
      <c r="J17" s="64">
        <v>0.5</v>
      </c>
      <c r="K17" s="64">
        <v>180.2</v>
      </c>
      <c r="L17" s="64">
        <v>30.52</v>
      </c>
      <c r="M17" s="64">
        <v>55.36</v>
      </c>
      <c r="N17" s="64">
        <v>28.6</v>
      </c>
      <c r="O17" s="64">
        <v>0</v>
      </c>
      <c r="P17" s="64">
        <v>0.41</v>
      </c>
      <c r="Q17" s="64">
        <v>9.66</v>
      </c>
      <c r="R17" s="198"/>
      <c r="S17" s="198"/>
      <c r="T17" s="198"/>
      <c r="U17" s="198"/>
    </row>
    <row r="18" spans="1:21" s="12" customFormat="1" x14ac:dyDescent="0.25">
      <c r="A18" s="214" t="s">
        <v>1503</v>
      </c>
      <c r="B18" s="64">
        <v>5.43</v>
      </c>
      <c r="C18" s="64">
        <v>26.93</v>
      </c>
      <c r="D18" s="64">
        <v>43.21</v>
      </c>
      <c r="E18" s="64">
        <v>8.5299999999999994</v>
      </c>
      <c r="F18" s="64">
        <v>11.3</v>
      </c>
      <c r="G18" s="64">
        <v>46.56</v>
      </c>
      <c r="H18" s="64">
        <v>18.47</v>
      </c>
      <c r="I18" s="64">
        <v>3.96</v>
      </c>
      <c r="J18" s="64">
        <v>0.46</v>
      </c>
      <c r="K18" s="64">
        <v>187.46</v>
      </c>
      <c r="L18" s="64">
        <v>30.24</v>
      </c>
      <c r="M18" s="64">
        <v>50.99</v>
      </c>
      <c r="N18" s="64">
        <v>28.7</v>
      </c>
      <c r="O18" s="64">
        <v>0</v>
      </c>
      <c r="P18" s="64">
        <v>0.37</v>
      </c>
      <c r="Q18" s="64">
        <v>9.7100000000000009</v>
      </c>
      <c r="R18" s="198"/>
      <c r="S18" s="198"/>
      <c r="T18" s="198"/>
      <c r="U18" s="198"/>
    </row>
    <row r="19" spans="1:21" s="12" customFormat="1" x14ac:dyDescent="0.25">
      <c r="A19" s="214" t="s">
        <v>1504</v>
      </c>
      <c r="B19" s="64">
        <v>4.45</v>
      </c>
      <c r="C19" s="64">
        <v>21</v>
      </c>
      <c r="D19" s="64">
        <v>33.369999999999997</v>
      </c>
      <c r="E19" s="64">
        <v>8.44</v>
      </c>
      <c r="F19" s="64">
        <v>12.98</v>
      </c>
      <c r="G19" s="64">
        <v>46.56</v>
      </c>
      <c r="H19" s="64">
        <v>18.47</v>
      </c>
      <c r="I19" s="64">
        <v>3.83</v>
      </c>
      <c r="J19" s="64">
        <v>0.4</v>
      </c>
      <c r="K19" s="64">
        <v>213.95</v>
      </c>
      <c r="L19" s="64">
        <v>30.55</v>
      </c>
      <c r="M19" s="64">
        <v>50.08</v>
      </c>
      <c r="N19" s="64">
        <v>28.9</v>
      </c>
      <c r="O19" s="64">
        <v>0</v>
      </c>
      <c r="P19" s="64">
        <v>0.3</v>
      </c>
      <c r="Q19" s="64">
        <v>9.69</v>
      </c>
      <c r="R19" s="198"/>
      <c r="S19" s="198"/>
      <c r="T19" s="198"/>
      <c r="U19" s="198"/>
    </row>
    <row r="20" spans="1:21" s="12" customFormat="1" x14ac:dyDescent="0.25">
      <c r="A20" s="214" t="s">
        <v>1505</v>
      </c>
      <c r="B20" s="64">
        <v>5.16</v>
      </c>
      <c r="C20" s="64">
        <v>19.7</v>
      </c>
      <c r="D20" s="64">
        <v>29.77</v>
      </c>
      <c r="E20" s="64">
        <v>7.91</v>
      </c>
      <c r="F20" s="64">
        <v>13.36</v>
      </c>
      <c r="G20" s="64">
        <v>46.56</v>
      </c>
      <c r="H20" s="64">
        <v>18.47</v>
      </c>
      <c r="I20" s="64">
        <v>3.87</v>
      </c>
      <c r="J20" s="64">
        <v>0.33</v>
      </c>
      <c r="K20" s="64">
        <v>211.83</v>
      </c>
      <c r="L20" s="64">
        <v>29.8</v>
      </c>
      <c r="M20" s="64">
        <v>50.74</v>
      </c>
      <c r="N20" s="64">
        <v>29</v>
      </c>
      <c r="O20" s="64">
        <v>0</v>
      </c>
      <c r="P20" s="64">
        <v>0.32</v>
      </c>
      <c r="Q20" s="64">
        <v>9.67</v>
      </c>
      <c r="R20" s="198"/>
      <c r="S20" s="198"/>
      <c r="T20" s="198"/>
      <c r="U20" s="198"/>
    </row>
    <row r="21" spans="1:21" s="12" customFormat="1" x14ac:dyDescent="0.25">
      <c r="A21" s="214" t="s">
        <v>1506</v>
      </c>
      <c r="B21" s="64">
        <v>5.25</v>
      </c>
      <c r="C21" s="64">
        <v>20.03</v>
      </c>
      <c r="D21" s="64">
        <v>30.26</v>
      </c>
      <c r="E21" s="64">
        <v>8.1300000000000008</v>
      </c>
      <c r="F21" s="64">
        <v>12.41</v>
      </c>
      <c r="G21" s="64">
        <v>44.03</v>
      </c>
      <c r="H21" s="64">
        <v>15.09</v>
      </c>
      <c r="I21" s="64">
        <v>3.82</v>
      </c>
      <c r="J21" s="64">
        <v>0.33</v>
      </c>
      <c r="K21" s="64">
        <v>228.03</v>
      </c>
      <c r="L21" s="64">
        <v>29.59</v>
      </c>
      <c r="M21" s="64">
        <v>51.45</v>
      </c>
      <c r="N21" s="64">
        <v>28.9</v>
      </c>
      <c r="O21" s="64">
        <v>0</v>
      </c>
      <c r="P21" s="64">
        <v>0.37</v>
      </c>
      <c r="Q21" s="64">
        <v>9.66</v>
      </c>
      <c r="R21" s="198"/>
      <c r="S21" s="198"/>
      <c r="T21" s="198"/>
      <c r="U21" s="198"/>
    </row>
    <row r="22" spans="1:21" s="12" customFormat="1" x14ac:dyDescent="0.25">
      <c r="A22" s="214" t="s">
        <v>1507</v>
      </c>
      <c r="B22" s="64">
        <v>4.24</v>
      </c>
      <c r="C22" s="64">
        <v>17.75</v>
      </c>
      <c r="D22" s="64">
        <v>27.47</v>
      </c>
      <c r="E22" s="64">
        <v>7.6</v>
      </c>
      <c r="F22" s="64">
        <v>12.58</v>
      </c>
      <c r="G22" s="64">
        <v>41.72</v>
      </c>
      <c r="H22" s="64">
        <v>12</v>
      </c>
      <c r="I22" s="64">
        <v>4.07</v>
      </c>
      <c r="J22" s="64">
        <v>0.28999999999999998</v>
      </c>
      <c r="K22" s="64">
        <v>183.68</v>
      </c>
      <c r="L22" s="64">
        <v>29.41</v>
      </c>
      <c r="M22" s="64">
        <v>52.31</v>
      </c>
      <c r="N22" s="64">
        <v>28.9</v>
      </c>
      <c r="O22" s="64">
        <v>0</v>
      </c>
      <c r="P22" s="64">
        <v>0.37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4" t="s">
        <v>1508</v>
      </c>
      <c r="B23" s="64">
        <v>5.05</v>
      </c>
      <c r="C23" s="64">
        <v>21.61</v>
      </c>
      <c r="D23" s="64">
        <v>33.619999999999997</v>
      </c>
      <c r="E23" s="64">
        <v>7.72</v>
      </c>
      <c r="F23" s="64">
        <v>11.69</v>
      </c>
      <c r="G23" s="64">
        <v>41.72</v>
      </c>
      <c r="H23" s="64">
        <v>12</v>
      </c>
      <c r="I23" s="64">
        <v>3.92</v>
      </c>
      <c r="J23" s="64">
        <v>0.4</v>
      </c>
      <c r="K23" s="64">
        <v>217.29</v>
      </c>
      <c r="L23" s="64">
        <v>29.8</v>
      </c>
      <c r="M23" s="64">
        <v>52.81</v>
      </c>
      <c r="N23" s="64">
        <v>28.8</v>
      </c>
      <c r="O23" s="64">
        <v>0</v>
      </c>
      <c r="P23" s="64">
        <v>0.37</v>
      </c>
      <c r="Q23" s="64">
        <v>9.64</v>
      </c>
      <c r="R23" s="198"/>
      <c r="S23" s="198"/>
      <c r="T23" s="198"/>
      <c r="U23" s="198"/>
    </row>
    <row r="24" spans="1:21" s="12" customFormat="1" x14ac:dyDescent="0.25">
      <c r="A24" s="214" t="s">
        <v>1509</v>
      </c>
      <c r="B24" s="64">
        <v>5.01</v>
      </c>
      <c r="C24" s="64">
        <v>20.239999999999998</v>
      </c>
      <c r="D24" s="64">
        <v>31.03</v>
      </c>
      <c r="E24" s="64">
        <v>7.62</v>
      </c>
      <c r="F24" s="64">
        <v>11.78</v>
      </c>
      <c r="G24" s="64">
        <v>41.72</v>
      </c>
      <c r="H24" s="64">
        <v>12</v>
      </c>
      <c r="I24" s="64">
        <v>3.89</v>
      </c>
      <c r="J24" s="64">
        <v>0.43</v>
      </c>
      <c r="K24" s="64">
        <v>215.82</v>
      </c>
      <c r="L24" s="64">
        <v>29.34</v>
      </c>
      <c r="M24" s="64">
        <v>52.15</v>
      </c>
      <c r="N24" s="64">
        <v>28.6</v>
      </c>
      <c r="O24" s="64">
        <v>0</v>
      </c>
      <c r="P24" s="64">
        <v>0.4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4" t="s">
        <v>1510</v>
      </c>
      <c r="B25" s="64">
        <v>5.86</v>
      </c>
      <c r="C25" s="64">
        <v>27.05</v>
      </c>
      <c r="D25" s="64">
        <v>42.77</v>
      </c>
      <c r="E25" s="64">
        <v>7.14</v>
      </c>
      <c r="F25" s="64">
        <v>9.74</v>
      </c>
      <c r="G25" s="64">
        <v>39.08</v>
      </c>
      <c r="H25" s="64">
        <v>9.93</v>
      </c>
      <c r="I25" s="64">
        <v>4.05</v>
      </c>
      <c r="J25" s="64">
        <v>0.45</v>
      </c>
      <c r="K25" s="64">
        <v>216.59</v>
      </c>
      <c r="L25" s="64">
        <v>29.44</v>
      </c>
      <c r="M25" s="64">
        <v>52.14</v>
      </c>
      <c r="N25" s="64">
        <v>28.6</v>
      </c>
      <c r="O25" s="64">
        <v>0</v>
      </c>
      <c r="P25" s="64">
        <v>0.36</v>
      </c>
      <c r="Q25" s="64">
        <v>9.6300000000000008</v>
      </c>
      <c r="R25" s="198"/>
      <c r="S25" s="198"/>
      <c r="T25" s="198"/>
      <c r="U25" s="198"/>
    </row>
    <row r="26" spans="1:21" s="12" customFormat="1" x14ac:dyDescent="0.25">
      <c r="A26" s="214" t="s">
        <v>1511</v>
      </c>
      <c r="B26" s="64">
        <v>4.5999999999999996</v>
      </c>
      <c r="C26" s="64">
        <v>19.11</v>
      </c>
      <c r="D26" s="64">
        <v>29.52</v>
      </c>
      <c r="E26" s="64">
        <v>6.97</v>
      </c>
      <c r="F26" s="64">
        <v>12.02</v>
      </c>
      <c r="G26" s="64">
        <v>36.68</v>
      </c>
      <c r="H26" s="64">
        <v>8.0399999999999991</v>
      </c>
      <c r="I26" s="64">
        <v>3.96</v>
      </c>
      <c r="J26" s="64">
        <v>0.42</v>
      </c>
      <c r="K26" s="64">
        <v>236.97</v>
      </c>
      <c r="L26" s="64">
        <v>29.45</v>
      </c>
      <c r="M26" s="64">
        <v>51.92</v>
      </c>
      <c r="N26" s="64">
        <v>28.8</v>
      </c>
      <c r="O26" s="64">
        <v>0</v>
      </c>
      <c r="P26" s="64">
        <v>0.36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4" t="s">
        <v>1512</v>
      </c>
      <c r="B27" s="64">
        <v>5.96</v>
      </c>
      <c r="C27" s="64">
        <v>25.73</v>
      </c>
      <c r="D27" s="64">
        <v>40.090000000000003</v>
      </c>
      <c r="E27" s="64">
        <v>6.89</v>
      </c>
      <c r="F27" s="64">
        <v>10.32</v>
      </c>
      <c r="G27" s="64">
        <v>36.68</v>
      </c>
      <c r="H27" s="64">
        <v>8.0399999999999991</v>
      </c>
      <c r="I27" s="64">
        <v>3.91</v>
      </c>
      <c r="J27" s="64">
        <v>0.08</v>
      </c>
      <c r="K27" s="64">
        <v>201.18</v>
      </c>
      <c r="L27" s="64">
        <v>29.61</v>
      </c>
      <c r="M27" s="64">
        <v>54.14</v>
      </c>
      <c r="N27" s="64">
        <v>29.2</v>
      </c>
      <c r="O27" s="64">
        <v>0</v>
      </c>
      <c r="P27" s="64">
        <v>0.44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4" t="s">
        <v>1513</v>
      </c>
      <c r="B28" s="64">
        <v>5.03</v>
      </c>
      <c r="C28" s="64">
        <v>26.96</v>
      </c>
      <c r="D28" s="64">
        <v>43.87</v>
      </c>
      <c r="E28" s="64">
        <v>7.05</v>
      </c>
      <c r="F28" s="64">
        <v>10.18</v>
      </c>
      <c r="G28" s="64">
        <v>36.68</v>
      </c>
      <c r="H28" s="64">
        <v>8.0399999999999991</v>
      </c>
      <c r="I28" s="64">
        <v>4.1100000000000003</v>
      </c>
      <c r="J28" s="64">
        <v>0.45</v>
      </c>
      <c r="K28" s="64">
        <v>197.07</v>
      </c>
      <c r="L28" s="64">
        <v>28.94</v>
      </c>
      <c r="M28" s="64">
        <v>54.87</v>
      </c>
      <c r="N28" s="64">
        <v>28.7</v>
      </c>
      <c r="O28" s="64">
        <v>0</v>
      </c>
      <c r="P28" s="64">
        <v>0.41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4" t="s">
        <v>1514</v>
      </c>
      <c r="B29" s="64">
        <v>7.02</v>
      </c>
      <c r="C29" s="64">
        <v>24.83</v>
      </c>
      <c r="D29" s="64">
        <v>36.74</v>
      </c>
      <c r="E29" s="64">
        <v>6.33</v>
      </c>
      <c r="F29" s="64">
        <v>7.6</v>
      </c>
      <c r="G29" s="64">
        <v>37.64</v>
      </c>
      <c r="H29" s="64">
        <v>6.74</v>
      </c>
      <c r="I29" s="64">
        <v>4.0999999999999996</v>
      </c>
      <c r="J29" s="64">
        <v>0.56000000000000005</v>
      </c>
      <c r="K29" s="64">
        <v>175.95</v>
      </c>
      <c r="L29" s="64">
        <v>28.75</v>
      </c>
      <c r="M29" s="64">
        <v>56.52</v>
      </c>
      <c r="N29" s="64">
        <v>29.3</v>
      </c>
      <c r="O29" s="64">
        <v>0</v>
      </c>
      <c r="P29" s="64">
        <v>0.48</v>
      </c>
      <c r="Q29" s="64">
        <v>9.6</v>
      </c>
      <c r="R29" s="198"/>
      <c r="S29" s="198"/>
      <c r="T29" s="198"/>
      <c r="U29" s="198"/>
    </row>
    <row r="30" spans="1:21" s="12" customFormat="1" x14ac:dyDescent="0.25">
      <c r="A30" s="214" t="s">
        <v>1515</v>
      </c>
      <c r="B30" s="64">
        <v>5.21</v>
      </c>
      <c r="C30" s="64">
        <v>21.39</v>
      </c>
      <c r="D30" s="64">
        <v>32.94</v>
      </c>
      <c r="E30" s="64">
        <v>6.08</v>
      </c>
      <c r="F30" s="64">
        <v>9.92</v>
      </c>
      <c r="G30" s="64">
        <v>38.53</v>
      </c>
      <c r="H30" s="64">
        <v>5.55</v>
      </c>
      <c r="I30" s="64">
        <v>4.17</v>
      </c>
      <c r="J30" s="64">
        <v>0.39</v>
      </c>
      <c r="K30" s="64">
        <v>201.5</v>
      </c>
      <c r="L30" s="64">
        <v>28.63</v>
      </c>
      <c r="M30" s="64">
        <v>55.58</v>
      </c>
      <c r="N30" s="64">
        <v>31.2</v>
      </c>
      <c r="O30" s="64">
        <v>0</v>
      </c>
      <c r="P30" s="64">
        <v>0.38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14" t="s">
        <v>1516</v>
      </c>
      <c r="B31" s="64">
        <v>5.55</v>
      </c>
      <c r="C31" s="64">
        <v>25.72</v>
      </c>
      <c r="D31" s="64">
        <v>40.71</v>
      </c>
      <c r="E31" s="64">
        <v>6.22</v>
      </c>
      <c r="F31" s="64">
        <v>9.1999999999999993</v>
      </c>
      <c r="G31" s="64">
        <v>38.53</v>
      </c>
      <c r="H31" s="64">
        <v>5.55</v>
      </c>
      <c r="I31" s="64">
        <v>4.03</v>
      </c>
      <c r="J31" s="64">
        <v>0.41</v>
      </c>
      <c r="K31" s="64">
        <v>189.68</v>
      </c>
      <c r="L31" s="64">
        <v>28.96</v>
      </c>
      <c r="M31" s="64">
        <v>56.37</v>
      </c>
      <c r="N31" s="64">
        <v>37.6</v>
      </c>
      <c r="O31" s="64">
        <v>0</v>
      </c>
      <c r="P31" s="64">
        <v>0.42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4" t="s">
        <v>1517</v>
      </c>
      <c r="B32" s="64">
        <v>7.24</v>
      </c>
      <c r="C32" s="64">
        <v>25.81</v>
      </c>
      <c r="D32" s="64">
        <v>38.29</v>
      </c>
      <c r="E32" s="64">
        <v>6.02</v>
      </c>
      <c r="F32" s="64">
        <v>7.46</v>
      </c>
      <c r="G32" s="64">
        <v>38.53</v>
      </c>
      <c r="H32" s="64">
        <v>5.55</v>
      </c>
      <c r="I32" s="64">
        <v>4.0199999999999996</v>
      </c>
      <c r="J32" s="64">
        <v>0.44</v>
      </c>
      <c r="K32" s="64">
        <v>203.15</v>
      </c>
      <c r="L32" s="64">
        <v>28.65</v>
      </c>
      <c r="M32" s="64">
        <v>56.45</v>
      </c>
      <c r="N32" s="64">
        <v>51.4</v>
      </c>
      <c r="O32" s="64">
        <v>0</v>
      </c>
      <c r="P32" s="64">
        <v>0.48</v>
      </c>
      <c r="Q32" s="64">
        <v>9.58</v>
      </c>
      <c r="R32" s="198"/>
      <c r="S32" s="198"/>
      <c r="T32" s="198"/>
      <c r="U32" s="198"/>
    </row>
    <row r="33" spans="1:21" s="12" customFormat="1" x14ac:dyDescent="0.25">
      <c r="A33" s="214" t="s">
        <v>1518</v>
      </c>
      <c r="B33" s="64">
        <v>6.85</v>
      </c>
      <c r="C33" s="64">
        <v>27.65</v>
      </c>
      <c r="D33" s="64">
        <v>42.4</v>
      </c>
      <c r="E33" s="64">
        <v>6.03</v>
      </c>
      <c r="F33" s="64">
        <v>8.8699999999999992</v>
      </c>
      <c r="G33" s="64">
        <v>37.43</v>
      </c>
      <c r="H33" s="64">
        <v>13.31</v>
      </c>
      <c r="I33" s="64">
        <v>4.0199999999999996</v>
      </c>
      <c r="J33" s="64">
        <v>0.47</v>
      </c>
      <c r="K33" s="64">
        <v>172.59</v>
      </c>
      <c r="L33" s="64">
        <v>28.7</v>
      </c>
      <c r="M33" s="64">
        <v>57.31</v>
      </c>
      <c r="N33" s="64">
        <v>76.8</v>
      </c>
      <c r="O33" s="64">
        <v>0</v>
      </c>
      <c r="P33" s="64">
        <v>0.43</v>
      </c>
      <c r="Q33" s="64">
        <v>9.6</v>
      </c>
      <c r="R33" s="198"/>
      <c r="S33" s="198"/>
      <c r="T33" s="198"/>
      <c r="U33" s="198"/>
    </row>
    <row r="34" spans="1:21" s="12" customFormat="1" x14ac:dyDescent="0.25">
      <c r="A34" s="214" t="s">
        <v>1519</v>
      </c>
      <c r="B34" s="64">
        <v>6.18</v>
      </c>
      <c r="C34" s="64">
        <v>26.11</v>
      </c>
      <c r="D34" s="64">
        <v>40.479999999999997</v>
      </c>
      <c r="E34" s="64">
        <v>6.15</v>
      </c>
      <c r="F34" s="64">
        <v>9.2200000000000006</v>
      </c>
      <c r="G34" s="64">
        <v>36.42</v>
      </c>
      <c r="H34" s="64">
        <v>20.41</v>
      </c>
      <c r="I34" s="64">
        <v>3.93</v>
      </c>
      <c r="J34" s="64">
        <v>0.38</v>
      </c>
      <c r="K34" s="64">
        <v>173.68</v>
      </c>
      <c r="L34" s="64">
        <v>29.14</v>
      </c>
      <c r="M34" s="64">
        <v>56.53</v>
      </c>
      <c r="N34" s="64">
        <v>106.2</v>
      </c>
      <c r="O34" s="64">
        <v>0</v>
      </c>
      <c r="P34" s="64">
        <v>0.45</v>
      </c>
      <c r="Q34" s="64">
        <v>9.59</v>
      </c>
      <c r="R34" s="198"/>
      <c r="S34" s="198"/>
      <c r="T34" s="198"/>
      <c r="U34" s="198"/>
    </row>
    <row r="35" spans="1:21" s="12" customFormat="1" x14ac:dyDescent="0.25">
      <c r="A35" s="214" t="s">
        <v>1520</v>
      </c>
      <c r="B35" s="64">
        <v>5.97</v>
      </c>
      <c r="C35" s="64">
        <v>23.15</v>
      </c>
      <c r="D35" s="64">
        <v>35.14</v>
      </c>
      <c r="E35" s="64">
        <v>6.71</v>
      </c>
      <c r="F35" s="64">
        <v>10.35</v>
      </c>
      <c r="G35" s="64">
        <v>36.42</v>
      </c>
      <c r="H35" s="64">
        <v>20.41</v>
      </c>
      <c r="I35" s="64">
        <v>3.96</v>
      </c>
      <c r="J35" s="64">
        <v>0.52</v>
      </c>
      <c r="K35" s="64">
        <v>215.88</v>
      </c>
      <c r="L35" s="64">
        <v>30.03</v>
      </c>
      <c r="M35" s="64">
        <v>55.15</v>
      </c>
      <c r="N35" s="64">
        <v>146.69999999999999</v>
      </c>
      <c r="O35" s="64">
        <v>0</v>
      </c>
      <c r="P35" s="64">
        <v>0.43</v>
      </c>
      <c r="Q35" s="64">
        <v>9.58</v>
      </c>
      <c r="R35" s="198"/>
      <c r="S35" s="198"/>
      <c r="T35" s="198"/>
      <c r="U35" s="198"/>
    </row>
    <row r="36" spans="1:21" s="12" customFormat="1" x14ac:dyDescent="0.25">
      <c r="A36" s="214" t="s">
        <v>1521</v>
      </c>
      <c r="B36" s="64">
        <v>6.08</v>
      </c>
      <c r="C36" s="64">
        <v>20.76</v>
      </c>
      <c r="D36" s="64">
        <v>30.4</v>
      </c>
      <c r="E36" s="64">
        <v>6.14</v>
      </c>
      <c r="F36" s="64">
        <v>9.1999999999999993</v>
      </c>
      <c r="G36" s="64">
        <v>36.42</v>
      </c>
      <c r="H36" s="64">
        <v>20.41</v>
      </c>
      <c r="I36" s="64">
        <v>3.89</v>
      </c>
      <c r="J36" s="64">
        <v>0.49</v>
      </c>
      <c r="K36" s="64">
        <v>209.79</v>
      </c>
      <c r="L36" s="64">
        <v>30.65</v>
      </c>
      <c r="M36" s="64">
        <v>53.97</v>
      </c>
      <c r="N36" s="64">
        <v>202.5</v>
      </c>
      <c r="O36" s="64">
        <v>0</v>
      </c>
      <c r="P36" s="64">
        <v>0.45</v>
      </c>
      <c r="Q36" s="64">
        <v>9.5500000000000007</v>
      </c>
      <c r="R36" s="198"/>
      <c r="S36" s="198"/>
      <c r="T36" s="198"/>
      <c r="U36" s="198"/>
    </row>
    <row r="37" spans="1:21" s="12" customFormat="1" x14ac:dyDescent="0.25">
      <c r="A37" s="214" t="s">
        <v>1522</v>
      </c>
      <c r="B37" s="64">
        <v>6.42</v>
      </c>
      <c r="C37" s="64">
        <v>21.63</v>
      </c>
      <c r="D37" s="64">
        <v>31.54</v>
      </c>
      <c r="E37" s="64">
        <v>6.78</v>
      </c>
      <c r="F37" s="64">
        <v>9.75</v>
      </c>
      <c r="G37" s="64">
        <v>36.880000000000003</v>
      </c>
      <c r="H37" s="64">
        <v>16.04</v>
      </c>
      <c r="I37" s="64">
        <v>3.96</v>
      </c>
      <c r="J37" s="64">
        <v>0.53</v>
      </c>
      <c r="K37" s="64">
        <v>205.2</v>
      </c>
      <c r="L37" s="64">
        <v>31.04</v>
      </c>
      <c r="M37" s="64">
        <v>53.84</v>
      </c>
      <c r="N37" s="64">
        <v>253</v>
      </c>
      <c r="O37" s="64">
        <v>0</v>
      </c>
      <c r="P37" s="64">
        <v>0.53</v>
      </c>
      <c r="Q37" s="64">
        <v>9.5299999999999994</v>
      </c>
      <c r="R37" s="198"/>
      <c r="S37" s="198"/>
      <c r="T37" s="198"/>
      <c r="U37" s="198"/>
    </row>
    <row r="38" spans="1:21" s="12" customFormat="1" x14ac:dyDescent="0.25">
      <c r="A38" s="214" t="s">
        <v>1523</v>
      </c>
      <c r="B38" s="64">
        <v>8.43</v>
      </c>
      <c r="C38" s="64">
        <v>25.26</v>
      </c>
      <c r="D38" s="64">
        <v>35.409999999999997</v>
      </c>
      <c r="E38" s="64">
        <v>6.57</v>
      </c>
      <c r="F38" s="64">
        <v>8.06</v>
      </c>
      <c r="G38" s="64">
        <v>37.299999999999997</v>
      </c>
      <c r="H38" s="64">
        <v>12.04</v>
      </c>
      <c r="I38" s="64">
        <v>4.09</v>
      </c>
      <c r="J38" s="64">
        <v>0.55000000000000004</v>
      </c>
      <c r="K38" s="64">
        <v>240.51</v>
      </c>
      <c r="L38" s="64">
        <v>31.96</v>
      </c>
      <c r="M38" s="64">
        <v>51.84</v>
      </c>
      <c r="N38" s="64">
        <v>266.7</v>
      </c>
      <c r="O38" s="64">
        <v>0</v>
      </c>
      <c r="P38" s="64">
        <v>0.64</v>
      </c>
      <c r="Q38" s="64">
        <v>9.52</v>
      </c>
      <c r="R38" s="198"/>
      <c r="S38" s="198"/>
      <c r="T38" s="198"/>
      <c r="U38" s="198"/>
    </row>
    <row r="39" spans="1:21" s="12" customFormat="1" x14ac:dyDescent="0.25">
      <c r="A39" s="214" t="s">
        <v>1524</v>
      </c>
      <c r="B39" s="64">
        <v>9.56</v>
      </c>
      <c r="C39" s="64">
        <v>25.99</v>
      </c>
      <c r="D39" s="64">
        <v>35.07</v>
      </c>
      <c r="E39" s="64">
        <v>6.29</v>
      </c>
      <c r="F39" s="64">
        <v>9.17</v>
      </c>
      <c r="G39" s="64">
        <v>37.299999999999997</v>
      </c>
      <c r="H39" s="64">
        <v>12.04</v>
      </c>
      <c r="I39" s="64">
        <v>3.99</v>
      </c>
      <c r="J39" s="64">
        <v>0.45</v>
      </c>
      <c r="K39" s="64">
        <v>237.94</v>
      </c>
      <c r="L39" s="64">
        <v>33.619999999999997</v>
      </c>
      <c r="M39" s="64">
        <v>47.97</v>
      </c>
      <c r="N39" s="64">
        <v>358.4</v>
      </c>
      <c r="O39" s="64">
        <v>0</v>
      </c>
      <c r="P39" s="64">
        <v>0.75</v>
      </c>
      <c r="Q39" s="64">
        <v>9.52</v>
      </c>
      <c r="R39" s="198"/>
      <c r="S39" s="198"/>
      <c r="T39" s="198"/>
      <c r="U39" s="198"/>
    </row>
    <row r="40" spans="1:21" s="12" customFormat="1" x14ac:dyDescent="0.25">
      <c r="A40" s="214" t="s">
        <v>1525</v>
      </c>
      <c r="B40" s="64">
        <v>7.68</v>
      </c>
      <c r="C40" s="64">
        <v>23.81</v>
      </c>
      <c r="D40" s="64">
        <v>33.79</v>
      </c>
      <c r="E40" s="64">
        <v>6.46</v>
      </c>
      <c r="F40" s="64">
        <v>9.92</v>
      </c>
      <c r="G40" s="64">
        <v>37.299999999999997</v>
      </c>
      <c r="H40" s="64">
        <v>12.04</v>
      </c>
      <c r="I40" s="64">
        <v>3.98</v>
      </c>
      <c r="J40" s="64">
        <v>0.64</v>
      </c>
      <c r="K40" s="64">
        <v>225.13</v>
      </c>
      <c r="L40" s="64">
        <v>33.799999999999997</v>
      </c>
      <c r="M40" s="64">
        <v>46.2</v>
      </c>
      <c r="N40" s="64">
        <v>434.6</v>
      </c>
      <c r="O40" s="64">
        <v>0</v>
      </c>
      <c r="P40" s="64">
        <v>0.71</v>
      </c>
      <c r="Q40" s="64">
        <v>9.51</v>
      </c>
      <c r="R40" s="198"/>
      <c r="S40" s="198"/>
      <c r="T40" s="198"/>
      <c r="U40" s="198"/>
    </row>
    <row r="41" spans="1:21" s="12" customFormat="1" x14ac:dyDescent="0.25">
      <c r="A41" s="214" t="s">
        <v>1526</v>
      </c>
      <c r="B41" s="64">
        <v>8.58</v>
      </c>
      <c r="C41" s="64">
        <v>27.27</v>
      </c>
      <c r="D41" s="64">
        <v>39.01</v>
      </c>
      <c r="E41" s="64">
        <v>9.25</v>
      </c>
      <c r="F41" s="64">
        <v>10.76</v>
      </c>
      <c r="G41" s="64">
        <v>39.82</v>
      </c>
      <c r="H41" s="64">
        <v>9.59</v>
      </c>
      <c r="I41" s="64">
        <v>3.94</v>
      </c>
      <c r="J41" s="64">
        <v>0.51</v>
      </c>
      <c r="K41" s="64">
        <v>239.84</v>
      </c>
      <c r="L41" s="64">
        <v>33.99</v>
      </c>
      <c r="M41" s="64">
        <v>45.49</v>
      </c>
      <c r="N41" s="64">
        <v>252.3</v>
      </c>
      <c r="O41" s="64">
        <v>0</v>
      </c>
      <c r="P41" s="64">
        <v>0.77</v>
      </c>
      <c r="Q41" s="64">
        <v>9.5</v>
      </c>
      <c r="R41" s="198"/>
      <c r="S41" s="198"/>
      <c r="T41" s="198"/>
      <c r="U41" s="198"/>
    </row>
    <row r="42" spans="1:21" s="12" customFormat="1" x14ac:dyDescent="0.25">
      <c r="A42" s="214" t="s">
        <v>1527</v>
      </c>
      <c r="B42" s="64">
        <v>7.19</v>
      </c>
      <c r="C42" s="64">
        <v>24.36</v>
      </c>
      <c r="D42" s="64">
        <v>35.590000000000003</v>
      </c>
      <c r="E42" s="64">
        <v>6.84</v>
      </c>
      <c r="F42" s="64">
        <v>6.91</v>
      </c>
      <c r="G42" s="64">
        <v>42.12</v>
      </c>
      <c r="H42" s="64">
        <v>7.35</v>
      </c>
      <c r="I42" s="64">
        <v>4</v>
      </c>
      <c r="J42" s="64">
        <v>0.67</v>
      </c>
      <c r="K42" s="64">
        <v>241.69</v>
      </c>
      <c r="L42" s="64">
        <v>35.03</v>
      </c>
      <c r="M42" s="64">
        <v>42.56</v>
      </c>
      <c r="N42" s="64">
        <v>437.5</v>
      </c>
      <c r="O42" s="64">
        <v>0</v>
      </c>
      <c r="P42" s="64">
        <v>0.7</v>
      </c>
      <c r="Q42" s="64">
        <v>9.51</v>
      </c>
      <c r="R42" s="198"/>
      <c r="S42" s="198"/>
      <c r="T42" s="198"/>
      <c r="U42" s="198"/>
    </row>
    <row r="43" spans="1:21" s="12" customFormat="1" x14ac:dyDescent="0.25">
      <c r="A43" s="214" t="s">
        <v>1528</v>
      </c>
      <c r="B43" s="64">
        <v>7.43</v>
      </c>
      <c r="C43" s="64">
        <v>25.25</v>
      </c>
      <c r="D43" s="64">
        <v>36.93</v>
      </c>
      <c r="E43" s="64">
        <v>5.92</v>
      </c>
      <c r="F43" s="64">
        <v>5.39</v>
      </c>
      <c r="G43" s="64">
        <v>42.12</v>
      </c>
      <c r="H43" s="64">
        <v>7.35</v>
      </c>
      <c r="I43" s="64">
        <v>3.95</v>
      </c>
      <c r="J43" s="64">
        <v>1</v>
      </c>
      <c r="K43" s="64">
        <v>242.84</v>
      </c>
      <c r="L43" s="64">
        <v>37.270000000000003</v>
      </c>
      <c r="M43" s="64">
        <v>38.4</v>
      </c>
      <c r="N43" s="64">
        <v>539.70000000000005</v>
      </c>
      <c r="O43" s="64">
        <v>0</v>
      </c>
      <c r="P43" s="64">
        <v>0.69</v>
      </c>
      <c r="Q43" s="64">
        <v>9.5399999999999991</v>
      </c>
      <c r="R43" s="198"/>
      <c r="S43" s="198"/>
      <c r="T43" s="198"/>
      <c r="U43" s="198"/>
    </row>
    <row r="44" spans="1:21" s="12" customFormat="1" x14ac:dyDescent="0.25">
      <c r="A44" s="214" t="s">
        <v>1529</v>
      </c>
      <c r="B44" s="64">
        <v>7.35</v>
      </c>
      <c r="C44" s="64">
        <v>26.2</v>
      </c>
      <c r="D44" s="64">
        <v>38.86</v>
      </c>
      <c r="E44" s="64">
        <v>6.62</v>
      </c>
      <c r="F44" s="64">
        <v>11.92</v>
      </c>
      <c r="G44" s="64">
        <v>42.12</v>
      </c>
      <c r="H44" s="64">
        <v>7.35</v>
      </c>
      <c r="I44" s="64">
        <v>3.83</v>
      </c>
      <c r="J44" s="64">
        <v>0.62</v>
      </c>
      <c r="K44" s="64">
        <v>243.28</v>
      </c>
      <c r="L44" s="64">
        <v>38.5</v>
      </c>
      <c r="M44" s="64">
        <v>36.68</v>
      </c>
      <c r="N44" s="64">
        <v>448</v>
      </c>
      <c r="O44" s="64">
        <v>0</v>
      </c>
      <c r="P44" s="64">
        <v>0.72</v>
      </c>
      <c r="Q44" s="64">
        <v>9.51</v>
      </c>
      <c r="R44" s="198"/>
      <c r="S44" s="198"/>
      <c r="T44" s="198"/>
      <c r="U44" s="198"/>
    </row>
    <row r="45" spans="1:21" s="12" customFormat="1" x14ac:dyDescent="0.25">
      <c r="A45" s="214" t="s">
        <v>1530</v>
      </c>
      <c r="B45" s="64">
        <v>9.42</v>
      </c>
      <c r="C45" s="64">
        <v>30.78</v>
      </c>
      <c r="D45" s="64">
        <v>44.45</v>
      </c>
      <c r="E45" s="64">
        <v>7.26</v>
      </c>
      <c r="F45" s="64">
        <v>13.47</v>
      </c>
      <c r="G45" s="64">
        <v>43.6</v>
      </c>
      <c r="H45" s="64">
        <v>5.93</v>
      </c>
      <c r="I45" s="64">
        <v>3.97</v>
      </c>
      <c r="J45" s="64">
        <v>0.83</v>
      </c>
      <c r="K45" s="64">
        <v>244.85</v>
      </c>
      <c r="L45" s="64">
        <v>38.159999999999997</v>
      </c>
      <c r="M45" s="64">
        <v>36.880000000000003</v>
      </c>
      <c r="N45" s="64">
        <v>407.7</v>
      </c>
      <c r="O45" s="64">
        <v>0</v>
      </c>
      <c r="P45" s="64">
        <v>0.74</v>
      </c>
      <c r="Q45" s="64">
        <v>9.49</v>
      </c>
      <c r="R45" s="198"/>
      <c r="S45" s="198"/>
      <c r="T45" s="198"/>
      <c r="U45" s="198"/>
    </row>
    <row r="46" spans="1:21" s="12" customFormat="1" x14ac:dyDescent="0.25">
      <c r="A46" s="214" t="s">
        <v>1531</v>
      </c>
      <c r="B46" s="64">
        <v>7.9</v>
      </c>
      <c r="C46" s="64">
        <v>28.39</v>
      </c>
      <c r="D46" s="64">
        <v>42.21</v>
      </c>
      <c r="E46" s="64">
        <v>8.26</v>
      </c>
      <c r="F46" s="64">
        <v>15.39</v>
      </c>
      <c r="G46" s="64">
        <v>44.96</v>
      </c>
      <c r="H46" s="64">
        <v>4.63</v>
      </c>
      <c r="I46" s="64">
        <v>4.01</v>
      </c>
      <c r="J46" s="64">
        <v>0.78</v>
      </c>
      <c r="K46" s="64">
        <v>244.67</v>
      </c>
      <c r="L46" s="64">
        <v>39.700000000000003</v>
      </c>
      <c r="M46" s="64">
        <v>31.25</v>
      </c>
      <c r="N46" s="64">
        <v>639</v>
      </c>
      <c r="O46" s="64">
        <v>0</v>
      </c>
      <c r="P46" s="64">
        <v>0.7</v>
      </c>
      <c r="Q46" s="64">
        <v>9.49</v>
      </c>
      <c r="R46" s="198"/>
      <c r="S46" s="198"/>
      <c r="T46" s="198"/>
      <c r="U46" s="198"/>
    </row>
    <row r="47" spans="1:21" s="12" customFormat="1" x14ac:dyDescent="0.25">
      <c r="A47" s="214" t="s">
        <v>1532</v>
      </c>
      <c r="B47" s="64">
        <v>6.99</v>
      </c>
      <c r="C47" s="64">
        <v>27.65</v>
      </c>
      <c r="D47" s="64">
        <v>42.19</v>
      </c>
      <c r="E47" s="64">
        <v>6.94</v>
      </c>
      <c r="F47" s="64">
        <v>12.46</v>
      </c>
      <c r="G47" s="64">
        <v>44.96</v>
      </c>
      <c r="H47" s="64">
        <v>4.63</v>
      </c>
      <c r="I47" s="64">
        <v>3.85</v>
      </c>
      <c r="J47" s="64">
        <v>0.86</v>
      </c>
      <c r="K47" s="64">
        <v>248.5</v>
      </c>
      <c r="L47" s="64">
        <v>40.909999999999997</v>
      </c>
      <c r="M47" s="64">
        <v>28.34</v>
      </c>
      <c r="N47" s="64">
        <v>643.5</v>
      </c>
      <c r="O47" s="64">
        <v>0</v>
      </c>
      <c r="P47" s="64">
        <v>0.73</v>
      </c>
      <c r="Q47" s="64">
        <v>9.48</v>
      </c>
      <c r="R47" s="198"/>
      <c r="S47" s="198"/>
      <c r="T47" s="198"/>
      <c r="U47" s="198"/>
    </row>
    <row r="48" spans="1:21" s="12" customFormat="1" x14ac:dyDescent="0.25">
      <c r="A48" s="214" t="s">
        <v>1533</v>
      </c>
      <c r="B48" s="64">
        <v>7.64</v>
      </c>
      <c r="C48" s="64">
        <v>28.4</v>
      </c>
      <c r="D48" s="64">
        <v>42.63</v>
      </c>
      <c r="E48" s="64">
        <v>7.97</v>
      </c>
      <c r="F48" s="64">
        <v>17.239999999999998</v>
      </c>
      <c r="G48" s="64">
        <v>44.96</v>
      </c>
      <c r="H48" s="64">
        <v>4.63</v>
      </c>
      <c r="I48" s="64">
        <v>3.98</v>
      </c>
      <c r="J48" s="64">
        <v>0.68</v>
      </c>
      <c r="K48" s="64">
        <v>239.91</v>
      </c>
      <c r="L48" s="64">
        <v>40.630000000000003</v>
      </c>
      <c r="M48" s="64">
        <v>28.84</v>
      </c>
      <c r="N48" s="64">
        <v>420.4</v>
      </c>
      <c r="O48" s="64">
        <v>0</v>
      </c>
      <c r="P48" s="64">
        <v>0.73</v>
      </c>
      <c r="Q48" s="64">
        <v>9.5</v>
      </c>
      <c r="R48" s="198"/>
      <c r="S48" s="198"/>
      <c r="T48" s="198"/>
      <c r="U48" s="198"/>
    </row>
    <row r="49" spans="1:21" s="12" customFormat="1" x14ac:dyDescent="0.25">
      <c r="A49" s="214" t="s">
        <v>1534</v>
      </c>
      <c r="B49" s="64">
        <v>4.6500000000000004</v>
      </c>
      <c r="C49" s="64">
        <v>21.7</v>
      </c>
      <c r="D49" s="64">
        <v>34.39</v>
      </c>
      <c r="E49" s="64">
        <v>8.85</v>
      </c>
      <c r="F49" s="64">
        <v>22.69</v>
      </c>
      <c r="G49" s="64">
        <v>43.7</v>
      </c>
      <c r="H49" s="64">
        <v>3.78</v>
      </c>
      <c r="I49" s="64">
        <v>4.04</v>
      </c>
      <c r="J49" s="64">
        <v>0.57999999999999996</v>
      </c>
      <c r="K49" s="64">
        <v>210.87</v>
      </c>
      <c r="L49" s="64">
        <v>37.53</v>
      </c>
      <c r="M49" s="64">
        <v>33.299999999999997</v>
      </c>
      <c r="N49" s="64">
        <v>574.6</v>
      </c>
      <c r="O49" s="64">
        <v>0</v>
      </c>
      <c r="P49" s="64">
        <v>0.56000000000000005</v>
      </c>
      <c r="Q49" s="64">
        <v>9.5</v>
      </c>
      <c r="R49" s="198"/>
      <c r="S49" s="198"/>
      <c r="T49" s="198"/>
      <c r="U49" s="198"/>
    </row>
    <row r="50" spans="1:21" s="12" customFormat="1" x14ac:dyDescent="0.25">
      <c r="A50" s="214" t="s">
        <v>1535</v>
      </c>
      <c r="B50" s="64">
        <v>4.87</v>
      </c>
      <c r="C50" s="64">
        <v>21.19</v>
      </c>
      <c r="D50" s="64">
        <v>33.08</v>
      </c>
      <c r="E50" s="64">
        <v>7.98</v>
      </c>
      <c r="F50" s="64">
        <v>17.23</v>
      </c>
      <c r="G50" s="64">
        <v>42.54</v>
      </c>
      <c r="H50" s="64">
        <v>3.01</v>
      </c>
      <c r="I50" s="64">
        <v>3.92</v>
      </c>
      <c r="J50" s="64">
        <v>0.56999999999999995</v>
      </c>
      <c r="K50" s="64">
        <v>195.79</v>
      </c>
      <c r="L50" s="64">
        <v>38.36</v>
      </c>
      <c r="M50" s="64">
        <v>31.99</v>
      </c>
      <c r="N50" s="64">
        <v>715.3</v>
      </c>
      <c r="O50" s="64">
        <v>0</v>
      </c>
      <c r="P50" s="64">
        <v>0.57999999999999996</v>
      </c>
      <c r="Q50" s="64">
        <v>9.49</v>
      </c>
      <c r="R50" s="198"/>
      <c r="S50" s="198"/>
      <c r="T50" s="198"/>
      <c r="U50" s="198"/>
    </row>
    <row r="51" spans="1:21" s="12" customFormat="1" x14ac:dyDescent="0.25">
      <c r="A51" s="214" t="s">
        <v>1536</v>
      </c>
      <c r="B51" s="64">
        <v>4.29</v>
      </c>
      <c r="C51" s="64">
        <v>18.850000000000001</v>
      </c>
      <c r="D51" s="64">
        <v>29.5</v>
      </c>
      <c r="E51" s="64">
        <v>7.49</v>
      </c>
      <c r="F51" s="64">
        <v>20.72</v>
      </c>
      <c r="G51" s="64">
        <v>42.54</v>
      </c>
      <c r="H51" s="64">
        <v>3.01</v>
      </c>
      <c r="I51" s="64">
        <v>4</v>
      </c>
      <c r="J51" s="64">
        <v>0.64</v>
      </c>
      <c r="K51" s="64">
        <v>190.21</v>
      </c>
      <c r="L51" s="64">
        <v>38.6</v>
      </c>
      <c r="M51" s="64">
        <v>31.42</v>
      </c>
      <c r="N51" s="64">
        <v>769.1</v>
      </c>
      <c r="O51" s="64">
        <v>0</v>
      </c>
      <c r="P51" s="64">
        <v>0.55000000000000004</v>
      </c>
      <c r="Q51" s="64">
        <v>9.4499999999999993</v>
      </c>
      <c r="R51" s="198"/>
      <c r="S51" s="198"/>
      <c r="T51" s="198"/>
      <c r="U51" s="198"/>
    </row>
    <row r="52" spans="1:21" s="12" customFormat="1" x14ac:dyDescent="0.25">
      <c r="A52" s="214" t="s">
        <v>1537</v>
      </c>
      <c r="B52" s="64">
        <v>4.24</v>
      </c>
      <c r="C52" s="64">
        <v>19.559999999999999</v>
      </c>
      <c r="D52" s="64">
        <v>30.93</v>
      </c>
      <c r="E52" s="64">
        <v>7.25</v>
      </c>
      <c r="F52" s="64">
        <v>20.85</v>
      </c>
      <c r="G52" s="64">
        <v>42.54</v>
      </c>
      <c r="H52" s="64">
        <v>3.01</v>
      </c>
      <c r="I52" s="64">
        <v>4.03</v>
      </c>
      <c r="J52" s="64">
        <v>0.66</v>
      </c>
      <c r="K52" s="64">
        <v>221.23</v>
      </c>
      <c r="L52" s="64">
        <v>38.56</v>
      </c>
      <c r="M52" s="64">
        <v>30.9</v>
      </c>
      <c r="N52" s="64">
        <v>636.5</v>
      </c>
      <c r="O52" s="64">
        <v>0</v>
      </c>
      <c r="P52" s="64">
        <v>0.55000000000000004</v>
      </c>
      <c r="Q52" s="64">
        <v>9.43</v>
      </c>
      <c r="R52" s="198"/>
      <c r="S52" s="198"/>
      <c r="T52" s="198"/>
      <c r="U52" s="198"/>
    </row>
    <row r="53" spans="1:21" s="12" customFormat="1" x14ac:dyDescent="0.25">
      <c r="A53" s="214" t="s">
        <v>1538</v>
      </c>
      <c r="B53" s="64">
        <v>4.8099999999999996</v>
      </c>
      <c r="C53" s="64">
        <v>22.05</v>
      </c>
      <c r="D53" s="64">
        <v>34.81</v>
      </c>
      <c r="E53" s="64">
        <v>7.28</v>
      </c>
      <c r="F53" s="64">
        <v>18.190000000000001</v>
      </c>
      <c r="G53" s="64">
        <v>42.04</v>
      </c>
      <c r="H53" s="212" t="s">
        <v>42</v>
      </c>
      <c r="I53" s="64">
        <v>3.99</v>
      </c>
      <c r="J53" s="64">
        <v>0.69</v>
      </c>
      <c r="K53" s="64">
        <v>209.04</v>
      </c>
      <c r="L53" s="64">
        <v>39.11</v>
      </c>
      <c r="M53" s="64">
        <v>29.45</v>
      </c>
      <c r="N53" s="64">
        <v>790.3</v>
      </c>
      <c r="O53" s="64">
        <v>0</v>
      </c>
      <c r="P53" s="64">
        <v>0.59</v>
      </c>
      <c r="Q53" s="64">
        <v>9.43</v>
      </c>
      <c r="R53" s="198"/>
      <c r="S53" s="198"/>
      <c r="T53" s="198"/>
      <c r="U53" s="198"/>
    </row>
    <row r="54" spans="1:21" s="12" customFormat="1" x14ac:dyDescent="0.25">
      <c r="A54" s="214" t="s">
        <v>1539</v>
      </c>
      <c r="B54" s="64">
        <v>4.6900000000000004</v>
      </c>
      <c r="C54" s="64">
        <v>20.76</v>
      </c>
      <c r="D54" s="64">
        <v>32.54</v>
      </c>
      <c r="E54" s="64">
        <v>7.46</v>
      </c>
      <c r="F54" s="64">
        <v>22.82</v>
      </c>
      <c r="G54" s="64">
        <v>41.58</v>
      </c>
      <c r="H54" s="212" t="s">
        <v>42</v>
      </c>
      <c r="I54" s="64">
        <v>3.99</v>
      </c>
      <c r="J54" s="64">
        <v>0.69</v>
      </c>
      <c r="K54" s="64">
        <v>208.71</v>
      </c>
      <c r="L54" s="64">
        <v>39.22</v>
      </c>
      <c r="M54" s="64">
        <v>28.92</v>
      </c>
      <c r="N54" s="64">
        <v>620.5</v>
      </c>
      <c r="O54" s="64">
        <v>0</v>
      </c>
      <c r="P54" s="64">
        <v>0.53</v>
      </c>
      <c r="Q54" s="64">
        <v>9.42</v>
      </c>
      <c r="R54" s="198"/>
      <c r="S54" s="198"/>
      <c r="T54" s="198"/>
      <c r="U54" s="198"/>
    </row>
    <row r="55" spans="1:21" s="12" customFormat="1" x14ac:dyDescent="0.25">
      <c r="A55" s="214" t="s">
        <v>1540</v>
      </c>
      <c r="B55" s="64">
        <v>4.37</v>
      </c>
      <c r="C55" s="64">
        <v>21.31</v>
      </c>
      <c r="D55" s="64">
        <v>34.08</v>
      </c>
      <c r="E55" s="64">
        <v>7.71</v>
      </c>
      <c r="F55" s="64">
        <v>20.45</v>
      </c>
      <c r="G55" s="64">
        <v>41.58</v>
      </c>
      <c r="H55" s="212" t="s">
        <v>42</v>
      </c>
      <c r="I55" s="64">
        <v>3.97</v>
      </c>
      <c r="J55" s="64">
        <v>0.68</v>
      </c>
      <c r="K55" s="64">
        <v>220.37</v>
      </c>
      <c r="L55" s="64">
        <v>39.03</v>
      </c>
      <c r="M55" s="64">
        <v>28.85</v>
      </c>
      <c r="N55" s="64">
        <v>414.7</v>
      </c>
      <c r="O55" s="64">
        <v>0</v>
      </c>
      <c r="P55" s="64">
        <v>0.59</v>
      </c>
      <c r="Q55" s="64">
        <v>9.41</v>
      </c>
      <c r="R55" s="198"/>
      <c r="S55" s="198"/>
      <c r="T55" s="198"/>
      <c r="U55" s="198"/>
    </row>
    <row r="56" spans="1:21" s="12" customFormat="1" x14ac:dyDescent="0.25">
      <c r="A56" s="214" t="s">
        <v>1541</v>
      </c>
      <c r="B56" s="64">
        <v>4.1399999999999997</v>
      </c>
      <c r="C56" s="64">
        <v>18.2</v>
      </c>
      <c r="D56" s="64">
        <v>28.48</v>
      </c>
      <c r="E56" s="64">
        <v>7.07</v>
      </c>
      <c r="F56" s="64">
        <v>21.69</v>
      </c>
      <c r="G56" s="64">
        <v>41.58</v>
      </c>
      <c r="H56" s="212" t="s">
        <v>42</v>
      </c>
      <c r="I56" s="64">
        <v>4.0199999999999996</v>
      </c>
      <c r="J56" s="64">
        <v>0.77</v>
      </c>
      <c r="K56" s="64">
        <v>193.66</v>
      </c>
      <c r="L56" s="64">
        <v>38.909999999999997</v>
      </c>
      <c r="M56" s="64">
        <v>28.87</v>
      </c>
      <c r="N56" s="64">
        <v>815.1</v>
      </c>
      <c r="O56" s="64">
        <v>0</v>
      </c>
      <c r="P56" s="64">
        <v>0.49</v>
      </c>
      <c r="Q56" s="64">
        <v>9.41</v>
      </c>
      <c r="R56" s="198"/>
      <c r="S56" s="198"/>
      <c r="T56" s="198"/>
      <c r="U56" s="198"/>
    </row>
    <row r="57" spans="1:21" s="12" customFormat="1" x14ac:dyDescent="0.25">
      <c r="A57" s="214" t="s">
        <v>1542</v>
      </c>
      <c r="B57" s="64">
        <v>4.91</v>
      </c>
      <c r="C57" s="64">
        <v>21.65</v>
      </c>
      <c r="D57" s="64">
        <v>33.89</v>
      </c>
      <c r="E57" s="64">
        <v>7.63</v>
      </c>
      <c r="F57" s="64">
        <v>15.67</v>
      </c>
      <c r="G57" s="64">
        <v>40.270000000000003</v>
      </c>
      <c r="H57" s="212" t="s">
        <v>42</v>
      </c>
      <c r="I57" s="64">
        <v>3.88</v>
      </c>
      <c r="J57" s="64">
        <v>0.78</v>
      </c>
      <c r="K57" s="64">
        <v>196.89</v>
      </c>
      <c r="L57" s="64">
        <v>39.36</v>
      </c>
      <c r="M57" s="64">
        <v>28.51</v>
      </c>
      <c r="N57" s="64">
        <v>462.9</v>
      </c>
      <c r="O57" s="64">
        <v>0</v>
      </c>
      <c r="P57" s="64">
        <v>0.54</v>
      </c>
      <c r="Q57" s="64">
        <v>9.41</v>
      </c>
      <c r="R57" s="198"/>
      <c r="S57" s="198"/>
      <c r="T57" s="198"/>
      <c r="U57" s="198"/>
    </row>
    <row r="58" spans="1:21" s="12" customFormat="1" x14ac:dyDescent="0.25">
      <c r="A58" s="214" t="s">
        <v>1543</v>
      </c>
      <c r="B58" s="64">
        <v>5.73</v>
      </c>
      <c r="C58" s="64">
        <v>22.39</v>
      </c>
      <c r="D58" s="64">
        <v>34.06</v>
      </c>
      <c r="E58" s="64">
        <v>6.67</v>
      </c>
      <c r="F58" s="64">
        <v>14.27</v>
      </c>
      <c r="G58" s="64">
        <v>39.08</v>
      </c>
      <c r="H58" s="212" t="s">
        <v>42</v>
      </c>
      <c r="I58" s="64">
        <v>3.97</v>
      </c>
      <c r="J58" s="64">
        <v>0.89</v>
      </c>
      <c r="K58" s="64">
        <v>246.83</v>
      </c>
      <c r="L58" s="64">
        <v>40.909999999999997</v>
      </c>
      <c r="M58" s="64">
        <v>27.08</v>
      </c>
      <c r="N58" s="64">
        <v>691.5</v>
      </c>
      <c r="O58" s="64">
        <v>0</v>
      </c>
      <c r="P58" s="64">
        <v>0.59</v>
      </c>
      <c r="Q58" s="64">
        <v>9.43</v>
      </c>
      <c r="R58" s="198"/>
      <c r="S58" s="198"/>
      <c r="T58" s="198"/>
      <c r="U58" s="198"/>
    </row>
    <row r="59" spans="1:21" s="12" customFormat="1" x14ac:dyDescent="0.25">
      <c r="A59" s="214" t="s">
        <v>1544</v>
      </c>
      <c r="B59" s="64">
        <v>5.26</v>
      </c>
      <c r="C59" s="64">
        <v>19.920000000000002</v>
      </c>
      <c r="D59" s="64">
        <v>30.05</v>
      </c>
      <c r="E59" s="64">
        <v>6.71</v>
      </c>
      <c r="F59" s="64">
        <v>11.26</v>
      </c>
      <c r="G59" s="64">
        <v>39.08</v>
      </c>
      <c r="H59" s="212" t="s">
        <v>42</v>
      </c>
      <c r="I59" s="64">
        <v>4.0599999999999996</v>
      </c>
      <c r="J59" s="64">
        <v>0.89</v>
      </c>
      <c r="K59" s="64">
        <v>244.28</v>
      </c>
      <c r="L59" s="64">
        <v>42.28</v>
      </c>
      <c r="M59" s="64">
        <v>25.2</v>
      </c>
      <c r="N59" s="64">
        <v>755</v>
      </c>
      <c r="O59" s="64">
        <v>0</v>
      </c>
      <c r="P59" s="64">
        <v>0.56999999999999995</v>
      </c>
      <c r="Q59" s="64">
        <v>9.4499999999999993</v>
      </c>
      <c r="R59" s="198"/>
      <c r="S59" s="198"/>
      <c r="T59" s="198"/>
      <c r="U59" s="198"/>
    </row>
    <row r="60" spans="1:21" s="12" customFormat="1" x14ac:dyDescent="0.25">
      <c r="A60" s="214" t="s">
        <v>1545</v>
      </c>
      <c r="B60" s="64">
        <v>4.99</v>
      </c>
      <c r="C60" s="64">
        <v>21.22</v>
      </c>
      <c r="D60" s="64">
        <v>32.950000000000003</v>
      </c>
      <c r="E60" s="64">
        <v>6.6</v>
      </c>
      <c r="F60" s="64">
        <v>11.77</v>
      </c>
      <c r="G60" s="64">
        <v>39.08</v>
      </c>
      <c r="H60" s="212" t="s">
        <v>42</v>
      </c>
      <c r="I60" s="64">
        <v>3.97</v>
      </c>
      <c r="J60" s="64">
        <v>0.78</v>
      </c>
      <c r="K60" s="64">
        <v>243.12</v>
      </c>
      <c r="L60" s="64">
        <v>42.43</v>
      </c>
      <c r="M60" s="64">
        <v>24.29</v>
      </c>
      <c r="N60" s="64">
        <v>578.4</v>
      </c>
      <c r="O60" s="64">
        <v>0</v>
      </c>
      <c r="P60" s="64">
        <v>0.55000000000000004</v>
      </c>
      <c r="Q60" s="64">
        <v>9.4600000000000009</v>
      </c>
      <c r="R60" s="198"/>
      <c r="S60" s="198"/>
      <c r="T60" s="198"/>
      <c r="U60" s="198"/>
    </row>
    <row r="61" spans="1:21" s="12" customFormat="1" x14ac:dyDescent="0.25">
      <c r="A61" s="214" t="s">
        <v>1546</v>
      </c>
      <c r="B61" s="64">
        <v>4.54</v>
      </c>
      <c r="C61" s="64">
        <v>19.05</v>
      </c>
      <c r="D61" s="64">
        <v>29.49</v>
      </c>
      <c r="E61" s="64">
        <v>6.86</v>
      </c>
      <c r="F61" s="64">
        <v>15.21</v>
      </c>
      <c r="G61" s="64">
        <v>41</v>
      </c>
      <c r="H61" s="64">
        <v>2.36</v>
      </c>
      <c r="I61" s="64">
        <v>3.99</v>
      </c>
      <c r="J61" s="64">
        <v>0.74</v>
      </c>
      <c r="K61" s="64">
        <v>242.84</v>
      </c>
      <c r="L61" s="64">
        <v>42.38</v>
      </c>
      <c r="M61" s="64">
        <v>23.57</v>
      </c>
      <c r="N61" s="64">
        <v>626.1</v>
      </c>
      <c r="O61" s="64">
        <v>0</v>
      </c>
      <c r="P61" s="64">
        <v>0.48</v>
      </c>
      <c r="Q61" s="64">
        <v>9.4499999999999993</v>
      </c>
      <c r="R61" s="198"/>
      <c r="S61" s="198"/>
      <c r="T61" s="198"/>
      <c r="U61" s="198"/>
    </row>
    <row r="62" spans="1:21" s="12" customFormat="1" x14ac:dyDescent="0.25">
      <c r="A62" s="214" t="s">
        <v>1547</v>
      </c>
      <c r="B62" s="64">
        <v>4.33</v>
      </c>
      <c r="C62" s="64">
        <v>19</v>
      </c>
      <c r="D62" s="64">
        <v>29.72</v>
      </c>
      <c r="E62" s="64">
        <v>7.03</v>
      </c>
      <c r="F62" s="64">
        <v>9.24</v>
      </c>
      <c r="G62" s="64">
        <v>42.76</v>
      </c>
      <c r="H62" s="64">
        <v>4.5199999999999996</v>
      </c>
      <c r="I62" s="64">
        <v>4.04</v>
      </c>
      <c r="J62" s="64">
        <v>1.39</v>
      </c>
      <c r="K62" s="64">
        <v>244.45</v>
      </c>
      <c r="L62" s="64">
        <v>42.76</v>
      </c>
      <c r="M62" s="64">
        <v>23.36</v>
      </c>
      <c r="N62" s="64">
        <v>495</v>
      </c>
      <c r="O62" s="64">
        <v>0</v>
      </c>
      <c r="P62" s="64">
        <v>0.53</v>
      </c>
      <c r="Q62" s="64">
        <v>9.43</v>
      </c>
      <c r="R62" s="198"/>
      <c r="S62" s="198"/>
      <c r="T62" s="198"/>
      <c r="U62" s="198"/>
    </row>
    <row r="63" spans="1:21" s="12" customFormat="1" x14ac:dyDescent="0.25">
      <c r="A63" s="214" t="s">
        <v>1548</v>
      </c>
      <c r="B63" s="64">
        <v>5.04</v>
      </c>
      <c r="C63" s="64">
        <v>19.79</v>
      </c>
      <c r="D63" s="64">
        <v>30.14</v>
      </c>
      <c r="E63" s="64">
        <v>5.8</v>
      </c>
      <c r="F63" s="64">
        <v>11.47</v>
      </c>
      <c r="G63" s="64">
        <v>42.76</v>
      </c>
      <c r="H63" s="64">
        <v>4.5199999999999996</v>
      </c>
      <c r="I63" s="64">
        <v>4.0199999999999996</v>
      </c>
      <c r="J63" s="64">
        <v>1.23</v>
      </c>
      <c r="K63" s="64">
        <v>246.55</v>
      </c>
      <c r="L63" s="64">
        <v>42.53</v>
      </c>
      <c r="M63" s="64">
        <v>24.85</v>
      </c>
      <c r="N63" s="64">
        <v>371.2</v>
      </c>
      <c r="O63" s="64">
        <v>0</v>
      </c>
      <c r="P63" s="64">
        <v>0.54</v>
      </c>
      <c r="Q63" s="64">
        <v>9.44</v>
      </c>
      <c r="R63" s="198"/>
      <c r="S63" s="198"/>
      <c r="T63" s="198"/>
      <c r="U63" s="198"/>
    </row>
    <row r="64" spans="1:21" s="12" customFormat="1" x14ac:dyDescent="0.25">
      <c r="A64" s="214" t="s">
        <v>1549</v>
      </c>
      <c r="B64" s="64">
        <v>4.59</v>
      </c>
      <c r="C64" s="64">
        <v>19.989999999999998</v>
      </c>
      <c r="D64" s="64">
        <v>31.21</v>
      </c>
      <c r="E64" s="64">
        <v>6.09</v>
      </c>
      <c r="F64" s="64">
        <v>16.350000000000001</v>
      </c>
      <c r="G64" s="64">
        <v>42.76</v>
      </c>
      <c r="H64" s="64">
        <v>4.5199999999999996</v>
      </c>
      <c r="I64" s="64">
        <v>3.99</v>
      </c>
      <c r="J64" s="64">
        <v>0.86</v>
      </c>
      <c r="K64" s="64">
        <v>243.81</v>
      </c>
      <c r="L64" s="64">
        <v>42.33</v>
      </c>
      <c r="M64" s="64">
        <v>24.39</v>
      </c>
      <c r="N64" s="64">
        <v>492.4</v>
      </c>
      <c r="O64" s="64">
        <v>0</v>
      </c>
      <c r="P64" s="64">
        <v>0.51</v>
      </c>
      <c r="Q64" s="64">
        <v>9.43</v>
      </c>
      <c r="R64" s="198"/>
      <c r="S64" s="198"/>
      <c r="T64" s="198"/>
      <c r="U64" s="198"/>
    </row>
    <row r="65" spans="1:21" s="12" customFormat="1" x14ac:dyDescent="0.25">
      <c r="A65" s="214" t="s">
        <v>1550</v>
      </c>
      <c r="B65" s="64">
        <v>4.83</v>
      </c>
      <c r="C65" s="64">
        <v>21.63</v>
      </c>
      <c r="D65" s="64">
        <v>33.97</v>
      </c>
      <c r="E65" s="64">
        <v>6.7</v>
      </c>
      <c r="F65" s="64">
        <v>13.41</v>
      </c>
      <c r="G65" s="64">
        <v>42.35</v>
      </c>
      <c r="H65" s="64">
        <v>22.75</v>
      </c>
      <c r="I65" s="64">
        <v>4.03</v>
      </c>
      <c r="J65" s="64">
        <v>0.91</v>
      </c>
      <c r="K65" s="64">
        <v>243.92</v>
      </c>
      <c r="L65" s="64">
        <v>40.99</v>
      </c>
      <c r="M65" s="64">
        <v>27.2</v>
      </c>
      <c r="N65" s="64">
        <v>224.1</v>
      </c>
      <c r="O65" s="64">
        <v>0</v>
      </c>
      <c r="P65" s="64">
        <v>0.52</v>
      </c>
      <c r="Q65" s="64">
        <v>9.41</v>
      </c>
      <c r="R65" s="198"/>
      <c r="S65" s="198"/>
      <c r="T65" s="198"/>
      <c r="U65" s="198"/>
    </row>
    <row r="66" spans="1:21" s="12" customFormat="1" x14ac:dyDescent="0.25">
      <c r="A66" s="214" t="s">
        <v>1551</v>
      </c>
      <c r="B66" s="64">
        <v>5.24</v>
      </c>
      <c r="C66" s="64">
        <v>24.45</v>
      </c>
      <c r="D66" s="64">
        <v>38.76</v>
      </c>
      <c r="E66" s="64">
        <v>7.8</v>
      </c>
      <c r="F66" s="64">
        <v>21.78</v>
      </c>
      <c r="G66" s="64">
        <v>41.97</v>
      </c>
      <c r="H66" s="64">
        <v>39.42</v>
      </c>
      <c r="I66" s="64">
        <v>3.98</v>
      </c>
      <c r="J66" s="64">
        <v>0.74</v>
      </c>
      <c r="K66" s="64">
        <v>239.81</v>
      </c>
      <c r="L66" s="64">
        <v>39.61</v>
      </c>
      <c r="M66" s="64">
        <v>29.65</v>
      </c>
      <c r="N66" s="64">
        <v>205.3</v>
      </c>
      <c r="O66" s="64">
        <v>0</v>
      </c>
      <c r="P66" s="64">
        <v>0.56000000000000005</v>
      </c>
      <c r="Q66" s="64">
        <v>9.3800000000000008</v>
      </c>
      <c r="R66" s="198"/>
      <c r="S66" s="198"/>
      <c r="T66" s="198"/>
      <c r="U66" s="198"/>
    </row>
    <row r="67" spans="1:21" s="12" customFormat="1" x14ac:dyDescent="0.25">
      <c r="A67" s="214" t="s">
        <v>1552</v>
      </c>
      <c r="B67" s="64">
        <v>4.53</v>
      </c>
      <c r="C67" s="64">
        <v>21.94</v>
      </c>
      <c r="D67" s="64">
        <v>35.03</v>
      </c>
      <c r="E67" s="64">
        <v>9.57</v>
      </c>
      <c r="F67" s="64">
        <v>22.38</v>
      </c>
      <c r="G67" s="64">
        <v>41.97</v>
      </c>
      <c r="H67" s="64">
        <v>39.42</v>
      </c>
      <c r="I67" s="64">
        <v>4.07</v>
      </c>
      <c r="J67" s="64">
        <v>0.68</v>
      </c>
      <c r="K67" s="64">
        <v>237.27</v>
      </c>
      <c r="L67" s="64">
        <v>38.770000000000003</v>
      </c>
      <c r="M67" s="64">
        <v>30.32</v>
      </c>
      <c r="N67" s="64">
        <v>247.1</v>
      </c>
      <c r="O67" s="64">
        <v>0</v>
      </c>
      <c r="P67" s="64">
        <v>0.49</v>
      </c>
      <c r="Q67" s="64">
        <v>9.3800000000000008</v>
      </c>
      <c r="R67" s="198"/>
      <c r="S67" s="198"/>
      <c r="T67" s="198"/>
      <c r="U67" s="198"/>
    </row>
    <row r="68" spans="1:21" s="12" customFormat="1" x14ac:dyDescent="0.25">
      <c r="A68" s="214" t="s">
        <v>1553</v>
      </c>
      <c r="B68" s="64">
        <v>4.25</v>
      </c>
      <c r="C68" s="64">
        <v>21.27</v>
      </c>
      <c r="D68" s="64">
        <v>34.19</v>
      </c>
      <c r="E68" s="64">
        <v>10.01</v>
      </c>
      <c r="F68" s="64">
        <v>28.47</v>
      </c>
      <c r="G68" s="64">
        <v>41.97</v>
      </c>
      <c r="H68" s="64">
        <v>39.42</v>
      </c>
      <c r="I68" s="64">
        <v>3.79</v>
      </c>
      <c r="J68" s="64">
        <v>0.7</v>
      </c>
      <c r="K68" s="64">
        <v>185.2</v>
      </c>
      <c r="L68" s="64">
        <v>38.24</v>
      </c>
      <c r="M68" s="64">
        <v>33.299999999999997</v>
      </c>
      <c r="N68" s="64">
        <v>219.3</v>
      </c>
      <c r="O68" s="64">
        <v>0</v>
      </c>
      <c r="P68" s="64">
        <v>0.47</v>
      </c>
      <c r="Q68" s="64">
        <v>9.3699999999999992</v>
      </c>
      <c r="R68" s="198"/>
      <c r="S68" s="198"/>
      <c r="T68" s="198"/>
      <c r="U68" s="198"/>
    </row>
    <row r="69" spans="1:21" s="12" customFormat="1" x14ac:dyDescent="0.25">
      <c r="A69" s="214" t="s">
        <v>1554</v>
      </c>
      <c r="B69" s="64">
        <v>4.08</v>
      </c>
      <c r="C69" s="64">
        <v>20.53</v>
      </c>
      <c r="D69" s="64">
        <v>33.03</v>
      </c>
      <c r="E69" s="64">
        <v>10.88</v>
      </c>
      <c r="F69" s="64">
        <v>27.79</v>
      </c>
      <c r="G69" s="64">
        <v>42.23</v>
      </c>
      <c r="H69" s="64">
        <v>28.16</v>
      </c>
      <c r="I69" s="64">
        <v>4.08</v>
      </c>
      <c r="J69" s="64">
        <v>0.61</v>
      </c>
      <c r="K69" s="64">
        <v>216.36</v>
      </c>
      <c r="L69" s="64">
        <v>38.090000000000003</v>
      </c>
      <c r="M69" s="64">
        <v>32.9</v>
      </c>
      <c r="N69" s="64">
        <v>170.2</v>
      </c>
      <c r="O69" s="64">
        <v>0</v>
      </c>
      <c r="P69" s="64">
        <v>0.48</v>
      </c>
      <c r="Q69" s="64">
        <v>9.3699999999999992</v>
      </c>
      <c r="R69" s="198"/>
      <c r="S69" s="198"/>
      <c r="T69" s="198"/>
      <c r="U69" s="198"/>
    </row>
    <row r="70" spans="1:21" s="12" customFormat="1" x14ac:dyDescent="0.25">
      <c r="A70" s="214" t="s">
        <v>1555</v>
      </c>
      <c r="B70" s="64">
        <v>4.29</v>
      </c>
      <c r="C70" s="64">
        <v>20.32</v>
      </c>
      <c r="D70" s="64">
        <v>32.31</v>
      </c>
      <c r="E70" s="64">
        <v>11.19</v>
      </c>
      <c r="F70" s="64">
        <v>26.22</v>
      </c>
      <c r="G70" s="64">
        <v>42.46</v>
      </c>
      <c r="H70" s="64">
        <v>17.850000000000001</v>
      </c>
      <c r="I70" s="64">
        <v>4.07</v>
      </c>
      <c r="J70" s="64">
        <v>0.71</v>
      </c>
      <c r="K70" s="64">
        <v>230.74</v>
      </c>
      <c r="L70" s="64">
        <v>37.869999999999997</v>
      </c>
      <c r="M70" s="64">
        <v>32.06</v>
      </c>
      <c r="N70" s="64">
        <v>188.4</v>
      </c>
      <c r="O70" s="64">
        <v>0</v>
      </c>
      <c r="P70" s="64">
        <v>0.47</v>
      </c>
      <c r="Q70" s="64">
        <v>9.3699999999999992</v>
      </c>
      <c r="R70" s="198"/>
      <c r="S70" s="198"/>
      <c r="T70" s="198"/>
      <c r="U70" s="198"/>
    </row>
    <row r="71" spans="1:21" s="12" customFormat="1" x14ac:dyDescent="0.25">
      <c r="A71" s="214" t="s">
        <v>1556</v>
      </c>
      <c r="B71" s="64">
        <v>4.9000000000000004</v>
      </c>
      <c r="C71" s="64">
        <v>20.260000000000002</v>
      </c>
      <c r="D71" s="64">
        <v>31.26</v>
      </c>
      <c r="E71" s="64">
        <v>8.68</v>
      </c>
      <c r="F71" s="64">
        <v>18.989999999999998</v>
      </c>
      <c r="G71" s="64">
        <v>42.46</v>
      </c>
      <c r="H71" s="64">
        <v>17.850000000000001</v>
      </c>
      <c r="I71" s="64">
        <v>3.98</v>
      </c>
      <c r="J71" s="64">
        <v>0.72</v>
      </c>
      <c r="K71" s="64">
        <v>240.43</v>
      </c>
      <c r="L71" s="64">
        <v>38.42</v>
      </c>
      <c r="M71" s="64">
        <v>29.39</v>
      </c>
      <c r="N71" s="64">
        <v>294.60000000000002</v>
      </c>
      <c r="O71" s="64">
        <v>0</v>
      </c>
      <c r="P71" s="64">
        <v>0.47</v>
      </c>
      <c r="Q71" s="64">
        <v>9.35</v>
      </c>
      <c r="R71" s="198"/>
      <c r="S71" s="198"/>
      <c r="T71" s="198"/>
      <c r="U71" s="198"/>
    </row>
    <row r="72" spans="1:21" s="12" customFormat="1" x14ac:dyDescent="0.25">
      <c r="A72" s="214" t="s">
        <v>1557</v>
      </c>
      <c r="B72" s="64">
        <v>5.95</v>
      </c>
      <c r="C72" s="64">
        <v>25.08</v>
      </c>
      <c r="D72" s="64">
        <v>38.86</v>
      </c>
      <c r="E72" s="64">
        <v>8.8000000000000007</v>
      </c>
      <c r="F72" s="64">
        <v>20.329999999999998</v>
      </c>
      <c r="G72" s="64">
        <v>42.46</v>
      </c>
      <c r="H72" s="64">
        <v>17.850000000000001</v>
      </c>
      <c r="I72" s="64">
        <v>4.0199999999999996</v>
      </c>
      <c r="J72" s="64">
        <v>0.76</v>
      </c>
      <c r="K72" s="64">
        <v>244.25</v>
      </c>
      <c r="L72" s="64">
        <v>39.049999999999997</v>
      </c>
      <c r="M72" s="64">
        <v>29.5</v>
      </c>
      <c r="N72" s="64">
        <v>295.2</v>
      </c>
      <c r="O72" s="64">
        <v>0</v>
      </c>
      <c r="P72" s="64">
        <v>0.51</v>
      </c>
      <c r="Q72" s="64">
        <v>9.36</v>
      </c>
      <c r="R72" s="198"/>
      <c r="S72" s="198"/>
      <c r="T72" s="198"/>
      <c r="U72" s="198"/>
    </row>
    <row r="73" spans="1:21" s="12" customFormat="1" x14ac:dyDescent="0.25">
      <c r="A73" s="214" t="s">
        <v>1558</v>
      </c>
      <c r="B73" s="64">
        <v>8.8000000000000007</v>
      </c>
      <c r="C73" s="64">
        <v>29.43</v>
      </c>
      <c r="D73" s="64">
        <v>42.82</v>
      </c>
      <c r="E73" s="64">
        <v>7.76</v>
      </c>
      <c r="F73" s="64">
        <v>13.68</v>
      </c>
      <c r="G73" s="64">
        <v>41.39</v>
      </c>
      <c r="H73" s="64">
        <v>25.92</v>
      </c>
      <c r="I73" s="64">
        <v>3.98</v>
      </c>
      <c r="J73" s="64">
        <v>0.85</v>
      </c>
      <c r="K73" s="64">
        <v>244.35</v>
      </c>
      <c r="L73" s="64">
        <v>39.42</v>
      </c>
      <c r="M73" s="64">
        <v>29.47</v>
      </c>
      <c r="N73" s="64">
        <v>271.8</v>
      </c>
      <c r="O73" s="64">
        <v>0</v>
      </c>
      <c r="P73" s="64">
        <v>0.52</v>
      </c>
      <c r="Q73" s="64">
        <v>9.39</v>
      </c>
      <c r="R73" s="198"/>
      <c r="S73" s="198"/>
      <c r="T73" s="198"/>
      <c r="U73" s="198"/>
    </row>
    <row r="74" spans="1:21" s="12" customFormat="1" x14ac:dyDescent="0.25">
      <c r="A74" s="214" t="s">
        <v>1559</v>
      </c>
      <c r="B74" s="64">
        <v>6.78</v>
      </c>
      <c r="C74" s="64">
        <v>27.88</v>
      </c>
      <c r="D74" s="64">
        <v>42.95</v>
      </c>
      <c r="E74" s="64">
        <v>7.5</v>
      </c>
      <c r="F74" s="64">
        <v>14.81</v>
      </c>
      <c r="G74" s="64">
        <v>40.409999999999997</v>
      </c>
      <c r="H74" s="64">
        <v>33.31</v>
      </c>
      <c r="I74" s="64">
        <v>3.88</v>
      </c>
      <c r="J74" s="64">
        <v>0.81</v>
      </c>
      <c r="K74" s="64">
        <v>243.61</v>
      </c>
      <c r="L74" s="64">
        <v>39.47</v>
      </c>
      <c r="M74" s="64">
        <v>29.67</v>
      </c>
      <c r="N74" s="64">
        <v>145.6</v>
      </c>
      <c r="O74" s="64">
        <v>0</v>
      </c>
      <c r="P74" s="64">
        <v>0.52</v>
      </c>
      <c r="Q74" s="64">
        <v>9.42</v>
      </c>
      <c r="R74" s="198"/>
      <c r="S74" s="198"/>
      <c r="T74" s="198"/>
      <c r="U74" s="198"/>
    </row>
    <row r="75" spans="1:21" s="12" customFormat="1" x14ac:dyDescent="0.25">
      <c r="A75" s="214" t="s">
        <v>1560</v>
      </c>
      <c r="B75" s="64">
        <v>5.77</v>
      </c>
      <c r="C75" s="64">
        <v>25.72</v>
      </c>
      <c r="D75" s="64">
        <v>40.380000000000003</v>
      </c>
      <c r="E75" s="64">
        <v>8.0399999999999991</v>
      </c>
      <c r="F75" s="64">
        <v>17.93</v>
      </c>
      <c r="G75" s="64">
        <v>40.409999999999997</v>
      </c>
      <c r="H75" s="64">
        <v>33.31</v>
      </c>
      <c r="I75" s="64">
        <v>4.0599999999999996</v>
      </c>
      <c r="J75" s="64">
        <v>0.7</v>
      </c>
      <c r="K75" s="64">
        <v>242.52</v>
      </c>
      <c r="L75" s="64">
        <v>39.270000000000003</v>
      </c>
      <c r="M75" s="64">
        <v>29.77</v>
      </c>
      <c r="N75" s="64">
        <v>130.5</v>
      </c>
      <c r="O75" s="64">
        <v>0</v>
      </c>
      <c r="P75" s="64">
        <v>0.52</v>
      </c>
      <c r="Q75" s="64">
        <v>9.43</v>
      </c>
      <c r="R75" s="198"/>
      <c r="S75" s="198"/>
      <c r="T75" s="198"/>
      <c r="U75" s="198"/>
    </row>
    <row r="76" spans="1:21" s="12" customFormat="1" x14ac:dyDescent="0.25">
      <c r="A76" s="214" t="s">
        <v>1561</v>
      </c>
      <c r="B76" s="64">
        <v>5.5</v>
      </c>
      <c r="C76" s="64">
        <v>24.13</v>
      </c>
      <c r="D76" s="64">
        <v>37.74</v>
      </c>
      <c r="E76" s="64">
        <v>7.53</v>
      </c>
      <c r="F76" s="64">
        <v>14.03</v>
      </c>
      <c r="G76" s="64">
        <v>40.409999999999997</v>
      </c>
      <c r="H76" s="64">
        <v>33.31</v>
      </c>
      <c r="I76" s="64">
        <v>3.94</v>
      </c>
      <c r="J76" s="64">
        <v>0.78</v>
      </c>
      <c r="K76" s="64">
        <v>242.8</v>
      </c>
      <c r="L76" s="64">
        <v>38.79</v>
      </c>
      <c r="M76" s="64">
        <v>30.5</v>
      </c>
      <c r="N76" s="64">
        <v>97.2</v>
      </c>
      <c r="O76" s="64">
        <v>0</v>
      </c>
      <c r="P76" s="64">
        <v>0.56999999999999995</v>
      </c>
      <c r="Q76" s="64">
        <v>9.4499999999999993</v>
      </c>
      <c r="R76" s="198"/>
      <c r="S76" s="198"/>
      <c r="T76" s="198"/>
      <c r="U76" s="198"/>
    </row>
    <row r="77" spans="1:21" s="12" customFormat="1" x14ac:dyDescent="0.25">
      <c r="A77" s="214" t="s">
        <v>1562</v>
      </c>
      <c r="B77" s="64">
        <v>6.83</v>
      </c>
      <c r="C77" s="64">
        <v>30.02</v>
      </c>
      <c r="D77" s="64">
        <v>46.97</v>
      </c>
      <c r="E77" s="64">
        <v>8.6199999999999992</v>
      </c>
      <c r="F77" s="64">
        <v>22.03</v>
      </c>
      <c r="G77" s="64">
        <v>41.09</v>
      </c>
      <c r="H77" s="64">
        <v>23.72</v>
      </c>
      <c r="I77" s="64">
        <v>3.92</v>
      </c>
      <c r="J77" s="64">
        <v>0.72</v>
      </c>
      <c r="K77" s="64">
        <v>242.79</v>
      </c>
      <c r="L77" s="64">
        <v>38.32</v>
      </c>
      <c r="M77" s="64">
        <v>31.27</v>
      </c>
      <c r="N77" s="64">
        <v>93.5</v>
      </c>
      <c r="O77" s="64">
        <v>0</v>
      </c>
      <c r="P77" s="64">
        <v>0.67</v>
      </c>
      <c r="Q77" s="64">
        <v>9.4499999999999993</v>
      </c>
      <c r="R77" s="198"/>
      <c r="S77" s="198"/>
      <c r="T77" s="198"/>
      <c r="U77" s="198"/>
    </row>
    <row r="78" spans="1:21" s="12" customFormat="1" x14ac:dyDescent="0.25">
      <c r="A78" s="214" t="s">
        <v>1563</v>
      </c>
      <c r="B78" s="64">
        <v>6.07</v>
      </c>
      <c r="C78" s="64">
        <v>31.42</v>
      </c>
      <c r="D78" s="64">
        <v>50.83</v>
      </c>
      <c r="E78" s="64">
        <v>9.6199999999999992</v>
      </c>
      <c r="F78" s="64">
        <v>23.48</v>
      </c>
      <c r="G78" s="64">
        <v>41.7</v>
      </c>
      <c r="H78" s="64">
        <v>14.95</v>
      </c>
      <c r="I78" s="64">
        <v>4.05</v>
      </c>
      <c r="J78" s="64">
        <v>0.44</v>
      </c>
      <c r="K78" s="64">
        <v>241.54</v>
      </c>
      <c r="L78" s="64">
        <v>38.17</v>
      </c>
      <c r="M78" s="64">
        <v>31</v>
      </c>
      <c r="N78" s="64">
        <v>91.6</v>
      </c>
      <c r="O78" s="64">
        <v>0</v>
      </c>
      <c r="P78" s="64">
        <v>0.71</v>
      </c>
      <c r="Q78" s="64">
        <v>9.4600000000000009</v>
      </c>
      <c r="R78" s="198"/>
      <c r="S78" s="198"/>
      <c r="T78" s="198"/>
      <c r="U78" s="198"/>
    </row>
    <row r="79" spans="1:21" s="12" customFormat="1" x14ac:dyDescent="0.25">
      <c r="A79" s="214" t="s">
        <v>1564</v>
      </c>
      <c r="B79" s="64">
        <v>7.59</v>
      </c>
      <c r="C79" s="64">
        <v>38.340000000000003</v>
      </c>
      <c r="D79" s="64">
        <v>61.74</v>
      </c>
      <c r="E79" s="64">
        <v>10.15</v>
      </c>
      <c r="F79" s="64">
        <v>22.21</v>
      </c>
      <c r="G79" s="64">
        <v>41.7</v>
      </c>
      <c r="H79" s="64">
        <v>14.95</v>
      </c>
      <c r="I79" s="64">
        <v>3.96</v>
      </c>
      <c r="J79" s="64">
        <v>0.42</v>
      </c>
      <c r="K79" s="64">
        <v>236.66</v>
      </c>
      <c r="L79" s="64">
        <v>38.01</v>
      </c>
      <c r="M79" s="64">
        <v>31.14</v>
      </c>
      <c r="N79" s="64">
        <v>86</v>
      </c>
      <c r="O79" s="64">
        <v>0</v>
      </c>
      <c r="P79" s="64">
        <v>0.77</v>
      </c>
      <c r="Q79" s="64">
        <v>9.4600000000000009</v>
      </c>
      <c r="R79" s="198"/>
      <c r="S79" s="198"/>
      <c r="T79" s="198"/>
      <c r="U79" s="198"/>
    </row>
    <row r="80" spans="1:21" s="12" customFormat="1" x14ac:dyDescent="0.25">
      <c r="A80" s="214" t="s">
        <v>1565</v>
      </c>
      <c r="B80" s="64">
        <v>8.51</v>
      </c>
      <c r="C80" s="64">
        <v>41.19</v>
      </c>
      <c r="D80" s="64">
        <v>65.78</v>
      </c>
      <c r="E80" s="64">
        <v>10.83</v>
      </c>
      <c r="F80" s="64">
        <v>21.84</v>
      </c>
      <c r="G80" s="64">
        <v>41.7</v>
      </c>
      <c r="H80" s="64">
        <v>14.95</v>
      </c>
      <c r="I80" s="64">
        <v>3.93</v>
      </c>
      <c r="J80" s="64">
        <v>0.36</v>
      </c>
      <c r="K80" s="64">
        <v>235.36</v>
      </c>
      <c r="L80" s="64">
        <v>37.81</v>
      </c>
      <c r="M80" s="64">
        <v>30.94</v>
      </c>
      <c r="N80" s="64">
        <v>64.3</v>
      </c>
      <c r="O80" s="64">
        <v>0</v>
      </c>
      <c r="P80" s="64">
        <v>0.89</v>
      </c>
      <c r="Q80" s="64">
        <v>9.4700000000000006</v>
      </c>
      <c r="R80" s="198"/>
      <c r="S80" s="198"/>
      <c r="T80" s="198"/>
      <c r="U80" s="198"/>
    </row>
    <row r="81" spans="1:26" s="12" customFormat="1" x14ac:dyDescent="0.25">
      <c r="A81" s="214" t="s">
        <v>1566</v>
      </c>
      <c r="B81" s="64">
        <v>15.72</v>
      </c>
      <c r="C81" s="64">
        <v>54.41</v>
      </c>
      <c r="D81" s="64">
        <v>80.02</v>
      </c>
      <c r="E81" s="64">
        <v>10.39</v>
      </c>
      <c r="F81" s="64">
        <v>20.32</v>
      </c>
      <c r="G81" s="64">
        <v>42.6</v>
      </c>
      <c r="H81" s="64">
        <v>15.85</v>
      </c>
      <c r="I81" s="64">
        <v>4.13</v>
      </c>
      <c r="J81" s="64">
        <v>0.44</v>
      </c>
      <c r="K81" s="64">
        <v>246.17</v>
      </c>
      <c r="L81" s="64">
        <v>37.46</v>
      </c>
      <c r="M81" s="64">
        <v>31.65</v>
      </c>
      <c r="N81" s="64">
        <v>46.1</v>
      </c>
      <c r="O81" s="64">
        <v>0</v>
      </c>
      <c r="P81" s="64">
        <v>1.01</v>
      </c>
      <c r="Q81" s="64">
        <v>9.49</v>
      </c>
      <c r="R81" s="198"/>
      <c r="S81" s="198"/>
      <c r="T81" s="198"/>
      <c r="U81" s="198"/>
    </row>
    <row r="82" spans="1:26" s="12" customFormat="1" x14ac:dyDescent="0.25">
      <c r="A82" s="214" t="s">
        <v>1567</v>
      </c>
      <c r="B82" s="64">
        <v>18.22</v>
      </c>
      <c r="C82" s="64">
        <v>62.24</v>
      </c>
      <c r="D82" s="64">
        <v>91.17</v>
      </c>
      <c r="E82" s="64">
        <v>10.11</v>
      </c>
      <c r="F82" s="64">
        <v>17.64</v>
      </c>
      <c r="G82" s="64">
        <v>43.43</v>
      </c>
      <c r="H82" s="64">
        <v>16.66</v>
      </c>
      <c r="I82" s="64">
        <v>4.03</v>
      </c>
      <c r="J82" s="64">
        <v>0.26</v>
      </c>
      <c r="K82" s="64">
        <v>262.27</v>
      </c>
      <c r="L82" s="64">
        <v>36.950000000000003</v>
      </c>
      <c r="M82" s="64">
        <v>33.24</v>
      </c>
      <c r="N82" s="64">
        <v>34.299999999999997</v>
      </c>
      <c r="O82" s="64">
        <v>0</v>
      </c>
      <c r="P82" s="64">
        <v>1.37</v>
      </c>
      <c r="Q82" s="64">
        <v>9.51</v>
      </c>
      <c r="R82" s="198"/>
      <c r="S82" s="198"/>
      <c r="T82" s="198"/>
      <c r="U82" s="198"/>
    </row>
    <row r="83" spans="1:26" s="12" customFormat="1" x14ac:dyDescent="0.25">
      <c r="A83" s="214" t="s">
        <v>1568</v>
      </c>
      <c r="B83" s="64">
        <v>15.18</v>
      </c>
      <c r="C83" s="64">
        <v>70.34</v>
      </c>
      <c r="D83" s="64">
        <v>111.33</v>
      </c>
      <c r="E83" s="64">
        <v>10.19</v>
      </c>
      <c r="F83" s="64">
        <v>11.88</v>
      </c>
      <c r="G83" s="64">
        <v>43.43</v>
      </c>
      <c r="H83" s="64">
        <v>16.66</v>
      </c>
      <c r="I83" s="64">
        <v>3.94</v>
      </c>
      <c r="J83" s="64">
        <v>0.27</v>
      </c>
      <c r="K83" s="64">
        <v>231.73</v>
      </c>
      <c r="L83" s="64">
        <v>36.32</v>
      </c>
      <c r="M83" s="64">
        <v>34.450000000000003</v>
      </c>
      <c r="N83" s="64">
        <v>30.5</v>
      </c>
      <c r="O83" s="64">
        <v>0</v>
      </c>
      <c r="P83" s="64">
        <v>1.62</v>
      </c>
      <c r="Q83" s="64">
        <v>9.5399999999999991</v>
      </c>
      <c r="R83" s="198"/>
      <c r="S83" s="198"/>
      <c r="T83" s="198"/>
      <c r="U83" s="198"/>
    </row>
    <row r="84" spans="1:26" s="12" customFormat="1" x14ac:dyDescent="0.25">
      <c r="A84" s="214" t="s">
        <v>1569</v>
      </c>
      <c r="B84" s="64">
        <v>51.88</v>
      </c>
      <c r="C84" s="64">
        <v>111.6</v>
      </c>
      <c r="D84" s="64">
        <v>133.97999999999999</v>
      </c>
      <c r="E84" s="64">
        <v>10.57</v>
      </c>
      <c r="F84" s="64">
        <v>8.9</v>
      </c>
      <c r="G84" s="64">
        <v>43.43</v>
      </c>
      <c r="H84" s="64">
        <v>16.66</v>
      </c>
      <c r="I84" s="64">
        <v>4.12</v>
      </c>
      <c r="J84" s="64">
        <v>0.04</v>
      </c>
      <c r="K84" s="64">
        <v>310.83999999999997</v>
      </c>
      <c r="L84" s="64">
        <v>35.83</v>
      </c>
      <c r="M84" s="64">
        <v>35.39</v>
      </c>
      <c r="N84" s="64">
        <v>29.4</v>
      </c>
      <c r="O84" s="64">
        <v>0</v>
      </c>
      <c r="P84" s="64">
        <v>2.2200000000000002</v>
      </c>
      <c r="Q84" s="64">
        <v>9.57</v>
      </c>
      <c r="R84" s="198"/>
      <c r="S84" s="198"/>
      <c r="T84" s="198"/>
      <c r="U84" s="198"/>
    </row>
    <row r="85" spans="1:26" s="12" customFormat="1" x14ac:dyDescent="0.25">
      <c r="A85" s="214" t="s">
        <v>1570</v>
      </c>
      <c r="B85" s="64">
        <v>30.02</v>
      </c>
      <c r="C85" s="64">
        <v>102.97</v>
      </c>
      <c r="D85" s="64">
        <v>151.01</v>
      </c>
      <c r="E85" s="64">
        <v>9.98</v>
      </c>
      <c r="F85" s="64">
        <v>4.75</v>
      </c>
      <c r="G85" s="64">
        <v>45.75</v>
      </c>
      <c r="H85" s="64">
        <v>13.07</v>
      </c>
      <c r="I85" s="64">
        <v>3.98</v>
      </c>
      <c r="J85" s="64">
        <v>0.15</v>
      </c>
      <c r="K85" s="64">
        <v>157.16999999999999</v>
      </c>
      <c r="L85" s="64">
        <v>35.380000000000003</v>
      </c>
      <c r="M85" s="64">
        <v>37.43</v>
      </c>
      <c r="N85" s="64">
        <v>29.4</v>
      </c>
      <c r="O85" s="64">
        <v>0</v>
      </c>
      <c r="P85" s="64">
        <v>1.51</v>
      </c>
      <c r="Q85" s="64">
        <v>9.5500000000000007</v>
      </c>
      <c r="R85" s="198"/>
      <c r="S85" s="198"/>
      <c r="T85" s="198"/>
      <c r="U85" s="198"/>
    </row>
    <row r="86" spans="1:26" s="12" customFormat="1" x14ac:dyDescent="0.25">
      <c r="A86" s="214" t="s">
        <v>1571</v>
      </c>
      <c r="B86" s="64">
        <v>89.56</v>
      </c>
      <c r="C86" s="64">
        <v>144.15</v>
      </c>
      <c r="D86" s="64">
        <v>138.44999999999999</v>
      </c>
      <c r="E86" s="64">
        <v>9.4700000000000006</v>
      </c>
      <c r="F86" s="64">
        <v>5.1100000000000003</v>
      </c>
      <c r="G86" s="64">
        <v>47.88</v>
      </c>
      <c r="H86" s="64">
        <v>9.77</v>
      </c>
      <c r="I86" s="64">
        <v>4.17</v>
      </c>
      <c r="J86" s="64">
        <v>0.21</v>
      </c>
      <c r="K86" s="64">
        <v>288.77999999999997</v>
      </c>
      <c r="L86" s="64">
        <v>34.93</v>
      </c>
      <c r="M86" s="64">
        <v>44.7</v>
      </c>
      <c r="N86" s="64">
        <v>29.3</v>
      </c>
      <c r="O86" s="64">
        <v>0</v>
      </c>
      <c r="P86" s="64">
        <v>3.1</v>
      </c>
      <c r="Q86" s="64">
        <v>9.5399999999999991</v>
      </c>
      <c r="R86" s="198"/>
      <c r="S86" s="198"/>
      <c r="T86" s="198"/>
      <c r="U86" s="198"/>
    </row>
    <row r="87" spans="1:26" s="12" customFormat="1" x14ac:dyDescent="0.25">
      <c r="A87" s="214" t="s">
        <v>1572</v>
      </c>
      <c r="B87" s="64">
        <v>65.53</v>
      </c>
      <c r="C87" s="64">
        <v>126.21</v>
      </c>
      <c r="D87" s="64">
        <v>140.97999999999999</v>
      </c>
      <c r="E87" s="64">
        <v>9.5</v>
      </c>
      <c r="F87" s="64">
        <v>4.9000000000000004</v>
      </c>
      <c r="G87" s="64">
        <v>47.88</v>
      </c>
      <c r="H87" s="64">
        <v>9.77</v>
      </c>
      <c r="I87" s="64">
        <v>3.87</v>
      </c>
      <c r="J87" s="64">
        <v>0.06</v>
      </c>
      <c r="K87" s="64">
        <v>191.04</v>
      </c>
      <c r="L87" s="64">
        <v>34.450000000000003</v>
      </c>
      <c r="M87" s="64">
        <v>43.61</v>
      </c>
      <c r="N87" s="64">
        <v>29.1</v>
      </c>
      <c r="O87" s="64">
        <v>0</v>
      </c>
      <c r="P87" s="64">
        <v>2.77</v>
      </c>
      <c r="Q87" s="64">
        <v>9.5299999999999994</v>
      </c>
      <c r="R87" s="198"/>
      <c r="S87" s="198"/>
      <c r="T87" s="198"/>
      <c r="U87" s="198"/>
    </row>
    <row r="88" spans="1:26" s="12" customFormat="1" x14ac:dyDescent="0.25">
      <c r="A88" s="214" t="s">
        <v>1573</v>
      </c>
      <c r="B88" s="64">
        <v>29.48</v>
      </c>
      <c r="C88" s="64">
        <v>87.7</v>
      </c>
      <c r="D88" s="64">
        <v>122.6</v>
      </c>
      <c r="E88" s="64">
        <v>9.5399999999999991</v>
      </c>
      <c r="F88" s="64">
        <v>6.37</v>
      </c>
      <c r="G88" s="64">
        <v>47.88</v>
      </c>
      <c r="H88" s="64">
        <v>9.77</v>
      </c>
      <c r="I88" s="64">
        <v>4.07</v>
      </c>
      <c r="J88" s="64">
        <v>0.26</v>
      </c>
      <c r="K88" s="64">
        <v>109.35</v>
      </c>
      <c r="L88" s="64">
        <v>34.47</v>
      </c>
      <c r="M88" s="64">
        <v>40.72</v>
      </c>
      <c r="N88" s="64">
        <v>28.9</v>
      </c>
      <c r="O88" s="64">
        <v>0</v>
      </c>
      <c r="P88" s="64">
        <v>2.2400000000000002</v>
      </c>
      <c r="Q88" s="64">
        <v>9.5500000000000007</v>
      </c>
      <c r="R88" s="198"/>
      <c r="S88" s="198"/>
      <c r="T88" s="198"/>
      <c r="U88" s="198"/>
    </row>
    <row r="89" spans="1:26" s="12" customFormat="1" x14ac:dyDescent="0.25">
      <c r="A89" s="214" t="s">
        <v>1574</v>
      </c>
      <c r="B89" s="64">
        <v>45.86</v>
      </c>
      <c r="C89" s="64">
        <v>110.05</v>
      </c>
      <c r="D89" s="64">
        <v>140.24</v>
      </c>
      <c r="E89" s="64">
        <v>9.73</v>
      </c>
      <c r="F89" s="64">
        <v>4.4000000000000004</v>
      </c>
      <c r="G89" s="64">
        <v>54.89</v>
      </c>
      <c r="H89" s="64">
        <v>6.83</v>
      </c>
      <c r="I89" s="64">
        <v>3.83</v>
      </c>
      <c r="J89" s="64">
        <v>0.28000000000000003</v>
      </c>
      <c r="K89" s="64">
        <v>230.38</v>
      </c>
      <c r="L89" s="64">
        <v>34.43</v>
      </c>
      <c r="M89" s="64">
        <v>41.79</v>
      </c>
      <c r="N89" s="64">
        <v>28.9</v>
      </c>
      <c r="O89" s="64">
        <v>0</v>
      </c>
      <c r="P89" s="64">
        <v>2.4</v>
      </c>
      <c r="Q89" s="64">
        <v>9.58</v>
      </c>
      <c r="R89" s="198"/>
      <c r="S89" s="198"/>
      <c r="T89" s="198"/>
      <c r="U89" s="198"/>
    </row>
    <row r="90" spans="1:26" s="12" customFormat="1" x14ac:dyDescent="0.25">
      <c r="A90" s="214" t="s">
        <v>1575</v>
      </c>
      <c r="B90" s="64">
        <v>113.72</v>
      </c>
      <c r="C90" s="64">
        <v>167.76</v>
      </c>
      <c r="D90" s="64">
        <v>146.56</v>
      </c>
      <c r="E90" s="64">
        <v>9.9600000000000009</v>
      </c>
      <c r="F90" s="64">
        <v>4.41</v>
      </c>
      <c r="G90" s="64">
        <v>61.31</v>
      </c>
      <c r="H90" s="64">
        <v>4.1399999999999997</v>
      </c>
      <c r="I90" s="64">
        <v>4.18</v>
      </c>
      <c r="J90" s="64">
        <v>0.23</v>
      </c>
      <c r="K90" s="64">
        <v>260.02999999999997</v>
      </c>
      <c r="L90" s="64">
        <v>34.15</v>
      </c>
      <c r="M90" s="64">
        <v>45.64</v>
      </c>
      <c r="N90" s="64">
        <v>29.3</v>
      </c>
      <c r="O90" s="64">
        <v>0</v>
      </c>
      <c r="P90" s="64">
        <v>3.82</v>
      </c>
      <c r="Q90" s="64">
        <v>9.58</v>
      </c>
      <c r="R90" s="198"/>
      <c r="S90" s="198"/>
      <c r="T90" s="198"/>
      <c r="U90" s="198"/>
    </row>
    <row r="91" spans="1:26" s="12" customFormat="1" x14ac:dyDescent="0.25">
      <c r="A91" s="214" t="s">
        <v>1576</v>
      </c>
      <c r="B91" s="64">
        <v>63.11</v>
      </c>
      <c r="C91" s="64">
        <v>116.76</v>
      </c>
      <c r="D91" s="64">
        <v>126.61</v>
      </c>
      <c r="E91" s="64">
        <v>9.6199999999999992</v>
      </c>
      <c r="F91" s="64">
        <v>4.17</v>
      </c>
      <c r="G91" s="64">
        <v>61.31</v>
      </c>
      <c r="H91" s="64">
        <v>4.1399999999999997</v>
      </c>
      <c r="I91" s="64">
        <v>3.92</v>
      </c>
      <c r="J91" s="64">
        <v>7.0000000000000007E-2</v>
      </c>
      <c r="K91" s="64">
        <v>279.56</v>
      </c>
      <c r="L91" s="64">
        <v>33.68</v>
      </c>
      <c r="M91" s="64">
        <v>47.81</v>
      </c>
      <c r="N91" s="64">
        <v>29.1</v>
      </c>
      <c r="O91" s="64">
        <v>0</v>
      </c>
      <c r="P91" s="64">
        <v>3.09</v>
      </c>
      <c r="Q91" s="64">
        <v>9.58</v>
      </c>
      <c r="R91" s="198"/>
      <c r="S91" s="198"/>
      <c r="T91" s="198"/>
      <c r="U91" s="198"/>
    </row>
    <row r="92" spans="1:26" s="12" customFormat="1" x14ac:dyDescent="0.25">
      <c r="A92" s="214" t="s">
        <v>1577</v>
      </c>
      <c r="B92" s="64">
        <v>71.5</v>
      </c>
      <c r="C92" s="64">
        <v>120.79</v>
      </c>
      <c r="D92" s="64">
        <v>121.45</v>
      </c>
      <c r="E92" s="64">
        <v>9.18</v>
      </c>
      <c r="F92" s="64">
        <v>4.6900000000000004</v>
      </c>
      <c r="G92" s="64">
        <v>61.31</v>
      </c>
      <c r="H92" s="64">
        <v>4.1399999999999997</v>
      </c>
      <c r="I92" s="64">
        <v>4.09</v>
      </c>
      <c r="J92" s="64">
        <v>0.2</v>
      </c>
      <c r="K92" s="64">
        <v>264.8</v>
      </c>
      <c r="L92" s="64">
        <v>33.5</v>
      </c>
      <c r="M92" s="64">
        <v>48.41</v>
      </c>
      <c r="N92" s="64">
        <v>29</v>
      </c>
      <c r="O92" s="64">
        <v>0</v>
      </c>
      <c r="P92" s="64">
        <v>3.42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4" t="s">
        <v>1578</v>
      </c>
      <c r="B93" s="64">
        <v>106.12</v>
      </c>
      <c r="C93" s="64">
        <v>162.85</v>
      </c>
      <c r="D93" s="64">
        <v>148.81</v>
      </c>
      <c r="E93" s="64">
        <v>10.06</v>
      </c>
      <c r="F93" s="64">
        <v>3.34</v>
      </c>
      <c r="G93" s="64">
        <v>71.05</v>
      </c>
      <c r="H93" s="64">
        <v>25.3</v>
      </c>
      <c r="I93" s="64">
        <v>4.07</v>
      </c>
      <c r="J93" s="64">
        <v>0.19</v>
      </c>
      <c r="K93" s="64">
        <v>96.01</v>
      </c>
      <c r="L93" s="64">
        <v>33.380000000000003</v>
      </c>
      <c r="M93" s="64">
        <v>47.04</v>
      </c>
      <c r="N93" s="64">
        <v>29</v>
      </c>
      <c r="O93" s="64">
        <v>0</v>
      </c>
      <c r="P93" s="64">
        <v>3.3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14" t="s">
        <v>1579</v>
      </c>
      <c r="B94" s="64">
        <v>155.35</v>
      </c>
      <c r="C94" s="64">
        <v>201.11</v>
      </c>
      <c r="D94" s="64">
        <v>146.47999999999999</v>
      </c>
      <c r="E94" s="64">
        <v>10.06</v>
      </c>
      <c r="F94" s="64">
        <v>3.92</v>
      </c>
      <c r="G94" s="64">
        <v>79.97</v>
      </c>
      <c r="H94" s="64">
        <v>44.65</v>
      </c>
      <c r="I94" s="64">
        <v>4.01</v>
      </c>
      <c r="J94" s="64">
        <v>0.28000000000000003</v>
      </c>
      <c r="K94" s="64">
        <v>249.21</v>
      </c>
      <c r="L94" s="64">
        <v>33.31</v>
      </c>
      <c r="M94" s="64">
        <v>52.41</v>
      </c>
      <c r="N94" s="64">
        <v>29.1</v>
      </c>
      <c r="O94" s="64">
        <v>0</v>
      </c>
      <c r="P94" s="64">
        <v>5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4" t="s">
        <v>1580</v>
      </c>
      <c r="B95" s="64">
        <v>95.39</v>
      </c>
      <c r="C95" s="64">
        <v>145.93</v>
      </c>
      <c r="D95" s="64">
        <v>132.9</v>
      </c>
      <c r="E95" s="64">
        <v>10.08</v>
      </c>
      <c r="F95" s="64">
        <v>3.5</v>
      </c>
      <c r="G95" s="64">
        <v>79.97</v>
      </c>
      <c r="H95" s="64">
        <v>44.65</v>
      </c>
      <c r="I95" s="64">
        <v>3.83</v>
      </c>
      <c r="J95" s="64">
        <v>0.13</v>
      </c>
      <c r="K95" s="64">
        <v>270.45999999999998</v>
      </c>
      <c r="L95" s="64">
        <v>33.06</v>
      </c>
      <c r="M95" s="64">
        <v>53.06</v>
      </c>
      <c r="N95" s="64">
        <v>29.1</v>
      </c>
      <c r="O95" s="64">
        <v>0</v>
      </c>
      <c r="P95" s="64">
        <v>3.69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4" t="s">
        <v>1581</v>
      </c>
      <c r="B96" s="64">
        <v>50.95</v>
      </c>
      <c r="C96" s="64">
        <v>106.79</v>
      </c>
      <c r="D96" s="64">
        <v>126.2</v>
      </c>
      <c r="E96" s="64">
        <v>9.69</v>
      </c>
      <c r="F96" s="64">
        <v>3.73</v>
      </c>
      <c r="G96" s="64">
        <v>79.97</v>
      </c>
      <c r="H96" s="64">
        <v>44.65</v>
      </c>
      <c r="I96" s="64">
        <v>4.01</v>
      </c>
      <c r="J96" s="64">
        <v>0.26</v>
      </c>
      <c r="K96" s="64">
        <v>211.85</v>
      </c>
      <c r="L96" s="64">
        <v>33.049999999999997</v>
      </c>
      <c r="M96" s="64">
        <v>48.36</v>
      </c>
      <c r="N96" s="64">
        <v>29</v>
      </c>
      <c r="O96" s="64">
        <v>0</v>
      </c>
      <c r="P96" s="64">
        <v>2.73</v>
      </c>
      <c r="Q96" s="64">
        <v>9.66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1582</v>
      </c>
      <c r="B97" s="64">
        <v>93.8</v>
      </c>
      <c r="C97" s="64">
        <v>142.01</v>
      </c>
      <c r="D97" s="64">
        <v>127.83</v>
      </c>
      <c r="E97" s="64">
        <v>9.51</v>
      </c>
      <c r="F97" s="64">
        <v>3.92</v>
      </c>
      <c r="G97" s="64">
        <v>84.21</v>
      </c>
      <c r="H97" s="64">
        <v>36.159999999999997</v>
      </c>
      <c r="I97" s="64">
        <v>4.1399999999999997</v>
      </c>
      <c r="J97" s="64">
        <v>0.19</v>
      </c>
      <c r="K97" s="64">
        <v>261.88</v>
      </c>
      <c r="L97" s="64">
        <v>33.19</v>
      </c>
      <c r="M97" s="64">
        <v>49.09</v>
      </c>
      <c r="N97" s="64">
        <v>29</v>
      </c>
      <c r="O97" s="64">
        <v>0</v>
      </c>
      <c r="P97" s="64">
        <v>3.11</v>
      </c>
      <c r="Q97" s="64">
        <v>9.7100000000000009</v>
      </c>
      <c r="R97" s="198"/>
      <c r="S97" s="198"/>
      <c r="T97" s="198"/>
      <c r="U97" s="198"/>
    </row>
    <row r="98" spans="1:33" s="12" customFormat="1" x14ac:dyDescent="0.25">
      <c r="A98" s="214" t="s">
        <v>1583</v>
      </c>
      <c r="B98" s="64">
        <v>83.56</v>
      </c>
      <c r="C98" s="64">
        <v>136.69</v>
      </c>
      <c r="D98" s="64">
        <v>133.37</v>
      </c>
      <c r="E98" s="64">
        <v>8.84</v>
      </c>
      <c r="F98" s="64">
        <v>3.83</v>
      </c>
      <c r="G98" s="64">
        <v>88.1</v>
      </c>
      <c r="H98" s="64">
        <v>28.39</v>
      </c>
      <c r="I98" s="64">
        <v>4.0599999999999996</v>
      </c>
      <c r="J98" s="64">
        <v>0.17</v>
      </c>
      <c r="K98" s="64">
        <v>243.26</v>
      </c>
      <c r="L98" s="64">
        <v>32.979999999999997</v>
      </c>
      <c r="M98" s="64">
        <v>49.01</v>
      </c>
      <c r="N98" s="64">
        <v>29</v>
      </c>
      <c r="O98" s="64">
        <v>0</v>
      </c>
      <c r="P98" s="64">
        <v>2.2400000000000002</v>
      </c>
      <c r="Q98" s="64">
        <v>9.73</v>
      </c>
      <c r="R98" s="198"/>
      <c r="S98" s="198"/>
      <c r="T98" s="198"/>
      <c r="U98" s="198"/>
    </row>
    <row r="99" spans="1:33" s="12" customFormat="1" x14ac:dyDescent="0.25">
      <c r="A99" s="214" t="s">
        <v>1584</v>
      </c>
      <c r="B99" s="64">
        <v>84.42</v>
      </c>
      <c r="C99" s="64">
        <v>131.31</v>
      </c>
      <c r="D99" s="64">
        <v>121.75</v>
      </c>
      <c r="E99" s="64">
        <v>8.6999999999999993</v>
      </c>
      <c r="F99" s="64">
        <v>4.24</v>
      </c>
      <c r="G99" s="64">
        <v>88.1</v>
      </c>
      <c r="H99" s="64">
        <v>28.39</v>
      </c>
      <c r="I99" s="64">
        <v>4.1900000000000004</v>
      </c>
      <c r="J99" s="64">
        <v>0.27</v>
      </c>
      <c r="K99" s="64">
        <v>244.07</v>
      </c>
      <c r="L99" s="64">
        <v>32.9</v>
      </c>
      <c r="M99" s="64">
        <v>51.81</v>
      </c>
      <c r="N99" s="64">
        <v>29.2</v>
      </c>
      <c r="O99" s="64">
        <v>0</v>
      </c>
      <c r="P99" s="64">
        <v>2.46</v>
      </c>
      <c r="Q99" s="64">
        <v>9.7200000000000006</v>
      </c>
      <c r="R99" s="198"/>
      <c r="S99" s="198"/>
      <c r="T99" s="198"/>
      <c r="U99" s="198"/>
    </row>
    <row r="100" spans="1:33" s="12" customFormat="1" x14ac:dyDescent="0.25">
      <c r="A100" s="214" t="s">
        <v>1585</v>
      </c>
      <c r="B100" s="64">
        <v>25.49</v>
      </c>
      <c r="C100" s="64">
        <v>65.34</v>
      </c>
      <c r="D100" s="64">
        <v>85.93</v>
      </c>
      <c r="E100" s="64">
        <v>8.3800000000000008</v>
      </c>
      <c r="F100" s="64">
        <v>7.17</v>
      </c>
      <c r="G100" s="64">
        <v>88.1</v>
      </c>
      <c r="H100" s="64">
        <v>28.39</v>
      </c>
      <c r="I100" s="64">
        <v>3.97</v>
      </c>
      <c r="J100" s="64">
        <v>0.78</v>
      </c>
      <c r="K100" s="64">
        <v>161.75</v>
      </c>
      <c r="L100" s="64">
        <v>33.01</v>
      </c>
      <c r="M100" s="64">
        <v>48.62</v>
      </c>
      <c r="N100" s="64">
        <v>28.3</v>
      </c>
      <c r="O100" s="64">
        <v>0</v>
      </c>
      <c r="P100" s="64">
        <v>1.37</v>
      </c>
      <c r="Q100" s="64">
        <v>9.7100000000000009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1586</v>
      </c>
      <c r="B101" s="64">
        <v>23.92</v>
      </c>
      <c r="C101" s="64">
        <v>48.18</v>
      </c>
      <c r="D101" s="64">
        <v>55.51</v>
      </c>
      <c r="E101" s="64">
        <v>7.96</v>
      </c>
      <c r="F101" s="64">
        <v>10.31</v>
      </c>
      <c r="G101" s="64">
        <v>88.8</v>
      </c>
      <c r="H101" s="64">
        <v>21.22</v>
      </c>
      <c r="I101" s="64">
        <v>4.05</v>
      </c>
      <c r="J101" s="64">
        <v>0.63</v>
      </c>
      <c r="K101" s="64">
        <v>177.05</v>
      </c>
      <c r="L101" s="64">
        <v>32.71</v>
      </c>
      <c r="M101" s="64">
        <v>47.45</v>
      </c>
      <c r="N101" s="64">
        <v>28.9</v>
      </c>
      <c r="O101" s="64">
        <v>0</v>
      </c>
      <c r="P101" s="64">
        <v>1.21</v>
      </c>
      <c r="Q101" s="64">
        <v>9.7799999999999994</v>
      </c>
      <c r="R101" s="198"/>
      <c r="S101" s="198"/>
      <c r="T101" s="198"/>
      <c r="U101" s="198"/>
    </row>
    <row r="102" spans="1:33" s="12" customFormat="1" x14ac:dyDescent="0.25">
      <c r="A102" s="214" t="s">
        <v>1587</v>
      </c>
      <c r="B102" s="64">
        <v>9.42</v>
      </c>
      <c r="C102" s="64">
        <v>44.18</v>
      </c>
      <c r="D102" s="64">
        <v>70.099999999999994</v>
      </c>
      <c r="E102" s="64">
        <v>8.26</v>
      </c>
      <c r="F102" s="64">
        <v>13.63</v>
      </c>
      <c r="G102" s="64">
        <v>89.44</v>
      </c>
      <c r="H102" s="64">
        <v>14.66</v>
      </c>
      <c r="I102" s="64">
        <v>3.97</v>
      </c>
      <c r="J102" s="64">
        <v>0.54</v>
      </c>
      <c r="K102" s="64">
        <v>164.87</v>
      </c>
      <c r="L102" s="64">
        <v>33.020000000000003</v>
      </c>
      <c r="M102" s="64">
        <v>44.52</v>
      </c>
      <c r="N102" s="64">
        <v>28.5</v>
      </c>
      <c r="O102" s="64">
        <v>0</v>
      </c>
      <c r="P102" s="64">
        <v>0.67</v>
      </c>
      <c r="Q102" s="64">
        <v>9.82</v>
      </c>
      <c r="R102" s="198"/>
      <c r="S102" s="198"/>
      <c r="T102" s="198"/>
      <c r="U102" s="198"/>
    </row>
    <row r="103" spans="1:33" s="12" customFormat="1" x14ac:dyDescent="0.25">
      <c r="A103" s="214" t="s">
        <v>1588</v>
      </c>
      <c r="B103" s="64">
        <v>6.8</v>
      </c>
      <c r="C103" s="64">
        <v>41.85</v>
      </c>
      <c r="D103" s="64">
        <v>69.66</v>
      </c>
      <c r="E103" s="64">
        <v>8.25</v>
      </c>
      <c r="F103" s="64">
        <v>10.95</v>
      </c>
      <c r="G103" s="64">
        <v>89.44</v>
      </c>
      <c r="H103" s="64">
        <v>14.66</v>
      </c>
      <c r="I103" s="64">
        <v>4.07</v>
      </c>
      <c r="J103" s="64">
        <v>0.38</v>
      </c>
      <c r="K103" s="64">
        <v>225.2</v>
      </c>
      <c r="L103" s="64">
        <v>32.68</v>
      </c>
      <c r="M103" s="64">
        <v>46.68</v>
      </c>
      <c r="N103" s="64">
        <v>29.2</v>
      </c>
      <c r="O103" s="64">
        <v>0</v>
      </c>
      <c r="P103" s="64">
        <v>0.68</v>
      </c>
      <c r="Q103" s="64">
        <v>9.7899999999999991</v>
      </c>
      <c r="R103" s="198"/>
      <c r="S103" s="198"/>
      <c r="T103" s="198"/>
      <c r="U103" s="198"/>
    </row>
    <row r="104" spans="1:33" s="12" customFormat="1" x14ac:dyDescent="0.25">
      <c r="A104" s="214" t="s">
        <v>1589</v>
      </c>
      <c r="B104" s="64">
        <v>12.75</v>
      </c>
      <c r="C104" s="64">
        <v>39.85</v>
      </c>
      <c r="D104" s="64">
        <v>56.7</v>
      </c>
      <c r="E104" s="64">
        <v>7.71</v>
      </c>
      <c r="F104" s="64">
        <v>10.84</v>
      </c>
      <c r="G104" s="64">
        <v>89.44</v>
      </c>
      <c r="H104" s="64">
        <v>14.66</v>
      </c>
      <c r="I104" s="64">
        <v>4</v>
      </c>
      <c r="J104" s="64">
        <v>0.56000000000000005</v>
      </c>
      <c r="K104" s="64">
        <v>181.67</v>
      </c>
      <c r="L104" s="64">
        <v>32.590000000000003</v>
      </c>
      <c r="M104" s="64">
        <v>46.69</v>
      </c>
      <c r="N104" s="64">
        <v>28.7</v>
      </c>
      <c r="O104" s="64">
        <v>0</v>
      </c>
      <c r="P104" s="64">
        <v>0.83</v>
      </c>
      <c r="Q104" s="64">
        <v>9.74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4.08</v>
      </c>
      <c r="C106" s="67">
        <f>MIN(C9:C104)</f>
        <v>17.75</v>
      </c>
      <c r="D106" s="67">
        <f t="shared" ref="D106:Q106" si="0">MIN(D9:D104)</f>
        <v>27.47</v>
      </c>
      <c r="E106" s="67">
        <f t="shared" si="0"/>
        <v>5.8</v>
      </c>
      <c r="F106" s="67">
        <f t="shared" si="0"/>
        <v>3.34</v>
      </c>
      <c r="G106" s="67">
        <f t="shared" si="0"/>
        <v>36.42</v>
      </c>
      <c r="H106" s="67">
        <f t="shared" si="0"/>
        <v>2.36</v>
      </c>
      <c r="I106" s="67">
        <f t="shared" si="0"/>
        <v>3.78</v>
      </c>
      <c r="J106" s="67">
        <f t="shared" si="0"/>
        <v>0.04</v>
      </c>
      <c r="K106" s="67">
        <f t="shared" si="0"/>
        <v>96.01</v>
      </c>
      <c r="L106" s="67">
        <f t="shared" si="0"/>
        <v>28.63</v>
      </c>
      <c r="M106" s="67">
        <f t="shared" si="0"/>
        <v>23.36</v>
      </c>
      <c r="N106" s="67">
        <f t="shared" si="0"/>
        <v>28.3</v>
      </c>
      <c r="O106" s="67">
        <f t="shared" si="0"/>
        <v>0</v>
      </c>
      <c r="P106" s="67">
        <f t="shared" si="0"/>
        <v>0.3</v>
      </c>
      <c r="Q106" s="67">
        <f t="shared" si="0"/>
        <v>9.35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155.35</v>
      </c>
      <c r="C107" s="66">
        <f t="shared" ref="C107:Q107" si="1">MAX(C9:C104)</f>
        <v>201.11</v>
      </c>
      <c r="D107" s="66">
        <f t="shared" si="1"/>
        <v>151.01</v>
      </c>
      <c r="E107" s="66">
        <f t="shared" si="1"/>
        <v>11.19</v>
      </c>
      <c r="F107" s="66">
        <f t="shared" si="1"/>
        <v>28.47</v>
      </c>
      <c r="G107" s="66">
        <f t="shared" si="1"/>
        <v>89.44</v>
      </c>
      <c r="H107" s="66">
        <f t="shared" si="1"/>
        <v>44.65</v>
      </c>
      <c r="I107" s="66">
        <f t="shared" si="1"/>
        <v>4.22</v>
      </c>
      <c r="J107" s="66">
        <f t="shared" si="1"/>
        <v>1.39</v>
      </c>
      <c r="K107" s="66">
        <f t="shared" si="1"/>
        <v>310.83999999999997</v>
      </c>
      <c r="L107" s="66">
        <f t="shared" si="1"/>
        <v>42.76</v>
      </c>
      <c r="M107" s="66">
        <f t="shared" si="1"/>
        <v>57.31</v>
      </c>
      <c r="N107" s="66">
        <f t="shared" si="1"/>
        <v>815.1</v>
      </c>
      <c r="O107" s="66">
        <f t="shared" si="1"/>
        <v>0</v>
      </c>
      <c r="P107" s="66">
        <f t="shared" si="1"/>
        <v>5</v>
      </c>
      <c r="Q107" s="66">
        <f t="shared" si="1"/>
        <v>9.82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18.641979166666669</v>
      </c>
      <c r="C108" s="67">
        <f t="shared" ref="C108:Q108" si="2">AVERAGE(C9:C104)</f>
        <v>45.037500000000016</v>
      </c>
      <c r="D108" s="67">
        <f t="shared" si="2"/>
        <v>57.586666666666666</v>
      </c>
      <c r="E108" s="67">
        <f t="shared" si="2"/>
        <v>8.2134375000000031</v>
      </c>
      <c r="F108" s="67">
        <f t="shared" si="2"/>
        <v>12.497500000000008</v>
      </c>
      <c r="G108" s="67">
        <f t="shared" si="2"/>
        <v>49.204166666666644</v>
      </c>
      <c r="H108" s="67">
        <f t="shared" si="2"/>
        <v>16.171704545454556</v>
      </c>
      <c r="I108" s="67">
        <f t="shared" si="2"/>
        <v>3.9943749999999998</v>
      </c>
      <c r="J108" s="67">
        <f t="shared" si="2"/>
        <v>0.50458333333333349</v>
      </c>
      <c r="K108" s="67">
        <f t="shared" si="2"/>
        <v>219.51739583333327</v>
      </c>
      <c r="L108" s="67">
        <f t="shared" si="2"/>
        <v>34.934895833333336</v>
      </c>
      <c r="M108" s="67">
        <f t="shared" si="2"/>
        <v>41.488749999999975</v>
      </c>
      <c r="N108" s="67">
        <f t="shared" si="2"/>
        <v>205.34895833333326</v>
      </c>
      <c r="O108" s="67">
        <f t="shared" si="2"/>
        <v>0</v>
      </c>
      <c r="P108" s="67">
        <f t="shared" si="2"/>
        <v>0.98020833333333324</v>
      </c>
      <c r="Q108" s="67">
        <f t="shared" si="2"/>
        <v>9.5502083333333356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29.499818612102171</v>
      </c>
      <c r="C109" s="67">
        <f t="shared" ref="C109:Q109" si="3">STDEV(C9:C104)</f>
        <v>41.883417972422329</v>
      </c>
      <c r="D109" s="67">
        <f t="shared" si="3"/>
        <v>37.648507726536636</v>
      </c>
      <c r="E109" s="67">
        <f t="shared" si="3"/>
        <v>1.4595362119342252</v>
      </c>
      <c r="F109" s="67">
        <f t="shared" si="3"/>
        <v>6.1142614994952842</v>
      </c>
      <c r="G109" s="67">
        <f t="shared" si="3"/>
        <v>15.092044447788968</v>
      </c>
      <c r="H109" s="67">
        <f t="shared" si="3"/>
        <v>10.638419986997542</v>
      </c>
      <c r="I109" s="67">
        <f t="shared" si="3"/>
        <v>9.193604756625802E-2</v>
      </c>
      <c r="J109" s="67">
        <f t="shared" si="3"/>
        <v>0.26827290373273377</v>
      </c>
      <c r="K109" s="67">
        <f t="shared" si="3"/>
        <v>36.99951385867832</v>
      </c>
      <c r="L109" s="67">
        <f t="shared" si="3"/>
        <v>4.2239283274400767</v>
      </c>
      <c r="M109" s="67">
        <f t="shared" si="3"/>
        <v>10.837253803432018</v>
      </c>
      <c r="N109" s="67">
        <f t="shared" si="3"/>
        <v>236.8601075006498</v>
      </c>
      <c r="O109" s="67">
        <f t="shared" si="3"/>
        <v>0</v>
      </c>
      <c r="P109" s="67">
        <f t="shared" si="3"/>
        <v>0.96473828375386383</v>
      </c>
      <c r="Q109" s="67">
        <f t="shared" si="3"/>
        <v>0.11462505619964575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COUNT(H9:H104)+8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1590</v>
      </c>
      <c r="B9" s="64">
        <v>16.14</v>
      </c>
      <c r="C9" s="64">
        <v>31.09</v>
      </c>
      <c r="D9" s="64">
        <v>34.74</v>
      </c>
      <c r="E9" s="64">
        <v>7.07</v>
      </c>
      <c r="F9" s="64">
        <v>14.3</v>
      </c>
      <c r="G9" s="64">
        <v>84.28</v>
      </c>
      <c r="H9" s="64">
        <v>20.82</v>
      </c>
      <c r="I9" s="64">
        <v>4</v>
      </c>
      <c r="J9" s="64">
        <v>0.77</v>
      </c>
      <c r="K9" s="64">
        <v>165.84</v>
      </c>
      <c r="L9" s="64">
        <v>32.43</v>
      </c>
      <c r="M9" s="64">
        <v>47.53</v>
      </c>
      <c r="N9" s="64">
        <v>28.9</v>
      </c>
      <c r="O9" s="64">
        <v>0</v>
      </c>
      <c r="P9" s="64">
        <v>0.81</v>
      </c>
      <c r="Q9" s="64">
        <v>9.7799999999999994</v>
      </c>
      <c r="R9" s="198"/>
      <c r="S9" s="198"/>
      <c r="T9" s="198"/>
      <c r="U9" s="198"/>
    </row>
    <row r="10" spans="1:21" s="12" customFormat="1" x14ac:dyDescent="0.25">
      <c r="A10" s="214" t="s">
        <v>1591</v>
      </c>
      <c r="B10" s="64">
        <v>7.09</v>
      </c>
      <c r="C10" s="64">
        <v>23.97</v>
      </c>
      <c r="D10" s="64">
        <v>35</v>
      </c>
      <c r="E10" s="64">
        <v>7.36</v>
      </c>
      <c r="F10" s="64">
        <v>14.76</v>
      </c>
      <c r="G10" s="64">
        <v>79.56</v>
      </c>
      <c r="H10" s="64">
        <v>26.45</v>
      </c>
      <c r="I10" s="64">
        <v>4.03</v>
      </c>
      <c r="J10" s="64">
        <v>0.47</v>
      </c>
      <c r="K10" s="64">
        <v>211.54</v>
      </c>
      <c r="L10" s="64">
        <v>32.119999999999997</v>
      </c>
      <c r="M10" s="64">
        <v>48.27</v>
      </c>
      <c r="N10" s="64">
        <v>29.2</v>
      </c>
      <c r="O10" s="64">
        <v>0</v>
      </c>
      <c r="P10" s="64">
        <v>0.52</v>
      </c>
      <c r="Q10" s="64">
        <v>9.7799999999999994</v>
      </c>
      <c r="R10" s="198"/>
      <c r="S10" s="198"/>
      <c r="T10" s="198"/>
      <c r="U10" s="198"/>
    </row>
    <row r="11" spans="1:21" s="12" customFormat="1" x14ac:dyDescent="0.25">
      <c r="A11" s="214" t="s">
        <v>1592</v>
      </c>
      <c r="B11" s="64">
        <v>6.58</v>
      </c>
      <c r="C11" s="64">
        <v>24.55</v>
      </c>
      <c r="D11" s="64">
        <v>36.89</v>
      </c>
      <c r="E11" s="64">
        <v>7.54</v>
      </c>
      <c r="F11" s="64">
        <v>14.12</v>
      </c>
      <c r="G11" s="64">
        <v>79.56</v>
      </c>
      <c r="H11" s="64">
        <v>26.45</v>
      </c>
      <c r="I11" s="64">
        <v>3.78</v>
      </c>
      <c r="J11" s="64">
        <v>0.39</v>
      </c>
      <c r="K11" s="64">
        <v>189.74</v>
      </c>
      <c r="L11" s="64">
        <v>31.71</v>
      </c>
      <c r="M11" s="64">
        <v>49.64</v>
      </c>
      <c r="N11" s="64">
        <v>29.2</v>
      </c>
      <c r="O11" s="64">
        <v>0</v>
      </c>
      <c r="P11" s="64">
        <v>0.52</v>
      </c>
      <c r="Q11" s="64">
        <v>9.75</v>
      </c>
      <c r="R11" s="198"/>
      <c r="S11" s="198"/>
      <c r="T11" s="198"/>
      <c r="U11" s="198"/>
    </row>
    <row r="12" spans="1:21" s="12" customFormat="1" x14ac:dyDescent="0.25">
      <c r="A12" s="214" t="s">
        <v>1593</v>
      </c>
      <c r="B12" s="64">
        <v>7.16</v>
      </c>
      <c r="C12" s="64">
        <v>24.77</v>
      </c>
      <c r="D12" s="64">
        <v>36.42</v>
      </c>
      <c r="E12" s="64">
        <v>7.7</v>
      </c>
      <c r="F12" s="64">
        <v>14.29</v>
      </c>
      <c r="G12" s="64">
        <v>79.56</v>
      </c>
      <c r="H12" s="64">
        <v>26.45</v>
      </c>
      <c r="I12" s="64">
        <v>3.98</v>
      </c>
      <c r="J12" s="64">
        <v>0.43</v>
      </c>
      <c r="K12" s="64">
        <v>195.19</v>
      </c>
      <c r="L12" s="64">
        <v>31.52</v>
      </c>
      <c r="M12" s="64">
        <v>49.85</v>
      </c>
      <c r="N12" s="64">
        <v>29</v>
      </c>
      <c r="O12" s="64">
        <v>0</v>
      </c>
      <c r="P12" s="64">
        <v>0.52</v>
      </c>
      <c r="Q12" s="64">
        <v>9.75</v>
      </c>
      <c r="R12" s="198"/>
      <c r="S12" s="198"/>
      <c r="T12" s="198"/>
      <c r="U12" s="198"/>
    </row>
    <row r="13" spans="1:21" s="12" customFormat="1" x14ac:dyDescent="0.25">
      <c r="A13" s="214" t="s">
        <v>1594</v>
      </c>
      <c r="B13" s="64">
        <v>6.15</v>
      </c>
      <c r="C13" s="64">
        <v>20.38</v>
      </c>
      <c r="D13" s="64">
        <v>29.58</v>
      </c>
      <c r="E13" s="64">
        <v>7.52</v>
      </c>
      <c r="F13" s="64">
        <v>15.38</v>
      </c>
      <c r="G13" s="64">
        <v>70.03</v>
      </c>
      <c r="H13" s="64">
        <v>25.68</v>
      </c>
      <c r="I13" s="64">
        <v>3.83</v>
      </c>
      <c r="J13" s="64">
        <v>0.35</v>
      </c>
      <c r="K13" s="64">
        <v>214.6</v>
      </c>
      <c r="L13" s="64">
        <v>31.44</v>
      </c>
      <c r="M13" s="64">
        <v>49.3</v>
      </c>
      <c r="N13" s="64">
        <v>29</v>
      </c>
      <c r="O13" s="64">
        <v>0</v>
      </c>
      <c r="P13" s="64">
        <v>0.38</v>
      </c>
      <c r="Q13" s="64">
        <v>9.7200000000000006</v>
      </c>
      <c r="R13" s="198"/>
      <c r="S13" s="198"/>
      <c r="T13" s="198"/>
      <c r="U13" s="198"/>
    </row>
    <row r="14" spans="1:21" s="12" customFormat="1" x14ac:dyDescent="0.25">
      <c r="A14" s="214" t="s">
        <v>1595</v>
      </c>
      <c r="B14" s="64">
        <v>5.92</v>
      </c>
      <c r="C14" s="64">
        <v>19.3</v>
      </c>
      <c r="D14" s="64">
        <v>27.85</v>
      </c>
      <c r="E14" s="64">
        <v>7.41</v>
      </c>
      <c r="F14" s="64">
        <v>15.64</v>
      </c>
      <c r="G14" s="64">
        <v>61.32</v>
      </c>
      <c r="H14" s="64">
        <v>24.98</v>
      </c>
      <c r="I14" s="64">
        <v>4.03</v>
      </c>
      <c r="J14" s="64">
        <v>0.28999999999999998</v>
      </c>
      <c r="K14" s="64">
        <v>196.4</v>
      </c>
      <c r="L14" s="64">
        <v>31.28</v>
      </c>
      <c r="M14" s="64">
        <v>49.59</v>
      </c>
      <c r="N14" s="64">
        <v>28.8</v>
      </c>
      <c r="O14" s="64">
        <v>0</v>
      </c>
      <c r="P14" s="64">
        <v>0.42</v>
      </c>
      <c r="Q14" s="64">
        <v>9.7100000000000009</v>
      </c>
      <c r="R14" s="198"/>
      <c r="S14" s="198"/>
      <c r="T14" s="198"/>
      <c r="U14" s="198"/>
    </row>
    <row r="15" spans="1:21" s="12" customFormat="1" x14ac:dyDescent="0.25">
      <c r="A15" s="214" t="s">
        <v>1596</v>
      </c>
      <c r="B15" s="64">
        <v>6.26</v>
      </c>
      <c r="C15" s="64">
        <v>18.5</v>
      </c>
      <c r="D15" s="64">
        <v>25.79</v>
      </c>
      <c r="E15" s="64">
        <v>7.77</v>
      </c>
      <c r="F15" s="64">
        <v>16.61</v>
      </c>
      <c r="G15" s="64">
        <v>61.32</v>
      </c>
      <c r="H15" s="64">
        <v>24.98</v>
      </c>
      <c r="I15" s="64">
        <v>3.82</v>
      </c>
      <c r="J15" s="64">
        <v>0.35</v>
      </c>
      <c r="K15" s="64">
        <v>162.08000000000001</v>
      </c>
      <c r="L15" s="64">
        <v>31.22</v>
      </c>
      <c r="M15" s="64">
        <v>49.68</v>
      </c>
      <c r="N15" s="64">
        <v>28.8</v>
      </c>
      <c r="O15" s="64">
        <v>0</v>
      </c>
      <c r="P15" s="64">
        <v>0.37</v>
      </c>
      <c r="Q15" s="64">
        <v>9.7100000000000009</v>
      </c>
      <c r="R15" s="198"/>
      <c r="S15" s="198"/>
      <c r="T15" s="198"/>
      <c r="U15" s="198"/>
    </row>
    <row r="16" spans="1:21" s="12" customFormat="1" x14ac:dyDescent="0.25">
      <c r="A16" s="214" t="s">
        <v>1597</v>
      </c>
      <c r="B16" s="64">
        <v>7.97</v>
      </c>
      <c r="C16" s="64">
        <v>20.55</v>
      </c>
      <c r="D16" s="64">
        <v>27.11</v>
      </c>
      <c r="E16" s="64">
        <v>7.84</v>
      </c>
      <c r="F16" s="64">
        <v>16.09</v>
      </c>
      <c r="G16" s="64">
        <v>61.32</v>
      </c>
      <c r="H16" s="64">
        <v>24.98</v>
      </c>
      <c r="I16" s="64">
        <v>3.96</v>
      </c>
      <c r="J16" s="64">
        <v>0.71</v>
      </c>
      <c r="K16" s="64">
        <v>147.86000000000001</v>
      </c>
      <c r="L16" s="64">
        <v>31.12</v>
      </c>
      <c r="M16" s="64">
        <v>50.51</v>
      </c>
      <c r="N16" s="64">
        <v>28.7</v>
      </c>
      <c r="O16" s="64">
        <v>0</v>
      </c>
      <c r="P16" s="64">
        <v>0.41</v>
      </c>
      <c r="Q16" s="64">
        <v>9.7100000000000009</v>
      </c>
      <c r="R16" s="198"/>
      <c r="S16" s="198"/>
      <c r="T16" s="198"/>
      <c r="U16" s="198"/>
    </row>
    <row r="17" spans="1:21" s="12" customFormat="1" x14ac:dyDescent="0.25">
      <c r="A17" s="214" t="s">
        <v>1598</v>
      </c>
      <c r="B17" s="64">
        <v>6.82</v>
      </c>
      <c r="C17" s="64">
        <v>19.45</v>
      </c>
      <c r="D17" s="64">
        <v>26.75</v>
      </c>
      <c r="E17" s="64">
        <v>7.97</v>
      </c>
      <c r="F17" s="64">
        <v>15.91</v>
      </c>
      <c r="G17" s="64">
        <v>57.39</v>
      </c>
      <c r="H17" s="64">
        <v>21.14</v>
      </c>
      <c r="I17" s="64">
        <v>3.89</v>
      </c>
      <c r="J17" s="64">
        <v>0.35</v>
      </c>
      <c r="K17" s="64">
        <v>222.34</v>
      </c>
      <c r="L17" s="64">
        <v>31.05</v>
      </c>
      <c r="M17" s="64">
        <v>50.75</v>
      </c>
      <c r="N17" s="64">
        <v>29</v>
      </c>
      <c r="O17" s="64">
        <v>0</v>
      </c>
      <c r="P17" s="64">
        <v>0.36</v>
      </c>
      <c r="Q17" s="64">
        <v>9.67</v>
      </c>
      <c r="R17" s="198"/>
      <c r="S17" s="198"/>
      <c r="T17" s="198"/>
      <c r="U17" s="198"/>
    </row>
    <row r="18" spans="1:21" s="12" customFormat="1" x14ac:dyDescent="0.25">
      <c r="A18" s="214" t="s">
        <v>1599</v>
      </c>
      <c r="B18" s="64">
        <v>5.5</v>
      </c>
      <c r="C18" s="64">
        <v>20</v>
      </c>
      <c r="D18" s="64">
        <v>29.84</v>
      </c>
      <c r="E18" s="64">
        <v>8.14</v>
      </c>
      <c r="F18" s="64">
        <v>16.07</v>
      </c>
      <c r="G18" s="64">
        <v>53.79</v>
      </c>
      <c r="H18" s="64">
        <v>17.47</v>
      </c>
      <c r="I18" s="64">
        <v>4.07</v>
      </c>
      <c r="J18" s="64">
        <v>0.28000000000000003</v>
      </c>
      <c r="K18" s="64">
        <v>194.38</v>
      </c>
      <c r="L18" s="64">
        <v>30.93</v>
      </c>
      <c r="M18" s="64">
        <v>51.78</v>
      </c>
      <c r="N18" s="64">
        <v>28.9</v>
      </c>
      <c r="O18" s="64">
        <v>0</v>
      </c>
      <c r="P18" s="64">
        <v>0.3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4" t="s">
        <v>1600</v>
      </c>
      <c r="B19" s="64">
        <v>5.14</v>
      </c>
      <c r="C19" s="64">
        <v>23.12</v>
      </c>
      <c r="D19" s="64">
        <v>36.36</v>
      </c>
      <c r="E19" s="64">
        <v>7.74</v>
      </c>
      <c r="F19" s="64">
        <v>15.81</v>
      </c>
      <c r="G19" s="64">
        <v>53.79</v>
      </c>
      <c r="H19" s="64">
        <v>17.47</v>
      </c>
      <c r="I19" s="64">
        <v>4.0599999999999996</v>
      </c>
      <c r="J19" s="64">
        <v>0.37</v>
      </c>
      <c r="K19" s="64">
        <v>231.65</v>
      </c>
      <c r="L19" s="64">
        <v>30.79</v>
      </c>
      <c r="M19" s="64">
        <v>52.11</v>
      </c>
      <c r="N19" s="64">
        <v>29</v>
      </c>
      <c r="O19" s="64">
        <v>0</v>
      </c>
      <c r="P19" s="64">
        <v>0.27</v>
      </c>
      <c r="Q19" s="64">
        <v>9.7200000000000006</v>
      </c>
      <c r="R19" s="198"/>
      <c r="S19" s="198"/>
      <c r="T19" s="198"/>
      <c r="U19" s="198"/>
    </row>
    <row r="20" spans="1:21" s="12" customFormat="1" x14ac:dyDescent="0.25">
      <c r="A20" s="214" t="s">
        <v>1601</v>
      </c>
      <c r="B20" s="64">
        <v>5.08</v>
      </c>
      <c r="C20" s="64">
        <v>19.329999999999998</v>
      </c>
      <c r="D20" s="64">
        <v>29.2</v>
      </c>
      <c r="E20" s="64">
        <v>7.74</v>
      </c>
      <c r="F20" s="64">
        <v>16.440000000000001</v>
      </c>
      <c r="G20" s="64">
        <v>53.79</v>
      </c>
      <c r="H20" s="64">
        <v>17.47</v>
      </c>
      <c r="I20" s="64">
        <v>3.92</v>
      </c>
      <c r="J20" s="64">
        <v>0.43</v>
      </c>
      <c r="K20" s="64">
        <v>224.67</v>
      </c>
      <c r="L20" s="64">
        <v>30.77</v>
      </c>
      <c r="M20" s="64">
        <v>52.14</v>
      </c>
      <c r="N20" s="64">
        <v>28.6</v>
      </c>
      <c r="O20" s="64">
        <v>0</v>
      </c>
      <c r="P20" s="64">
        <v>0.28000000000000003</v>
      </c>
      <c r="Q20" s="64">
        <v>9.68</v>
      </c>
      <c r="R20" s="198"/>
      <c r="S20" s="198"/>
      <c r="T20" s="198"/>
      <c r="U20" s="198"/>
    </row>
    <row r="21" spans="1:21" s="12" customFormat="1" x14ac:dyDescent="0.25">
      <c r="A21" s="214" t="s">
        <v>1602</v>
      </c>
      <c r="B21" s="64">
        <v>8.17</v>
      </c>
      <c r="C21" s="64">
        <v>21.28</v>
      </c>
      <c r="D21" s="64">
        <v>28.2</v>
      </c>
      <c r="E21" s="64">
        <v>7.37</v>
      </c>
      <c r="F21" s="64">
        <v>14.39</v>
      </c>
      <c r="G21" s="64">
        <v>51.85</v>
      </c>
      <c r="H21" s="64">
        <v>15.68</v>
      </c>
      <c r="I21" s="64">
        <v>4.0599999999999996</v>
      </c>
      <c r="J21" s="64">
        <v>0.43</v>
      </c>
      <c r="K21" s="64">
        <v>214.18</v>
      </c>
      <c r="L21" s="64">
        <v>30.98</v>
      </c>
      <c r="M21" s="64">
        <v>51.8</v>
      </c>
      <c r="N21" s="64">
        <v>28.6</v>
      </c>
      <c r="O21" s="64">
        <v>0</v>
      </c>
      <c r="P21" s="64">
        <v>0.37</v>
      </c>
      <c r="Q21" s="64">
        <v>9.68</v>
      </c>
      <c r="R21" s="198"/>
      <c r="S21" s="198"/>
      <c r="T21" s="198"/>
      <c r="U21" s="198"/>
    </row>
    <row r="22" spans="1:21" s="12" customFormat="1" x14ac:dyDescent="0.25">
      <c r="A22" s="214" t="s">
        <v>1603</v>
      </c>
      <c r="B22" s="64">
        <v>6.13</v>
      </c>
      <c r="C22" s="64">
        <v>24.07</v>
      </c>
      <c r="D22" s="64">
        <v>36.659999999999997</v>
      </c>
      <c r="E22" s="64">
        <v>7.3</v>
      </c>
      <c r="F22" s="64">
        <v>14.39</v>
      </c>
      <c r="G22" s="64">
        <v>50.07</v>
      </c>
      <c r="H22" s="64">
        <v>14.04</v>
      </c>
      <c r="I22" s="64">
        <v>4.13</v>
      </c>
      <c r="J22" s="64">
        <v>0.44</v>
      </c>
      <c r="K22" s="64">
        <v>179.67</v>
      </c>
      <c r="L22" s="64">
        <v>30.55</v>
      </c>
      <c r="M22" s="64">
        <v>54.33</v>
      </c>
      <c r="N22" s="64">
        <v>29.1</v>
      </c>
      <c r="O22" s="64">
        <v>0</v>
      </c>
      <c r="P22" s="64">
        <v>0.27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4" t="s">
        <v>1604</v>
      </c>
      <c r="B23" s="64">
        <v>4.5199999999999996</v>
      </c>
      <c r="C23" s="64">
        <v>18.309999999999999</v>
      </c>
      <c r="D23" s="64">
        <v>28.11</v>
      </c>
      <c r="E23" s="64">
        <v>7.38</v>
      </c>
      <c r="F23" s="64">
        <v>15.48</v>
      </c>
      <c r="G23" s="64">
        <v>50.07</v>
      </c>
      <c r="H23" s="64">
        <v>14.04</v>
      </c>
      <c r="I23" s="64">
        <v>4.1100000000000003</v>
      </c>
      <c r="J23" s="64">
        <v>0.42</v>
      </c>
      <c r="K23" s="64">
        <v>238.85</v>
      </c>
      <c r="L23" s="64">
        <v>30.44</v>
      </c>
      <c r="M23" s="64">
        <v>54.22</v>
      </c>
      <c r="N23" s="64">
        <v>28.8</v>
      </c>
      <c r="O23" s="64">
        <v>0</v>
      </c>
      <c r="P23" s="64">
        <v>0.27</v>
      </c>
      <c r="Q23" s="64">
        <v>9.67</v>
      </c>
      <c r="R23" s="198"/>
      <c r="S23" s="198"/>
      <c r="T23" s="198"/>
      <c r="U23" s="198"/>
    </row>
    <row r="24" spans="1:21" s="12" customFormat="1" x14ac:dyDescent="0.25">
      <c r="A24" s="214" t="s">
        <v>1605</v>
      </c>
      <c r="B24" s="64">
        <v>6.59</v>
      </c>
      <c r="C24" s="64">
        <v>22</v>
      </c>
      <c r="D24" s="64">
        <v>31.99</v>
      </c>
      <c r="E24" s="64">
        <v>6.87</v>
      </c>
      <c r="F24" s="64">
        <v>10.01</v>
      </c>
      <c r="G24" s="64">
        <v>50.07</v>
      </c>
      <c r="H24" s="64">
        <v>14.04</v>
      </c>
      <c r="I24" s="64">
        <v>4.0199999999999996</v>
      </c>
      <c r="J24" s="64">
        <v>0.47</v>
      </c>
      <c r="K24" s="64">
        <v>236.83</v>
      </c>
      <c r="L24" s="64">
        <v>30.67</v>
      </c>
      <c r="M24" s="64">
        <v>52.66</v>
      </c>
      <c r="N24" s="64">
        <v>28.5</v>
      </c>
      <c r="O24" s="64">
        <v>0</v>
      </c>
      <c r="P24" s="64">
        <v>0.56000000000000005</v>
      </c>
      <c r="Q24" s="64">
        <v>9.69</v>
      </c>
      <c r="R24" s="198"/>
      <c r="S24" s="198"/>
      <c r="T24" s="198"/>
      <c r="U24" s="198"/>
    </row>
    <row r="25" spans="1:21" s="12" customFormat="1" x14ac:dyDescent="0.25">
      <c r="A25" s="214" t="s">
        <v>1606</v>
      </c>
      <c r="B25" s="64">
        <v>6.86</v>
      </c>
      <c r="C25" s="64">
        <v>21.38</v>
      </c>
      <c r="D25" s="64">
        <v>30.38</v>
      </c>
      <c r="E25" s="64">
        <v>6.53</v>
      </c>
      <c r="F25" s="64">
        <v>12.91</v>
      </c>
      <c r="G25" s="64">
        <v>47.41</v>
      </c>
      <c r="H25" s="64">
        <v>14.35</v>
      </c>
      <c r="I25" s="64">
        <v>4.01</v>
      </c>
      <c r="J25" s="64">
        <v>0.6</v>
      </c>
      <c r="K25" s="64">
        <v>239.36</v>
      </c>
      <c r="L25" s="64">
        <v>30.74</v>
      </c>
      <c r="M25" s="64">
        <v>51.9</v>
      </c>
      <c r="N25" s="64">
        <v>28.7</v>
      </c>
      <c r="O25" s="64">
        <v>0</v>
      </c>
      <c r="P25" s="64">
        <v>0.51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4" t="s">
        <v>1607</v>
      </c>
      <c r="B26" s="64">
        <v>5.29</v>
      </c>
      <c r="C26" s="64">
        <v>18.12</v>
      </c>
      <c r="D26" s="64">
        <v>26.57</v>
      </c>
      <c r="E26" s="64">
        <v>6.44</v>
      </c>
      <c r="F26" s="64">
        <v>14.67</v>
      </c>
      <c r="G26" s="64">
        <v>44.98</v>
      </c>
      <c r="H26" s="64">
        <v>14.63</v>
      </c>
      <c r="I26" s="64">
        <v>4.05</v>
      </c>
      <c r="J26" s="64">
        <v>0.51</v>
      </c>
      <c r="K26" s="64">
        <v>228.74</v>
      </c>
      <c r="L26" s="64">
        <v>30.67</v>
      </c>
      <c r="M26" s="64">
        <v>52.09</v>
      </c>
      <c r="N26" s="64">
        <v>28.8</v>
      </c>
      <c r="O26" s="64">
        <v>0</v>
      </c>
      <c r="P26" s="64">
        <v>0.3</v>
      </c>
      <c r="Q26" s="64">
        <v>9.64</v>
      </c>
      <c r="R26" s="198"/>
      <c r="S26" s="198"/>
      <c r="T26" s="198"/>
      <c r="U26" s="198"/>
    </row>
    <row r="27" spans="1:21" s="12" customFormat="1" x14ac:dyDescent="0.25">
      <c r="A27" s="214" t="s">
        <v>1608</v>
      </c>
      <c r="B27" s="64">
        <v>4.42</v>
      </c>
      <c r="C27" s="64">
        <v>18.829999999999998</v>
      </c>
      <c r="D27" s="64">
        <v>29.27</v>
      </c>
      <c r="E27" s="64">
        <v>6.81</v>
      </c>
      <c r="F27" s="64">
        <v>14.91</v>
      </c>
      <c r="G27" s="64">
        <v>44.98</v>
      </c>
      <c r="H27" s="64">
        <v>14.63</v>
      </c>
      <c r="I27" s="64">
        <v>4.09</v>
      </c>
      <c r="J27" s="64">
        <v>0.41</v>
      </c>
      <c r="K27" s="64">
        <v>211.2</v>
      </c>
      <c r="L27" s="64">
        <v>30.45</v>
      </c>
      <c r="M27" s="64">
        <v>53.01</v>
      </c>
      <c r="N27" s="64">
        <v>29</v>
      </c>
      <c r="O27" s="64">
        <v>0</v>
      </c>
      <c r="P27" s="64">
        <v>0.22</v>
      </c>
      <c r="Q27" s="64">
        <v>9.6</v>
      </c>
      <c r="R27" s="198"/>
      <c r="S27" s="198"/>
      <c r="T27" s="198"/>
      <c r="U27" s="198"/>
    </row>
    <row r="28" spans="1:21" s="12" customFormat="1" x14ac:dyDescent="0.25">
      <c r="A28" s="214" t="s">
        <v>1609</v>
      </c>
      <c r="B28" s="64">
        <v>4.28</v>
      </c>
      <c r="C28" s="64">
        <v>19.5</v>
      </c>
      <c r="D28" s="64">
        <v>30.76</v>
      </c>
      <c r="E28" s="64">
        <v>6.94</v>
      </c>
      <c r="F28" s="64">
        <v>14.47</v>
      </c>
      <c r="G28" s="64">
        <v>44.98</v>
      </c>
      <c r="H28" s="64">
        <v>14.63</v>
      </c>
      <c r="I28" s="64">
        <v>4.05</v>
      </c>
      <c r="J28" s="64">
        <v>0.42</v>
      </c>
      <c r="K28" s="64">
        <v>227.1</v>
      </c>
      <c r="L28" s="64">
        <v>30.2</v>
      </c>
      <c r="M28" s="64">
        <v>53.98</v>
      </c>
      <c r="N28" s="64">
        <v>28.9</v>
      </c>
      <c r="O28" s="64">
        <v>0</v>
      </c>
      <c r="P28" s="64">
        <v>0.26</v>
      </c>
      <c r="Q28" s="64">
        <v>9.56</v>
      </c>
      <c r="R28" s="198"/>
      <c r="S28" s="198"/>
      <c r="T28" s="198"/>
      <c r="U28" s="198"/>
    </row>
    <row r="29" spans="1:21" s="12" customFormat="1" x14ac:dyDescent="0.25">
      <c r="A29" s="214" t="s">
        <v>1610</v>
      </c>
      <c r="B29" s="64">
        <v>4.13</v>
      </c>
      <c r="C29" s="64">
        <v>19.989999999999998</v>
      </c>
      <c r="D29" s="64">
        <v>31.92</v>
      </c>
      <c r="E29" s="64">
        <v>7.12</v>
      </c>
      <c r="F29" s="64">
        <v>14.07</v>
      </c>
      <c r="G29" s="64">
        <v>43.33</v>
      </c>
      <c r="H29" s="64">
        <v>14.28</v>
      </c>
      <c r="I29" s="64">
        <v>3.86</v>
      </c>
      <c r="J29" s="64">
        <v>0.42</v>
      </c>
      <c r="K29" s="64">
        <v>194.69</v>
      </c>
      <c r="L29" s="64">
        <v>30.03</v>
      </c>
      <c r="M29" s="64">
        <v>55.05</v>
      </c>
      <c r="N29" s="64">
        <v>30.2</v>
      </c>
      <c r="O29" s="64">
        <v>0</v>
      </c>
      <c r="P29" s="64">
        <v>0.26</v>
      </c>
      <c r="Q29" s="64">
        <v>9.5299999999999994</v>
      </c>
      <c r="R29" s="198"/>
      <c r="S29" s="198"/>
      <c r="T29" s="198"/>
      <c r="U29" s="198"/>
    </row>
    <row r="30" spans="1:21" s="12" customFormat="1" x14ac:dyDescent="0.25">
      <c r="A30" s="214" t="s">
        <v>1611</v>
      </c>
      <c r="B30" s="64">
        <v>4.3499999999999996</v>
      </c>
      <c r="C30" s="64">
        <v>23.29</v>
      </c>
      <c r="D30" s="64">
        <v>37.909999999999997</v>
      </c>
      <c r="E30" s="64">
        <v>6.94</v>
      </c>
      <c r="F30" s="64">
        <v>12.2</v>
      </c>
      <c r="G30" s="64">
        <v>41.82</v>
      </c>
      <c r="H30" s="64">
        <v>13.96</v>
      </c>
      <c r="I30" s="64">
        <v>3.96</v>
      </c>
      <c r="J30" s="64">
        <v>0.4</v>
      </c>
      <c r="K30" s="64">
        <v>189.17</v>
      </c>
      <c r="L30" s="64">
        <v>29.88</v>
      </c>
      <c r="M30" s="64">
        <v>56.5</v>
      </c>
      <c r="N30" s="64">
        <v>33.9</v>
      </c>
      <c r="O30" s="64">
        <v>0</v>
      </c>
      <c r="P30" s="64">
        <v>0.27</v>
      </c>
      <c r="Q30" s="64">
        <v>9.51</v>
      </c>
      <c r="R30" s="198"/>
      <c r="S30" s="198"/>
      <c r="T30" s="198"/>
      <c r="U30" s="198"/>
    </row>
    <row r="31" spans="1:21" s="12" customFormat="1" x14ac:dyDescent="0.25">
      <c r="A31" s="214" t="s">
        <v>1612</v>
      </c>
      <c r="B31" s="64">
        <v>4.2300000000000004</v>
      </c>
      <c r="C31" s="64">
        <v>21.87</v>
      </c>
      <c r="D31" s="64">
        <v>35.380000000000003</v>
      </c>
      <c r="E31" s="64">
        <v>7.3</v>
      </c>
      <c r="F31" s="64">
        <v>13.1</v>
      </c>
      <c r="G31" s="64">
        <v>41.82</v>
      </c>
      <c r="H31" s="64">
        <v>13.96</v>
      </c>
      <c r="I31" s="64">
        <v>4.04</v>
      </c>
      <c r="J31" s="64">
        <v>0.46</v>
      </c>
      <c r="K31" s="64">
        <v>177.42</v>
      </c>
      <c r="L31" s="64">
        <v>29.88</v>
      </c>
      <c r="M31" s="64">
        <v>57.18</v>
      </c>
      <c r="N31" s="64">
        <v>43.4</v>
      </c>
      <c r="O31" s="64">
        <v>0</v>
      </c>
      <c r="P31" s="64">
        <v>0.25</v>
      </c>
      <c r="Q31" s="64">
        <v>9.5</v>
      </c>
      <c r="R31" s="198"/>
      <c r="S31" s="198"/>
      <c r="T31" s="198"/>
      <c r="U31" s="198"/>
    </row>
    <row r="32" spans="1:21" s="12" customFormat="1" x14ac:dyDescent="0.25">
      <c r="A32" s="214" t="s">
        <v>1613</v>
      </c>
      <c r="B32" s="64">
        <v>4.12</v>
      </c>
      <c r="C32" s="64">
        <v>20</v>
      </c>
      <c r="D32" s="64">
        <v>31.96</v>
      </c>
      <c r="E32" s="64">
        <v>7.08</v>
      </c>
      <c r="F32" s="64">
        <v>13.96</v>
      </c>
      <c r="G32" s="64">
        <v>41.82</v>
      </c>
      <c r="H32" s="64">
        <v>13.96</v>
      </c>
      <c r="I32" s="64">
        <v>4.03</v>
      </c>
      <c r="J32" s="64">
        <v>0.43</v>
      </c>
      <c r="K32" s="64">
        <v>227.59</v>
      </c>
      <c r="L32" s="64">
        <v>30</v>
      </c>
      <c r="M32" s="64">
        <v>55.98</v>
      </c>
      <c r="N32" s="64">
        <v>60.5</v>
      </c>
      <c r="O32" s="64">
        <v>0</v>
      </c>
      <c r="P32" s="64">
        <v>0.24</v>
      </c>
      <c r="Q32" s="64">
        <v>9.5</v>
      </c>
      <c r="R32" s="198"/>
      <c r="S32" s="198"/>
      <c r="T32" s="198"/>
      <c r="U32" s="198"/>
    </row>
    <row r="33" spans="1:21" s="12" customFormat="1" x14ac:dyDescent="0.25">
      <c r="A33" s="214" t="s">
        <v>1614</v>
      </c>
      <c r="B33" s="64">
        <v>5.87</v>
      </c>
      <c r="C33" s="64">
        <v>22.66</v>
      </c>
      <c r="D33" s="64">
        <v>34.369999999999997</v>
      </c>
      <c r="E33" s="64">
        <v>6.95</v>
      </c>
      <c r="F33" s="64">
        <v>13.04</v>
      </c>
      <c r="G33" s="64">
        <v>42.13</v>
      </c>
      <c r="H33" s="64">
        <v>15.14</v>
      </c>
      <c r="I33" s="64">
        <v>3.96</v>
      </c>
      <c r="J33" s="64">
        <v>0.41</v>
      </c>
      <c r="K33" s="64">
        <v>229.83</v>
      </c>
      <c r="L33" s="64">
        <v>30.15</v>
      </c>
      <c r="M33" s="64">
        <v>55.98</v>
      </c>
      <c r="N33" s="64">
        <v>86.1</v>
      </c>
      <c r="O33" s="64">
        <v>0</v>
      </c>
      <c r="P33" s="64">
        <v>0.24</v>
      </c>
      <c r="Q33" s="64">
        <v>9.5</v>
      </c>
      <c r="R33" s="198"/>
      <c r="S33" s="198"/>
      <c r="T33" s="198"/>
      <c r="U33" s="198"/>
    </row>
    <row r="34" spans="1:21" s="12" customFormat="1" x14ac:dyDescent="0.25">
      <c r="A34" s="214" t="s">
        <v>1615</v>
      </c>
      <c r="B34" s="64">
        <v>4.9800000000000004</v>
      </c>
      <c r="C34" s="64">
        <v>20.95</v>
      </c>
      <c r="D34" s="64">
        <v>32.450000000000003</v>
      </c>
      <c r="E34" s="64">
        <v>6.81</v>
      </c>
      <c r="F34" s="64">
        <v>10.93</v>
      </c>
      <c r="G34" s="64">
        <v>42.41</v>
      </c>
      <c r="H34" s="64">
        <v>16.21</v>
      </c>
      <c r="I34" s="64">
        <v>4.04</v>
      </c>
      <c r="J34" s="64">
        <v>0.39</v>
      </c>
      <c r="K34" s="64">
        <v>222.25</v>
      </c>
      <c r="L34" s="64">
        <v>30.49</v>
      </c>
      <c r="M34" s="64">
        <v>55.83</v>
      </c>
      <c r="N34" s="64">
        <v>118.5</v>
      </c>
      <c r="O34" s="64">
        <v>0</v>
      </c>
      <c r="P34" s="64">
        <v>0.28999999999999998</v>
      </c>
      <c r="Q34" s="64">
        <v>9.5</v>
      </c>
      <c r="R34" s="198"/>
      <c r="S34" s="198"/>
      <c r="T34" s="198"/>
      <c r="U34" s="198"/>
    </row>
    <row r="35" spans="1:21" s="12" customFormat="1" x14ac:dyDescent="0.25">
      <c r="A35" s="214" t="s">
        <v>1616</v>
      </c>
      <c r="B35" s="64">
        <v>5.59</v>
      </c>
      <c r="C35" s="64">
        <v>21.81</v>
      </c>
      <c r="D35" s="64">
        <v>33.17</v>
      </c>
      <c r="E35" s="64">
        <v>6.78</v>
      </c>
      <c r="F35" s="64">
        <v>9.44</v>
      </c>
      <c r="G35" s="64">
        <v>42.41</v>
      </c>
      <c r="H35" s="64">
        <v>16.21</v>
      </c>
      <c r="I35" s="64">
        <v>3.86</v>
      </c>
      <c r="J35" s="64">
        <v>0.51</v>
      </c>
      <c r="K35" s="64">
        <v>229.09</v>
      </c>
      <c r="L35" s="64">
        <v>30.97</v>
      </c>
      <c r="M35" s="64">
        <v>55.19</v>
      </c>
      <c r="N35" s="64">
        <v>153.69999999999999</v>
      </c>
      <c r="O35" s="64">
        <v>0</v>
      </c>
      <c r="P35" s="64">
        <v>0.39</v>
      </c>
      <c r="Q35" s="64">
        <v>9.51</v>
      </c>
      <c r="R35" s="198"/>
      <c r="S35" s="198"/>
      <c r="T35" s="198"/>
      <c r="U35" s="198"/>
    </row>
    <row r="36" spans="1:21" s="12" customFormat="1" x14ac:dyDescent="0.25">
      <c r="A36" s="214" t="s">
        <v>1617</v>
      </c>
      <c r="B36" s="64">
        <v>5.03</v>
      </c>
      <c r="C36" s="64">
        <v>20.9</v>
      </c>
      <c r="D36" s="64">
        <v>32.29</v>
      </c>
      <c r="E36" s="64">
        <v>6.79</v>
      </c>
      <c r="F36" s="64">
        <v>12.55</v>
      </c>
      <c r="G36" s="64">
        <v>42.41</v>
      </c>
      <c r="H36" s="64">
        <v>16.21</v>
      </c>
      <c r="I36" s="64">
        <v>3.92</v>
      </c>
      <c r="J36" s="64">
        <v>0.48</v>
      </c>
      <c r="K36" s="64">
        <v>205.47</v>
      </c>
      <c r="L36" s="64">
        <v>31.33</v>
      </c>
      <c r="M36" s="64">
        <v>54.88</v>
      </c>
      <c r="N36" s="64">
        <v>192.9</v>
      </c>
      <c r="O36" s="64">
        <v>0</v>
      </c>
      <c r="P36" s="64">
        <v>0.33</v>
      </c>
      <c r="Q36" s="64">
        <v>9.52</v>
      </c>
      <c r="R36" s="198"/>
      <c r="S36" s="198"/>
      <c r="T36" s="198"/>
      <c r="U36" s="198"/>
    </row>
    <row r="37" spans="1:21" s="12" customFormat="1" x14ac:dyDescent="0.25">
      <c r="A37" s="214" t="s">
        <v>1618</v>
      </c>
      <c r="B37" s="64">
        <v>5.07</v>
      </c>
      <c r="C37" s="64">
        <v>19.48</v>
      </c>
      <c r="D37" s="64">
        <v>29.5</v>
      </c>
      <c r="E37" s="64">
        <v>6.51</v>
      </c>
      <c r="F37" s="64">
        <v>10.17</v>
      </c>
      <c r="G37" s="64">
        <v>41.99</v>
      </c>
      <c r="H37" s="64">
        <v>18.36</v>
      </c>
      <c r="I37" s="64">
        <v>3.99</v>
      </c>
      <c r="J37" s="64">
        <v>0.6</v>
      </c>
      <c r="K37" s="64">
        <v>193.07</v>
      </c>
      <c r="L37" s="64">
        <v>31.58</v>
      </c>
      <c r="M37" s="64">
        <v>54.83</v>
      </c>
      <c r="N37" s="64">
        <v>240.7</v>
      </c>
      <c r="O37" s="64">
        <v>0</v>
      </c>
      <c r="P37" s="64">
        <v>0.53</v>
      </c>
      <c r="Q37" s="64">
        <v>9.5</v>
      </c>
      <c r="R37" s="198"/>
      <c r="S37" s="198"/>
      <c r="T37" s="198"/>
      <c r="U37" s="198"/>
    </row>
    <row r="38" spans="1:21" s="12" customFormat="1" x14ac:dyDescent="0.25">
      <c r="A38" s="214" t="s">
        <v>1619</v>
      </c>
      <c r="B38" s="64">
        <v>5.28</v>
      </c>
      <c r="C38" s="64">
        <v>20.66</v>
      </c>
      <c r="D38" s="64">
        <v>31.44</v>
      </c>
      <c r="E38" s="64">
        <v>6.01</v>
      </c>
      <c r="F38" s="64">
        <v>7.52</v>
      </c>
      <c r="G38" s="64">
        <v>41.6</v>
      </c>
      <c r="H38" s="64">
        <v>20.329999999999998</v>
      </c>
      <c r="I38" s="64">
        <v>4.08</v>
      </c>
      <c r="J38" s="64">
        <v>0.72</v>
      </c>
      <c r="K38" s="64">
        <v>193.12</v>
      </c>
      <c r="L38" s="64">
        <v>31.96</v>
      </c>
      <c r="M38" s="64">
        <v>54.52</v>
      </c>
      <c r="N38" s="64">
        <v>288.60000000000002</v>
      </c>
      <c r="O38" s="64">
        <v>0</v>
      </c>
      <c r="P38" s="64">
        <v>0.56000000000000005</v>
      </c>
      <c r="Q38" s="64">
        <v>9.49</v>
      </c>
      <c r="R38" s="198"/>
      <c r="S38" s="198"/>
      <c r="T38" s="198"/>
      <c r="U38" s="198"/>
    </row>
    <row r="39" spans="1:21" s="12" customFormat="1" x14ac:dyDescent="0.25">
      <c r="A39" s="214" t="s">
        <v>1620</v>
      </c>
      <c r="B39" s="64">
        <v>5.01</v>
      </c>
      <c r="C39" s="64">
        <v>19.75</v>
      </c>
      <c r="D39" s="64">
        <v>30.11</v>
      </c>
      <c r="E39" s="64">
        <v>6.38</v>
      </c>
      <c r="F39" s="64">
        <v>13.04</v>
      </c>
      <c r="G39" s="64">
        <v>41.6</v>
      </c>
      <c r="H39" s="64">
        <v>20.329999999999998</v>
      </c>
      <c r="I39" s="64">
        <v>4.13</v>
      </c>
      <c r="J39" s="64">
        <v>0.6</v>
      </c>
      <c r="K39" s="64">
        <v>192.65</v>
      </c>
      <c r="L39" s="64">
        <v>32.46</v>
      </c>
      <c r="M39" s="64">
        <v>54.28</v>
      </c>
      <c r="N39" s="64">
        <v>334.8</v>
      </c>
      <c r="O39" s="64">
        <v>0</v>
      </c>
      <c r="P39" s="64">
        <v>0.5</v>
      </c>
      <c r="Q39" s="64">
        <v>9.5</v>
      </c>
      <c r="R39" s="198"/>
      <c r="S39" s="198"/>
      <c r="T39" s="198"/>
      <c r="U39" s="198"/>
    </row>
    <row r="40" spans="1:21" s="12" customFormat="1" x14ac:dyDescent="0.25">
      <c r="A40" s="214" t="s">
        <v>1621</v>
      </c>
      <c r="B40" s="64">
        <v>5.73</v>
      </c>
      <c r="C40" s="64">
        <v>20.96</v>
      </c>
      <c r="D40" s="64">
        <v>31.32</v>
      </c>
      <c r="E40" s="64">
        <v>6.02</v>
      </c>
      <c r="F40" s="64">
        <v>11.18</v>
      </c>
      <c r="G40" s="64">
        <v>41.6</v>
      </c>
      <c r="H40" s="64">
        <v>20.329999999999998</v>
      </c>
      <c r="I40" s="64">
        <v>4.01</v>
      </c>
      <c r="J40" s="64">
        <v>0.54</v>
      </c>
      <c r="K40" s="64">
        <v>219</v>
      </c>
      <c r="L40" s="64">
        <v>33.68</v>
      </c>
      <c r="M40" s="64">
        <v>50.63</v>
      </c>
      <c r="N40" s="64">
        <v>379.2</v>
      </c>
      <c r="O40" s="64">
        <v>0</v>
      </c>
      <c r="P40" s="64">
        <v>0.53</v>
      </c>
      <c r="Q40" s="64">
        <v>9.4700000000000006</v>
      </c>
      <c r="R40" s="198"/>
      <c r="S40" s="198"/>
      <c r="T40" s="198"/>
      <c r="U40" s="198"/>
    </row>
    <row r="41" spans="1:21" s="12" customFormat="1" x14ac:dyDescent="0.25">
      <c r="A41" s="214" t="s">
        <v>1622</v>
      </c>
      <c r="B41" s="64">
        <v>5.38</v>
      </c>
      <c r="C41" s="64">
        <v>21.99</v>
      </c>
      <c r="D41" s="64">
        <v>33.83</v>
      </c>
      <c r="E41" s="64">
        <v>6.19</v>
      </c>
      <c r="F41" s="64">
        <v>8.7100000000000009</v>
      </c>
      <c r="G41" s="64">
        <v>40.590000000000003</v>
      </c>
      <c r="H41" s="64">
        <v>24.53</v>
      </c>
      <c r="I41" s="64">
        <v>4</v>
      </c>
      <c r="J41" s="64">
        <v>0.64</v>
      </c>
      <c r="K41" s="64">
        <v>236.77</v>
      </c>
      <c r="L41" s="64">
        <v>34.950000000000003</v>
      </c>
      <c r="M41" s="64">
        <v>44.19</v>
      </c>
      <c r="N41" s="64">
        <v>438</v>
      </c>
      <c r="O41" s="64">
        <v>0</v>
      </c>
      <c r="P41" s="64">
        <v>0.53</v>
      </c>
      <c r="Q41" s="64">
        <v>9.4600000000000009</v>
      </c>
      <c r="R41" s="198"/>
      <c r="S41" s="198"/>
      <c r="T41" s="198"/>
      <c r="U41" s="198"/>
    </row>
    <row r="42" spans="1:21" s="12" customFormat="1" x14ac:dyDescent="0.25">
      <c r="A42" s="214" t="s">
        <v>1623</v>
      </c>
      <c r="B42" s="64">
        <v>5.7</v>
      </c>
      <c r="C42" s="64">
        <v>20.72</v>
      </c>
      <c r="D42" s="64">
        <v>30.91</v>
      </c>
      <c r="E42" s="64">
        <v>6.14</v>
      </c>
      <c r="F42" s="64">
        <v>6.35</v>
      </c>
      <c r="G42" s="64">
        <v>39.68</v>
      </c>
      <c r="H42" s="64">
        <v>28.37</v>
      </c>
      <c r="I42" s="64">
        <v>4.08</v>
      </c>
      <c r="J42" s="64">
        <v>0.74</v>
      </c>
      <c r="K42" s="64">
        <v>243.08</v>
      </c>
      <c r="L42" s="64">
        <v>37.1</v>
      </c>
      <c r="M42" s="64">
        <v>39.07</v>
      </c>
      <c r="N42" s="64">
        <v>484.8</v>
      </c>
      <c r="O42" s="64">
        <v>0</v>
      </c>
      <c r="P42" s="64">
        <v>0.57999999999999996</v>
      </c>
      <c r="Q42" s="64">
        <v>9.4600000000000009</v>
      </c>
      <c r="R42" s="198"/>
      <c r="S42" s="198"/>
      <c r="T42" s="198"/>
      <c r="U42" s="198"/>
    </row>
    <row r="43" spans="1:21" s="12" customFormat="1" x14ac:dyDescent="0.25">
      <c r="A43" s="214" t="s">
        <v>1624</v>
      </c>
      <c r="B43" s="64">
        <v>5.46</v>
      </c>
      <c r="C43" s="64">
        <v>20.190000000000001</v>
      </c>
      <c r="D43" s="64">
        <v>30.27</v>
      </c>
      <c r="E43" s="64">
        <v>5.98</v>
      </c>
      <c r="F43" s="64">
        <v>7.87</v>
      </c>
      <c r="G43" s="64">
        <v>39.68</v>
      </c>
      <c r="H43" s="64">
        <v>28.37</v>
      </c>
      <c r="I43" s="64">
        <v>4.09</v>
      </c>
      <c r="J43" s="64">
        <v>0.69</v>
      </c>
      <c r="K43" s="64">
        <v>232.49</v>
      </c>
      <c r="L43" s="64">
        <v>37.5</v>
      </c>
      <c r="M43" s="64">
        <v>37.74</v>
      </c>
      <c r="N43" s="64">
        <v>518.29999999999995</v>
      </c>
      <c r="O43" s="64">
        <v>0</v>
      </c>
      <c r="P43" s="64">
        <v>0.57999999999999996</v>
      </c>
      <c r="Q43" s="64">
        <v>9.43</v>
      </c>
      <c r="R43" s="198"/>
      <c r="S43" s="198"/>
      <c r="T43" s="198"/>
      <c r="U43" s="198"/>
    </row>
    <row r="44" spans="1:21" s="12" customFormat="1" x14ac:dyDescent="0.25">
      <c r="A44" s="214" t="s">
        <v>1625</v>
      </c>
      <c r="B44" s="64">
        <v>4.67</v>
      </c>
      <c r="C44" s="64">
        <v>21.92</v>
      </c>
      <c r="D44" s="64">
        <v>34.79</v>
      </c>
      <c r="E44" s="64">
        <v>5.85</v>
      </c>
      <c r="F44" s="64">
        <v>7.42</v>
      </c>
      <c r="G44" s="64">
        <v>39.68</v>
      </c>
      <c r="H44" s="64">
        <v>28.37</v>
      </c>
      <c r="I44" s="64">
        <v>3.94</v>
      </c>
      <c r="J44" s="64">
        <v>0.67</v>
      </c>
      <c r="K44" s="64">
        <v>225.93</v>
      </c>
      <c r="L44" s="64">
        <v>36.82</v>
      </c>
      <c r="M44" s="64">
        <v>38.54</v>
      </c>
      <c r="N44" s="64">
        <v>503.1</v>
      </c>
      <c r="O44" s="64">
        <v>0</v>
      </c>
      <c r="P44" s="64">
        <v>0.57999999999999996</v>
      </c>
      <c r="Q44" s="64">
        <v>9.43</v>
      </c>
      <c r="R44" s="198"/>
      <c r="S44" s="198"/>
      <c r="T44" s="198"/>
      <c r="U44" s="198"/>
    </row>
    <row r="45" spans="1:21" s="12" customFormat="1" x14ac:dyDescent="0.25">
      <c r="A45" s="214" t="s">
        <v>1626</v>
      </c>
      <c r="B45" s="64">
        <v>5.25</v>
      </c>
      <c r="C45" s="64">
        <v>22.45</v>
      </c>
      <c r="D45" s="64">
        <v>34.92</v>
      </c>
      <c r="E45" s="64">
        <v>8.31</v>
      </c>
      <c r="F45" s="64">
        <v>13.51</v>
      </c>
      <c r="G45" s="64">
        <v>38.020000000000003</v>
      </c>
      <c r="H45" s="64">
        <v>27.23</v>
      </c>
      <c r="I45" s="64">
        <v>4.0199999999999996</v>
      </c>
      <c r="J45" s="64">
        <v>0.72</v>
      </c>
      <c r="K45" s="64">
        <v>235.22</v>
      </c>
      <c r="L45" s="64">
        <v>37.39</v>
      </c>
      <c r="M45" s="64">
        <v>37.44</v>
      </c>
      <c r="N45" s="64">
        <v>601.4</v>
      </c>
      <c r="O45" s="64">
        <v>0</v>
      </c>
      <c r="P45" s="64">
        <v>0.59</v>
      </c>
      <c r="Q45" s="64">
        <v>9.43</v>
      </c>
      <c r="R45" s="198"/>
      <c r="S45" s="198"/>
      <c r="T45" s="198"/>
      <c r="U45" s="198"/>
    </row>
    <row r="46" spans="1:21" s="12" customFormat="1" x14ac:dyDescent="0.25">
      <c r="A46" s="214" t="s">
        <v>1627</v>
      </c>
      <c r="B46" s="64">
        <v>5.28</v>
      </c>
      <c r="C46" s="64">
        <v>24.86</v>
      </c>
      <c r="D46" s="64">
        <v>39.479999999999997</v>
      </c>
      <c r="E46" s="64">
        <v>10.92</v>
      </c>
      <c r="F46" s="64">
        <v>13.91</v>
      </c>
      <c r="G46" s="64">
        <v>36.51</v>
      </c>
      <c r="H46" s="64">
        <v>26.18</v>
      </c>
      <c r="I46" s="64">
        <v>4.01</v>
      </c>
      <c r="J46" s="64">
        <v>0.64</v>
      </c>
      <c r="K46" s="64">
        <v>229.52</v>
      </c>
      <c r="L46" s="64">
        <v>37.119999999999997</v>
      </c>
      <c r="M46" s="64">
        <v>37.44</v>
      </c>
      <c r="N46" s="64">
        <v>636.79999999999995</v>
      </c>
      <c r="O46" s="64">
        <v>0</v>
      </c>
      <c r="P46" s="64">
        <v>0.77</v>
      </c>
      <c r="Q46" s="64">
        <v>9.41</v>
      </c>
      <c r="R46" s="198"/>
      <c r="S46" s="198"/>
      <c r="T46" s="198"/>
      <c r="U46" s="198"/>
    </row>
    <row r="47" spans="1:21" s="12" customFormat="1" x14ac:dyDescent="0.25">
      <c r="A47" s="214" t="s">
        <v>1628</v>
      </c>
      <c r="B47" s="64">
        <v>5.92</v>
      </c>
      <c r="C47" s="64">
        <v>22.47</v>
      </c>
      <c r="D47" s="64">
        <v>33.909999999999997</v>
      </c>
      <c r="E47" s="64">
        <v>13.51</v>
      </c>
      <c r="F47" s="64">
        <v>14.1</v>
      </c>
      <c r="G47" s="64">
        <v>36.51</v>
      </c>
      <c r="H47" s="64">
        <v>26.18</v>
      </c>
      <c r="I47" s="64">
        <v>3.93</v>
      </c>
      <c r="J47" s="64">
        <v>0.76</v>
      </c>
      <c r="K47" s="64">
        <v>243.18</v>
      </c>
      <c r="L47" s="64">
        <v>39.130000000000003</v>
      </c>
      <c r="M47" s="64">
        <v>34.340000000000003</v>
      </c>
      <c r="N47" s="64">
        <v>670.1</v>
      </c>
      <c r="O47" s="64">
        <v>0</v>
      </c>
      <c r="P47" s="64">
        <v>0.72</v>
      </c>
      <c r="Q47" s="64">
        <v>9.4</v>
      </c>
      <c r="R47" s="198"/>
      <c r="S47" s="198"/>
      <c r="T47" s="198"/>
      <c r="U47" s="198"/>
    </row>
    <row r="48" spans="1:21" s="12" customFormat="1" x14ac:dyDescent="0.25">
      <c r="A48" s="214" t="s">
        <v>1629</v>
      </c>
      <c r="B48" s="64">
        <v>7.48</v>
      </c>
      <c r="C48" s="64">
        <v>27.37</v>
      </c>
      <c r="D48" s="64">
        <v>40.909999999999997</v>
      </c>
      <c r="E48" s="64">
        <v>10.84</v>
      </c>
      <c r="F48" s="64">
        <v>14.76</v>
      </c>
      <c r="G48" s="64">
        <v>36.51</v>
      </c>
      <c r="H48" s="64">
        <v>26.18</v>
      </c>
      <c r="I48" s="64">
        <v>3.82</v>
      </c>
      <c r="J48" s="64">
        <v>0.89</v>
      </c>
      <c r="K48" s="64">
        <v>243.21</v>
      </c>
      <c r="L48" s="64">
        <v>41.14</v>
      </c>
      <c r="M48" s="64">
        <v>31.37</v>
      </c>
      <c r="N48" s="64">
        <v>715.4</v>
      </c>
      <c r="O48" s="64">
        <v>0</v>
      </c>
      <c r="P48" s="64">
        <v>0.81</v>
      </c>
      <c r="Q48" s="64">
        <v>9.39</v>
      </c>
      <c r="R48" s="198"/>
      <c r="S48" s="198"/>
      <c r="T48" s="198"/>
      <c r="U48" s="198"/>
    </row>
    <row r="49" spans="1:21" s="12" customFormat="1" x14ac:dyDescent="0.25">
      <c r="A49" s="214" t="s">
        <v>1630</v>
      </c>
      <c r="B49" s="64">
        <v>7.43</v>
      </c>
      <c r="C49" s="64">
        <v>28.32</v>
      </c>
      <c r="D49" s="64">
        <v>42.8</v>
      </c>
      <c r="E49" s="64">
        <v>13.73</v>
      </c>
      <c r="F49" s="64">
        <v>18.18</v>
      </c>
      <c r="G49" s="64">
        <v>38.57</v>
      </c>
      <c r="H49" s="64">
        <v>22.58</v>
      </c>
      <c r="I49" s="64">
        <v>4.05</v>
      </c>
      <c r="J49" s="64">
        <v>0.93</v>
      </c>
      <c r="K49" s="64">
        <v>247.04</v>
      </c>
      <c r="L49" s="64">
        <v>41.79</v>
      </c>
      <c r="M49" s="64">
        <v>30.38</v>
      </c>
      <c r="N49" s="64">
        <v>740</v>
      </c>
      <c r="O49" s="64">
        <v>0</v>
      </c>
      <c r="P49" s="64">
        <v>0.87</v>
      </c>
      <c r="Q49" s="64">
        <v>9.39</v>
      </c>
      <c r="R49" s="198"/>
      <c r="S49" s="198"/>
      <c r="T49" s="198"/>
      <c r="U49" s="198"/>
    </row>
    <row r="50" spans="1:21" s="12" customFormat="1" x14ac:dyDescent="0.25">
      <c r="A50" s="214" t="s">
        <v>1631</v>
      </c>
      <c r="B50" s="64">
        <v>6.38</v>
      </c>
      <c r="C50" s="64">
        <v>27.95</v>
      </c>
      <c r="D50" s="64">
        <v>43.71</v>
      </c>
      <c r="E50" s="64">
        <v>15.52</v>
      </c>
      <c r="F50" s="64">
        <v>19.28</v>
      </c>
      <c r="G50" s="64">
        <v>40.450000000000003</v>
      </c>
      <c r="H50" s="64">
        <v>19.28</v>
      </c>
      <c r="I50" s="64">
        <v>3.84</v>
      </c>
      <c r="J50" s="64">
        <v>0.83</v>
      </c>
      <c r="K50" s="64">
        <v>244.75</v>
      </c>
      <c r="L50" s="64">
        <v>42.37</v>
      </c>
      <c r="M50" s="64">
        <v>29.53</v>
      </c>
      <c r="N50" s="64">
        <v>758.3</v>
      </c>
      <c r="O50" s="64">
        <v>0</v>
      </c>
      <c r="P50" s="64">
        <v>0.81</v>
      </c>
      <c r="Q50" s="64">
        <v>9.4</v>
      </c>
      <c r="R50" s="198"/>
      <c r="S50" s="198"/>
      <c r="T50" s="198"/>
      <c r="U50" s="198"/>
    </row>
    <row r="51" spans="1:21" s="12" customFormat="1" x14ac:dyDescent="0.25">
      <c r="A51" s="214" t="s">
        <v>1632</v>
      </c>
      <c r="B51" s="64">
        <v>5.0599999999999996</v>
      </c>
      <c r="C51" s="64">
        <v>24.02</v>
      </c>
      <c r="D51" s="64">
        <v>38.22</v>
      </c>
      <c r="E51" s="64">
        <v>9.7899999999999991</v>
      </c>
      <c r="F51" s="64">
        <v>10.89</v>
      </c>
      <c r="G51" s="64">
        <v>40.450000000000003</v>
      </c>
      <c r="H51" s="64">
        <v>19.28</v>
      </c>
      <c r="I51" s="64">
        <v>3.99</v>
      </c>
      <c r="J51" s="64">
        <v>0.85</v>
      </c>
      <c r="K51" s="64">
        <v>244.16</v>
      </c>
      <c r="L51" s="64">
        <v>42.76</v>
      </c>
      <c r="M51" s="64">
        <v>28.58</v>
      </c>
      <c r="N51" s="64">
        <v>784</v>
      </c>
      <c r="O51" s="64">
        <v>0</v>
      </c>
      <c r="P51" s="64">
        <v>0.73</v>
      </c>
      <c r="Q51" s="64">
        <v>9.41</v>
      </c>
      <c r="R51" s="198"/>
      <c r="S51" s="198"/>
      <c r="T51" s="198"/>
      <c r="U51" s="198"/>
    </row>
    <row r="52" spans="1:21" s="12" customFormat="1" x14ac:dyDescent="0.25">
      <c r="A52" s="214" t="s">
        <v>1633</v>
      </c>
      <c r="B52" s="64">
        <v>4</v>
      </c>
      <c r="C52" s="64">
        <v>24.46</v>
      </c>
      <c r="D52" s="64">
        <v>40.68</v>
      </c>
      <c r="E52" s="64">
        <v>7.18</v>
      </c>
      <c r="F52" s="64">
        <v>12.14</v>
      </c>
      <c r="G52" s="64">
        <v>40.450000000000003</v>
      </c>
      <c r="H52" s="64">
        <v>19.28</v>
      </c>
      <c r="I52" s="64">
        <v>3.99</v>
      </c>
      <c r="J52" s="64">
        <v>0.9</v>
      </c>
      <c r="K52" s="64">
        <v>241.7</v>
      </c>
      <c r="L52" s="64">
        <v>42.69</v>
      </c>
      <c r="M52" s="64">
        <v>28.18</v>
      </c>
      <c r="N52" s="64">
        <v>710.6</v>
      </c>
      <c r="O52" s="64">
        <v>0</v>
      </c>
      <c r="P52" s="64">
        <v>0.69</v>
      </c>
      <c r="Q52" s="64">
        <v>9.42</v>
      </c>
      <c r="R52" s="198"/>
      <c r="S52" s="198"/>
      <c r="T52" s="198"/>
      <c r="U52" s="198"/>
    </row>
    <row r="53" spans="1:21" s="12" customFormat="1" x14ac:dyDescent="0.25">
      <c r="A53" s="214" t="s">
        <v>1634</v>
      </c>
      <c r="B53" s="64">
        <v>4.6399999999999997</v>
      </c>
      <c r="C53" s="64">
        <v>25.95</v>
      </c>
      <c r="D53" s="64">
        <v>42.55</v>
      </c>
      <c r="E53" s="64">
        <v>7.13</v>
      </c>
      <c r="F53" s="64">
        <v>14.54</v>
      </c>
      <c r="G53" s="64">
        <v>34.869999999999997</v>
      </c>
      <c r="H53" s="64">
        <v>13.85</v>
      </c>
      <c r="I53" s="64">
        <v>4.08</v>
      </c>
      <c r="J53" s="64">
        <v>0.89</v>
      </c>
      <c r="K53" s="64">
        <v>243.26</v>
      </c>
      <c r="L53" s="64">
        <v>41.38</v>
      </c>
      <c r="M53" s="64">
        <v>30.22</v>
      </c>
      <c r="N53" s="64">
        <v>747.8</v>
      </c>
      <c r="O53" s="64">
        <v>0</v>
      </c>
      <c r="P53" s="64">
        <v>0.66</v>
      </c>
      <c r="Q53" s="64">
        <v>9.44</v>
      </c>
      <c r="R53" s="198"/>
      <c r="S53" s="198"/>
      <c r="T53" s="198"/>
      <c r="U53" s="198"/>
    </row>
    <row r="54" spans="1:21" s="12" customFormat="1" x14ac:dyDescent="0.25">
      <c r="A54" s="214" t="s">
        <v>1635</v>
      </c>
      <c r="B54" s="64">
        <v>5.0999999999999996</v>
      </c>
      <c r="C54" s="64">
        <v>25.22</v>
      </c>
      <c r="D54" s="64">
        <v>40.44</v>
      </c>
      <c r="E54" s="64">
        <v>7.58</v>
      </c>
      <c r="F54" s="64">
        <v>16.52</v>
      </c>
      <c r="G54" s="64">
        <v>32.380000000000003</v>
      </c>
      <c r="H54" s="64">
        <v>8.8699999999999992</v>
      </c>
      <c r="I54" s="64">
        <v>4.0999999999999996</v>
      </c>
      <c r="J54" s="64">
        <v>0.91</v>
      </c>
      <c r="K54" s="64">
        <v>244.05</v>
      </c>
      <c r="L54" s="64">
        <v>43.46</v>
      </c>
      <c r="M54" s="64">
        <v>27.06</v>
      </c>
      <c r="N54" s="64">
        <v>810.1</v>
      </c>
      <c r="O54" s="64">
        <v>0</v>
      </c>
      <c r="P54" s="64">
        <v>0.64</v>
      </c>
      <c r="Q54" s="64">
        <v>9.4499999999999993</v>
      </c>
      <c r="R54" s="198"/>
      <c r="S54" s="198"/>
      <c r="T54" s="198"/>
      <c r="U54" s="198"/>
    </row>
    <row r="55" spans="1:21" s="12" customFormat="1" x14ac:dyDescent="0.25">
      <c r="A55" s="214" t="s">
        <v>1636</v>
      </c>
      <c r="B55" s="64">
        <v>5.0199999999999996</v>
      </c>
      <c r="C55" s="64">
        <v>27.02</v>
      </c>
      <c r="D55" s="64">
        <v>44</v>
      </c>
      <c r="E55" s="64">
        <v>7.92</v>
      </c>
      <c r="F55" s="64">
        <v>14.17</v>
      </c>
      <c r="G55" s="64">
        <v>32.380000000000003</v>
      </c>
      <c r="H55" s="64">
        <v>8.8699999999999992</v>
      </c>
      <c r="I55" s="64">
        <v>4.0199999999999996</v>
      </c>
      <c r="J55" s="64">
        <v>0.69</v>
      </c>
      <c r="K55" s="64">
        <v>223.24</v>
      </c>
      <c r="L55" s="64">
        <v>41.85</v>
      </c>
      <c r="M55" s="64">
        <v>28.51</v>
      </c>
      <c r="N55" s="64">
        <v>804.8</v>
      </c>
      <c r="O55" s="64">
        <v>0</v>
      </c>
      <c r="P55" s="64">
        <v>0.64</v>
      </c>
      <c r="Q55" s="64">
        <v>9.4600000000000009</v>
      </c>
      <c r="R55" s="198"/>
      <c r="S55" s="198"/>
      <c r="T55" s="198"/>
      <c r="U55" s="198"/>
    </row>
    <row r="56" spans="1:21" s="12" customFormat="1" x14ac:dyDescent="0.25">
      <c r="A56" s="214" t="s">
        <v>1637</v>
      </c>
      <c r="B56" s="64">
        <v>4.6399999999999997</v>
      </c>
      <c r="C56" s="64">
        <v>26.09</v>
      </c>
      <c r="D56" s="64">
        <v>42.8</v>
      </c>
      <c r="E56" s="64">
        <v>7.37</v>
      </c>
      <c r="F56" s="64">
        <v>18.22</v>
      </c>
      <c r="G56" s="64">
        <v>32.380000000000003</v>
      </c>
      <c r="H56" s="64">
        <v>8.8699999999999992</v>
      </c>
      <c r="I56" s="64">
        <v>4.17</v>
      </c>
      <c r="J56" s="64">
        <v>1</v>
      </c>
      <c r="K56" s="64">
        <v>246.36</v>
      </c>
      <c r="L56" s="64">
        <v>42.36</v>
      </c>
      <c r="M56" s="64">
        <v>28.5</v>
      </c>
      <c r="N56" s="64">
        <v>787.3</v>
      </c>
      <c r="O56" s="64">
        <v>0</v>
      </c>
      <c r="P56" s="64">
        <v>0.59</v>
      </c>
      <c r="Q56" s="64">
        <v>9.4700000000000006</v>
      </c>
      <c r="R56" s="198"/>
      <c r="S56" s="198"/>
      <c r="T56" s="198"/>
      <c r="U56" s="198"/>
    </row>
    <row r="57" spans="1:21" s="12" customFormat="1" x14ac:dyDescent="0.25">
      <c r="A57" s="214" t="s">
        <v>1638</v>
      </c>
      <c r="B57" s="64">
        <v>4.28</v>
      </c>
      <c r="C57" s="64">
        <v>23.49</v>
      </c>
      <c r="D57" s="64">
        <v>38.4</v>
      </c>
      <c r="E57" s="64">
        <v>8.61</v>
      </c>
      <c r="F57" s="64">
        <v>14.71</v>
      </c>
      <c r="G57" s="64">
        <v>36.01</v>
      </c>
      <c r="H57" s="64">
        <v>6.51</v>
      </c>
      <c r="I57" s="64">
        <v>4.09</v>
      </c>
      <c r="J57" s="64">
        <v>0.77</v>
      </c>
      <c r="K57" s="64">
        <v>234.55</v>
      </c>
      <c r="L57" s="64">
        <v>43.02</v>
      </c>
      <c r="M57" s="64">
        <v>26.79</v>
      </c>
      <c r="N57" s="64">
        <v>824.2</v>
      </c>
      <c r="O57" s="64">
        <v>0</v>
      </c>
      <c r="P57" s="64">
        <v>0.56999999999999995</v>
      </c>
      <c r="Q57" s="64">
        <v>9.4700000000000006</v>
      </c>
      <c r="R57" s="198"/>
      <c r="S57" s="198"/>
      <c r="T57" s="198"/>
      <c r="U57" s="198"/>
    </row>
    <row r="58" spans="1:21" s="12" customFormat="1" x14ac:dyDescent="0.25">
      <c r="A58" s="214" t="s">
        <v>1639</v>
      </c>
      <c r="B58" s="64">
        <v>3.91</v>
      </c>
      <c r="C58" s="64">
        <v>21.26</v>
      </c>
      <c r="D58" s="64">
        <v>34.69</v>
      </c>
      <c r="E58" s="64">
        <v>6.99</v>
      </c>
      <c r="F58" s="64">
        <v>17.100000000000001</v>
      </c>
      <c r="G58" s="64">
        <v>37.67</v>
      </c>
      <c r="H58" s="64">
        <v>4.26</v>
      </c>
      <c r="I58" s="64">
        <v>4.0599999999999996</v>
      </c>
      <c r="J58" s="64">
        <v>0.63</v>
      </c>
      <c r="K58" s="64">
        <v>233.21</v>
      </c>
      <c r="L58" s="64">
        <v>42.38</v>
      </c>
      <c r="M58" s="64">
        <v>27.47</v>
      </c>
      <c r="N58" s="64">
        <v>809.9</v>
      </c>
      <c r="O58" s="64">
        <v>0</v>
      </c>
      <c r="P58" s="64">
        <v>0.52</v>
      </c>
      <c r="Q58" s="64">
        <v>9.4499999999999993</v>
      </c>
      <c r="R58" s="198"/>
      <c r="S58" s="198"/>
      <c r="T58" s="198"/>
      <c r="U58" s="198"/>
    </row>
    <row r="59" spans="1:21" s="12" customFormat="1" x14ac:dyDescent="0.25">
      <c r="A59" s="214" t="s">
        <v>1640</v>
      </c>
      <c r="B59" s="64">
        <v>4.1100000000000003</v>
      </c>
      <c r="C59" s="64">
        <v>21.04</v>
      </c>
      <c r="D59" s="64">
        <v>33.950000000000003</v>
      </c>
      <c r="E59" s="64">
        <v>8.11</v>
      </c>
      <c r="F59" s="64">
        <v>14.91</v>
      </c>
      <c r="G59" s="64">
        <v>37.67</v>
      </c>
      <c r="H59" s="64">
        <v>4.26</v>
      </c>
      <c r="I59" s="64">
        <v>3.98</v>
      </c>
      <c r="J59" s="64">
        <v>0.79</v>
      </c>
      <c r="K59" s="64">
        <v>241.74</v>
      </c>
      <c r="L59" s="64">
        <v>42.82</v>
      </c>
      <c r="M59" s="64">
        <v>27.09</v>
      </c>
      <c r="N59" s="64">
        <v>484.5</v>
      </c>
      <c r="O59" s="64">
        <v>0</v>
      </c>
      <c r="P59" s="64">
        <v>0.5</v>
      </c>
      <c r="Q59" s="64">
        <v>9.44</v>
      </c>
      <c r="R59" s="198"/>
      <c r="S59" s="198"/>
      <c r="T59" s="198"/>
      <c r="U59" s="198"/>
    </row>
    <row r="60" spans="1:21" s="12" customFormat="1" x14ac:dyDescent="0.25">
      <c r="A60" s="214" t="s">
        <v>1641</v>
      </c>
      <c r="B60" s="64">
        <v>4.17</v>
      </c>
      <c r="C60" s="64">
        <v>20.239999999999998</v>
      </c>
      <c r="D60" s="64">
        <v>32.340000000000003</v>
      </c>
      <c r="E60" s="64">
        <v>8.31</v>
      </c>
      <c r="F60" s="64">
        <v>22.09</v>
      </c>
      <c r="G60" s="64">
        <v>37.67</v>
      </c>
      <c r="H60" s="64">
        <v>4.26</v>
      </c>
      <c r="I60" s="64">
        <v>3.98</v>
      </c>
      <c r="J60" s="64">
        <v>0.63</v>
      </c>
      <c r="K60" s="64">
        <v>233.27</v>
      </c>
      <c r="L60" s="64">
        <v>39.869999999999997</v>
      </c>
      <c r="M60" s="64">
        <v>30.23</v>
      </c>
      <c r="N60" s="64">
        <v>227.8</v>
      </c>
      <c r="O60" s="64">
        <v>0</v>
      </c>
      <c r="P60" s="64">
        <v>0.48</v>
      </c>
      <c r="Q60" s="64">
        <v>9.44</v>
      </c>
      <c r="R60" s="198"/>
      <c r="S60" s="198"/>
      <c r="T60" s="198"/>
      <c r="U60" s="198"/>
    </row>
    <row r="61" spans="1:21" s="12" customFormat="1" x14ac:dyDescent="0.25">
      <c r="A61" s="214" t="s">
        <v>1642</v>
      </c>
      <c r="B61" s="64">
        <v>4.79</v>
      </c>
      <c r="C61" s="64">
        <v>22.54</v>
      </c>
      <c r="D61" s="64">
        <v>35.799999999999997</v>
      </c>
      <c r="E61" s="64">
        <v>13.31</v>
      </c>
      <c r="F61" s="64">
        <v>30.4</v>
      </c>
      <c r="G61" s="64">
        <v>43.26</v>
      </c>
      <c r="H61" s="64">
        <v>3.15</v>
      </c>
      <c r="I61" s="64">
        <v>3.95</v>
      </c>
      <c r="J61" s="64">
        <v>0.24</v>
      </c>
      <c r="K61" s="64">
        <v>231.79</v>
      </c>
      <c r="L61" s="64">
        <v>40.15</v>
      </c>
      <c r="M61" s="64">
        <v>29.82</v>
      </c>
      <c r="N61" s="64">
        <v>203.3</v>
      </c>
      <c r="O61" s="64">
        <v>0</v>
      </c>
      <c r="P61" s="64">
        <v>0.49</v>
      </c>
      <c r="Q61" s="64">
        <v>9.44</v>
      </c>
      <c r="R61" s="198"/>
      <c r="S61" s="198"/>
      <c r="T61" s="198"/>
      <c r="U61" s="198"/>
    </row>
    <row r="62" spans="1:21" s="12" customFormat="1" x14ac:dyDescent="0.25">
      <c r="A62" s="214" t="s">
        <v>1643</v>
      </c>
      <c r="B62" s="64">
        <v>4.3099999999999996</v>
      </c>
      <c r="C62" s="64">
        <v>22.6</v>
      </c>
      <c r="D62" s="64">
        <v>36.630000000000003</v>
      </c>
      <c r="E62" s="64">
        <v>13</v>
      </c>
      <c r="F62" s="64">
        <v>27.23</v>
      </c>
      <c r="G62" s="64">
        <v>48.38</v>
      </c>
      <c r="H62" s="64">
        <v>2.13</v>
      </c>
      <c r="I62" s="64">
        <v>3.95</v>
      </c>
      <c r="J62" s="64">
        <v>0.61</v>
      </c>
      <c r="K62" s="64">
        <v>240.83</v>
      </c>
      <c r="L62" s="64">
        <v>39.450000000000003</v>
      </c>
      <c r="M62" s="64">
        <v>31.1</v>
      </c>
      <c r="N62" s="64">
        <v>245.7</v>
      </c>
      <c r="O62" s="64">
        <v>0</v>
      </c>
      <c r="P62" s="64">
        <v>0.56999999999999995</v>
      </c>
      <c r="Q62" s="64">
        <v>9.43</v>
      </c>
      <c r="R62" s="198"/>
      <c r="S62" s="198"/>
      <c r="T62" s="198"/>
      <c r="U62" s="198"/>
    </row>
    <row r="63" spans="1:21" s="12" customFormat="1" x14ac:dyDescent="0.25">
      <c r="A63" s="214" t="s">
        <v>1644</v>
      </c>
      <c r="B63" s="64">
        <v>5.44</v>
      </c>
      <c r="C63" s="64">
        <v>28.2</v>
      </c>
      <c r="D63" s="64">
        <v>45.62</v>
      </c>
      <c r="E63" s="64">
        <v>6.82</v>
      </c>
      <c r="F63" s="64">
        <v>13.79</v>
      </c>
      <c r="G63" s="64">
        <v>48.38</v>
      </c>
      <c r="H63" s="64">
        <v>2.13</v>
      </c>
      <c r="I63" s="64">
        <v>4.22</v>
      </c>
      <c r="J63" s="64">
        <v>1.5</v>
      </c>
      <c r="K63" s="64">
        <v>243.98</v>
      </c>
      <c r="L63" s="64">
        <v>40.56</v>
      </c>
      <c r="M63" s="64">
        <v>30.64</v>
      </c>
      <c r="N63" s="64">
        <v>345.6</v>
      </c>
      <c r="O63" s="64">
        <v>0</v>
      </c>
      <c r="P63" s="64">
        <v>0.61</v>
      </c>
      <c r="Q63" s="64">
        <v>9.43</v>
      </c>
      <c r="R63" s="198"/>
      <c r="S63" s="198"/>
      <c r="T63" s="198"/>
      <c r="U63" s="198"/>
    </row>
    <row r="64" spans="1:21" s="12" customFormat="1" x14ac:dyDescent="0.25">
      <c r="A64" s="214" t="s">
        <v>1645</v>
      </c>
      <c r="B64" s="64">
        <v>3.9</v>
      </c>
      <c r="C64" s="64">
        <v>22.83</v>
      </c>
      <c r="D64" s="64">
        <v>37.72</v>
      </c>
      <c r="E64" s="64">
        <v>5.08</v>
      </c>
      <c r="F64" s="64">
        <v>8.3699999999999992</v>
      </c>
      <c r="G64" s="64">
        <v>48.38</v>
      </c>
      <c r="H64" s="64">
        <v>2.13</v>
      </c>
      <c r="I64" s="64">
        <v>3.97</v>
      </c>
      <c r="J64" s="64">
        <v>3.3</v>
      </c>
      <c r="K64" s="64">
        <v>243.4</v>
      </c>
      <c r="L64" s="64">
        <v>38.36</v>
      </c>
      <c r="M64" s="64">
        <v>36.11</v>
      </c>
      <c r="N64" s="64">
        <v>361.8</v>
      </c>
      <c r="O64" s="64">
        <v>0</v>
      </c>
      <c r="P64" s="64">
        <v>0.54</v>
      </c>
      <c r="Q64" s="64">
        <v>9.42</v>
      </c>
      <c r="R64" s="198"/>
      <c r="S64" s="198"/>
      <c r="T64" s="198"/>
      <c r="U64" s="198"/>
    </row>
    <row r="65" spans="1:21" s="12" customFormat="1" x14ac:dyDescent="0.25">
      <c r="A65" s="214" t="s">
        <v>1646</v>
      </c>
      <c r="B65" s="64">
        <v>4.03</v>
      </c>
      <c r="C65" s="64">
        <v>21.17</v>
      </c>
      <c r="D65" s="64">
        <v>34.33</v>
      </c>
      <c r="E65" s="64">
        <v>4.8499999999999996</v>
      </c>
      <c r="F65" s="64">
        <v>6.8</v>
      </c>
      <c r="G65" s="210" t="s">
        <v>36</v>
      </c>
      <c r="H65" s="210" t="s">
        <v>36</v>
      </c>
      <c r="I65" s="64">
        <v>3.91</v>
      </c>
      <c r="J65" s="64">
        <v>3.43</v>
      </c>
      <c r="K65" s="64">
        <v>242.08</v>
      </c>
      <c r="L65" s="64">
        <v>37.04</v>
      </c>
      <c r="M65" s="64">
        <v>39.24</v>
      </c>
      <c r="N65" s="64">
        <v>304.10000000000002</v>
      </c>
      <c r="O65" s="64">
        <v>0</v>
      </c>
      <c r="P65" s="64">
        <v>0.5</v>
      </c>
      <c r="Q65" s="64">
        <v>9.4</v>
      </c>
      <c r="R65" s="198"/>
      <c r="S65" s="198"/>
      <c r="T65" s="198"/>
      <c r="U65" s="198"/>
    </row>
    <row r="66" spans="1:21" s="12" customFormat="1" x14ac:dyDescent="0.25">
      <c r="A66" s="214" t="s">
        <v>1647</v>
      </c>
      <c r="B66" s="64">
        <v>4.22</v>
      </c>
      <c r="C66" s="64">
        <v>20.2</v>
      </c>
      <c r="D66" s="64">
        <v>32.18</v>
      </c>
      <c r="E66" s="64">
        <v>4.99</v>
      </c>
      <c r="F66" s="64">
        <v>6.22</v>
      </c>
      <c r="G66" s="210" t="s">
        <v>36</v>
      </c>
      <c r="H66" s="210" t="s">
        <v>36</v>
      </c>
      <c r="I66" s="64">
        <v>3.92</v>
      </c>
      <c r="J66" s="64">
        <v>3.74</v>
      </c>
      <c r="K66" s="64">
        <v>242.64</v>
      </c>
      <c r="L66" s="64">
        <v>35.700000000000003</v>
      </c>
      <c r="M66" s="64">
        <v>42.45</v>
      </c>
      <c r="N66" s="64">
        <v>262.10000000000002</v>
      </c>
      <c r="O66" s="64">
        <v>0</v>
      </c>
      <c r="P66" s="64">
        <v>0.48</v>
      </c>
      <c r="Q66" s="64">
        <v>9.39</v>
      </c>
      <c r="R66" s="198"/>
      <c r="S66" s="198"/>
      <c r="T66" s="198"/>
      <c r="U66" s="198"/>
    </row>
    <row r="67" spans="1:21" s="12" customFormat="1" x14ac:dyDescent="0.25">
      <c r="A67" s="214" t="s">
        <v>1648</v>
      </c>
      <c r="B67" s="64">
        <v>4.4800000000000004</v>
      </c>
      <c r="C67" s="64">
        <v>20.04</v>
      </c>
      <c r="D67" s="64">
        <v>31.49</v>
      </c>
      <c r="E67" s="64">
        <v>4.71</v>
      </c>
      <c r="F67" s="64">
        <v>6.11</v>
      </c>
      <c r="G67" s="210" t="s">
        <v>36</v>
      </c>
      <c r="H67" s="210" t="s">
        <v>36</v>
      </c>
      <c r="I67" s="64">
        <v>3.84</v>
      </c>
      <c r="J67" s="64">
        <v>3.11</v>
      </c>
      <c r="K67" s="64">
        <v>246.53</v>
      </c>
      <c r="L67" s="64">
        <v>34.909999999999997</v>
      </c>
      <c r="M67" s="64">
        <v>42.4</v>
      </c>
      <c r="N67" s="64">
        <v>224.2</v>
      </c>
      <c r="O67" s="64">
        <v>0</v>
      </c>
      <c r="P67" s="64">
        <v>0.44</v>
      </c>
      <c r="Q67" s="64">
        <v>9.3800000000000008</v>
      </c>
      <c r="R67" s="198"/>
      <c r="S67" s="198"/>
      <c r="T67" s="198"/>
      <c r="U67" s="198"/>
    </row>
    <row r="68" spans="1:21" s="12" customFormat="1" x14ac:dyDescent="0.25">
      <c r="A68" s="214" t="s">
        <v>1649</v>
      </c>
      <c r="B68" s="64">
        <v>4.99</v>
      </c>
      <c r="C68" s="64">
        <v>20.82</v>
      </c>
      <c r="D68" s="64">
        <v>32.19</v>
      </c>
      <c r="E68" s="64">
        <v>4.6399999999999997</v>
      </c>
      <c r="F68" s="64">
        <v>6.6</v>
      </c>
      <c r="G68" s="210" t="s">
        <v>36</v>
      </c>
      <c r="H68" s="210" t="s">
        <v>36</v>
      </c>
      <c r="I68" s="64">
        <v>3.86</v>
      </c>
      <c r="J68" s="64">
        <v>2.4700000000000002</v>
      </c>
      <c r="K68" s="64">
        <v>242.42</v>
      </c>
      <c r="L68" s="64">
        <v>35.31</v>
      </c>
      <c r="M68" s="64">
        <v>40.119999999999997</v>
      </c>
      <c r="N68" s="64">
        <v>204.9</v>
      </c>
      <c r="O68" s="64">
        <v>0</v>
      </c>
      <c r="P68" s="64">
        <v>0.43</v>
      </c>
      <c r="Q68" s="64">
        <v>9.3800000000000008</v>
      </c>
      <c r="R68" s="198"/>
      <c r="S68" s="198"/>
      <c r="T68" s="198"/>
      <c r="U68" s="198"/>
    </row>
    <row r="69" spans="1:21" s="12" customFormat="1" x14ac:dyDescent="0.25">
      <c r="A69" s="214" t="s">
        <v>1650</v>
      </c>
      <c r="B69" s="64">
        <v>6.18</v>
      </c>
      <c r="C69" s="64">
        <v>23.89</v>
      </c>
      <c r="D69" s="64">
        <v>36.229999999999997</v>
      </c>
      <c r="E69" s="64">
        <v>4.34</v>
      </c>
      <c r="F69" s="64">
        <v>10.130000000000001</v>
      </c>
      <c r="G69" s="210" t="s">
        <v>36</v>
      </c>
      <c r="H69" s="210" t="s">
        <v>36</v>
      </c>
      <c r="I69" s="64">
        <v>3.85</v>
      </c>
      <c r="J69" s="64">
        <v>2.1</v>
      </c>
      <c r="K69" s="64">
        <v>244.09</v>
      </c>
      <c r="L69" s="64">
        <v>35.979999999999997</v>
      </c>
      <c r="M69" s="64">
        <v>38.229999999999997</v>
      </c>
      <c r="N69" s="64">
        <v>223.2</v>
      </c>
      <c r="O69" s="64">
        <v>0</v>
      </c>
      <c r="P69" s="64">
        <v>0.43</v>
      </c>
      <c r="Q69" s="64">
        <v>9.3800000000000008</v>
      </c>
      <c r="R69" s="198"/>
      <c r="S69" s="198"/>
      <c r="T69" s="198"/>
      <c r="U69" s="198"/>
    </row>
    <row r="70" spans="1:21" s="12" customFormat="1" x14ac:dyDescent="0.25">
      <c r="A70" s="214" t="s">
        <v>1651</v>
      </c>
      <c r="B70" s="64">
        <v>5.57</v>
      </c>
      <c r="C70" s="64">
        <v>28.05</v>
      </c>
      <c r="D70" s="64">
        <v>45.14</v>
      </c>
      <c r="E70" s="64">
        <v>6.94</v>
      </c>
      <c r="F70" s="64">
        <v>16.73</v>
      </c>
      <c r="G70" s="64">
        <v>6.53</v>
      </c>
      <c r="H70" s="64">
        <v>2.5</v>
      </c>
      <c r="I70" s="64">
        <v>4.1100000000000003</v>
      </c>
      <c r="J70" s="64">
        <v>0.62</v>
      </c>
      <c r="K70" s="64">
        <v>171.79</v>
      </c>
      <c r="L70" s="64">
        <v>35.770000000000003</v>
      </c>
      <c r="M70" s="64">
        <v>39.68</v>
      </c>
      <c r="N70" s="64">
        <v>139.30000000000001</v>
      </c>
      <c r="O70" s="64">
        <v>0</v>
      </c>
      <c r="P70" s="64">
        <v>0.48</v>
      </c>
      <c r="Q70" s="64">
        <v>9.3800000000000008</v>
      </c>
      <c r="R70" s="198"/>
      <c r="S70" s="198"/>
      <c r="T70" s="198"/>
      <c r="U70" s="198"/>
    </row>
    <row r="71" spans="1:21" s="12" customFormat="1" x14ac:dyDescent="0.25">
      <c r="A71" s="214" t="s">
        <v>1652</v>
      </c>
      <c r="B71" s="64">
        <v>4.43</v>
      </c>
      <c r="C71" s="64">
        <v>20.29</v>
      </c>
      <c r="D71" s="64">
        <v>32.04</v>
      </c>
      <c r="E71" s="64">
        <v>6.6</v>
      </c>
      <c r="F71" s="64">
        <v>14.76</v>
      </c>
      <c r="G71" s="64">
        <v>23.16</v>
      </c>
      <c r="H71" s="64">
        <v>9.8000000000000007</v>
      </c>
      <c r="I71" s="64">
        <v>4.09</v>
      </c>
      <c r="J71" s="64">
        <v>1.37</v>
      </c>
      <c r="K71" s="64">
        <v>150.31</v>
      </c>
      <c r="L71" s="64">
        <v>33.83</v>
      </c>
      <c r="M71" s="64">
        <v>46.99</v>
      </c>
      <c r="N71" s="64">
        <v>147.80000000000001</v>
      </c>
      <c r="O71" s="64">
        <v>0</v>
      </c>
      <c r="P71" s="64">
        <v>0.39</v>
      </c>
      <c r="Q71" s="64">
        <v>9.41</v>
      </c>
      <c r="R71" s="198"/>
      <c r="S71" s="198"/>
      <c r="T71" s="198"/>
      <c r="U71" s="198"/>
    </row>
    <row r="72" spans="1:21" s="12" customFormat="1" x14ac:dyDescent="0.25">
      <c r="A72" s="214" t="s">
        <v>1653</v>
      </c>
      <c r="B72" s="64">
        <v>4.93</v>
      </c>
      <c r="C72" s="64">
        <v>23.76</v>
      </c>
      <c r="D72" s="64">
        <v>37.909999999999997</v>
      </c>
      <c r="E72" s="64">
        <v>6.2</v>
      </c>
      <c r="F72" s="64">
        <v>12.78</v>
      </c>
      <c r="G72" s="64">
        <v>23.16</v>
      </c>
      <c r="H72" s="64">
        <v>9.8000000000000007</v>
      </c>
      <c r="I72" s="64">
        <v>4.1100000000000003</v>
      </c>
      <c r="J72" s="64">
        <v>1.1399999999999999</v>
      </c>
      <c r="K72" s="64">
        <v>165.62</v>
      </c>
      <c r="L72" s="64">
        <v>32.869999999999997</v>
      </c>
      <c r="M72" s="64">
        <v>51.35</v>
      </c>
      <c r="N72" s="64">
        <v>206.6</v>
      </c>
      <c r="O72" s="64">
        <v>0</v>
      </c>
      <c r="P72" s="64">
        <v>0.38</v>
      </c>
      <c r="Q72" s="64">
        <v>9.41</v>
      </c>
      <c r="R72" s="198"/>
      <c r="S72" s="198"/>
      <c r="T72" s="198"/>
      <c r="U72" s="198"/>
    </row>
    <row r="73" spans="1:21" s="12" customFormat="1" x14ac:dyDescent="0.25">
      <c r="A73" s="214" t="s">
        <v>1654</v>
      </c>
      <c r="B73" s="64">
        <v>4.3899999999999997</v>
      </c>
      <c r="C73" s="64">
        <v>20.82</v>
      </c>
      <c r="D73" s="64">
        <v>33.11</v>
      </c>
      <c r="E73" s="64">
        <v>6.55</v>
      </c>
      <c r="F73" s="64">
        <v>14.29</v>
      </c>
      <c r="G73" s="64">
        <v>23.16</v>
      </c>
      <c r="H73" s="64">
        <v>9.8000000000000007</v>
      </c>
      <c r="I73" s="64">
        <v>4.1100000000000003</v>
      </c>
      <c r="J73" s="64">
        <v>1.4</v>
      </c>
      <c r="K73" s="64">
        <v>150.91999999999999</v>
      </c>
      <c r="L73" s="64">
        <v>32.35</v>
      </c>
      <c r="M73" s="64">
        <v>55.33</v>
      </c>
      <c r="N73" s="64">
        <v>257</v>
      </c>
      <c r="O73" s="64">
        <v>0</v>
      </c>
      <c r="P73" s="64">
        <v>0.36</v>
      </c>
      <c r="Q73" s="64">
        <v>9.39</v>
      </c>
      <c r="R73" s="198"/>
      <c r="S73" s="198"/>
      <c r="T73" s="198"/>
      <c r="U73" s="198"/>
    </row>
    <row r="74" spans="1:21" s="12" customFormat="1" x14ac:dyDescent="0.25">
      <c r="A74" s="214" t="s">
        <v>1655</v>
      </c>
      <c r="B74" s="64">
        <v>5.44</v>
      </c>
      <c r="C74" s="64">
        <v>23.31</v>
      </c>
      <c r="D74" s="64">
        <v>36.28</v>
      </c>
      <c r="E74" s="64">
        <v>7.52</v>
      </c>
      <c r="F74" s="64">
        <v>18.71</v>
      </c>
      <c r="G74" s="64">
        <v>26.31</v>
      </c>
      <c r="H74" s="64">
        <v>10.59</v>
      </c>
      <c r="I74" s="64">
        <v>3.95</v>
      </c>
      <c r="J74" s="64">
        <v>0.62</v>
      </c>
      <c r="K74" s="64">
        <v>152.21</v>
      </c>
      <c r="L74" s="64">
        <v>32.840000000000003</v>
      </c>
      <c r="M74" s="64">
        <v>54.11</v>
      </c>
      <c r="N74" s="64">
        <v>200.6</v>
      </c>
      <c r="O74" s="64">
        <v>0</v>
      </c>
      <c r="P74" s="64">
        <v>0.36</v>
      </c>
      <c r="Q74" s="64">
        <v>9.3800000000000008</v>
      </c>
      <c r="R74" s="198"/>
      <c r="S74" s="198"/>
      <c r="T74" s="198"/>
      <c r="U74" s="198"/>
    </row>
    <row r="75" spans="1:21" s="12" customFormat="1" x14ac:dyDescent="0.25">
      <c r="A75" s="214" t="s">
        <v>1656</v>
      </c>
      <c r="B75" s="64">
        <v>8.65</v>
      </c>
      <c r="C75" s="64">
        <v>30.28</v>
      </c>
      <c r="D75" s="64">
        <v>44.69</v>
      </c>
      <c r="E75" s="64">
        <v>7.66</v>
      </c>
      <c r="F75" s="64">
        <v>16.260000000000002</v>
      </c>
      <c r="G75" s="64">
        <v>35.32</v>
      </c>
      <c r="H75" s="64">
        <v>13.05</v>
      </c>
      <c r="I75" s="64">
        <v>4.04</v>
      </c>
      <c r="J75" s="64">
        <v>0.56999999999999995</v>
      </c>
      <c r="K75" s="64">
        <v>240.64</v>
      </c>
      <c r="L75" s="64">
        <v>34.44</v>
      </c>
      <c r="M75" s="64">
        <v>49.57</v>
      </c>
      <c r="N75" s="64">
        <v>154.30000000000001</v>
      </c>
      <c r="O75" s="64">
        <v>0</v>
      </c>
      <c r="P75" s="64">
        <v>0.5</v>
      </c>
      <c r="Q75" s="64">
        <v>9.39</v>
      </c>
      <c r="R75" s="198"/>
      <c r="S75" s="198"/>
      <c r="T75" s="198"/>
      <c r="U75" s="198"/>
    </row>
    <row r="76" spans="1:21" s="12" customFormat="1" x14ac:dyDescent="0.25">
      <c r="A76" s="214" t="s">
        <v>1657</v>
      </c>
      <c r="B76" s="64">
        <v>5.5</v>
      </c>
      <c r="C76" s="64">
        <v>28.81</v>
      </c>
      <c r="D76" s="64">
        <v>46.69</v>
      </c>
      <c r="E76" s="64">
        <v>7.61</v>
      </c>
      <c r="F76" s="64">
        <v>13.42</v>
      </c>
      <c r="G76" s="64">
        <v>35.32</v>
      </c>
      <c r="H76" s="64">
        <v>13.05</v>
      </c>
      <c r="I76" s="64">
        <v>3.94</v>
      </c>
      <c r="J76" s="64">
        <v>0.56999999999999995</v>
      </c>
      <c r="K76" s="64">
        <v>229.67</v>
      </c>
      <c r="L76" s="64">
        <v>34.58</v>
      </c>
      <c r="M76" s="64">
        <v>46.63</v>
      </c>
      <c r="N76" s="64">
        <v>146.1</v>
      </c>
      <c r="O76" s="64">
        <v>0</v>
      </c>
      <c r="P76" s="64">
        <v>0.46</v>
      </c>
      <c r="Q76" s="64">
        <v>9.41</v>
      </c>
      <c r="R76" s="198"/>
      <c r="S76" s="198"/>
      <c r="T76" s="198"/>
      <c r="U76" s="198"/>
    </row>
    <row r="77" spans="1:21" s="12" customFormat="1" x14ac:dyDescent="0.25">
      <c r="A77" s="214" t="s">
        <v>1658</v>
      </c>
      <c r="B77" s="64">
        <v>4.22</v>
      </c>
      <c r="C77" s="64">
        <v>23.93</v>
      </c>
      <c r="D77" s="64">
        <v>39.33</v>
      </c>
      <c r="E77" s="64">
        <v>7.47</v>
      </c>
      <c r="F77" s="64">
        <v>13.24</v>
      </c>
      <c r="G77" s="64">
        <v>35.32</v>
      </c>
      <c r="H77" s="64">
        <v>13.05</v>
      </c>
      <c r="I77" s="64">
        <v>4.05</v>
      </c>
      <c r="J77" s="64">
        <v>0.6</v>
      </c>
      <c r="K77" s="64">
        <v>230.34</v>
      </c>
      <c r="L77" s="64">
        <v>34.31</v>
      </c>
      <c r="M77" s="64">
        <v>48.03</v>
      </c>
      <c r="N77" s="64">
        <v>94.7</v>
      </c>
      <c r="O77" s="64">
        <v>0</v>
      </c>
      <c r="P77" s="64">
        <v>0.43</v>
      </c>
      <c r="Q77" s="64">
        <v>9.43</v>
      </c>
      <c r="R77" s="198"/>
      <c r="S77" s="198"/>
      <c r="T77" s="198"/>
      <c r="U77" s="198"/>
    </row>
    <row r="78" spans="1:21" s="12" customFormat="1" x14ac:dyDescent="0.25">
      <c r="A78" s="214" t="s">
        <v>1659</v>
      </c>
      <c r="B78" s="64">
        <v>4.1900000000000004</v>
      </c>
      <c r="C78" s="64">
        <v>22.01</v>
      </c>
      <c r="D78" s="64">
        <v>35.69</v>
      </c>
      <c r="E78" s="64">
        <v>7.72</v>
      </c>
      <c r="F78" s="64">
        <v>19.100000000000001</v>
      </c>
      <c r="G78" s="64">
        <v>35.64</v>
      </c>
      <c r="H78" s="64">
        <v>13.62</v>
      </c>
      <c r="I78" s="64">
        <v>3.97</v>
      </c>
      <c r="J78" s="64">
        <v>0.6</v>
      </c>
      <c r="K78" s="64">
        <v>192.15</v>
      </c>
      <c r="L78" s="64">
        <v>33.880000000000003</v>
      </c>
      <c r="M78" s="64">
        <v>52.39</v>
      </c>
      <c r="N78" s="64">
        <v>89.7</v>
      </c>
      <c r="O78" s="64">
        <v>0</v>
      </c>
      <c r="P78" s="64">
        <v>0.43</v>
      </c>
      <c r="Q78" s="64">
        <v>9.41</v>
      </c>
      <c r="R78" s="198"/>
      <c r="S78" s="198"/>
      <c r="T78" s="198"/>
      <c r="U78" s="198"/>
    </row>
    <row r="79" spans="1:21" s="12" customFormat="1" x14ac:dyDescent="0.25">
      <c r="A79" s="214" t="s">
        <v>1660</v>
      </c>
      <c r="B79" s="64">
        <v>4.3499999999999996</v>
      </c>
      <c r="C79" s="64">
        <v>22.54</v>
      </c>
      <c r="D79" s="64">
        <v>36.46</v>
      </c>
      <c r="E79" s="64">
        <v>7.14</v>
      </c>
      <c r="F79" s="64">
        <v>16.32</v>
      </c>
      <c r="G79" s="64">
        <v>36.57</v>
      </c>
      <c r="H79" s="64">
        <v>15.36</v>
      </c>
      <c r="I79" s="64">
        <v>4.2300000000000004</v>
      </c>
      <c r="J79" s="64">
        <v>1.47</v>
      </c>
      <c r="K79" s="64">
        <v>148.71</v>
      </c>
      <c r="L79" s="64">
        <v>32.72</v>
      </c>
      <c r="M79" s="64">
        <v>57.54</v>
      </c>
      <c r="N79" s="64">
        <v>84.8</v>
      </c>
      <c r="O79" s="64">
        <v>0</v>
      </c>
      <c r="P79" s="64">
        <v>0.42</v>
      </c>
      <c r="Q79" s="64">
        <v>9.41</v>
      </c>
      <c r="R79" s="198"/>
      <c r="S79" s="198"/>
      <c r="T79" s="198"/>
      <c r="U79" s="198"/>
    </row>
    <row r="80" spans="1:21" s="12" customFormat="1" x14ac:dyDescent="0.25">
      <c r="A80" s="214" t="s">
        <v>1661</v>
      </c>
      <c r="B80" s="64">
        <v>4.51</v>
      </c>
      <c r="C80" s="64">
        <v>23.57</v>
      </c>
      <c r="D80" s="64">
        <v>38.19</v>
      </c>
      <c r="E80" s="64">
        <v>7.56</v>
      </c>
      <c r="F80" s="64">
        <v>20.350000000000001</v>
      </c>
      <c r="G80" s="64">
        <v>36.57</v>
      </c>
      <c r="H80" s="64">
        <v>15.36</v>
      </c>
      <c r="I80" s="64">
        <v>4.12</v>
      </c>
      <c r="J80" s="64">
        <v>0.77</v>
      </c>
      <c r="K80" s="64">
        <v>169.08</v>
      </c>
      <c r="L80" s="64">
        <v>32.51</v>
      </c>
      <c r="M80" s="64">
        <v>55.7</v>
      </c>
      <c r="N80" s="64">
        <v>56.1</v>
      </c>
      <c r="O80" s="64">
        <v>0</v>
      </c>
      <c r="P80" s="64">
        <v>0.41</v>
      </c>
      <c r="Q80" s="64">
        <v>9.41</v>
      </c>
      <c r="R80" s="198"/>
      <c r="S80" s="198"/>
      <c r="T80" s="198"/>
      <c r="U80" s="198"/>
    </row>
    <row r="81" spans="1:26" s="12" customFormat="1" x14ac:dyDescent="0.25">
      <c r="A81" s="214" t="s">
        <v>1662</v>
      </c>
      <c r="B81" s="64">
        <v>4.84</v>
      </c>
      <c r="C81" s="64">
        <v>26.34</v>
      </c>
      <c r="D81" s="64">
        <v>42.99</v>
      </c>
      <c r="E81" s="64">
        <v>7.83</v>
      </c>
      <c r="F81" s="64">
        <v>17.84</v>
      </c>
      <c r="G81" s="64">
        <v>36.57</v>
      </c>
      <c r="H81" s="64">
        <v>15.36</v>
      </c>
      <c r="I81" s="64">
        <v>4.03</v>
      </c>
      <c r="J81" s="64">
        <v>0.54</v>
      </c>
      <c r="K81" s="64">
        <v>189.47</v>
      </c>
      <c r="L81" s="64">
        <v>32.56</v>
      </c>
      <c r="M81" s="64">
        <v>56.19</v>
      </c>
      <c r="N81" s="64">
        <v>41.8</v>
      </c>
      <c r="O81" s="64">
        <v>0</v>
      </c>
      <c r="P81" s="64">
        <v>0.45</v>
      </c>
      <c r="Q81" s="64">
        <v>9.4</v>
      </c>
      <c r="R81" s="198"/>
      <c r="S81" s="198"/>
      <c r="T81" s="198"/>
      <c r="U81" s="198"/>
    </row>
    <row r="82" spans="1:26" s="12" customFormat="1" x14ac:dyDescent="0.25">
      <c r="A82" s="214" t="s">
        <v>1663</v>
      </c>
      <c r="B82" s="64">
        <v>5.05</v>
      </c>
      <c r="C82" s="64">
        <v>25.66</v>
      </c>
      <c r="D82" s="64">
        <v>41.36</v>
      </c>
      <c r="E82" s="64">
        <v>7.74</v>
      </c>
      <c r="F82" s="64">
        <v>17.46</v>
      </c>
      <c r="G82" s="64">
        <v>38.43</v>
      </c>
      <c r="H82" s="64">
        <v>15.33</v>
      </c>
      <c r="I82" s="64">
        <v>3.97</v>
      </c>
      <c r="J82" s="64">
        <v>0.35</v>
      </c>
      <c r="K82" s="64">
        <v>195.26</v>
      </c>
      <c r="L82" s="64">
        <v>32.28</v>
      </c>
      <c r="M82" s="64">
        <v>57.47</v>
      </c>
      <c r="N82" s="64">
        <v>33.700000000000003</v>
      </c>
      <c r="O82" s="64">
        <v>0</v>
      </c>
      <c r="P82" s="64">
        <v>0.51</v>
      </c>
      <c r="Q82" s="64">
        <v>9.39</v>
      </c>
      <c r="R82" s="198"/>
      <c r="S82" s="198"/>
      <c r="T82" s="198"/>
      <c r="U82" s="198"/>
    </row>
    <row r="83" spans="1:26" s="12" customFormat="1" x14ac:dyDescent="0.25">
      <c r="A83" s="214" t="s">
        <v>1664</v>
      </c>
      <c r="B83" s="64">
        <v>5.15</v>
      </c>
      <c r="C83" s="64">
        <v>27.07</v>
      </c>
      <c r="D83" s="64">
        <v>43.9</v>
      </c>
      <c r="E83" s="64">
        <v>7.67</v>
      </c>
      <c r="F83" s="64">
        <v>16.98</v>
      </c>
      <c r="G83" s="64">
        <v>43.87</v>
      </c>
      <c r="H83" s="64">
        <v>15.22</v>
      </c>
      <c r="I83" s="64">
        <v>3.94</v>
      </c>
      <c r="J83" s="64">
        <v>0.42</v>
      </c>
      <c r="K83" s="64">
        <v>211.58</v>
      </c>
      <c r="L83" s="64">
        <v>32.49</v>
      </c>
      <c r="M83" s="64">
        <v>55.09</v>
      </c>
      <c r="N83" s="64">
        <v>29.4</v>
      </c>
      <c r="O83" s="64">
        <v>0</v>
      </c>
      <c r="P83" s="64">
        <v>0.54</v>
      </c>
      <c r="Q83" s="64">
        <v>9.4</v>
      </c>
      <c r="R83" s="198"/>
      <c r="S83" s="198"/>
      <c r="T83" s="198"/>
      <c r="U83" s="198"/>
    </row>
    <row r="84" spans="1:26" s="12" customFormat="1" x14ac:dyDescent="0.25">
      <c r="A84" s="214" t="s">
        <v>1665</v>
      </c>
      <c r="B84" s="64">
        <v>5.33</v>
      </c>
      <c r="C84" s="64">
        <v>24.83</v>
      </c>
      <c r="D84" s="64">
        <v>39.36</v>
      </c>
      <c r="E84" s="64">
        <v>7.93</v>
      </c>
      <c r="F84" s="64">
        <v>17.41</v>
      </c>
      <c r="G84" s="64">
        <v>43.87</v>
      </c>
      <c r="H84" s="64">
        <v>15.22</v>
      </c>
      <c r="I84" s="64">
        <v>4.17</v>
      </c>
      <c r="J84" s="64">
        <v>0.48</v>
      </c>
      <c r="K84" s="64">
        <v>211.78</v>
      </c>
      <c r="L84" s="64">
        <v>32.61</v>
      </c>
      <c r="M84" s="64">
        <v>52.69</v>
      </c>
      <c r="N84" s="64">
        <v>28.7</v>
      </c>
      <c r="O84" s="64">
        <v>0</v>
      </c>
      <c r="P84" s="64">
        <v>0.54</v>
      </c>
      <c r="Q84" s="64">
        <v>9.4</v>
      </c>
      <c r="R84" s="198"/>
      <c r="S84" s="198"/>
      <c r="T84" s="198"/>
      <c r="U84" s="198"/>
    </row>
    <row r="85" spans="1:26" s="12" customFormat="1" x14ac:dyDescent="0.25">
      <c r="A85" s="214" t="s">
        <v>1666</v>
      </c>
      <c r="B85" s="64">
        <v>5.14</v>
      </c>
      <c r="C85" s="64">
        <v>28.98</v>
      </c>
      <c r="D85" s="64">
        <v>47.58</v>
      </c>
      <c r="E85" s="64">
        <v>8.39</v>
      </c>
      <c r="F85" s="64">
        <v>14.25</v>
      </c>
      <c r="G85" s="64">
        <v>43.87</v>
      </c>
      <c r="H85" s="64">
        <v>15.22</v>
      </c>
      <c r="I85" s="64">
        <v>3.96</v>
      </c>
      <c r="J85" s="64">
        <v>0.53</v>
      </c>
      <c r="K85" s="64">
        <v>185.19</v>
      </c>
      <c r="L85" s="64">
        <v>32.46</v>
      </c>
      <c r="M85" s="64">
        <v>54.45</v>
      </c>
      <c r="N85" s="64">
        <v>29.4</v>
      </c>
      <c r="O85" s="64">
        <v>0</v>
      </c>
      <c r="P85" s="64">
        <v>0.56999999999999995</v>
      </c>
      <c r="Q85" s="64">
        <v>9.41</v>
      </c>
      <c r="R85" s="198"/>
      <c r="S85" s="198"/>
      <c r="T85" s="198"/>
      <c r="U85" s="198"/>
    </row>
    <row r="86" spans="1:26" s="12" customFormat="1" x14ac:dyDescent="0.25">
      <c r="A86" s="214" t="s">
        <v>1667</v>
      </c>
      <c r="B86" s="64">
        <v>5.76</v>
      </c>
      <c r="C86" s="64">
        <v>34.090000000000003</v>
      </c>
      <c r="D86" s="64">
        <v>56.41</v>
      </c>
      <c r="E86" s="64">
        <v>8.14</v>
      </c>
      <c r="F86" s="64">
        <v>13.38</v>
      </c>
      <c r="G86" s="64">
        <v>44.65</v>
      </c>
      <c r="H86" s="64">
        <v>14.06</v>
      </c>
      <c r="I86" s="64">
        <v>4.04</v>
      </c>
      <c r="J86" s="64">
        <v>0.53</v>
      </c>
      <c r="K86" s="64">
        <v>178.23</v>
      </c>
      <c r="L86" s="64">
        <v>31.65</v>
      </c>
      <c r="M86" s="64">
        <v>58.92</v>
      </c>
      <c r="N86" s="64">
        <v>29.6</v>
      </c>
      <c r="O86" s="64">
        <v>0</v>
      </c>
      <c r="P86" s="64">
        <v>0.59</v>
      </c>
      <c r="Q86" s="64">
        <v>9.42</v>
      </c>
      <c r="R86" s="198"/>
      <c r="S86" s="198"/>
      <c r="T86" s="198"/>
      <c r="U86" s="198"/>
    </row>
    <row r="87" spans="1:26" s="12" customFormat="1" x14ac:dyDescent="0.25">
      <c r="A87" s="214" t="s">
        <v>1668</v>
      </c>
      <c r="B87" s="64">
        <v>5.43</v>
      </c>
      <c r="C87" s="64">
        <v>25.01</v>
      </c>
      <c r="D87" s="64">
        <v>39.53</v>
      </c>
      <c r="E87" s="64">
        <v>8.25</v>
      </c>
      <c r="F87" s="64">
        <v>14.79</v>
      </c>
      <c r="G87" s="64">
        <v>46.95</v>
      </c>
      <c r="H87" s="64">
        <v>10.67</v>
      </c>
      <c r="I87" s="64">
        <v>4.07</v>
      </c>
      <c r="J87" s="64">
        <v>0.67</v>
      </c>
      <c r="K87" s="64">
        <v>160.43</v>
      </c>
      <c r="L87" s="64">
        <v>31.18</v>
      </c>
      <c r="M87" s="64">
        <v>60.9</v>
      </c>
      <c r="N87" s="64">
        <v>29.8</v>
      </c>
      <c r="O87" s="64">
        <v>0</v>
      </c>
      <c r="P87" s="64">
        <v>0.56000000000000005</v>
      </c>
      <c r="Q87" s="64">
        <v>9.42</v>
      </c>
      <c r="R87" s="198"/>
      <c r="S87" s="198"/>
      <c r="T87" s="198"/>
      <c r="U87" s="198"/>
    </row>
    <row r="88" spans="1:26" s="12" customFormat="1" x14ac:dyDescent="0.25">
      <c r="A88" s="214" t="s">
        <v>1669</v>
      </c>
      <c r="B88" s="64">
        <v>5.01</v>
      </c>
      <c r="C88" s="64">
        <v>24.05</v>
      </c>
      <c r="D88" s="64">
        <v>38.340000000000003</v>
      </c>
      <c r="E88" s="64">
        <v>7.66</v>
      </c>
      <c r="F88" s="64">
        <v>8.4</v>
      </c>
      <c r="G88" s="64">
        <v>46.95</v>
      </c>
      <c r="H88" s="64">
        <v>10.67</v>
      </c>
      <c r="I88" s="64">
        <v>3.97</v>
      </c>
      <c r="J88" s="64">
        <v>1.2</v>
      </c>
      <c r="K88" s="64">
        <v>151.61000000000001</v>
      </c>
      <c r="L88" s="64">
        <v>30.72</v>
      </c>
      <c r="M88" s="64">
        <v>65.16</v>
      </c>
      <c r="N88" s="64">
        <v>30.1</v>
      </c>
      <c r="O88" s="64">
        <v>0</v>
      </c>
      <c r="P88" s="64">
        <v>0.54</v>
      </c>
      <c r="Q88" s="64">
        <v>9.44</v>
      </c>
      <c r="R88" s="198"/>
      <c r="S88" s="198"/>
      <c r="T88" s="198"/>
      <c r="U88" s="198"/>
    </row>
    <row r="89" spans="1:26" s="12" customFormat="1" x14ac:dyDescent="0.25">
      <c r="A89" s="214" t="s">
        <v>1670</v>
      </c>
      <c r="B89" s="64">
        <v>4.42</v>
      </c>
      <c r="C89" s="64">
        <v>23.97</v>
      </c>
      <c r="D89" s="64">
        <v>39.090000000000003</v>
      </c>
      <c r="E89" s="64">
        <v>7.27</v>
      </c>
      <c r="F89" s="64">
        <v>6.36</v>
      </c>
      <c r="G89" s="64">
        <v>46.95</v>
      </c>
      <c r="H89" s="64">
        <v>10.67</v>
      </c>
      <c r="I89" s="64">
        <v>4</v>
      </c>
      <c r="J89" s="64">
        <v>1.42</v>
      </c>
      <c r="K89" s="64">
        <v>155.44999999999999</v>
      </c>
      <c r="L89" s="64">
        <v>30.21</v>
      </c>
      <c r="M89" s="64">
        <v>71</v>
      </c>
      <c r="N89" s="64">
        <v>30</v>
      </c>
      <c r="O89" s="64">
        <v>0</v>
      </c>
      <c r="P89" s="64">
        <v>0.52</v>
      </c>
      <c r="Q89" s="64">
        <v>9.4700000000000006</v>
      </c>
      <c r="R89" s="198"/>
      <c r="S89" s="198"/>
      <c r="T89" s="198"/>
      <c r="U89" s="198"/>
    </row>
    <row r="90" spans="1:26" s="12" customFormat="1" x14ac:dyDescent="0.25">
      <c r="A90" s="214" t="s">
        <v>1671</v>
      </c>
      <c r="B90" s="64">
        <v>4.49</v>
      </c>
      <c r="C90" s="64">
        <v>22.9</v>
      </c>
      <c r="D90" s="64">
        <v>36.94</v>
      </c>
      <c r="E90" s="64">
        <v>6.52</v>
      </c>
      <c r="F90" s="64">
        <v>9.6300000000000008</v>
      </c>
      <c r="G90" s="64">
        <v>46.71</v>
      </c>
      <c r="H90" s="64">
        <v>12.33</v>
      </c>
      <c r="I90" s="64">
        <v>4.0599999999999996</v>
      </c>
      <c r="J90" s="64">
        <v>0.95</v>
      </c>
      <c r="K90" s="64">
        <v>150.36000000000001</v>
      </c>
      <c r="L90" s="64">
        <v>29.94</v>
      </c>
      <c r="M90" s="64">
        <v>72.55</v>
      </c>
      <c r="N90" s="64">
        <v>28.9</v>
      </c>
      <c r="O90" s="64">
        <v>0</v>
      </c>
      <c r="P90" s="64">
        <v>0.51</v>
      </c>
      <c r="Q90" s="64">
        <v>9.4600000000000009</v>
      </c>
      <c r="R90" s="198"/>
      <c r="S90" s="198"/>
      <c r="T90" s="198"/>
      <c r="U90" s="198"/>
    </row>
    <row r="91" spans="1:26" s="12" customFormat="1" x14ac:dyDescent="0.25">
      <c r="A91" s="214" t="s">
        <v>1672</v>
      </c>
      <c r="B91" s="64">
        <v>4.7699999999999996</v>
      </c>
      <c r="C91" s="64">
        <v>21.95</v>
      </c>
      <c r="D91" s="64">
        <v>34.700000000000003</v>
      </c>
      <c r="E91" s="64">
        <v>6.31</v>
      </c>
      <c r="F91" s="64">
        <v>7.15</v>
      </c>
      <c r="G91" s="64">
        <v>46.01</v>
      </c>
      <c r="H91" s="64">
        <v>17.46</v>
      </c>
      <c r="I91" s="64">
        <v>4.05</v>
      </c>
      <c r="J91" s="64">
        <v>1.01</v>
      </c>
      <c r="K91" s="64">
        <v>153.03</v>
      </c>
      <c r="L91" s="64">
        <v>30.09</v>
      </c>
      <c r="M91" s="64">
        <v>69.98</v>
      </c>
      <c r="N91" s="64">
        <v>29</v>
      </c>
      <c r="O91" s="64">
        <v>0</v>
      </c>
      <c r="P91" s="64">
        <v>0.51</v>
      </c>
      <c r="Q91" s="64">
        <v>9.44</v>
      </c>
      <c r="R91" s="198"/>
      <c r="S91" s="198"/>
      <c r="T91" s="198"/>
      <c r="U91" s="198"/>
    </row>
    <row r="92" spans="1:26" s="12" customFormat="1" x14ac:dyDescent="0.25">
      <c r="A92" s="214" t="s">
        <v>1673</v>
      </c>
      <c r="B92" s="64">
        <v>5.04</v>
      </c>
      <c r="C92" s="64">
        <v>21.83</v>
      </c>
      <c r="D92" s="64">
        <v>34.04</v>
      </c>
      <c r="E92" s="64">
        <v>6.22</v>
      </c>
      <c r="F92" s="64">
        <v>5.39</v>
      </c>
      <c r="G92" s="64">
        <v>46.01</v>
      </c>
      <c r="H92" s="64">
        <v>17.46</v>
      </c>
      <c r="I92" s="64">
        <v>3.91</v>
      </c>
      <c r="J92" s="64">
        <v>1.32</v>
      </c>
      <c r="K92" s="64">
        <v>159.4</v>
      </c>
      <c r="L92" s="64">
        <v>30.11</v>
      </c>
      <c r="M92" s="64">
        <v>68.52</v>
      </c>
      <c r="N92" s="64">
        <v>29</v>
      </c>
      <c r="O92" s="64">
        <v>0</v>
      </c>
      <c r="P92" s="64">
        <v>0.53</v>
      </c>
      <c r="Q92" s="64">
        <v>9.44</v>
      </c>
      <c r="R92" s="198"/>
      <c r="S92" s="198"/>
      <c r="T92" s="198"/>
      <c r="U92" s="198"/>
    </row>
    <row r="93" spans="1:26" s="12" customFormat="1" x14ac:dyDescent="0.25">
      <c r="A93" s="214" t="s">
        <v>1674</v>
      </c>
      <c r="B93" s="64">
        <v>5.34</v>
      </c>
      <c r="C93" s="64">
        <v>22.45</v>
      </c>
      <c r="D93" s="64">
        <v>34.770000000000003</v>
      </c>
      <c r="E93" s="64">
        <v>6.4</v>
      </c>
      <c r="F93" s="64">
        <v>7.24</v>
      </c>
      <c r="G93" s="64">
        <v>46.01</v>
      </c>
      <c r="H93" s="64">
        <v>17.46</v>
      </c>
      <c r="I93" s="64">
        <v>4.0599999999999996</v>
      </c>
      <c r="J93" s="64">
        <v>0.9</v>
      </c>
      <c r="K93" s="64">
        <v>154.82</v>
      </c>
      <c r="L93" s="64">
        <v>30.23</v>
      </c>
      <c r="M93" s="64">
        <v>66.83</v>
      </c>
      <c r="N93" s="64">
        <v>28.9</v>
      </c>
      <c r="O93" s="64">
        <v>0</v>
      </c>
      <c r="P93" s="64">
        <v>0.52</v>
      </c>
      <c r="Q93" s="64">
        <v>9.4700000000000006</v>
      </c>
      <c r="R93" s="198"/>
      <c r="S93" s="198"/>
      <c r="T93" s="198"/>
      <c r="U93" s="198"/>
    </row>
    <row r="94" spans="1:26" s="12" customFormat="1" x14ac:dyDescent="0.25">
      <c r="A94" s="214" t="s">
        <v>1675</v>
      </c>
      <c r="B94" s="64">
        <v>6.45</v>
      </c>
      <c r="C94" s="64">
        <v>25.33</v>
      </c>
      <c r="D94" s="64">
        <v>38.590000000000003</v>
      </c>
      <c r="E94" s="64">
        <v>6.6</v>
      </c>
      <c r="F94" s="64">
        <v>9.92</v>
      </c>
      <c r="G94" s="64">
        <v>44.98</v>
      </c>
      <c r="H94" s="64">
        <v>17.04</v>
      </c>
      <c r="I94" s="64">
        <v>3.97</v>
      </c>
      <c r="J94" s="64">
        <v>0.75</v>
      </c>
      <c r="K94" s="64">
        <v>153.78</v>
      </c>
      <c r="L94" s="64">
        <v>30.24</v>
      </c>
      <c r="M94" s="64">
        <v>66.83</v>
      </c>
      <c r="N94" s="64">
        <v>29</v>
      </c>
      <c r="O94" s="64">
        <v>0</v>
      </c>
      <c r="P94" s="64">
        <v>0.51</v>
      </c>
      <c r="Q94" s="64">
        <v>9.4600000000000009</v>
      </c>
      <c r="R94" s="198"/>
      <c r="S94" s="198"/>
      <c r="T94" s="198"/>
      <c r="U94" s="198"/>
    </row>
    <row r="95" spans="1:26" s="12" customFormat="1" x14ac:dyDescent="0.25">
      <c r="A95" s="214" t="s">
        <v>1676</v>
      </c>
      <c r="B95" s="64">
        <v>5.7</v>
      </c>
      <c r="C95" s="64">
        <v>19.8</v>
      </c>
      <c r="D95" s="64">
        <v>29.14</v>
      </c>
      <c r="E95" s="64">
        <v>6.44</v>
      </c>
      <c r="F95" s="64">
        <v>5.21</v>
      </c>
      <c r="G95" s="64">
        <v>41.98</v>
      </c>
      <c r="H95" s="64">
        <v>15.74</v>
      </c>
      <c r="I95" s="64">
        <v>4.01</v>
      </c>
      <c r="J95" s="64">
        <v>1.36</v>
      </c>
      <c r="K95" s="64">
        <v>158.69999999999999</v>
      </c>
      <c r="L95" s="64">
        <v>29.8</v>
      </c>
      <c r="M95" s="64">
        <v>69.98</v>
      </c>
      <c r="N95" s="64">
        <v>30</v>
      </c>
      <c r="O95" s="64">
        <v>0</v>
      </c>
      <c r="P95" s="64">
        <v>0.53</v>
      </c>
      <c r="Q95" s="64">
        <v>9.4499999999999993</v>
      </c>
      <c r="R95" s="198"/>
      <c r="S95" s="198"/>
      <c r="T95" s="198"/>
      <c r="U95" s="198"/>
    </row>
    <row r="96" spans="1:26" s="12" customFormat="1" x14ac:dyDescent="0.25">
      <c r="A96" s="214" t="s">
        <v>1677</v>
      </c>
      <c r="B96" s="64">
        <v>5.5</v>
      </c>
      <c r="C96" s="64">
        <v>19.57</v>
      </c>
      <c r="D96" s="64">
        <v>29</v>
      </c>
      <c r="E96" s="64">
        <v>6.32</v>
      </c>
      <c r="F96" s="64">
        <v>6.66</v>
      </c>
      <c r="G96" s="64">
        <v>41.98</v>
      </c>
      <c r="H96" s="64">
        <v>15.74</v>
      </c>
      <c r="I96" s="64">
        <v>4.12</v>
      </c>
      <c r="J96" s="64">
        <v>1.1599999999999999</v>
      </c>
      <c r="K96" s="64">
        <v>156.06</v>
      </c>
      <c r="L96" s="64">
        <v>29.12</v>
      </c>
      <c r="M96" s="64">
        <v>75.55</v>
      </c>
      <c r="N96" s="64">
        <v>29.2</v>
      </c>
      <c r="O96" s="64">
        <v>0</v>
      </c>
      <c r="P96" s="64">
        <v>0.5</v>
      </c>
      <c r="Q96" s="64">
        <v>9.4700000000000006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1678</v>
      </c>
      <c r="B97" s="64">
        <v>5.66</v>
      </c>
      <c r="C97" s="64">
        <v>23.64</v>
      </c>
      <c r="D97" s="64">
        <v>36.56</v>
      </c>
      <c r="E97" s="64">
        <v>6.31</v>
      </c>
      <c r="F97" s="64">
        <v>12.2</v>
      </c>
      <c r="G97" s="64">
        <v>41.98</v>
      </c>
      <c r="H97" s="64">
        <v>15.74</v>
      </c>
      <c r="I97" s="64">
        <v>3.91</v>
      </c>
      <c r="J97" s="64">
        <v>0.37</v>
      </c>
      <c r="K97" s="64">
        <v>224.17</v>
      </c>
      <c r="L97" s="64">
        <v>29.3</v>
      </c>
      <c r="M97" s="64">
        <v>72.12</v>
      </c>
      <c r="N97" s="64">
        <v>28.7</v>
      </c>
      <c r="O97" s="64">
        <v>0</v>
      </c>
      <c r="P97" s="64">
        <v>0.53</v>
      </c>
      <c r="Q97" s="64">
        <v>9.44</v>
      </c>
      <c r="R97" s="198"/>
      <c r="S97" s="198"/>
      <c r="T97" s="198"/>
      <c r="U97" s="198"/>
    </row>
    <row r="98" spans="1:33" s="12" customFormat="1" x14ac:dyDescent="0.25">
      <c r="A98" s="214" t="s">
        <v>1679</v>
      </c>
      <c r="B98" s="64">
        <v>6.64</v>
      </c>
      <c r="C98" s="64">
        <v>26.14</v>
      </c>
      <c r="D98" s="64">
        <v>39.83</v>
      </c>
      <c r="E98" s="64">
        <v>6.65</v>
      </c>
      <c r="F98" s="64">
        <v>12.27</v>
      </c>
      <c r="G98" s="64">
        <v>41.01</v>
      </c>
      <c r="H98" s="64">
        <v>16.2</v>
      </c>
      <c r="I98" s="64">
        <v>4.01</v>
      </c>
      <c r="J98" s="64">
        <v>0.47</v>
      </c>
      <c r="K98" s="64">
        <v>230.03</v>
      </c>
      <c r="L98" s="64">
        <v>29.92</v>
      </c>
      <c r="M98" s="64">
        <v>68.209999999999994</v>
      </c>
      <c r="N98" s="64">
        <v>28.7</v>
      </c>
      <c r="O98" s="64">
        <v>0</v>
      </c>
      <c r="P98" s="64">
        <v>0.52</v>
      </c>
      <c r="Q98" s="64">
        <v>9.43</v>
      </c>
      <c r="R98" s="198"/>
      <c r="S98" s="198"/>
      <c r="T98" s="198"/>
      <c r="U98" s="198"/>
    </row>
    <row r="99" spans="1:33" s="12" customFormat="1" x14ac:dyDescent="0.25">
      <c r="A99" s="214" t="s">
        <v>1680</v>
      </c>
      <c r="B99" s="64">
        <v>6.24</v>
      </c>
      <c r="C99" s="64">
        <v>25.03</v>
      </c>
      <c r="D99" s="64">
        <v>38.340000000000003</v>
      </c>
      <c r="E99" s="64">
        <v>6.23</v>
      </c>
      <c r="F99" s="64">
        <v>12.14</v>
      </c>
      <c r="G99" s="64">
        <v>37.99</v>
      </c>
      <c r="H99" s="64">
        <v>17.53</v>
      </c>
      <c r="I99" s="64">
        <v>4.04</v>
      </c>
      <c r="J99" s="64">
        <v>0.39</v>
      </c>
      <c r="K99" s="64">
        <v>190.06</v>
      </c>
      <c r="L99" s="64">
        <v>29.88</v>
      </c>
      <c r="M99" s="64">
        <v>67.92</v>
      </c>
      <c r="N99" s="64">
        <v>28.8</v>
      </c>
      <c r="O99" s="64">
        <v>0</v>
      </c>
      <c r="P99" s="64">
        <v>0.46</v>
      </c>
      <c r="Q99" s="64">
        <v>9.42</v>
      </c>
      <c r="R99" s="198"/>
      <c r="S99" s="198"/>
      <c r="T99" s="198"/>
      <c r="U99" s="198"/>
    </row>
    <row r="100" spans="1:33" s="12" customFormat="1" x14ac:dyDescent="0.25">
      <c r="A100" s="214" t="s">
        <v>1681</v>
      </c>
      <c r="B100" s="64">
        <v>5.0599999999999996</v>
      </c>
      <c r="C100" s="64">
        <v>22.05</v>
      </c>
      <c r="D100" s="64">
        <v>34.450000000000003</v>
      </c>
      <c r="E100" s="64">
        <v>6.81</v>
      </c>
      <c r="F100" s="64">
        <v>13.17</v>
      </c>
      <c r="G100" s="64">
        <v>37.99</v>
      </c>
      <c r="H100" s="64">
        <v>17.53</v>
      </c>
      <c r="I100" s="64">
        <v>4.0199999999999996</v>
      </c>
      <c r="J100" s="64">
        <v>0.4</v>
      </c>
      <c r="K100" s="64">
        <v>205.56</v>
      </c>
      <c r="L100" s="64">
        <v>29.87</v>
      </c>
      <c r="M100" s="64">
        <v>67.67</v>
      </c>
      <c r="N100" s="64">
        <v>28.8</v>
      </c>
      <c r="O100" s="64">
        <v>0</v>
      </c>
      <c r="P100" s="64">
        <v>0.44</v>
      </c>
      <c r="Q100" s="64">
        <v>9.41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1682</v>
      </c>
      <c r="B101" s="64">
        <v>4.88</v>
      </c>
      <c r="C101" s="64">
        <v>21.74</v>
      </c>
      <c r="D101" s="64">
        <v>34.11</v>
      </c>
      <c r="E101" s="64">
        <v>6.51</v>
      </c>
      <c r="F101" s="64">
        <v>12.63</v>
      </c>
      <c r="G101" s="64">
        <v>37.99</v>
      </c>
      <c r="H101" s="64">
        <v>17.53</v>
      </c>
      <c r="I101" s="64">
        <v>3.83</v>
      </c>
      <c r="J101" s="64">
        <v>0.42</v>
      </c>
      <c r="K101" s="64">
        <v>194</v>
      </c>
      <c r="L101" s="64">
        <v>29.71</v>
      </c>
      <c r="M101" s="64">
        <v>69.209999999999994</v>
      </c>
      <c r="N101" s="64">
        <v>29</v>
      </c>
      <c r="O101" s="64">
        <v>0</v>
      </c>
      <c r="P101" s="64">
        <v>0.47</v>
      </c>
      <c r="Q101" s="64">
        <v>9.41</v>
      </c>
      <c r="R101" s="198"/>
      <c r="S101" s="198"/>
      <c r="T101" s="198"/>
      <c r="U101" s="198"/>
    </row>
    <row r="102" spans="1:33" s="12" customFormat="1" x14ac:dyDescent="0.25">
      <c r="A102" s="214" t="s">
        <v>1683</v>
      </c>
      <c r="B102" s="64">
        <v>4.83</v>
      </c>
      <c r="C102" s="64">
        <v>20.83</v>
      </c>
      <c r="D102" s="64">
        <v>32.46</v>
      </c>
      <c r="E102" s="64">
        <v>6.69</v>
      </c>
      <c r="F102" s="64">
        <v>12.68</v>
      </c>
      <c r="G102" s="64">
        <v>37.54</v>
      </c>
      <c r="H102" s="64">
        <v>17.73</v>
      </c>
      <c r="I102" s="64">
        <v>4.0999999999999996</v>
      </c>
      <c r="J102" s="64">
        <v>0.5</v>
      </c>
      <c r="K102" s="64">
        <v>189.27</v>
      </c>
      <c r="L102" s="64">
        <v>29.46</v>
      </c>
      <c r="M102" s="64">
        <v>70.72</v>
      </c>
      <c r="N102" s="64">
        <v>29</v>
      </c>
      <c r="O102" s="64">
        <v>0</v>
      </c>
      <c r="P102" s="64">
        <v>0.44</v>
      </c>
      <c r="Q102" s="64">
        <v>9.41</v>
      </c>
      <c r="R102" s="198"/>
      <c r="S102" s="198"/>
      <c r="T102" s="198"/>
      <c r="U102" s="198"/>
    </row>
    <row r="103" spans="1:33" s="12" customFormat="1" x14ac:dyDescent="0.25">
      <c r="A103" s="214" t="s">
        <v>1684</v>
      </c>
      <c r="B103" s="64">
        <v>5.12</v>
      </c>
      <c r="C103" s="64">
        <v>21.91</v>
      </c>
      <c r="D103" s="64">
        <v>34.07</v>
      </c>
      <c r="E103" s="64">
        <v>6.86</v>
      </c>
      <c r="F103" s="64">
        <v>12.71</v>
      </c>
      <c r="G103" s="64">
        <v>36.229999999999997</v>
      </c>
      <c r="H103" s="64">
        <v>18.32</v>
      </c>
      <c r="I103" s="64">
        <v>4.0199999999999996</v>
      </c>
      <c r="J103" s="64">
        <v>0.64</v>
      </c>
      <c r="K103" s="64">
        <v>170.89</v>
      </c>
      <c r="L103" s="64">
        <v>29.31</v>
      </c>
      <c r="M103" s="64">
        <v>71.959999999999994</v>
      </c>
      <c r="N103" s="64">
        <v>28.9</v>
      </c>
      <c r="O103" s="64">
        <v>0</v>
      </c>
      <c r="P103" s="64">
        <v>0.46</v>
      </c>
      <c r="Q103" s="64">
        <v>9.41</v>
      </c>
      <c r="R103" s="198"/>
      <c r="S103" s="198"/>
      <c r="T103" s="198"/>
      <c r="U103" s="198"/>
    </row>
    <row r="104" spans="1:33" s="12" customFormat="1" x14ac:dyDescent="0.25">
      <c r="A104" s="214" t="s">
        <v>1685</v>
      </c>
      <c r="B104" s="64">
        <v>5.0199999999999996</v>
      </c>
      <c r="C104" s="64">
        <v>19.22</v>
      </c>
      <c r="D104" s="64">
        <v>29.08</v>
      </c>
      <c r="E104" s="64">
        <v>5.29</v>
      </c>
      <c r="F104" s="64">
        <v>13.65</v>
      </c>
      <c r="G104" s="64">
        <v>36.229999999999997</v>
      </c>
      <c r="H104" s="64">
        <v>18.32</v>
      </c>
      <c r="I104" s="64">
        <v>4.08</v>
      </c>
      <c r="J104" s="64">
        <v>0.63</v>
      </c>
      <c r="K104" s="64">
        <v>167.28</v>
      </c>
      <c r="L104" s="64">
        <v>29.21</v>
      </c>
      <c r="M104" s="64">
        <v>73.11</v>
      </c>
      <c r="N104" s="64">
        <v>28.8</v>
      </c>
      <c r="O104" s="64">
        <v>0</v>
      </c>
      <c r="P104" s="64">
        <v>0.45</v>
      </c>
      <c r="Q104" s="64">
        <v>9.4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3.9</v>
      </c>
      <c r="C106" s="67">
        <f>MIN(C9:C104)</f>
        <v>18.12</v>
      </c>
      <c r="D106" s="67">
        <f t="shared" ref="D106:Q106" si="0">MIN(D9:D104)</f>
        <v>25.79</v>
      </c>
      <c r="E106" s="67">
        <f t="shared" si="0"/>
        <v>4.34</v>
      </c>
      <c r="F106" s="67">
        <f t="shared" si="0"/>
        <v>5.21</v>
      </c>
      <c r="G106" s="67">
        <f t="shared" si="0"/>
        <v>6.53</v>
      </c>
      <c r="H106" s="67">
        <f t="shared" si="0"/>
        <v>2.13</v>
      </c>
      <c r="I106" s="67">
        <f t="shared" si="0"/>
        <v>3.78</v>
      </c>
      <c r="J106" s="67">
        <f t="shared" si="0"/>
        <v>0.24</v>
      </c>
      <c r="K106" s="67">
        <f t="shared" si="0"/>
        <v>147.86000000000001</v>
      </c>
      <c r="L106" s="67">
        <f t="shared" si="0"/>
        <v>29.12</v>
      </c>
      <c r="M106" s="67">
        <f t="shared" si="0"/>
        <v>26.79</v>
      </c>
      <c r="N106" s="67">
        <f t="shared" si="0"/>
        <v>28.5</v>
      </c>
      <c r="O106" s="67">
        <f t="shared" si="0"/>
        <v>0</v>
      </c>
      <c r="P106" s="67">
        <f t="shared" si="0"/>
        <v>0.22</v>
      </c>
      <c r="Q106" s="67">
        <f t="shared" si="0"/>
        <v>9.3800000000000008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16.14</v>
      </c>
      <c r="C107" s="66">
        <f t="shared" ref="C107:Q107" si="1">MAX(C9:C104)</f>
        <v>34.090000000000003</v>
      </c>
      <c r="D107" s="66">
        <f t="shared" si="1"/>
        <v>56.41</v>
      </c>
      <c r="E107" s="66">
        <f t="shared" si="1"/>
        <v>15.52</v>
      </c>
      <c r="F107" s="66">
        <f t="shared" si="1"/>
        <v>30.4</v>
      </c>
      <c r="G107" s="66">
        <f t="shared" si="1"/>
        <v>84.28</v>
      </c>
      <c r="H107" s="66">
        <f t="shared" si="1"/>
        <v>28.37</v>
      </c>
      <c r="I107" s="66">
        <f t="shared" si="1"/>
        <v>4.2300000000000004</v>
      </c>
      <c r="J107" s="66">
        <f t="shared" si="1"/>
        <v>3.74</v>
      </c>
      <c r="K107" s="66">
        <f t="shared" si="1"/>
        <v>247.04</v>
      </c>
      <c r="L107" s="66">
        <f t="shared" si="1"/>
        <v>43.46</v>
      </c>
      <c r="M107" s="66">
        <f t="shared" si="1"/>
        <v>75.55</v>
      </c>
      <c r="N107" s="66">
        <f t="shared" si="1"/>
        <v>824.2</v>
      </c>
      <c r="O107" s="66">
        <f t="shared" si="1"/>
        <v>0</v>
      </c>
      <c r="P107" s="66">
        <f t="shared" si="1"/>
        <v>0.87</v>
      </c>
      <c r="Q107" s="66">
        <f t="shared" si="1"/>
        <v>9.7799999999999994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5.4242708333333312</v>
      </c>
      <c r="C108" s="67">
        <f t="shared" ref="C108:Q108" si="2">AVERAGE(C9:C104)</f>
        <v>22.936458333333324</v>
      </c>
      <c r="D108" s="67">
        <f t="shared" si="2"/>
        <v>35.575520833333343</v>
      </c>
      <c r="E108" s="67">
        <f t="shared" si="2"/>
        <v>7.4152083333333314</v>
      </c>
      <c r="F108" s="67">
        <f t="shared" si="2"/>
        <v>13.42041666666668</v>
      </c>
      <c r="G108" s="67">
        <f t="shared" si="2"/>
        <v>43.421978021978028</v>
      </c>
      <c r="H108" s="67">
        <f t="shared" si="2"/>
        <v>15.992417582417575</v>
      </c>
      <c r="I108" s="67">
        <f t="shared" si="2"/>
        <v>4.005625000000002</v>
      </c>
      <c r="J108" s="67">
        <f t="shared" si="2"/>
        <v>0.81312499999999999</v>
      </c>
      <c r="K108" s="67">
        <f t="shared" si="2"/>
        <v>206.74906250000001</v>
      </c>
      <c r="L108" s="67">
        <f t="shared" si="2"/>
        <v>33.763541666666669</v>
      </c>
      <c r="M108" s="67">
        <f t="shared" si="2"/>
        <v>49.99083333333332</v>
      </c>
      <c r="N108" s="67">
        <f t="shared" si="2"/>
        <v>211.10729166666661</v>
      </c>
      <c r="O108" s="67">
        <f t="shared" si="2"/>
        <v>0</v>
      </c>
      <c r="P108" s="67">
        <f t="shared" si="2"/>
        <v>0.48416666666666669</v>
      </c>
      <c r="Q108" s="67">
        <f t="shared" si="2"/>
        <v>9.4870833333333291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1.4823912011495624</v>
      </c>
      <c r="C109" s="67">
        <f t="shared" ref="C109:Q109" si="3">STDEV(C9:C104)</f>
        <v>3.0742232152518092</v>
      </c>
      <c r="D109" s="67">
        <f t="shared" si="3"/>
        <v>5.4356782116506155</v>
      </c>
      <c r="E109" s="67">
        <f t="shared" si="3"/>
        <v>1.8580408352923925</v>
      </c>
      <c r="F109" s="67">
        <f t="shared" si="3"/>
        <v>4.3164551529836253</v>
      </c>
      <c r="G109" s="67">
        <f t="shared" si="3"/>
        <v>11.824974721117348</v>
      </c>
      <c r="H109" s="67">
        <f t="shared" si="3"/>
        <v>6.4617392465461201</v>
      </c>
      <c r="I109" s="67">
        <f t="shared" si="3"/>
        <v>9.1430876968111238E-2</v>
      </c>
      <c r="J109" s="67">
        <f t="shared" si="3"/>
        <v>0.65837968968481531</v>
      </c>
      <c r="K109" s="67">
        <f t="shared" si="3"/>
        <v>32.743867664620431</v>
      </c>
      <c r="L109" s="67">
        <f t="shared" si="3"/>
        <v>4.2703560751735967</v>
      </c>
      <c r="M109" s="67">
        <f t="shared" si="3"/>
        <v>13.19983171078267</v>
      </c>
      <c r="N109" s="67">
        <f t="shared" si="3"/>
        <v>255.23345649560326</v>
      </c>
      <c r="O109" s="67">
        <f t="shared" si="3"/>
        <v>0</v>
      </c>
      <c r="P109" s="67">
        <f t="shared" si="3"/>
        <v>0.13740961941862687</v>
      </c>
      <c r="Q109" s="67">
        <f t="shared" si="3"/>
        <v>0.11154339883902312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COUNT(G9:G104)+5</f>
        <v>96</v>
      </c>
      <c r="H110" s="66">
        <f>COUNT(H9:H104)+5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1686</v>
      </c>
      <c r="B9" s="64">
        <v>5.39</v>
      </c>
      <c r="C9" s="64">
        <v>17.579999999999998</v>
      </c>
      <c r="D9" s="64">
        <v>25.38</v>
      </c>
      <c r="E9" s="64">
        <v>5.18</v>
      </c>
      <c r="F9" s="64">
        <v>7.33</v>
      </c>
      <c r="G9" s="64">
        <v>36.229999999999997</v>
      </c>
      <c r="H9" s="64">
        <v>18.32</v>
      </c>
      <c r="I9" s="64">
        <v>3.94</v>
      </c>
      <c r="J9" s="64">
        <v>0.56000000000000005</v>
      </c>
      <c r="K9" s="64">
        <v>182.51</v>
      </c>
      <c r="L9" s="64">
        <v>29.21</v>
      </c>
      <c r="M9" s="64">
        <v>73.12</v>
      </c>
      <c r="N9" s="64">
        <v>28.8</v>
      </c>
      <c r="O9" s="64">
        <v>0</v>
      </c>
      <c r="P9" s="64">
        <v>0.48</v>
      </c>
      <c r="Q9" s="64">
        <v>9.41</v>
      </c>
      <c r="R9" s="198"/>
      <c r="S9" s="198"/>
      <c r="T9" s="198"/>
      <c r="U9" s="198"/>
    </row>
    <row r="10" spans="1:21" s="12" customFormat="1" x14ac:dyDescent="0.25">
      <c r="A10" s="214" t="s">
        <v>1687</v>
      </c>
      <c r="B10" s="64">
        <v>5.89</v>
      </c>
      <c r="C10" s="64">
        <v>17.95</v>
      </c>
      <c r="D10" s="64">
        <v>25.3</v>
      </c>
      <c r="E10" s="64">
        <v>4.9400000000000004</v>
      </c>
      <c r="F10" s="64">
        <v>6.45</v>
      </c>
      <c r="G10" s="64">
        <v>35.29</v>
      </c>
      <c r="H10" s="64">
        <v>18.43</v>
      </c>
      <c r="I10" s="64">
        <v>3.89</v>
      </c>
      <c r="J10" s="64">
        <v>1.02</v>
      </c>
      <c r="K10" s="64">
        <v>160.07</v>
      </c>
      <c r="L10" s="64">
        <v>29.06</v>
      </c>
      <c r="M10" s="64">
        <v>74.900000000000006</v>
      </c>
      <c r="N10" s="64">
        <v>29</v>
      </c>
      <c r="O10" s="64">
        <v>0</v>
      </c>
      <c r="P10" s="64">
        <v>0.49</v>
      </c>
      <c r="Q10" s="64">
        <v>9.41</v>
      </c>
      <c r="R10" s="198"/>
      <c r="S10" s="198"/>
      <c r="T10" s="198"/>
      <c r="U10" s="198"/>
    </row>
    <row r="11" spans="1:21" s="12" customFormat="1" x14ac:dyDescent="0.25">
      <c r="A11" s="214" t="s">
        <v>1688</v>
      </c>
      <c r="B11" s="64">
        <v>5.24</v>
      </c>
      <c r="C11" s="64">
        <v>17.18</v>
      </c>
      <c r="D11" s="64">
        <v>24.82</v>
      </c>
      <c r="E11" s="64">
        <v>4.79</v>
      </c>
      <c r="F11" s="64">
        <v>10.039999999999999</v>
      </c>
      <c r="G11" s="64">
        <v>32.56</v>
      </c>
      <c r="H11" s="64">
        <v>18.739999999999998</v>
      </c>
      <c r="I11" s="64">
        <v>3.88</v>
      </c>
      <c r="J11" s="64">
        <v>0.43</v>
      </c>
      <c r="K11" s="64">
        <v>185.7</v>
      </c>
      <c r="L11" s="64">
        <v>29.03</v>
      </c>
      <c r="M11" s="64">
        <v>74.61</v>
      </c>
      <c r="N11" s="64">
        <v>29.1</v>
      </c>
      <c r="O11" s="64">
        <v>0</v>
      </c>
      <c r="P11" s="64">
        <v>0.44</v>
      </c>
      <c r="Q11" s="64">
        <v>9.42</v>
      </c>
      <c r="R11" s="198"/>
      <c r="S11" s="198"/>
      <c r="T11" s="198"/>
      <c r="U11" s="198"/>
    </row>
    <row r="12" spans="1:21" s="12" customFormat="1" x14ac:dyDescent="0.25">
      <c r="A12" s="214" t="s">
        <v>1689</v>
      </c>
      <c r="B12" s="64">
        <v>5.64</v>
      </c>
      <c r="C12" s="64">
        <v>17.03</v>
      </c>
      <c r="D12" s="64">
        <v>23.94</v>
      </c>
      <c r="E12" s="64">
        <v>4.7</v>
      </c>
      <c r="F12" s="64">
        <v>7.12</v>
      </c>
      <c r="G12" s="64">
        <v>32.56</v>
      </c>
      <c r="H12" s="64">
        <v>18.739999999999998</v>
      </c>
      <c r="I12" s="64">
        <v>4.0599999999999996</v>
      </c>
      <c r="J12" s="64">
        <v>0.52</v>
      </c>
      <c r="K12" s="64">
        <v>171</v>
      </c>
      <c r="L12" s="64">
        <v>28.94</v>
      </c>
      <c r="M12" s="64">
        <v>75.36</v>
      </c>
      <c r="N12" s="64">
        <v>29.1</v>
      </c>
      <c r="O12" s="64">
        <v>0</v>
      </c>
      <c r="P12" s="64">
        <v>0.47</v>
      </c>
      <c r="Q12" s="64">
        <v>9.42</v>
      </c>
      <c r="R12" s="198"/>
      <c r="S12" s="198"/>
      <c r="T12" s="198"/>
      <c r="U12" s="198"/>
    </row>
    <row r="13" spans="1:21" s="12" customFormat="1" x14ac:dyDescent="0.25">
      <c r="A13" s="214" t="s">
        <v>1690</v>
      </c>
      <c r="B13" s="64">
        <v>5.23</v>
      </c>
      <c r="C13" s="64">
        <v>16.89</v>
      </c>
      <c r="D13" s="64">
        <v>24.3</v>
      </c>
      <c r="E13" s="64">
        <v>4.55</v>
      </c>
      <c r="F13" s="64">
        <v>8.5500000000000007</v>
      </c>
      <c r="G13" s="64">
        <v>32.56</v>
      </c>
      <c r="H13" s="64">
        <v>18.739999999999998</v>
      </c>
      <c r="I13" s="64">
        <v>4.08</v>
      </c>
      <c r="J13" s="64">
        <v>0.46</v>
      </c>
      <c r="K13" s="64">
        <v>189.91</v>
      </c>
      <c r="L13" s="64">
        <v>28.92</v>
      </c>
      <c r="M13" s="64">
        <v>75.44</v>
      </c>
      <c r="N13" s="64">
        <v>29.1</v>
      </c>
      <c r="O13" s="64">
        <v>0</v>
      </c>
      <c r="P13" s="64">
        <v>0.39</v>
      </c>
      <c r="Q13" s="64">
        <v>9.43</v>
      </c>
      <c r="R13" s="198"/>
      <c r="S13" s="198"/>
      <c r="T13" s="198"/>
      <c r="U13" s="198"/>
    </row>
    <row r="14" spans="1:21" s="12" customFormat="1" x14ac:dyDescent="0.25">
      <c r="A14" s="214" t="s">
        <v>1691</v>
      </c>
      <c r="B14" s="64">
        <v>5.37</v>
      </c>
      <c r="C14" s="64">
        <v>17.440000000000001</v>
      </c>
      <c r="D14" s="64">
        <v>25.15</v>
      </c>
      <c r="E14" s="64">
        <v>4.51</v>
      </c>
      <c r="F14" s="64">
        <v>8.34</v>
      </c>
      <c r="G14" s="64">
        <v>32.15</v>
      </c>
      <c r="H14" s="64">
        <v>18.37</v>
      </c>
      <c r="I14" s="64">
        <v>3.87</v>
      </c>
      <c r="J14" s="64">
        <v>0.52</v>
      </c>
      <c r="K14" s="64">
        <v>188.07</v>
      </c>
      <c r="L14" s="64">
        <v>28.77</v>
      </c>
      <c r="M14" s="64">
        <v>76.44</v>
      </c>
      <c r="N14" s="64">
        <v>29.3</v>
      </c>
      <c r="O14" s="64">
        <v>0</v>
      </c>
      <c r="P14" s="64">
        <v>0.43</v>
      </c>
      <c r="Q14" s="64">
        <v>9.41</v>
      </c>
      <c r="R14" s="198"/>
      <c r="S14" s="198"/>
      <c r="T14" s="198"/>
      <c r="U14" s="198"/>
    </row>
    <row r="15" spans="1:21" s="12" customFormat="1" x14ac:dyDescent="0.25">
      <c r="A15" s="214" t="s">
        <v>1692</v>
      </c>
      <c r="B15" s="64">
        <v>5.82</v>
      </c>
      <c r="C15" s="64">
        <v>17.05</v>
      </c>
      <c r="D15" s="64">
        <v>23.7</v>
      </c>
      <c r="E15" s="64">
        <v>4.43</v>
      </c>
      <c r="F15" s="64">
        <v>6.79</v>
      </c>
      <c r="G15" s="64">
        <v>30.97</v>
      </c>
      <c r="H15" s="64">
        <v>17.239999999999998</v>
      </c>
      <c r="I15" s="64">
        <v>3.92</v>
      </c>
      <c r="J15" s="64">
        <v>0.53</v>
      </c>
      <c r="K15" s="64">
        <v>173.27</v>
      </c>
      <c r="L15" s="64">
        <v>28.67</v>
      </c>
      <c r="M15" s="64">
        <v>77.05</v>
      </c>
      <c r="N15" s="64">
        <v>29.3</v>
      </c>
      <c r="O15" s="64">
        <v>0</v>
      </c>
      <c r="P15" s="64">
        <v>0.46</v>
      </c>
      <c r="Q15" s="64">
        <v>9.39</v>
      </c>
      <c r="R15" s="198"/>
      <c r="S15" s="198"/>
      <c r="T15" s="198"/>
      <c r="U15" s="198"/>
    </row>
    <row r="16" spans="1:21" s="12" customFormat="1" x14ac:dyDescent="0.25">
      <c r="A16" s="214" t="s">
        <v>1693</v>
      </c>
      <c r="B16" s="64">
        <v>5.42</v>
      </c>
      <c r="C16" s="64">
        <v>16.68</v>
      </c>
      <c r="D16" s="64">
        <v>23.59</v>
      </c>
      <c r="E16" s="64">
        <v>4.6399999999999997</v>
      </c>
      <c r="F16" s="64">
        <v>10.14</v>
      </c>
      <c r="G16" s="64">
        <v>30.97</v>
      </c>
      <c r="H16" s="64">
        <v>17.239999999999998</v>
      </c>
      <c r="I16" s="64">
        <v>3.93</v>
      </c>
      <c r="J16" s="64">
        <v>0.41</v>
      </c>
      <c r="K16" s="64">
        <v>193.75</v>
      </c>
      <c r="L16" s="64">
        <v>28.69</v>
      </c>
      <c r="M16" s="64">
        <v>76.81</v>
      </c>
      <c r="N16" s="64">
        <v>29.1</v>
      </c>
      <c r="O16" s="64">
        <v>0</v>
      </c>
      <c r="P16" s="64">
        <v>0.4</v>
      </c>
      <c r="Q16" s="64">
        <v>9.4</v>
      </c>
      <c r="R16" s="198"/>
      <c r="S16" s="198"/>
      <c r="T16" s="198"/>
      <c r="U16" s="198"/>
    </row>
    <row r="17" spans="1:21" s="12" customFormat="1" x14ac:dyDescent="0.25">
      <c r="A17" s="214" t="s">
        <v>1694</v>
      </c>
      <c r="B17" s="64">
        <v>4.9800000000000004</v>
      </c>
      <c r="C17" s="64">
        <v>16.07</v>
      </c>
      <c r="D17" s="64">
        <v>23.12</v>
      </c>
      <c r="E17" s="64">
        <v>4.29</v>
      </c>
      <c r="F17" s="64">
        <v>9.17</v>
      </c>
      <c r="G17" s="64">
        <v>30.97</v>
      </c>
      <c r="H17" s="64">
        <v>17.239999999999998</v>
      </c>
      <c r="I17" s="64">
        <v>4.13</v>
      </c>
      <c r="J17" s="64">
        <v>0.41</v>
      </c>
      <c r="K17" s="64">
        <v>204.51</v>
      </c>
      <c r="L17" s="64">
        <v>28.61</v>
      </c>
      <c r="M17" s="64">
        <v>77.239999999999995</v>
      </c>
      <c r="N17" s="64">
        <v>29.1</v>
      </c>
      <c r="O17" s="64">
        <v>0</v>
      </c>
      <c r="P17" s="64">
        <v>0.38</v>
      </c>
      <c r="Q17" s="64">
        <v>9.41</v>
      </c>
      <c r="R17" s="198"/>
      <c r="S17" s="198"/>
      <c r="T17" s="198"/>
      <c r="U17" s="198"/>
    </row>
    <row r="18" spans="1:21" s="12" customFormat="1" x14ac:dyDescent="0.25">
      <c r="A18" s="214" t="s">
        <v>1695</v>
      </c>
      <c r="B18" s="64">
        <v>5.52</v>
      </c>
      <c r="C18" s="64">
        <v>16.02</v>
      </c>
      <c r="D18" s="64">
        <v>22.19</v>
      </c>
      <c r="E18" s="64">
        <v>4.67</v>
      </c>
      <c r="F18" s="64">
        <v>7.32</v>
      </c>
      <c r="G18" s="64">
        <v>29.76</v>
      </c>
      <c r="H18" s="64">
        <v>16.68</v>
      </c>
      <c r="I18" s="64">
        <v>3.99</v>
      </c>
      <c r="J18" s="64">
        <v>0.45</v>
      </c>
      <c r="K18" s="64">
        <v>221.6</v>
      </c>
      <c r="L18" s="64">
        <v>28.51</v>
      </c>
      <c r="M18" s="64">
        <v>77.62</v>
      </c>
      <c r="N18" s="64">
        <v>29.1</v>
      </c>
      <c r="O18" s="64">
        <v>0</v>
      </c>
      <c r="P18" s="64">
        <v>0.44</v>
      </c>
      <c r="Q18" s="64">
        <v>9.3699999999999992</v>
      </c>
      <c r="R18" s="198"/>
      <c r="S18" s="198"/>
      <c r="T18" s="198"/>
      <c r="U18" s="198"/>
    </row>
    <row r="19" spans="1:21" s="12" customFormat="1" x14ac:dyDescent="0.25">
      <c r="A19" s="214" t="s">
        <v>1696</v>
      </c>
      <c r="B19" s="64">
        <v>4.82</v>
      </c>
      <c r="C19" s="64">
        <v>15.17</v>
      </c>
      <c r="D19" s="64">
        <v>21.64</v>
      </c>
      <c r="E19" s="64">
        <v>4.7300000000000004</v>
      </c>
      <c r="F19" s="64">
        <v>12.4</v>
      </c>
      <c r="G19" s="64">
        <v>26.25</v>
      </c>
      <c r="H19" s="64">
        <v>15.04</v>
      </c>
      <c r="I19" s="64">
        <v>3.88</v>
      </c>
      <c r="J19" s="64">
        <v>0.38</v>
      </c>
      <c r="K19" s="64">
        <v>204.19</v>
      </c>
      <c r="L19" s="64">
        <v>28.4</v>
      </c>
      <c r="M19" s="64">
        <v>78.36</v>
      </c>
      <c r="N19" s="64">
        <v>29.1</v>
      </c>
      <c r="O19" s="64">
        <v>0</v>
      </c>
      <c r="P19" s="64">
        <v>0.36</v>
      </c>
      <c r="Q19" s="64">
        <v>9.39</v>
      </c>
      <c r="R19" s="198"/>
      <c r="S19" s="198"/>
      <c r="T19" s="198"/>
      <c r="U19" s="198"/>
    </row>
    <row r="20" spans="1:21" s="12" customFormat="1" x14ac:dyDescent="0.25">
      <c r="A20" s="214" t="s">
        <v>1697</v>
      </c>
      <c r="B20" s="64">
        <v>4.7300000000000004</v>
      </c>
      <c r="C20" s="64">
        <v>14.73</v>
      </c>
      <c r="D20" s="64">
        <v>20.93</v>
      </c>
      <c r="E20" s="64">
        <v>4.87</v>
      </c>
      <c r="F20" s="64">
        <v>12.32</v>
      </c>
      <c r="G20" s="64">
        <v>26.25</v>
      </c>
      <c r="H20" s="64">
        <v>15.04</v>
      </c>
      <c r="I20" s="64">
        <v>3.93</v>
      </c>
      <c r="J20" s="64">
        <v>0.67</v>
      </c>
      <c r="K20" s="64">
        <v>170.34</v>
      </c>
      <c r="L20" s="64">
        <v>28.39</v>
      </c>
      <c r="M20" s="64">
        <v>78.64</v>
      </c>
      <c r="N20" s="64">
        <v>28.9</v>
      </c>
      <c r="O20" s="64">
        <v>0</v>
      </c>
      <c r="P20" s="64">
        <v>0.36</v>
      </c>
      <c r="Q20" s="64">
        <v>9.4</v>
      </c>
      <c r="R20" s="198"/>
      <c r="S20" s="198"/>
      <c r="T20" s="198"/>
      <c r="U20" s="198"/>
    </row>
    <row r="21" spans="1:21" s="12" customFormat="1" x14ac:dyDescent="0.25">
      <c r="A21" s="214" t="s">
        <v>1698</v>
      </c>
      <c r="B21" s="64">
        <v>5.37</v>
      </c>
      <c r="C21" s="64">
        <v>15.23</v>
      </c>
      <c r="D21" s="64">
        <v>20.9</v>
      </c>
      <c r="E21" s="64">
        <v>4.78</v>
      </c>
      <c r="F21" s="64">
        <v>10.35</v>
      </c>
      <c r="G21" s="64">
        <v>26.25</v>
      </c>
      <c r="H21" s="64">
        <v>15.04</v>
      </c>
      <c r="I21" s="64">
        <v>4.04</v>
      </c>
      <c r="J21" s="64">
        <v>1.1499999999999999</v>
      </c>
      <c r="K21" s="64">
        <v>147.79</v>
      </c>
      <c r="L21" s="64">
        <v>28.22</v>
      </c>
      <c r="M21" s="64">
        <v>80.48</v>
      </c>
      <c r="N21" s="64">
        <v>29.1</v>
      </c>
      <c r="O21" s="64">
        <v>0</v>
      </c>
      <c r="P21" s="64">
        <v>0.4</v>
      </c>
      <c r="Q21" s="64">
        <v>9.3800000000000008</v>
      </c>
      <c r="R21" s="198"/>
      <c r="S21" s="198"/>
      <c r="T21" s="198"/>
      <c r="U21" s="198"/>
    </row>
    <row r="22" spans="1:21" s="12" customFormat="1" x14ac:dyDescent="0.25">
      <c r="A22" s="214" t="s">
        <v>1699</v>
      </c>
      <c r="B22" s="64">
        <v>5.67</v>
      </c>
      <c r="C22" s="64">
        <v>15.16</v>
      </c>
      <c r="D22" s="64">
        <v>20.32</v>
      </c>
      <c r="E22" s="64">
        <v>4.67</v>
      </c>
      <c r="F22" s="64">
        <v>10.24</v>
      </c>
      <c r="G22" s="64">
        <v>25.68</v>
      </c>
      <c r="H22" s="64">
        <v>13.95</v>
      </c>
      <c r="I22" s="64">
        <v>3.93</v>
      </c>
      <c r="J22" s="64">
        <v>1.02</v>
      </c>
      <c r="K22" s="64">
        <v>153.83000000000001</v>
      </c>
      <c r="L22" s="64">
        <v>28.27</v>
      </c>
      <c r="M22" s="64">
        <v>80.69</v>
      </c>
      <c r="N22" s="64">
        <v>29.1</v>
      </c>
      <c r="O22" s="64">
        <v>0</v>
      </c>
      <c r="P22" s="64">
        <v>0.4</v>
      </c>
      <c r="Q22" s="64">
        <v>9.3699999999999992</v>
      </c>
      <c r="R22" s="198"/>
      <c r="S22" s="198"/>
      <c r="T22" s="198"/>
      <c r="U22" s="198"/>
    </row>
    <row r="23" spans="1:21" s="12" customFormat="1" x14ac:dyDescent="0.25">
      <c r="A23" s="214" t="s">
        <v>1700</v>
      </c>
      <c r="B23" s="64">
        <v>5.09</v>
      </c>
      <c r="C23" s="64">
        <v>14.79</v>
      </c>
      <c r="D23" s="64">
        <v>20.49</v>
      </c>
      <c r="E23" s="64">
        <v>4.79</v>
      </c>
      <c r="F23" s="64">
        <v>12.56</v>
      </c>
      <c r="G23" s="64">
        <v>23.92</v>
      </c>
      <c r="H23" s="64">
        <v>10.57</v>
      </c>
      <c r="I23" s="64">
        <v>4.09</v>
      </c>
      <c r="J23" s="64">
        <v>0.51</v>
      </c>
      <c r="K23" s="64">
        <v>165.91</v>
      </c>
      <c r="L23" s="64">
        <v>28.17</v>
      </c>
      <c r="M23" s="64">
        <v>81.05</v>
      </c>
      <c r="N23" s="64">
        <v>29.5</v>
      </c>
      <c r="O23" s="64">
        <v>0</v>
      </c>
      <c r="P23" s="64">
        <v>0.37</v>
      </c>
      <c r="Q23" s="64">
        <v>9.36</v>
      </c>
      <c r="R23" s="198"/>
      <c r="S23" s="198"/>
      <c r="T23" s="198"/>
      <c r="U23" s="198"/>
    </row>
    <row r="24" spans="1:21" s="12" customFormat="1" x14ac:dyDescent="0.25">
      <c r="A24" s="214" t="s">
        <v>1701</v>
      </c>
      <c r="B24" s="64">
        <v>5.15</v>
      </c>
      <c r="C24" s="64">
        <v>14.71</v>
      </c>
      <c r="D24" s="64">
        <v>20.25</v>
      </c>
      <c r="E24" s="64">
        <v>4.8</v>
      </c>
      <c r="F24" s="64">
        <v>12.44</v>
      </c>
      <c r="G24" s="64">
        <v>23.92</v>
      </c>
      <c r="H24" s="64">
        <v>10.57</v>
      </c>
      <c r="I24" s="64">
        <v>4.0199999999999996</v>
      </c>
      <c r="J24" s="64">
        <v>0.54</v>
      </c>
      <c r="K24" s="64">
        <v>182.01</v>
      </c>
      <c r="L24" s="64">
        <v>27.79</v>
      </c>
      <c r="M24" s="64">
        <v>82.05</v>
      </c>
      <c r="N24" s="64">
        <v>29.2</v>
      </c>
      <c r="O24" s="64">
        <v>0</v>
      </c>
      <c r="P24" s="64">
        <v>0.37</v>
      </c>
      <c r="Q24" s="64">
        <v>9.35</v>
      </c>
      <c r="R24" s="198"/>
      <c r="S24" s="198"/>
      <c r="T24" s="198"/>
      <c r="U24" s="198"/>
    </row>
    <row r="25" spans="1:21" s="12" customFormat="1" x14ac:dyDescent="0.25">
      <c r="A25" s="214" t="s">
        <v>1702</v>
      </c>
      <c r="B25" s="64">
        <v>5.3</v>
      </c>
      <c r="C25" s="64">
        <v>16.260000000000002</v>
      </c>
      <c r="D25" s="64">
        <v>22.97</v>
      </c>
      <c r="E25" s="64">
        <v>4.5</v>
      </c>
      <c r="F25" s="64">
        <v>12.39</v>
      </c>
      <c r="G25" s="64">
        <v>23.92</v>
      </c>
      <c r="H25" s="64">
        <v>10.57</v>
      </c>
      <c r="I25" s="64">
        <v>3.91</v>
      </c>
      <c r="J25" s="64">
        <v>0.62</v>
      </c>
      <c r="K25" s="64">
        <v>176.66</v>
      </c>
      <c r="L25" s="64">
        <v>28.03</v>
      </c>
      <c r="M25" s="64">
        <v>82.59</v>
      </c>
      <c r="N25" s="64">
        <v>28.8</v>
      </c>
      <c r="O25" s="64">
        <v>0</v>
      </c>
      <c r="P25" s="64">
        <v>0.38</v>
      </c>
      <c r="Q25" s="64">
        <v>9.36</v>
      </c>
      <c r="R25" s="198"/>
      <c r="S25" s="198"/>
      <c r="T25" s="198"/>
      <c r="U25" s="198"/>
    </row>
    <row r="26" spans="1:21" s="12" customFormat="1" x14ac:dyDescent="0.25">
      <c r="A26" s="214" t="s">
        <v>1703</v>
      </c>
      <c r="B26" s="64">
        <v>5.09</v>
      </c>
      <c r="C26" s="64">
        <v>16.440000000000001</v>
      </c>
      <c r="D26" s="64">
        <v>23.66</v>
      </c>
      <c r="E26" s="64">
        <v>4.42</v>
      </c>
      <c r="F26" s="64">
        <v>13.34</v>
      </c>
      <c r="G26" s="64">
        <v>24.1</v>
      </c>
      <c r="H26" s="64">
        <v>11.92</v>
      </c>
      <c r="I26" s="64">
        <v>4.07</v>
      </c>
      <c r="J26" s="64">
        <v>0.37</v>
      </c>
      <c r="K26" s="64">
        <v>190.99</v>
      </c>
      <c r="L26" s="64">
        <v>28.2</v>
      </c>
      <c r="M26" s="64">
        <v>82.07</v>
      </c>
      <c r="N26" s="64">
        <v>29.1</v>
      </c>
      <c r="O26" s="64">
        <v>0</v>
      </c>
      <c r="P26" s="64">
        <v>0.36</v>
      </c>
      <c r="Q26" s="64">
        <v>9.34</v>
      </c>
      <c r="R26" s="198"/>
      <c r="S26" s="198"/>
      <c r="T26" s="198"/>
      <c r="U26" s="198"/>
    </row>
    <row r="27" spans="1:21" s="12" customFormat="1" x14ac:dyDescent="0.25">
      <c r="A27" s="214" t="s">
        <v>1704</v>
      </c>
      <c r="B27" s="64">
        <v>5.68</v>
      </c>
      <c r="C27" s="64">
        <v>16.21</v>
      </c>
      <c r="D27" s="64">
        <v>22.31</v>
      </c>
      <c r="E27" s="64">
        <v>4.42</v>
      </c>
      <c r="F27" s="64">
        <v>5.39</v>
      </c>
      <c r="G27" s="64">
        <v>24.66</v>
      </c>
      <c r="H27" s="64">
        <v>16.09</v>
      </c>
      <c r="I27" s="64">
        <v>4.07</v>
      </c>
      <c r="J27" s="64">
        <v>1</v>
      </c>
      <c r="K27" s="64">
        <v>151.09</v>
      </c>
      <c r="L27" s="64">
        <v>28.13</v>
      </c>
      <c r="M27" s="64">
        <v>81.67</v>
      </c>
      <c r="N27" s="64">
        <v>29</v>
      </c>
      <c r="O27" s="64">
        <v>0</v>
      </c>
      <c r="P27" s="64">
        <v>0.42</v>
      </c>
      <c r="Q27" s="64">
        <v>9.34</v>
      </c>
      <c r="R27" s="198"/>
      <c r="S27" s="198"/>
      <c r="T27" s="198"/>
      <c r="U27" s="198"/>
    </row>
    <row r="28" spans="1:21" s="12" customFormat="1" x14ac:dyDescent="0.25">
      <c r="A28" s="214" t="s">
        <v>1705</v>
      </c>
      <c r="B28" s="64">
        <v>6.19</v>
      </c>
      <c r="C28" s="64">
        <v>17.760000000000002</v>
      </c>
      <c r="D28" s="64">
        <v>24.5</v>
      </c>
      <c r="E28" s="64">
        <v>4.47</v>
      </c>
      <c r="F28" s="64">
        <v>7.4</v>
      </c>
      <c r="G28" s="64">
        <v>24.66</v>
      </c>
      <c r="H28" s="64">
        <v>16.09</v>
      </c>
      <c r="I28" s="64">
        <v>3.99</v>
      </c>
      <c r="J28" s="64">
        <v>0.89</v>
      </c>
      <c r="K28" s="64">
        <v>155.22</v>
      </c>
      <c r="L28" s="64">
        <v>28.19</v>
      </c>
      <c r="M28" s="64">
        <v>81.96</v>
      </c>
      <c r="N28" s="64">
        <v>29</v>
      </c>
      <c r="O28" s="64">
        <v>0</v>
      </c>
      <c r="P28" s="64">
        <v>0.41</v>
      </c>
      <c r="Q28" s="64">
        <v>9.36</v>
      </c>
      <c r="R28" s="198"/>
      <c r="S28" s="198"/>
      <c r="T28" s="198"/>
      <c r="U28" s="198"/>
    </row>
    <row r="29" spans="1:21" s="12" customFormat="1" x14ac:dyDescent="0.25">
      <c r="A29" s="214" t="s">
        <v>1706</v>
      </c>
      <c r="B29" s="64">
        <v>5.43</v>
      </c>
      <c r="C29" s="64">
        <v>17.11</v>
      </c>
      <c r="D29" s="64">
        <v>24.42</v>
      </c>
      <c r="E29" s="64">
        <v>4.6399999999999997</v>
      </c>
      <c r="F29" s="64">
        <v>8.73</v>
      </c>
      <c r="G29" s="64">
        <v>24.66</v>
      </c>
      <c r="H29" s="64">
        <v>16.09</v>
      </c>
      <c r="I29" s="64">
        <v>3.93</v>
      </c>
      <c r="J29" s="64">
        <v>0.41</v>
      </c>
      <c r="K29" s="64">
        <v>192.08</v>
      </c>
      <c r="L29" s="64">
        <v>28.24</v>
      </c>
      <c r="M29" s="64">
        <v>81.98</v>
      </c>
      <c r="N29" s="64">
        <v>29.4</v>
      </c>
      <c r="O29" s="64">
        <v>0</v>
      </c>
      <c r="P29" s="64">
        <v>0.38</v>
      </c>
      <c r="Q29" s="64">
        <v>9.3699999999999992</v>
      </c>
      <c r="R29" s="198"/>
      <c r="S29" s="198"/>
      <c r="T29" s="198"/>
      <c r="U29" s="198"/>
    </row>
    <row r="30" spans="1:21" s="12" customFormat="1" x14ac:dyDescent="0.25">
      <c r="A30" s="214" t="s">
        <v>1707</v>
      </c>
      <c r="B30" s="64">
        <v>5.72</v>
      </c>
      <c r="C30" s="64">
        <v>16.72</v>
      </c>
      <c r="D30" s="64">
        <v>23.23</v>
      </c>
      <c r="E30" s="64">
        <v>4.5599999999999996</v>
      </c>
      <c r="F30" s="64">
        <v>6.72</v>
      </c>
      <c r="G30" s="64">
        <v>24.84</v>
      </c>
      <c r="H30" s="64">
        <v>15.31</v>
      </c>
      <c r="I30" s="64">
        <v>4.13</v>
      </c>
      <c r="J30" s="64">
        <v>0.54</v>
      </c>
      <c r="K30" s="64">
        <v>184.71</v>
      </c>
      <c r="L30" s="64">
        <v>28.25</v>
      </c>
      <c r="M30" s="64">
        <v>81.92</v>
      </c>
      <c r="N30" s="64">
        <v>32</v>
      </c>
      <c r="O30" s="64">
        <v>0</v>
      </c>
      <c r="P30" s="64">
        <v>0.41</v>
      </c>
      <c r="Q30" s="64">
        <v>9.36</v>
      </c>
      <c r="R30" s="198"/>
      <c r="S30" s="198"/>
      <c r="T30" s="198"/>
      <c r="U30" s="198"/>
    </row>
    <row r="31" spans="1:21" s="12" customFormat="1" x14ac:dyDescent="0.25">
      <c r="A31" s="214" t="s">
        <v>1708</v>
      </c>
      <c r="B31" s="64">
        <v>5.95</v>
      </c>
      <c r="C31" s="64">
        <v>17.13</v>
      </c>
      <c r="D31" s="64">
        <v>23.65</v>
      </c>
      <c r="E31" s="64">
        <v>4.62</v>
      </c>
      <c r="F31" s="64">
        <v>7.27</v>
      </c>
      <c r="G31" s="64">
        <v>25.34</v>
      </c>
      <c r="H31" s="64">
        <v>12.91</v>
      </c>
      <c r="I31" s="64">
        <v>4</v>
      </c>
      <c r="J31" s="64">
        <v>0.44</v>
      </c>
      <c r="K31" s="64">
        <v>184.18</v>
      </c>
      <c r="L31" s="64">
        <v>28.2</v>
      </c>
      <c r="M31" s="64">
        <v>81.680000000000007</v>
      </c>
      <c r="N31" s="64">
        <v>41.2</v>
      </c>
      <c r="O31" s="64">
        <v>0</v>
      </c>
      <c r="P31" s="64">
        <v>0.42</v>
      </c>
      <c r="Q31" s="64">
        <v>9.36</v>
      </c>
      <c r="R31" s="198"/>
      <c r="S31" s="198"/>
      <c r="T31" s="198"/>
      <c r="U31" s="198"/>
    </row>
    <row r="32" spans="1:21" s="12" customFormat="1" x14ac:dyDescent="0.25">
      <c r="A32" s="214" t="s">
        <v>1709</v>
      </c>
      <c r="B32" s="64">
        <v>6.07</v>
      </c>
      <c r="C32" s="64">
        <v>17.32</v>
      </c>
      <c r="D32" s="64">
        <v>23.84</v>
      </c>
      <c r="E32" s="64">
        <v>4.4800000000000004</v>
      </c>
      <c r="F32" s="64">
        <v>5.8</v>
      </c>
      <c r="G32" s="64">
        <v>25.34</v>
      </c>
      <c r="H32" s="64">
        <v>12.91</v>
      </c>
      <c r="I32" s="64">
        <v>4.07</v>
      </c>
      <c r="J32" s="64">
        <v>1.18</v>
      </c>
      <c r="K32" s="64">
        <v>144.53</v>
      </c>
      <c r="L32" s="64">
        <v>28.25</v>
      </c>
      <c r="M32" s="64">
        <v>81.86</v>
      </c>
      <c r="N32" s="64">
        <v>60.6</v>
      </c>
      <c r="O32" s="64">
        <v>0</v>
      </c>
      <c r="P32" s="64">
        <v>0.41</v>
      </c>
      <c r="Q32" s="64">
        <v>9.39</v>
      </c>
      <c r="R32" s="198"/>
      <c r="S32" s="198"/>
      <c r="T32" s="198"/>
      <c r="U32" s="198"/>
    </row>
    <row r="33" spans="1:21" s="12" customFormat="1" x14ac:dyDescent="0.25">
      <c r="A33" s="214" t="s">
        <v>1710</v>
      </c>
      <c r="B33" s="64">
        <v>6.66</v>
      </c>
      <c r="C33" s="64">
        <v>16.88</v>
      </c>
      <c r="D33" s="64">
        <v>22.09</v>
      </c>
      <c r="E33" s="64">
        <v>4.43</v>
      </c>
      <c r="F33" s="64">
        <v>4.83</v>
      </c>
      <c r="G33" s="64">
        <v>25.34</v>
      </c>
      <c r="H33" s="64">
        <v>12.91</v>
      </c>
      <c r="I33" s="64">
        <v>4.1500000000000004</v>
      </c>
      <c r="J33" s="64">
        <v>0.71</v>
      </c>
      <c r="K33" s="64">
        <v>166.7</v>
      </c>
      <c r="L33" s="64">
        <v>28.53</v>
      </c>
      <c r="M33" s="64">
        <v>80.489999999999995</v>
      </c>
      <c r="N33" s="64">
        <v>82.6</v>
      </c>
      <c r="O33" s="64">
        <v>0</v>
      </c>
      <c r="P33" s="64">
        <v>0.42</v>
      </c>
      <c r="Q33" s="64">
        <v>9.3800000000000008</v>
      </c>
      <c r="R33" s="198"/>
      <c r="S33" s="198"/>
      <c r="T33" s="198"/>
      <c r="U33" s="198"/>
    </row>
    <row r="34" spans="1:21" s="12" customFormat="1" x14ac:dyDescent="0.25">
      <c r="A34" s="214" t="s">
        <v>1711</v>
      </c>
      <c r="B34" s="64">
        <v>7.5</v>
      </c>
      <c r="C34" s="64">
        <v>21.55</v>
      </c>
      <c r="D34" s="64">
        <v>29.74</v>
      </c>
      <c r="E34" s="64">
        <v>4.21</v>
      </c>
      <c r="F34" s="64">
        <v>5.76</v>
      </c>
      <c r="G34" s="64">
        <v>25.45</v>
      </c>
      <c r="H34" s="64">
        <v>13.16</v>
      </c>
      <c r="I34" s="64">
        <v>3.94</v>
      </c>
      <c r="J34" s="64">
        <v>0.66</v>
      </c>
      <c r="K34" s="64">
        <v>165.07</v>
      </c>
      <c r="L34" s="64">
        <v>28.62</v>
      </c>
      <c r="M34" s="64">
        <v>80.44</v>
      </c>
      <c r="N34" s="64">
        <v>91.3</v>
      </c>
      <c r="O34" s="64">
        <v>0</v>
      </c>
      <c r="P34" s="64">
        <v>0.43</v>
      </c>
      <c r="Q34" s="64">
        <v>9.39</v>
      </c>
      <c r="R34" s="198"/>
      <c r="S34" s="198"/>
      <c r="T34" s="198"/>
      <c r="U34" s="198"/>
    </row>
    <row r="35" spans="1:21" s="12" customFormat="1" x14ac:dyDescent="0.25">
      <c r="A35" s="214" t="s">
        <v>1712</v>
      </c>
      <c r="B35" s="64">
        <v>7.71</v>
      </c>
      <c r="C35" s="64">
        <v>20.420000000000002</v>
      </c>
      <c r="D35" s="64">
        <v>27.24</v>
      </c>
      <c r="E35" s="64">
        <v>4.46</v>
      </c>
      <c r="F35" s="64">
        <v>5.65</v>
      </c>
      <c r="G35" s="64">
        <v>25.77</v>
      </c>
      <c r="H35" s="64">
        <v>13.94</v>
      </c>
      <c r="I35" s="64">
        <v>4.3</v>
      </c>
      <c r="J35" s="64">
        <v>1.01</v>
      </c>
      <c r="K35" s="64">
        <v>148.63999999999999</v>
      </c>
      <c r="L35" s="64">
        <v>28.73</v>
      </c>
      <c r="M35" s="64">
        <v>80.63</v>
      </c>
      <c r="N35" s="64">
        <v>136.6</v>
      </c>
      <c r="O35" s="64">
        <v>0</v>
      </c>
      <c r="P35" s="64">
        <v>0.43</v>
      </c>
      <c r="Q35" s="64">
        <v>9.41</v>
      </c>
      <c r="R35" s="198"/>
      <c r="S35" s="198"/>
      <c r="T35" s="198"/>
      <c r="U35" s="198"/>
    </row>
    <row r="36" spans="1:21" s="12" customFormat="1" x14ac:dyDescent="0.25">
      <c r="A36" s="214" t="s">
        <v>1713</v>
      </c>
      <c r="B36" s="64">
        <v>7.45</v>
      </c>
      <c r="C36" s="64">
        <v>19.03</v>
      </c>
      <c r="D36" s="64">
        <v>24.99</v>
      </c>
      <c r="E36" s="64">
        <v>4.51</v>
      </c>
      <c r="F36" s="64">
        <v>5.54</v>
      </c>
      <c r="G36" s="64">
        <v>25.77</v>
      </c>
      <c r="H36" s="64">
        <v>13.94</v>
      </c>
      <c r="I36" s="64">
        <v>4.01</v>
      </c>
      <c r="J36" s="64">
        <v>0.55000000000000004</v>
      </c>
      <c r="K36" s="64">
        <v>187.89</v>
      </c>
      <c r="L36" s="64">
        <v>29.27</v>
      </c>
      <c r="M36" s="64">
        <v>78.430000000000007</v>
      </c>
      <c r="N36" s="64">
        <v>152.6</v>
      </c>
      <c r="O36" s="64">
        <v>0</v>
      </c>
      <c r="P36" s="64">
        <v>0.44</v>
      </c>
      <c r="Q36" s="64">
        <v>9.42</v>
      </c>
      <c r="R36" s="198"/>
      <c r="S36" s="198"/>
      <c r="T36" s="198"/>
      <c r="U36" s="198"/>
    </row>
    <row r="37" spans="1:21" s="12" customFormat="1" x14ac:dyDescent="0.25">
      <c r="A37" s="214" t="s">
        <v>1714</v>
      </c>
      <c r="B37" s="64">
        <v>7.26</v>
      </c>
      <c r="C37" s="64">
        <v>20.48</v>
      </c>
      <c r="D37" s="64">
        <v>28.05</v>
      </c>
      <c r="E37" s="64">
        <v>4.57</v>
      </c>
      <c r="F37" s="64">
        <v>11.56</v>
      </c>
      <c r="G37" s="64">
        <v>25.77</v>
      </c>
      <c r="H37" s="64">
        <v>13.94</v>
      </c>
      <c r="I37" s="64">
        <v>3.99</v>
      </c>
      <c r="J37" s="64">
        <v>0.5</v>
      </c>
      <c r="K37" s="64">
        <v>209.57</v>
      </c>
      <c r="L37" s="64">
        <v>29.71</v>
      </c>
      <c r="M37" s="64">
        <v>76.959999999999994</v>
      </c>
      <c r="N37" s="64">
        <v>180.8</v>
      </c>
      <c r="O37" s="64">
        <v>0</v>
      </c>
      <c r="P37" s="64">
        <v>0.42</v>
      </c>
      <c r="Q37" s="64">
        <v>9.43</v>
      </c>
      <c r="R37" s="198"/>
      <c r="S37" s="198"/>
      <c r="T37" s="198"/>
      <c r="U37" s="198"/>
    </row>
    <row r="38" spans="1:21" s="12" customFormat="1" x14ac:dyDescent="0.25">
      <c r="A38" s="214" t="s">
        <v>1715</v>
      </c>
      <c r="B38" s="64">
        <v>6.45</v>
      </c>
      <c r="C38" s="64">
        <v>19.420000000000002</v>
      </c>
      <c r="D38" s="64">
        <v>27.27</v>
      </c>
      <c r="E38" s="64">
        <v>4.25</v>
      </c>
      <c r="F38" s="64">
        <v>12.86</v>
      </c>
      <c r="G38" s="64">
        <v>25.69</v>
      </c>
      <c r="H38" s="64">
        <v>13.83</v>
      </c>
      <c r="I38" s="64">
        <v>4.01</v>
      </c>
      <c r="J38" s="64">
        <v>0.52</v>
      </c>
      <c r="K38" s="64">
        <v>219.27</v>
      </c>
      <c r="L38" s="64">
        <v>30.21</v>
      </c>
      <c r="M38" s="64">
        <v>75.180000000000007</v>
      </c>
      <c r="N38" s="64">
        <v>234</v>
      </c>
      <c r="O38" s="64">
        <v>0</v>
      </c>
      <c r="P38" s="64">
        <v>0.45</v>
      </c>
      <c r="Q38" s="64">
        <v>9.42</v>
      </c>
      <c r="R38" s="198"/>
      <c r="S38" s="198"/>
      <c r="T38" s="198"/>
      <c r="U38" s="198"/>
    </row>
    <row r="39" spans="1:21" s="12" customFormat="1" x14ac:dyDescent="0.25">
      <c r="A39" s="214" t="s">
        <v>1716</v>
      </c>
      <c r="B39" s="64">
        <v>7.21</v>
      </c>
      <c r="C39" s="64">
        <v>20.09</v>
      </c>
      <c r="D39" s="64">
        <v>27.39</v>
      </c>
      <c r="E39" s="64">
        <v>4.32</v>
      </c>
      <c r="F39" s="64">
        <v>13.27</v>
      </c>
      <c r="G39" s="64">
        <v>25.46</v>
      </c>
      <c r="H39" s="64">
        <v>13.48</v>
      </c>
      <c r="I39" s="64">
        <v>4.03</v>
      </c>
      <c r="J39" s="64">
        <v>0.56000000000000005</v>
      </c>
      <c r="K39" s="64">
        <v>218.95</v>
      </c>
      <c r="L39" s="64">
        <v>31.2</v>
      </c>
      <c r="M39" s="64">
        <v>71.930000000000007</v>
      </c>
      <c r="N39" s="64">
        <v>331.5</v>
      </c>
      <c r="O39" s="64">
        <v>0</v>
      </c>
      <c r="P39" s="64">
        <v>0.49</v>
      </c>
      <c r="Q39" s="64">
        <v>9.39</v>
      </c>
      <c r="R39" s="198"/>
      <c r="S39" s="198"/>
      <c r="T39" s="198"/>
      <c r="U39" s="198"/>
    </row>
    <row r="40" spans="1:21" s="12" customFormat="1" x14ac:dyDescent="0.25">
      <c r="A40" s="214" t="s">
        <v>1717</v>
      </c>
      <c r="B40" s="64">
        <v>7.88</v>
      </c>
      <c r="C40" s="64">
        <v>20.57</v>
      </c>
      <c r="D40" s="64">
        <v>27.27</v>
      </c>
      <c r="E40" s="64">
        <v>5.65</v>
      </c>
      <c r="F40" s="64">
        <v>12.84</v>
      </c>
      <c r="G40" s="64">
        <v>25.46</v>
      </c>
      <c r="H40" s="64">
        <v>13.48</v>
      </c>
      <c r="I40" s="64">
        <v>4.17</v>
      </c>
      <c r="J40" s="64">
        <v>0.66</v>
      </c>
      <c r="K40" s="64">
        <v>238.53</v>
      </c>
      <c r="L40" s="64">
        <v>32.29</v>
      </c>
      <c r="M40" s="64">
        <v>66.39</v>
      </c>
      <c r="N40" s="64">
        <v>380.5</v>
      </c>
      <c r="O40" s="64">
        <v>0</v>
      </c>
      <c r="P40" s="64">
        <v>0.52</v>
      </c>
      <c r="Q40" s="64">
        <v>9.3800000000000008</v>
      </c>
      <c r="R40" s="198"/>
      <c r="S40" s="198"/>
      <c r="T40" s="198"/>
      <c r="U40" s="198"/>
    </row>
    <row r="41" spans="1:21" s="12" customFormat="1" x14ac:dyDescent="0.25">
      <c r="A41" s="214" t="s">
        <v>1718</v>
      </c>
      <c r="B41" s="64">
        <v>7.45</v>
      </c>
      <c r="C41" s="64">
        <v>23.25</v>
      </c>
      <c r="D41" s="64">
        <v>33.08</v>
      </c>
      <c r="E41" s="64">
        <v>5.21</v>
      </c>
      <c r="F41" s="64">
        <v>12.06</v>
      </c>
      <c r="G41" s="64">
        <v>25.46</v>
      </c>
      <c r="H41" s="64">
        <v>13.48</v>
      </c>
      <c r="I41" s="64">
        <v>3.99</v>
      </c>
      <c r="J41" s="64">
        <v>0.71</v>
      </c>
      <c r="K41" s="64">
        <v>236.13</v>
      </c>
      <c r="L41" s="64">
        <v>33.36</v>
      </c>
      <c r="M41" s="64">
        <v>60.71</v>
      </c>
      <c r="N41" s="64">
        <v>422.1</v>
      </c>
      <c r="O41" s="64">
        <v>0</v>
      </c>
      <c r="P41" s="64">
        <v>0.52</v>
      </c>
      <c r="Q41" s="64">
        <v>9.3699999999999992</v>
      </c>
      <c r="R41" s="198"/>
      <c r="S41" s="198"/>
      <c r="T41" s="198"/>
      <c r="U41" s="198"/>
    </row>
    <row r="42" spans="1:21" s="12" customFormat="1" x14ac:dyDescent="0.25">
      <c r="A42" s="214" t="s">
        <v>1719</v>
      </c>
      <c r="B42" s="64">
        <v>7.01</v>
      </c>
      <c r="C42" s="64">
        <v>22.52</v>
      </c>
      <c r="D42" s="64">
        <v>32.35</v>
      </c>
      <c r="E42" s="64">
        <v>5.5</v>
      </c>
      <c r="F42" s="64">
        <v>14.26</v>
      </c>
      <c r="G42" s="64">
        <v>28.84</v>
      </c>
      <c r="H42" s="64">
        <v>13.93</v>
      </c>
      <c r="I42" s="64">
        <v>4.05</v>
      </c>
      <c r="J42" s="64">
        <v>0.61</v>
      </c>
      <c r="K42" s="64">
        <v>237.81</v>
      </c>
      <c r="L42" s="64">
        <v>34.549999999999997</v>
      </c>
      <c r="M42" s="64">
        <v>53.84</v>
      </c>
      <c r="N42" s="64">
        <v>423.2</v>
      </c>
      <c r="O42" s="64">
        <v>0</v>
      </c>
      <c r="P42" s="64">
        <v>0.51</v>
      </c>
      <c r="Q42" s="64">
        <v>9.36</v>
      </c>
      <c r="R42" s="198"/>
      <c r="S42" s="198"/>
      <c r="T42" s="198"/>
      <c r="U42" s="198"/>
    </row>
    <row r="43" spans="1:21" s="12" customFormat="1" x14ac:dyDescent="0.25">
      <c r="A43" s="214" t="s">
        <v>1720</v>
      </c>
      <c r="B43" s="64">
        <v>6.53</v>
      </c>
      <c r="C43" s="64">
        <v>20.85</v>
      </c>
      <c r="D43" s="64">
        <v>29.87</v>
      </c>
      <c r="E43" s="64">
        <v>5.61</v>
      </c>
      <c r="F43" s="64">
        <v>10.45</v>
      </c>
      <c r="G43" s="64">
        <v>38.69</v>
      </c>
      <c r="H43" s="64">
        <v>15.33</v>
      </c>
      <c r="I43" s="64">
        <v>3.94</v>
      </c>
      <c r="J43" s="64">
        <v>0.84</v>
      </c>
      <c r="K43" s="64">
        <v>242.08</v>
      </c>
      <c r="L43" s="64">
        <v>34.65</v>
      </c>
      <c r="M43" s="64">
        <v>52.08</v>
      </c>
      <c r="N43" s="64">
        <v>339.2</v>
      </c>
      <c r="O43" s="64">
        <v>0</v>
      </c>
      <c r="P43" s="64">
        <v>0.5</v>
      </c>
      <c r="Q43" s="64">
        <v>9.35</v>
      </c>
      <c r="R43" s="198"/>
      <c r="S43" s="198"/>
      <c r="T43" s="198"/>
      <c r="U43" s="198"/>
    </row>
    <row r="44" spans="1:21" s="12" customFormat="1" x14ac:dyDescent="0.25">
      <c r="A44" s="214" t="s">
        <v>1721</v>
      </c>
      <c r="B44" s="64">
        <v>6.45</v>
      </c>
      <c r="C44" s="64">
        <v>22.39</v>
      </c>
      <c r="D44" s="64">
        <v>32.96</v>
      </c>
      <c r="E44" s="64">
        <v>5.33</v>
      </c>
      <c r="F44" s="64">
        <v>8.83</v>
      </c>
      <c r="G44" s="64">
        <v>38.69</v>
      </c>
      <c r="H44" s="64">
        <v>15.33</v>
      </c>
      <c r="I44" s="64">
        <v>3.79</v>
      </c>
      <c r="J44" s="64">
        <v>0.71</v>
      </c>
      <c r="K44" s="64">
        <v>239.01</v>
      </c>
      <c r="L44" s="64">
        <v>34.75</v>
      </c>
      <c r="M44" s="64">
        <v>50.53</v>
      </c>
      <c r="N44" s="64">
        <v>248.8</v>
      </c>
      <c r="O44" s="64">
        <v>0</v>
      </c>
      <c r="P44" s="64">
        <v>0.54</v>
      </c>
      <c r="Q44" s="64">
        <v>9.34</v>
      </c>
      <c r="R44" s="198"/>
      <c r="S44" s="198"/>
      <c r="T44" s="198"/>
      <c r="U44" s="198"/>
    </row>
    <row r="45" spans="1:21" s="12" customFormat="1" x14ac:dyDescent="0.25">
      <c r="A45" s="214" t="s">
        <v>1722</v>
      </c>
      <c r="B45" s="64">
        <v>5.65</v>
      </c>
      <c r="C45" s="64">
        <v>19.940000000000001</v>
      </c>
      <c r="D45" s="64">
        <v>29.5</v>
      </c>
      <c r="E45" s="64">
        <v>5.35</v>
      </c>
      <c r="F45" s="64">
        <v>6.12</v>
      </c>
      <c r="G45" s="64">
        <v>38.69</v>
      </c>
      <c r="H45" s="64">
        <v>15.33</v>
      </c>
      <c r="I45" s="64">
        <v>3.97</v>
      </c>
      <c r="J45" s="64">
        <v>0.74</v>
      </c>
      <c r="K45" s="64">
        <v>241.32</v>
      </c>
      <c r="L45" s="64">
        <v>34.840000000000003</v>
      </c>
      <c r="M45" s="64">
        <v>49.91</v>
      </c>
      <c r="N45" s="64">
        <v>295.3</v>
      </c>
      <c r="O45" s="64">
        <v>0</v>
      </c>
      <c r="P45" s="64">
        <v>0.51</v>
      </c>
      <c r="Q45" s="64">
        <v>9.32</v>
      </c>
      <c r="R45" s="198"/>
      <c r="S45" s="198"/>
      <c r="T45" s="198"/>
      <c r="U45" s="198"/>
    </row>
    <row r="46" spans="1:21" s="12" customFormat="1" x14ac:dyDescent="0.25">
      <c r="A46" s="214" t="s">
        <v>1723</v>
      </c>
      <c r="B46" s="64">
        <v>5.99</v>
      </c>
      <c r="C46" s="64">
        <v>23.28</v>
      </c>
      <c r="D46" s="64">
        <v>35.380000000000003</v>
      </c>
      <c r="E46" s="64">
        <v>5.74</v>
      </c>
      <c r="F46" s="64">
        <v>13.48</v>
      </c>
      <c r="G46" s="64">
        <v>39.630000000000003</v>
      </c>
      <c r="H46" s="64">
        <v>15.99</v>
      </c>
      <c r="I46" s="64">
        <v>3.95</v>
      </c>
      <c r="J46" s="64">
        <v>0.61</v>
      </c>
      <c r="K46" s="64">
        <v>239.47</v>
      </c>
      <c r="L46" s="64">
        <v>35.49</v>
      </c>
      <c r="M46" s="64">
        <v>48.22</v>
      </c>
      <c r="N46" s="64">
        <v>353.9</v>
      </c>
      <c r="O46" s="64">
        <v>0</v>
      </c>
      <c r="P46" s="64">
        <v>0.56000000000000005</v>
      </c>
      <c r="Q46" s="64">
        <v>9.33</v>
      </c>
      <c r="R46" s="198"/>
      <c r="S46" s="198"/>
      <c r="T46" s="198"/>
      <c r="U46" s="198"/>
    </row>
    <row r="47" spans="1:21" s="12" customFormat="1" x14ac:dyDescent="0.25">
      <c r="A47" s="214" t="s">
        <v>1724</v>
      </c>
      <c r="B47" s="64">
        <v>5.49</v>
      </c>
      <c r="C47" s="64">
        <v>20.350000000000001</v>
      </c>
      <c r="D47" s="64">
        <v>30.51</v>
      </c>
      <c r="E47" s="64">
        <v>6.2</v>
      </c>
      <c r="F47" s="64">
        <v>7.23</v>
      </c>
      <c r="G47" s="64">
        <v>42.38</v>
      </c>
      <c r="H47" s="64">
        <v>17.91</v>
      </c>
      <c r="I47" s="64">
        <v>4.07</v>
      </c>
      <c r="J47" s="64">
        <v>0.75</v>
      </c>
      <c r="K47" s="64">
        <v>242.02</v>
      </c>
      <c r="L47" s="64">
        <v>36.1</v>
      </c>
      <c r="M47" s="64">
        <v>46.13</v>
      </c>
      <c r="N47" s="64">
        <v>400.2</v>
      </c>
      <c r="O47" s="64">
        <v>0</v>
      </c>
      <c r="P47" s="64">
        <v>0.54</v>
      </c>
      <c r="Q47" s="64">
        <v>9.32</v>
      </c>
      <c r="R47" s="198"/>
      <c r="S47" s="198"/>
      <c r="T47" s="198"/>
      <c r="U47" s="198"/>
    </row>
    <row r="48" spans="1:21" s="12" customFormat="1" x14ac:dyDescent="0.25">
      <c r="A48" s="214" t="s">
        <v>1725</v>
      </c>
      <c r="B48" s="64">
        <v>5.34</v>
      </c>
      <c r="C48" s="64">
        <v>20.239999999999998</v>
      </c>
      <c r="D48" s="64">
        <v>30.54</v>
      </c>
      <c r="E48" s="64">
        <v>5.54</v>
      </c>
      <c r="F48" s="64">
        <v>7.1</v>
      </c>
      <c r="G48" s="64">
        <v>42.38</v>
      </c>
      <c r="H48" s="64">
        <v>17.91</v>
      </c>
      <c r="I48" s="64">
        <v>4.03</v>
      </c>
      <c r="J48" s="64">
        <v>0.72</v>
      </c>
      <c r="K48" s="64">
        <v>235.17</v>
      </c>
      <c r="L48" s="64">
        <v>36.729999999999997</v>
      </c>
      <c r="M48" s="64">
        <v>44.34</v>
      </c>
      <c r="N48" s="64">
        <v>489.3</v>
      </c>
      <c r="O48" s="64">
        <v>0</v>
      </c>
      <c r="P48" s="64">
        <v>0.57999999999999996</v>
      </c>
      <c r="Q48" s="64">
        <v>9.32</v>
      </c>
      <c r="R48" s="198"/>
      <c r="S48" s="198"/>
      <c r="T48" s="198"/>
      <c r="U48" s="198"/>
    </row>
    <row r="49" spans="1:21" s="12" customFormat="1" x14ac:dyDescent="0.25">
      <c r="A49" s="214" t="s">
        <v>1726</v>
      </c>
      <c r="B49" s="64">
        <v>5.0599999999999996</v>
      </c>
      <c r="C49" s="64">
        <v>19.41</v>
      </c>
      <c r="D49" s="64">
        <v>29.4</v>
      </c>
      <c r="E49" s="64">
        <v>6.47</v>
      </c>
      <c r="F49" s="64">
        <v>11</v>
      </c>
      <c r="G49" s="64">
        <v>42.38</v>
      </c>
      <c r="H49" s="64">
        <v>17.91</v>
      </c>
      <c r="I49" s="64">
        <v>4.0999999999999996</v>
      </c>
      <c r="J49" s="64">
        <v>0.62</v>
      </c>
      <c r="K49" s="64">
        <v>226.36</v>
      </c>
      <c r="L49" s="64">
        <v>36.700000000000003</v>
      </c>
      <c r="M49" s="64">
        <v>44.61</v>
      </c>
      <c r="N49" s="64">
        <v>515.29999999999995</v>
      </c>
      <c r="O49" s="64">
        <v>0</v>
      </c>
      <c r="P49" s="64">
        <v>0.59</v>
      </c>
      <c r="Q49" s="64">
        <v>9.32</v>
      </c>
      <c r="R49" s="198"/>
      <c r="S49" s="198"/>
      <c r="T49" s="198"/>
      <c r="U49" s="198"/>
    </row>
    <row r="50" spans="1:21" s="12" customFormat="1" x14ac:dyDescent="0.25">
      <c r="A50" s="214" t="s">
        <v>1727</v>
      </c>
      <c r="B50" s="64">
        <v>4.96</v>
      </c>
      <c r="C50" s="64">
        <v>19.010000000000002</v>
      </c>
      <c r="D50" s="64">
        <v>28.76</v>
      </c>
      <c r="E50" s="64">
        <v>6.25</v>
      </c>
      <c r="F50" s="64">
        <v>13.2</v>
      </c>
      <c r="G50" s="64">
        <v>42.07</v>
      </c>
      <c r="H50" s="64">
        <v>17.39</v>
      </c>
      <c r="I50" s="64">
        <v>3.83</v>
      </c>
      <c r="J50" s="64">
        <v>0.77</v>
      </c>
      <c r="K50" s="64">
        <v>242.42</v>
      </c>
      <c r="L50" s="64">
        <v>37.92</v>
      </c>
      <c r="M50" s="64">
        <v>41.39</v>
      </c>
      <c r="N50" s="64">
        <v>679.3</v>
      </c>
      <c r="O50" s="64">
        <v>0</v>
      </c>
      <c r="P50" s="64">
        <v>0.62</v>
      </c>
      <c r="Q50" s="64">
        <v>9.32</v>
      </c>
      <c r="R50" s="198"/>
      <c r="S50" s="198"/>
      <c r="T50" s="198"/>
      <c r="U50" s="198"/>
    </row>
    <row r="51" spans="1:21" s="12" customFormat="1" x14ac:dyDescent="0.25">
      <c r="A51" s="214" t="s">
        <v>1728</v>
      </c>
      <c r="B51" s="64">
        <v>5.64</v>
      </c>
      <c r="C51" s="64">
        <v>21.03</v>
      </c>
      <c r="D51" s="64">
        <v>31.6</v>
      </c>
      <c r="E51" s="64">
        <v>6.89</v>
      </c>
      <c r="F51" s="64">
        <v>11.05</v>
      </c>
      <c r="G51" s="64">
        <v>41.17</v>
      </c>
      <c r="H51" s="64">
        <v>15.78</v>
      </c>
      <c r="I51" s="64">
        <v>4.07</v>
      </c>
      <c r="J51" s="64">
        <v>0.74</v>
      </c>
      <c r="K51" s="64">
        <v>241.46</v>
      </c>
      <c r="L51" s="64">
        <v>40.369999999999997</v>
      </c>
      <c r="M51" s="64">
        <v>36.729999999999997</v>
      </c>
      <c r="N51" s="64">
        <v>740.5</v>
      </c>
      <c r="O51" s="64">
        <v>0</v>
      </c>
      <c r="P51" s="64">
        <v>0.65</v>
      </c>
      <c r="Q51" s="64">
        <v>9.31</v>
      </c>
      <c r="R51" s="198"/>
      <c r="S51" s="198"/>
      <c r="T51" s="198"/>
      <c r="U51" s="198"/>
    </row>
    <row r="52" spans="1:21" s="12" customFormat="1" x14ac:dyDescent="0.25">
      <c r="A52" s="214" t="s">
        <v>1729</v>
      </c>
      <c r="B52" s="64">
        <v>5.2</v>
      </c>
      <c r="C52" s="64">
        <v>19.54</v>
      </c>
      <c r="D52" s="64">
        <v>29.42</v>
      </c>
      <c r="E52" s="64">
        <v>8.1</v>
      </c>
      <c r="F52" s="64">
        <v>16.45</v>
      </c>
      <c r="G52" s="64">
        <v>41.17</v>
      </c>
      <c r="H52" s="64">
        <v>15.78</v>
      </c>
      <c r="I52" s="64">
        <v>4.01</v>
      </c>
      <c r="J52" s="64">
        <v>0.71</v>
      </c>
      <c r="K52" s="64">
        <v>191.8</v>
      </c>
      <c r="L52" s="64">
        <v>38.369999999999997</v>
      </c>
      <c r="M52" s="64">
        <v>39.21</v>
      </c>
      <c r="N52" s="64">
        <v>760.6</v>
      </c>
      <c r="O52" s="64">
        <v>0</v>
      </c>
      <c r="P52" s="64">
        <v>0.71</v>
      </c>
      <c r="Q52" s="64">
        <v>9.31</v>
      </c>
      <c r="R52" s="198"/>
      <c r="S52" s="198"/>
      <c r="T52" s="198"/>
      <c r="U52" s="198"/>
    </row>
    <row r="53" spans="1:21" s="12" customFormat="1" x14ac:dyDescent="0.25">
      <c r="A53" s="214" t="s">
        <v>1730</v>
      </c>
      <c r="B53" s="64">
        <v>5</v>
      </c>
      <c r="C53" s="64">
        <v>19.23</v>
      </c>
      <c r="D53" s="64">
        <v>29.13</v>
      </c>
      <c r="E53" s="64">
        <v>9.2799999999999994</v>
      </c>
      <c r="F53" s="64">
        <v>16.23</v>
      </c>
      <c r="G53" s="64">
        <v>41.17</v>
      </c>
      <c r="H53" s="64">
        <v>15.78</v>
      </c>
      <c r="I53" s="64">
        <v>3.99</v>
      </c>
      <c r="J53" s="64">
        <v>0.72</v>
      </c>
      <c r="K53" s="64">
        <v>239.04</v>
      </c>
      <c r="L53" s="64">
        <v>40.200000000000003</v>
      </c>
      <c r="M53" s="64">
        <v>36.54</v>
      </c>
      <c r="N53" s="64">
        <v>788.9</v>
      </c>
      <c r="O53" s="64">
        <v>0</v>
      </c>
      <c r="P53" s="64">
        <v>0.83</v>
      </c>
      <c r="Q53" s="64">
        <v>9.31</v>
      </c>
      <c r="R53" s="198"/>
      <c r="S53" s="198"/>
      <c r="T53" s="198"/>
      <c r="U53" s="198"/>
    </row>
    <row r="54" spans="1:21" s="12" customFormat="1" x14ac:dyDescent="0.25">
      <c r="A54" s="214" t="s">
        <v>1731</v>
      </c>
      <c r="B54" s="64">
        <v>6.09</v>
      </c>
      <c r="C54" s="64">
        <v>22.95</v>
      </c>
      <c r="D54" s="64">
        <v>34.590000000000003</v>
      </c>
      <c r="E54" s="64">
        <v>10.38</v>
      </c>
      <c r="F54" s="64">
        <v>16.07</v>
      </c>
      <c r="G54" s="64">
        <v>42.67</v>
      </c>
      <c r="H54" s="64">
        <v>16.39</v>
      </c>
      <c r="I54" s="64">
        <v>4.1500000000000004</v>
      </c>
      <c r="J54" s="64">
        <v>0.53</v>
      </c>
      <c r="K54" s="64">
        <v>239.75</v>
      </c>
      <c r="L54" s="64">
        <v>40.89</v>
      </c>
      <c r="M54" s="64">
        <v>34.78</v>
      </c>
      <c r="N54" s="64">
        <v>777.4</v>
      </c>
      <c r="O54" s="64">
        <v>0</v>
      </c>
      <c r="P54" s="64">
        <v>0.89</v>
      </c>
      <c r="Q54" s="64">
        <v>9.2899999999999991</v>
      </c>
      <c r="R54" s="198"/>
      <c r="S54" s="198"/>
      <c r="T54" s="198"/>
      <c r="U54" s="198"/>
    </row>
    <row r="55" spans="1:21" s="12" customFormat="1" x14ac:dyDescent="0.25">
      <c r="A55" s="214" t="s">
        <v>1732</v>
      </c>
      <c r="B55" s="64">
        <v>5.38</v>
      </c>
      <c r="C55" s="64">
        <v>21.08</v>
      </c>
      <c r="D55" s="64">
        <v>32.08</v>
      </c>
      <c r="E55" s="64">
        <v>14.78</v>
      </c>
      <c r="F55" s="64">
        <v>19.149999999999999</v>
      </c>
      <c r="G55" s="64">
        <v>47.01</v>
      </c>
      <c r="H55" s="64">
        <v>18.149999999999999</v>
      </c>
      <c r="I55" s="64">
        <v>3.99</v>
      </c>
      <c r="J55" s="64">
        <v>0.88</v>
      </c>
      <c r="K55" s="64">
        <v>248.03</v>
      </c>
      <c r="L55" s="64">
        <v>41.56</v>
      </c>
      <c r="M55" s="64">
        <v>32.53</v>
      </c>
      <c r="N55" s="64">
        <v>790.7</v>
      </c>
      <c r="O55" s="64">
        <v>0</v>
      </c>
      <c r="P55" s="64">
        <v>0.87</v>
      </c>
      <c r="Q55" s="64">
        <v>9.32</v>
      </c>
      <c r="R55" s="198"/>
      <c r="S55" s="198"/>
      <c r="T55" s="198"/>
      <c r="U55" s="198"/>
    </row>
    <row r="56" spans="1:21" s="12" customFormat="1" x14ac:dyDescent="0.25">
      <c r="A56" s="214" t="s">
        <v>1733</v>
      </c>
      <c r="B56" s="64">
        <v>6.21</v>
      </c>
      <c r="C56" s="64">
        <v>22.44</v>
      </c>
      <c r="D56" s="64">
        <v>33.43</v>
      </c>
      <c r="E56" s="64">
        <v>14.75</v>
      </c>
      <c r="F56" s="64">
        <v>26.32</v>
      </c>
      <c r="G56" s="64">
        <v>47.01</v>
      </c>
      <c r="H56" s="64">
        <v>18.149999999999999</v>
      </c>
      <c r="I56" s="64">
        <v>4.04</v>
      </c>
      <c r="J56" s="64">
        <v>0.71</v>
      </c>
      <c r="K56" s="64">
        <v>246.44</v>
      </c>
      <c r="L56" s="64">
        <v>41.74</v>
      </c>
      <c r="M56" s="64">
        <v>31.74</v>
      </c>
      <c r="N56" s="64">
        <v>671.9</v>
      </c>
      <c r="O56" s="64">
        <v>0</v>
      </c>
      <c r="P56" s="64">
        <v>0.78</v>
      </c>
      <c r="Q56" s="64">
        <v>9.34</v>
      </c>
      <c r="R56" s="198"/>
      <c r="S56" s="198"/>
      <c r="T56" s="198"/>
      <c r="U56" s="198"/>
    </row>
    <row r="57" spans="1:21" s="12" customFormat="1" x14ac:dyDescent="0.25">
      <c r="A57" s="214" t="s">
        <v>1734</v>
      </c>
      <c r="B57" s="64">
        <v>6.82</v>
      </c>
      <c r="C57" s="64">
        <v>24.23</v>
      </c>
      <c r="D57" s="64">
        <v>35.9</v>
      </c>
      <c r="E57" s="64">
        <v>16.170000000000002</v>
      </c>
      <c r="F57" s="64">
        <v>19.43</v>
      </c>
      <c r="G57" s="64">
        <v>47.01</v>
      </c>
      <c r="H57" s="64">
        <v>18.149999999999999</v>
      </c>
      <c r="I57" s="64">
        <v>3.93</v>
      </c>
      <c r="J57" s="64">
        <v>0.62</v>
      </c>
      <c r="K57" s="64">
        <v>261.83999999999997</v>
      </c>
      <c r="L57" s="64">
        <v>41.8</v>
      </c>
      <c r="M57" s="64">
        <v>31.1</v>
      </c>
      <c r="N57" s="64">
        <v>750</v>
      </c>
      <c r="O57" s="64">
        <v>0</v>
      </c>
      <c r="P57" s="64">
        <v>0.78</v>
      </c>
      <c r="Q57" s="64">
        <v>9.36</v>
      </c>
      <c r="R57" s="198"/>
      <c r="S57" s="198"/>
      <c r="T57" s="198"/>
      <c r="U57" s="198"/>
    </row>
    <row r="58" spans="1:21" s="12" customFormat="1" x14ac:dyDescent="0.25">
      <c r="A58" s="214" t="s">
        <v>1735</v>
      </c>
      <c r="B58" s="64">
        <v>4.9400000000000004</v>
      </c>
      <c r="C58" s="64">
        <v>18.47</v>
      </c>
      <c r="D58" s="64">
        <v>27.78</v>
      </c>
      <c r="E58" s="64">
        <v>13.93</v>
      </c>
      <c r="F58" s="64">
        <v>24.46</v>
      </c>
      <c r="G58" s="64">
        <v>46.54</v>
      </c>
      <c r="H58" s="64">
        <v>18</v>
      </c>
      <c r="I58" s="64">
        <v>4.05</v>
      </c>
      <c r="J58" s="64">
        <v>0.74</v>
      </c>
      <c r="K58" s="64">
        <v>177.99</v>
      </c>
      <c r="L58" s="64">
        <v>41.34</v>
      </c>
      <c r="M58" s="64">
        <v>30.44</v>
      </c>
      <c r="N58" s="64">
        <v>761.8</v>
      </c>
      <c r="O58" s="64">
        <v>0</v>
      </c>
      <c r="P58" s="64">
        <v>0.63</v>
      </c>
      <c r="Q58" s="64">
        <v>9.35</v>
      </c>
      <c r="R58" s="198"/>
      <c r="S58" s="198"/>
      <c r="T58" s="198"/>
      <c r="U58" s="198"/>
    </row>
    <row r="59" spans="1:21" s="12" customFormat="1" x14ac:dyDescent="0.25">
      <c r="A59" s="214" t="s">
        <v>1736</v>
      </c>
      <c r="B59" s="64">
        <v>5.09</v>
      </c>
      <c r="C59" s="64">
        <v>20.11</v>
      </c>
      <c r="D59" s="64">
        <v>30.68</v>
      </c>
      <c r="E59" s="64">
        <v>13.03</v>
      </c>
      <c r="F59" s="64">
        <v>16.93</v>
      </c>
      <c r="G59" s="64">
        <v>45.17</v>
      </c>
      <c r="H59" s="64">
        <v>17.54</v>
      </c>
      <c r="I59" s="64">
        <v>4.0199999999999996</v>
      </c>
      <c r="J59" s="64">
        <v>0.75</v>
      </c>
      <c r="K59" s="64">
        <v>234.87</v>
      </c>
      <c r="L59" s="64">
        <v>40.11</v>
      </c>
      <c r="M59" s="64">
        <v>32.74</v>
      </c>
      <c r="N59" s="64">
        <v>735.9</v>
      </c>
      <c r="O59" s="64">
        <v>0</v>
      </c>
      <c r="P59" s="64">
        <v>0.72</v>
      </c>
      <c r="Q59" s="64">
        <v>9.34</v>
      </c>
      <c r="R59" s="198"/>
      <c r="S59" s="198"/>
      <c r="T59" s="198"/>
      <c r="U59" s="198"/>
    </row>
    <row r="60" spans="1:21" s="12" customFormat="1" x14ac:dyDescent="0.25">
      <c r="A60" s="214" t="s">
        <v>1737</v>
      </c>
      <c r="B60" s="64">
        <v>4.58</v>
      </c>
      <c r="C60" s="64">
        <v>17.75</v>
      </c>
      <c r="D60" s="64">
        <v>26.95</v>
      </c>
      <c r="E60" s="64">
        <v>11.07</v>
      </c>
      <c r="F60" s="64">
        <v>15.64</v>
      </c>
      <c r="G60" s="64">
        <v>45.17</v>
      </c>
      <c r="H60" s="64">
        <v>17.54</v>
      </c>
      <c r="I60" s="64">
        <v>3.9</v>
      </c>
      <c r="J60" s="64">
        <v>0.89</v>
      </c>
      <c r="K60" s="64">
        <v>228.34</v>
      </c>
      <c r="L60" s="64">
        <v>39.4</v>
      </c>
      <c r="M60" s="64">
        <v>34.049999999999997</v>
      </c>
      <c r="N60" s="64">
        <v>632.79999999999995</v>
      </c>
      <c r="O60" s="64">
        <v>0</v>
      </c>
      <c r="P60" s="64">
        <v>0.72</v>
      </c>
      <c r="Q60" s="64">
        <v>9.33</v>
      </c>
      <c r="R60" s="198"/>
      <c r="S60" s="198"/>
      <c r="T60" s="198"/>
      <c r="U60" s="198"/>
    </row>
    <row r="61" spans="1:21" s="12" customFormat="1" x14ac:dyDescent="0.25">
      <c r="A61" s="214" t="s">
        <v>1738</v>
      </c>
      <c r="B61" s="64">
        <v>4.38</v>
      </c>
      <c r="C61" s="64">
        <v>17.489999999999998</v>
      </c>
      <c r="D61" s="64">
        <v>26.76</v>
      </c>
      <c r="E61" s="64">
        <v>8.99</v>
      </c>
      <c r="F61" s="64">
        <v>14.03</v>
      </c>
      <c r="G61" s="64">
        <v>45.17</v>
      </c>
      <c r="H61" s="64">
        <v>17.54</v>
      </c>
      <c r="I61" s="64">
        <v>3.9</v>
      </c>
      <c r="J61" s="64">
        <v>0.85</v>
      </c>
      <c r="K61" s="64">
        <v>242.52</v>
      </c>
      <c r="L61" s="64">
        <v>39.03</v>
      </c>
      <c r="M61" s="64">
        <v>34.99</v>
      </c>
      <c r="N61" s="64">
        <v>488</v>
      </c>
      <c r="O61" s="64">
        <v>0</v>
      </c>
      <c r="P61" s="64">
        <v>0.59</v>
      </c>
      <c r="Q61" s="64">
        <v>9.33</v>
      </c>
      <c r="R61" s="198"/>
      <c r="S61" s="198"/>
      <c r="T61" s="198"/>
      <c r="U61" s="198"/>
    </row>
    <row r="62" spans="1:21" s="12" customFormat="1" x14ac:dyDescent="0.25">
      <c r="A62" s="214" t="s">
        <v>1739</v>
      </c>
      <c r="B62" s="64">
        <v>4.54</v>
      </c>
      <c r="C62" s="64">
        <v>19.22</v>
      </c>
      <c r="D62" s="64">
        <v>29.82</v>
      </c>
      <c r="E62" s="64">
        <v>8.74</v>
      </c>
      <c r="F62" s="64">
        <v>17.829999999999998</v>
      </c>
      <c r="G62" s="64">
        <v>47.13</v>
      </c>
      <c r="H62" s="64">
        <v>18.43</v>
      </c>
      <c r="I62" s="64">
        <v>3.89</v>
      </c>
      <c r="J62" s="64">
        <v>0.7</v>
      </c>
      <c r="K62" s="64">
        <v>230.76</v>
      </c>
      <c r="L62" s="64">
        <v>38.39</v>
      </c>
      <c r="M62" s="64">
        <v>35.340000000000003</v>
      </c>
      <c r="N62" s="64">
        <v>375.3</v>
      </c>
      <c r="O62" s="64">
        <v>0</v>
      </c>
      <c r="P62" s="64">
        <v>0.56999999999999995</v>
      </c>
      <c r="Q62" s="64">
        <v>9.32</v>
      </c>
      <c r="R62" s="198"/>
      <c r="S62" s="198"/>
      <c r="T62" s="198"/>
      <c r="U62" s="198"/>
    </row>
    <row r="63" spans="1:21" s="12" customFormat="1" x14ac:dyDescent="0.25">
      <c r="A63" s="214" t="s">
        <v>1740</v>
      </c>
      <c r="B63" s="64">
        <v>4.67</v>
      </c>
      <c r="C63" s="64">
        <v>20.39</v>
      </c>
      <c r="D63" s="64">
        <v>31.86</v>
      </c>
      <c r="E63" s="64">
        <v>7.82</v>
      </c>
      <c r="F63" s="64">
        <v>8.7799999999999994</v>
      </c>
      <c r="G63" s="64">
        <v>52.85</v>
      </c>
      <c r="H63" s="64">
        <v>21.02</v>
      </c>
      <c r="I63" s="64">
        <v>3.98</v>
      </c>
      <c r="J63" s="64">
        <v>0.78</v>
      </c>
      <c r="K63" s="64">
        <v>237.95</v>
      </c>
      <c r="L63" s="64">
        <v>38.590000000000003</v>
      </c>
      <c r="M63" s="64">
        <v>34.86</v>
      </c>
      <c r="N63" s="64">
        <v>365.4</v>
      </c>
      <c r="O63" s="64">
        <v>0</v>
      </c>
      <c r="P63" s="64">
        <v>0.61</v>
      </c>
      <c r="Q63" s="64">
        <v>9.3000000000000007</v>
      </c>
      <c r="R63" s="198"/>
      <c r="S63" s="198"/>
      <c r="T63" s="198"/>
      <c r="U63" s="198"/>
    </row>
    <row r="64" spans="1:21" s="12" customFormat="1" x14ac:dyDescent="0.25">
      <c r="A64" s="214" t="s">
        <v>1741</v>
      </c>
      <c r="B64" s="64">
        <v>4.43</v>
      </c>
      <c r="C64" s="64">
        <v>18.07</v>
      </c>
      <c r="D64" s="64">
        <v>27.79</v>
      </c>
      <c r="E64" s="64">
        <v>7.02</v>
      </c>
      <c r="F64" s="64">
        <v>10.86</v>
      </c>
      <c r="G64" s="64">
        <v>52.85</v>
      </c>
      <c r="H64" s="64">
        <v>21.02</v>
      </c>
      <c r="I64" s="64">
        <v>4.0599999999999996</v>
      </c>
      <c r="J64" s="64">
        <v>0.89</v>
      </c>
      <c r="K64" s="64">
        <v>209.67</v>
      </c>
      <c r="L64" s="64">
        <v>37.799999999999997</v>
      </c>
      <c r="M64" s="64">
        <v>38.369999999999997</v>
      </c>
      <c r="N64" s="64">
        <v>384.3</v>
      </c>
      <c r="O64" s="64">
        <v>0</v>
      </c>
      <c r="P64" s="64">
        <v>0.6</v>
      </c>
      <c r="Q64" s="64">
        <v>9.2799999999999994</v>
      </c>
      <c r="R64" s="198"/>
      <c r="S64" s="198"/>
      <c r="T64" s="198"/>
      <c r="U64" s="198"/>
    </row>
    <row r="65" spans="1:21" s="12" customFormat="1" x14ac:dyDescent="0.25">
      <c r="A65" s="214" t="s">
        <v>1742</v>
      </c>
      <c r="B65" s="64">
        <v>4.3499999999999996</v>
      </c>
      <c r="C65" s="64">
        <v>17.28</v>
      </c>
      <c r="D65" s="64">
        <v>26.4</v>
      </c>
      <c r="E65" s="64">
        <v>6.75</v>
      </c>
      <c r="F65" s="64">
        <v>10.8</v>
      </c>
      <c r="G65" s="64">
        <v>52.85</v>
      </c>
      <c r="H65" s="64">
        <v>21.02</v>
      </c>
      <c r="I65" s="64">
        <v>3.94</v>
      </c>
      <c r="J65" s="64">
        <v>0.81</v>
      </c>
      <c r="K65" s="64">
        <v>218.44</v>
      </c>
      <c r="L65" s="64">
        <v>37.49</v>
      </c>
      <c r="M65" s="64">
        <v>39.729999999999997</v>
      </c>
      <c r="N65" s="64">
        <v>372</v>
      </c>
      <c r="O65" s="64">
        <v>0</v>
      </c>
      <c r="P65" s="64">
        <v>0.56999999999999995</v>
      </c>
      <c r="Q65" s="64">
        <v>9.27</v>
      </c>
      <c r="R65" s="198"/>
      <c r="S65" s="198"/>
      <c r="T65" s="198"/>
      <c r="U65" s="198"/>
    </row>
    <row r="66" spans="1:21" s="12" customFormat="1" x14ac:dyDescent="0.25">
      <c r="A66" s="214" t="s">
        <v>1743</v>
      </c>
      <c r="B66" s="64">
        <v>4.57</v>
      </c>
      <c r="C66" s="64">
        <v>17.89</v>
      </c>
      <c r="D66" s="64">
        <v>27.22</v>
      </c>
      <c r="E66" s="64">
        <v>5.96</v>
      </c>
      <c r="F66" s="64">
        <v>10.55</v>
      </c>
      <c r="G66" s="64">
        <v>53.91</v>
      </c>
      <c r="H66" s="64">
        <v>20.59</v>
      </c>
      <c r="I66" s="64">
        <v>3.92</v>
      </c>
      <c r="J66" s="64">
        <v>0.89</v>
      </c>
      <c r="K66" s="64">
        <v>197.62</v>
      </c>
      <c r="L66" s="64">
        <v>36.49</v>
      </c>
      <c r="M66" s="64">
        <v>43.52</v>
      </c>
      <c r="N66" s="64">
        <v>326.7</v>
      </c>
      <c r="O66" s="64">
        <v>0</v>
      </c>
      <c r="P66" s="64">
        <v>0.53</v>
      </c>
      <c r="Q66" s="64">
        <v>9.27</v>
      </c>
      <c r="R66" s="198"/>
      <c r="S66" s="198"/>
      <c r="T66" s="198"/>
      <c r="U66" s="198"/>
    </row>
    <row r="67" spans="1:21" s="12" customFormat="1" x14ac:dyDescent="0.25">
      <c r="A67" s="214" t="s">
        <v>1744</v>
      </c>
      <c r="B67" s="64">
        <v>4.63</v>
      </c>
      <c r="C67" s="64">
        <v>17.59</v>
      </c>
      <c r="D67" s="64">
        <v>26.56</v>
      </c>
      <c r="E67" s="64">
        <v>6.65</v>
      </c>
      <c r="F67" s="64">
        <v>12.16</v>
      </c>
      <c r="G67" s="64">
        <v>57.18</v>
      </c>
      <c r="H67" s="64">
        <v>19.350000000000001</v>
      </c>
      <c r="I67" s="64">
        <v>4.08</v>
      </c>
      <c r="J67" s="64">
        <v>0.9</v>
      </c>
      <c r="K67" s="64">
        <v>185.51</v>
      </c>
      <c r="L67" s="64">
        <v>36.4</v>
      </c>
      <c r="M67" s="64">
        <v>44.21</v>
      </c>
      <c r="N67" s="64">
        <v>285.60000000000002</v>
      </c>
      <c r="O67" s="64">
        <v>0</v>
      </c>
      <c r="P67" s="64">
        <v>0.49</v>
      </c>
      <c r="Q67" s="64">
        <v>9.27</v>
      </c>
      <c r="R67" s="198"/>
      <c r="S67" s="198"/>
      <c r="T67" s="198"/>
      <c r="U67" s="198"/>
    </row>
    <row r="68" spans="1:21" s="12" customFormat="1" x14ac:dyDescent="0.25">
      <c r="A68" s="214" t="s">
        <v>1745</v>
      </c>
      <c r="B68" s="64">
        <v>4.66</v>
      </c>
      <c r="C68" s="64">
        <v>17.55</v>
      </c>
      <c r="D68" s="64">
        <v>26.45</v>
      </c>
      <c r="E68" s="64">
        <v>7.3</v>
      </c>
      <c r="F68" s="64">
        <v>18.87</v>
      </c>
      <c r="G68" s="64">
        <v>57.18</v>
      </c>
      <c r="H68" s="64">
        <v>19.350000000000001</v>
      </c>
      <c r="I68" s="64">
        <v>3.98</v>
      </c>
      <c r="J68" s="64">
        <v>0.77</v>
      </c>
      <c r="K68" s="64">
        <v>177.95</v>
      </c>
      <c r="L68" s="64">
        <v>37.15</v>
      </c>
      <c r="M68" s="64">
        <v>41.08</v>
      </c>
      <c r="N68" s="64">
        <v>255.2</v>
      </c>
      <c r="O68" s="64">
        <v>0</v>
      </c>
      <c r="P68" s="64">
        <v>0.49</v>
      </c>
      <c r="Q68" s="64">
        <v>9.27</v>
      </c>
      <c r="R68" s="198"/>
      <c r="S68" s="198"/>
      <c r="T68" s="198"/>
      <c r="U68" s="198"/>
    </row>
    <row r="69" spans="1:21" s="12" customFormat="1" x14ac:dyDescent="0.25">
      <c r="A69" s="214" t="s">
        <v>1746</v>
      </c>
      <c r="B69" s="64">
        <v>4.6399999999999997</v>
      </c>
      <c r="C69" s="64">
        <v>17.13</v>
      </c>
      <c r="D69" s="64">
        <v>25.66</v>
      </c>
      <c r="E69" s="64">
        <v>6.11</v>
      </c>
      <c r="F69" s="64">
        <v>12.5</v>
      </c>
      <c r="G69" s="64">
        <v>57.18</v>
      </c>
      <c r="H69" s="64">
        <v>19.350000000000001</v>
      </c>
      <c r="I69" s="64">
        <v>3.98</v>
      </c>
      <c r="J69" s="64">
        <v>0.77</v>
      </c>
      <c r="K69" s="64">
        <v>224.31</v>
      </c>
      <c r="L69" s="64">
        <v>37.159999999999997</v>
      </c>
      <c r="M69" s="64">
        <v>40.98</v>
      </c>
      <c r="N69" s="64">
        <v>237.8</v>
      </c>
      <c r="O69" s="64">
        <v>0</v>
      </c>
      <c r="P69" s="64">
        <v>0.49</v>
      </c>
      <c r="Q69" s="64">
        <v>9.26</v>
      </c>
      <c r="R69" s="198"/>
      <c r="S69" s="198"/>
      <c r="T69" s="198"/>
      <c r="U69" s="198"/>
    </row>
    <row r="70" spans="1:21" s="12" customFormat="1" x14ac:dyDescent="0.25">
      <c r="A70" s="214" t="s">
        <v>1747</v>
      </c>
      <c r="B70" s="64">
        <v>4.68</v>
      </c>
      <c r="C70" s="64">
        <v>19.34</v>
      </c>
      <c r="D70" s="64">
        <v>29.84</v>
      </c>
      <c r="E70" s="64">
        <v>7.15</v>
      </c>
      <c r="F70" s="64">
        <v>16.86</v>
      </c>
      <c r="G70" s="64">
        <v>55.55</v>
      </c>
      <c r="H70" s="64">
        <v>21.63</v>
      </c>
      <c r="I70" s="64">
        <v>3.96</v>
      </c>
      <c r="J70" s="64">
        <v>0.67</v>
      </c>
      <c r="K70" s="64">
        <v>229.89</v>
      </c>
      <c r="L70" s="64">
        <v>37.270000000000003</v>
      </c>
      <c r="M70" s="64">
        <v>39.46</v>
      </c>
      <c r="N70" s="64">
        <v>165.6</v>
      </c>
      <c r="O70" s="64">
        <v>0</v>
      </c>
      <c r="P70" s="64">
        <v>0.48</v>
      </c>
      <c r="Q70" s="64">
        <v>9.24</v>
      </c>
      <c r="R70" s="198"/>
      <c r="S70" s="198"/>
      <c r="T70" s="198"/>
      <c r="U70" s="198"/>
    </row>
    <row r="71" spans="1:21" s="12" customFormat="1" x14ac:dyDescent="0.25">
      <c r="A71" s="214" t="s">
        <v>1748</v>
      </c>
      <c r="B71" s="64">
        <v>4.83</v>
      </c>
      <c r="C71" s="64">
        <v>19.170000000000002</v>
      </c>
      <c r="D71" s="64">
        <v>29.28</v>
      </c>
      <c r="E71" s="64">
        <v>7.81</v>
      </c>
      <c r="F71" s="64">
        <v>20.010000000000002</v>
      </c>
      <c r="G71" s="64">
        <v>50.78</v>
      </c>
      <c r="H71" s="64">
        <v>28.28</v>
      </c>
      <c r="I71" s="64">
        <v>4.0199999999999996</v>
      </c>
      <c r="J71" s="64">
        <v>0.61</v>
      </c>
      <c r="K71" s="64">
        <v>216.19</v>
      </c>
      <c r="L71" s="64">
        <v>37</v>
      </c>
      <c r="M71" s="64">
        <v>39.74</v>
      </c>
      <c r="N71" s="64">
        <v>169.9</v>
      </c>
      <c r="O71" s="64">
        <v>0</v>
      </c>
      <c r="P71" s="64">
        <v>0.45</v>
      </c>
      <c r="Q71" s="64">
        <v>9.25</v>
      </c>
      <c r="R71" s="198"/>
      <c r="S71" s="198"/>
      <c r="T71" s="198"/>
      <c r="U71" s="198"/>
    </row>
    <row r="72" spans="1:21" s="12" customFormat="1" x14ac:dyDescent="0.25">
      <c r="A72" s="214" t="s">
        <v>1749</v>
      </c>
      <c r="B72" s="64">
        <v>4.9800000000000004</v>
      </c>
      <c r="C72" s="64">
        <v>20.29</v>
      </c>
      <c r="D72" s="64">
        <v>31.19</v>
      </c>
      <c r="E72" s="64">
        <v>6.19</v>
      </c>
      <c r="F72" s="64">
        <v>26.34</v>
      </c>
      <c r="G72" s="64">
        <v>50.78</v>
      </c>
      <c r="H72" s="64">
        <v>28.28</v>
      </c>
      <c r="I72" s="64">
        <v>4.1100000000000003</v>
      </c>
      <c r="J72" s="64">
        <v>0.56999999999999995</v>
      </c>
      <c r="K72" s="64">
        <v>223.47</v>
      </c>
      <c r="L72" s="64">
        <v>37.090000000000003</v>
      </c>
      <c r="M72" s="64">
        <v>38.909999999999997</v>
      </c>
      <c r="N72" s="64">
        <v>188.7</v>
      </c>
      <c r="O72" s="64">
        <v>0</v>
      </c>
      <c r="P72" s="64">
        <v>0.44</v>
      </c>
      <c r="Q72" s="64">
        <v>9.25</v>
      </c>
      <c r="R72" s="198"/>
      <c r="S72" s="198"/>
      <c r="T72" s="198"/>
      <c r="U72" s="198"/>
    </row>
    <row r="73" spans="1:21" s="12" customFormat="1" x14ac:dyDescent="0.25">
      <c r="A73" s="214" t="s">
        <v>1750</v>
      </c>
      <c r="B73" s="64">
        <v>5.1100000000000003</v>
      </c>
      <c r="C73" s="64">
        <v>22.9</v>
      </c>
      <c r="D73" s="64">
        <v>35.99</v>
      </c>
      <c r="E73" s="64">
        <v>11.46</v>
      </c>
      <c r="F73" s="64">
        <v>28.47</v>
      </c>
      <c r="G73" s="64">
        <v>50.78</v>
      </c>
      <c r="H73" s="64">
        <v>28.28</v>
      </c>
      <c r="I73" s="64">
        <v>3.94</v>
      </c>
      <c r="J73" s="64">
        <v>0.57999999999999996</v>
      </c>
      <c r="K73" s="64">
        <v>183.07</v>
      </c>
      <c r="L73" s="64">
        <v>37.53</v>
      </c>
      <c r="M73" s="64">
        <v>38.17</v>
      </c>
      <c r="N73" s="64">
        <v>248.3</v>
      </c>
      <c r="O73" s="64">
        <v>0</v>
      </c>
      <c r="P73" s="64">
        <v>0.44</v>
      </c>
      <c r="Q73" s="64">
        <v>9.26</v>
      </c>
      <c r="R73" s="198"/>
      <c r="S73" s="198"/>
      <c r="T73" s="198"/>
      <c r="U73" s="198"/>
    </row>
    <row r="74" spans="1:21" s="12" customFormat="1" x14ac:dyDescent="0.25">
      <c r="A74" s="214" t="s">
        <v>1751</v>
      </c>
      <c r="B74" s="64">
        <v>4.96</v>
      </c>
      <c r="C74" s="64">
        <v>24.22</v>
      </c>
      <c r="D74" s="64">
        <v>38.74</v>
      </c>
      <c r="E74" s="64">
        <v>11.21</v>
      </c>
      <c r="F74" s="64">
        <v>27.3</v>
      </c>
      <c r="G74" s="64">
        <v>50.63</v>
      </c>
      <c r="H74" s="64">
        <v>27.38</v>
      </c>
      <c r="I74" s="64">
        <v>4.05</v>
      </c>
      <c r="J74" s="64">
        <v>0.76</v>
      </c>
      <c r="K74" s="64">
        <v>169.87</v>
      </c>
      <c r="L74" s="64">
        <v>37.69</v>
      </c>
      <c r="M74" s="64">
        <v>38.33</v>
      </c>
      <c r="N74" s="64">
        <v>135.19999999999999</v>
      </c>
      <c r="O74" s="64">
        <v>0</v>
      </c>
      <c r="P74" s="64">
        <v>0.47</v>
      </c>
      <c r="Q74" s="64">
        <v>9.26</v>
      </c>
      <c r="R74" s="198"/>
      <c r="S74" s="198"/>
      <c r="T74" s="198"/>
      <c r="U74" s="198"/>
    </row>
    <row r="75" spans="1:21" s="12" customFormat="1" x14ac:dyDescent="0.25">
      <c r="A75" s="214" t="s">
        <v>1752</v>
      </c>
      <c r="B75" s="64">
        <v>5.05</v>
      </c>
      <c r="C75" s="64">
        <v>24.19</v>
      </c>
      <c r="D75" s="64">
        <v>38.56</v>
      </c>
      <c r="E75" s="64">
        <v>8.6199999999999992</v>
      </c>
      <c r="F75" s="64">
        <v>22.63</v>
      </c>
      <c r="G75" s="64">
        <v>50.19</v>
      </c>
      <c r="H75" s="64">
        <v>24.77</v>
      </c>
      <c r="I75" s="64">
        <v>4.09</v>
      </c>
      <c r="J75" s="64">
        <v>1.34</v>
      </c>
      <c r="K75" s="64">
        <v>152.22</v>
      </c>
      <c r="L75" s="64">
        <v>37.31</v>
      </c>
      <c r="M75" s="64">
        <v>38.89</v>
      </c>
      <c r="N75" s="64">
        <v>116.7</v>
      </c>
      <c r="O75" s="64">
        <v>0</v>
      </c>
      <c r="P75" s="64">
        <v>0.48</v>
      </c>
      <c r="Q75" s="64">
        <v>9.2899999999999991</v>
      </c>
      <c r="R75" s="198"/>
      <c r="S75" s="198"/>
      <c r="T75" s="198"/>
      <c r="U75" s="198"/>
    </row>
    <row r="76" spans="1:21" s="12" customFormat="1" x14ac:dyDescent="0.25">
      <c r="A76" s="214" t="s">
        <v>1753</v>
      </c>
      <c r="B76" s="64">
        <v>4.8600000000000003</v>
      </c>
      <c r="C76" s="64">
        <v>24.17</v>
      </c>
      <c r="D76" s="64">
        <v>38.81</v>
      </c>
      <c r="E76" s="64">
        <v>9.51</v>
      </c>
      <c r="F76" s="64">
        <v>27.84</v>
      </c>
      <c r="G76" s="64">
        <v>50.19</v>
      </c>
      <c r="H76" s="64">
        <v>24.77</v>
      </c>
      <c r="I76" s="64">
        <v>4.0599999999999996</v>
      </c>
      <c r="J76" s="64">
        <v>0.76</v>
      </c>
      <c r="K76" s="64">
        <v>168.4</v>
      </c>
      <c r="L76" s="64">
        <v>36.83</v>
      </c>
      <c r="M76" s="64">
        <v>41.31</v>
      </c>
      <c r="N76" s="64">
        <v>110.3</v>
      </c>
      <c r="O76" s="64">
        <v>0</v>
      </c>
      <c r="P76" s="64">
        <v>0.46</v>
      </c>
      <c r="Q76" s="64">
        <v>9.3000000000000007</v>
      </c>
      <c r="R76" s="198"/>
      <c r="S76" s="198"/>
      <c r="T76" s="198"/>
      <c r="U76" s="198"/>
    </row>
    <row r="77" spans="1:21" s="12" customFormat="1" x14ac:dyDescent="0.25">
      <c r="A77" s="214" t="s">
        <v>1754</v>
      </c>
      <c r="B77" s="64">
        <v>8.67</v>
      </c>
      <c r="C77" s="64">
        <v>31.66</v>
      </c>
      <c r="D77" s="64">
        <v>47.29</v>
      </c>
      <c r="E77" s="64">
        <v>10.85</v>
      </c>
      <c r="F77" s="64">
        <v>20.350000000000001</v>
      </c>
      <c r="G77" s="64">
        <v>50.19</v>
      </c>
      <c r="H77" s="64">
        <v>24.77</v>
      </c>
      <c r="I77" s="64">
        <v>3.9</v>
      </c>
      <c r="J77" s="64">
        <v>0.91</v>
      </c>
      <c r="K77" s="64">
        <v>238.53</v>
      </c>
      <c r="L77" s="64">
        <v>37.049999999999997</v>
      </c>
      <c r="M77" s="64">
        <v>39.79</v>
      </c>
      <c r="N77" s="64">
        <v>92.3</v>
      </c>
      <c r="O77" s="64">
        <v>0</v>
      </c>
      <c r="P77" s="64">
        <v>0.6</v>
      </c>
      <c r="Q77" s="64">
        <v>9.31</v>
      </c>
      <c r="R77" s="198"/>
      <c r="S77" s="198"/>
      <c r="T77" s="198"/>
      <c r="U77" s="198"/>
    </row>
    <row r="78" spans="1:21" s="12" customFormat="1" x14ac:dyDescent="0.25">
      <c r="A78" s="214" t="s">
        <v>1755</v>
      </c>
      <c r="B78" s="64">
        <v>10.44</v>
      </c>
      <c r="C78" s="64">
        <v>37.06</v>
      </c>
      <c r="D78" s="64">
        <v>54.9</v>
      </c>
      <c r="E78" s="64">
        <v>10.199999999999999</v>
      </c>
      <c r="F78" s="64">
        <v>23.03</v>
      </c>
      <c r="G78" s="64">
        <v>50.47</v>
      </c>
      <c r="H78" s="64">
        <v>24.4</v>
      </c>
      <c r="I78" s="64">
        <v>4.04</v>
      </c>
      <c r="J78" s="64">
        <v>0.67</v>
      </c>
      <c r="K78" s="64">
        <v>239.44</v>
      </c>
      <c r="L78" s="64">
        <v>37.32</v>
      </c>
      <c r="M78" s="64">
        <v>38.25</v>
      </c>
      <c r="N78" s="64">
        <v>80.8</v>
      </c>
      <c r="O78" s="64">
        <v>0</v>
      </c>
      <c r="P78" s="64">
        <v>0.69</v>
      </c>
      <c r="Q78" s="64">
        <v>9.31</v>
      </c>
      <c r="R78" s="198"/>
      <c r="S78" s="198"/>
      <c r="T78" s="198"/>
      <c r="U78" s="198"/>
    </row>
    <row r="79" spans="1:21" s="12" customFormat="1" x14ac:dyDescent="0.25">
      <c r="A79" s="214" t="s">
        <v>1756</v>
      </c>
      <c r="B79" s="64">
        <v>5.22</v>
      </c>
      <c r="C79" s="64">
        <v>29.61</v>
      </c>
      <c r="D79" s="64">
        <v>48.66</v>
      </c>
      <c r="E79" s="64">
        <v>10.69</v>
      </c>
      <c r="F79" s="64">
        <v>24.91</v>
      </c>
      <c r="G79" s="64">
        <v>51.27</v>
      </c>
      <c r="H79" s="64">
        <v>23.33</v>
      </c>
      <c r="I79" s="64">
        <v>4.0599999999999996</v>
      </c>
      <c r="J79" s="64">
        <v>0.41</v>
      </c>
      <c r="K79" s="64">
        <v>209.36</v>
      </c>
      <c r="L79" s="64">
        <v>36.65</v>
      </c>
      <c r="M79" s="64">
        <v>41.43</v>
      </c>
      <c r="N79" s="64">
        <v>65</v>
      </c>
      <c r="O79" s="64">
        <v>0</v>
      </c>
      <c r="P79" s="64">
        <v>0.44</v>
      </c>
      <c r="Q79" s="64">
        <v>9.33</v>
      </c>
      <c r="R79" s="198"/>
      <c r="S79" s="198"/>
      <c r="T79" s="198"/>
      <c r="U79" s="198"/>
    </row>
    <row r="80" spans="1:21" s="12" customFormat="1" x14ac:dyDescent="0.25">
      <c r="A80" s="214" t="s">
        <v>1757</v>
      </c>
      <c r="B80" s="64">
        <v>15.92</v>
      </c>
      <c r="C80" s="64">
        <v>48.22</v>
      </c>
      <c r="D80" s="64">
        <v>67.86</v>
      </c>
      <c r="E80" s="64">
        <v>9.2899999999999991</v>
      </c>
      <c r="F80" s="64">
        <v>19.54</v>
      </c>
      <c r="G80" s="64">
        <v>51.27</v>
      </c>
      <c r="H80" s="64">
        <v>23.33</v>
      </c>
      <c r="I80" s="64">
        <v>3.84</v>
      </c>
      <c r="J80" s="64">
        <v>0.23</v>
      </c>
      <c r="K80" s="64">
        <v>193.89</v>
      </c>
      <c r="L80" s="64">
        <v>35.5</v>
      </c>
      <c r="M80" s="64">
        <v>45.21</v>
      </c>
      <c r="N80" s="64">
        <v>48.7</v>
      </c>
      <c r="O80" s="64">
        <v>0</v>
      </c>
      <c r="P80" s="64">
        <v>0.85</v>
      </c>
      <c r="Q80" s="64">
        <v>9.35</v>
      </c>
      <c r="R80" s="198"/>
      <c r="S80" s="198"/>
      <c r="T80" s="198"/>
      <c r="U80" s="198"/>
    </row>
    <row r="81" spans="1:26" s="12" customFormat="1" x14ac:dyDescent="0.25">
      <c r="A81" s="214" t="s">
        <v>1758</v>
      </c>
      <c r="B81" s="64">
        <v>11.62</v>
      </c>
      <c r="C81" s="64">
        <v>38.590000000000003</v>
      </c>
      <c r="D81" s="64">
        <v>56.03</v>
      </c>
      <c r="E81" s="64">
        <v>10.75</v>
      </c>
      <c r="F81" s="64">
        <v>20.64</v>
      </c>
      <c r="G81" s="64">
        <v>51.27</v>
      </c>
      <c r="H81" s="64">
        <v>23.33</v>
      </c>
      <c r="I81" s="64">
        <v>4.04</v>
      </c>
      <c r="J81" s="64">
        <v>0.46</v>
      </c>
      <c r="K81" s="64">
        <v>280.72000000000003</v>
      </c>
      <c r="L81" s="64">
        <v>35.81</v>
      </c>
      <c r="M81" s="64">
        <v>42.62</v>
      </c>
      <c r="N81" s="64">
        <v>43</v>
      </c>
      <c r="O81" s="64">
        <v>0</v>
      </c>
      <c r="P81" s="64">
        <v>0.93</v>
      </c>
      <c r="Q81" s="64">
        <v>9.35</v>
      </c>
      <c r="R81" s="198"/>
      <c r="S81" s="198"/>
      <c r="T81" s="198"/>
      <c r="U81" s="198"/>
    </row>
    <row r="82" spans="1:26" s="12" customFormat="1" x14ac:dyDescent="0.25">
      <c r="A82" s="214" t="s">
        <v>1759</v>
      </c>
      <c r="B82" s="64">
        <v>10.3</v>
      </c>
      <c r="C82" s="64">
        <v>37.130000000000003</v>
      </c>
      <c r="D82" s="64">
        <v>55.26</v>
      </c>
      <c r="E82" s="64">
        <v>11</v>
      </c>
      <c r="F82" s="64">
        <v>22.89</v>
      </c>
      <c r="G82" s="64">
        <v>51.78</v>
      </c>
      <c r="H82" s="64">
        <v>22.26</v>
      </c>
      <c r="I82" s="64">
        <v>3.93</v>
      </c>
      <c r="J82" s="64">
        <v>0.61</v>
      </c>
      <c r="K82" s="64">
        <v>109.45</v>
      </c>
      <c r="L82" s="64">
        <v>35.590000000000003</v>
      </c>
      <c r="M82" s="64">
        <v>40.380000000000003</v>
      </c>
      <c r="N82" s="64">
        <v>34.700000000000003</v>
      </c>
      <c r="O82" s="64">
        <v>0</v>
      </c>
      <c r="P82" s="64">
        <v>0.66</v>
      </c>
      <c r="Q82" s="64">
        <v>9.36</v>
      </c>
      <c r="R82" s="198"/>
      <c r="S82" s="198"/>
      <c r="T82" s="198"/>
      <c r="U82" s="198"/>
    </row>
    <row r="83" spans="1:26" s="12" customFormat="1" x14ac:dyDescent="0.25">
      <c r="A83" s="214" t="s">
        <v>1760</v>
      </c>
      <c r="B83" s="64">
        <v>10.76</v>
      </c>
      <c r="C83" s="64">
        <v>38.840000000000003</v>
      </c>
      <c r="D83" s="64">
        <v>57.83</v>
      </c>
      <c r="E83" s="64">
        <v>11.79</v>
      </c>
      <c r="F83" s="64">
        <v>20.41</v>
      </c>
      <c r="G83" s="64">
        <v>53.33</v>
      </c>
      <c r="H83" s="64">
        <v>19.13</v>
      </c>
      <c r="I83" s="64">
        <v>4.09</v>
      </c>
      <c r="J83" s="64">
        <v>0.11</v>
      </c>
      <c r="K83" s="64">
        <v>128.54</v>
      </c>
      <c r="L83" s="64">
        <v>34.85</v>
      </c>
      <c r="M83" s="64">
        <v>42.58</v>
      </c>
      <c r="N83" s="64">
        <v>30.7</v>
      </c>
      <c r="O83" s="64">
        <v>0</v>
      </c>
      <c r="P83" s="64">
        <v>0.75</v>
      </c>
      <c r="Q83" s="64">
        <v>9.3699999999999992</v>
      </c>
      <c r="R83" s="198"/>
      <c r="S83" s="198"/>
      <c r="T83" s="198"/>
      <c r="U83" s="198"/>
    </row>
    <row r="84" spans="1:26" s="12" customFormat="1" x14ac:dyDescent="0.25">
      <c r="A84" s="214" t="s">
        <v>1761</v>
      </c>
      <c r="B84" s="64">
        <v>8.58</v>
      </c>
      <c r="C84" s="64">
        <v>33.979999999999997</v>
      </c>
      <c r="D84" s="64">
        <v>51.86</v>
      </c>
      <c r="E84" s="64">
        <v>11.42</v>
      </c>
      <c r="F84" s="64">
        <v>18.05</v>
      </c>
      <c r="G84" s="64">
        <v>53.33</v>
      </c>
      <c r="H84" s="64">
        <v>19.13</v>
      </c>
      <c r="I84" s="64">
        <v>3.87</v>
      </c>
      <c r="J84" s="64">
        <v>0.3</v>
      </c>
      <c r="K84" s="64">
        <v>118</v>
      </c>
      <c r="L84" s="64">
        <v>34.54</v>
      </c>
      <c r="M84" s="64">
        <v>43.14</v>
      </c>
      <c r="N84" s="64">
        <v>29.5</v>
      </c>
      <c r="O84" s="64">
        <v>0</v>
      </c>
      <c r="P84" s="64">
        <v>0.89</v>
      </c>
      <c r="Q84" s="64">
        <v>9.3699999999999992</v>
      </c>
      <c r="R84" s="198"/>
      <c r="S84" s="198"/>
      <c r="T84" s="198"/>
      <c r="U84" s="198"/>
    </row>
    <row r="85" spans="1:26" s="12" customFormat="1" x14ac:dyDescent="0.25">
      <c r="A85" s="214" t="s">
        <v>1762</v>
      </c>
      <c r="B85" s="64">
        <v>5.63</v>
      </c>
      <c r="C85" s="64">
        <v>30.98</v>
      </c>
      <c r="D85" s="64">
        <v>50.66</v>
      </c>
      <c r="E85" s="64">
        <v>9.48</v>
      </c>
      <c r="F85" s="64">
        <v>16.47</v>
      </c>
      <c r="G85" s="64">
        <v>53.33</v>
      </c>
      <c r="H85" s="64">
        <v>19.13</v>
      </c>
      <c r="I85" s="64">
        <v>3.93</v>
      </c>
      <c r="J85" s="64">
        <v>0.88</v>
      </c>
      <c r="K85" s="64">
        <v>110.03</v>
      </c>
      <c r="L85" s="64">
        <v>34.4</v>
      </c>
      <c r="M85" s="64">
        <v>43.02</v>
      </c>
      <c r="N85" s="64">
        <v>29.4</v>
      </c>
      <c r="O85" s="64">
        <v>0</v>
      </c>
      <c r="P85" s="64">
        <v>0.54</v>
      </c>
      <c r="Q85" s="64">
        <v>9.3699999999999992</v>
      </c>
      <c r="R85" s="198"/>
      <c r="S85" s="198"/>
      <c r="T85" s="198"/>
      <c r="U85" s="198"/>
    </row>
    <row r="86" spans="1:26" s="12" customFormat="1" x14ac:dyDescent="0.25">
      <c r="A86" s="214" t="s">
        <v>1763</v>
      </c>
      <c r="B86" s="64">
        <v>6.39</v>
      </c>
      <c r="C86" s="64">
        <v>23.28</v>
      </c>
      <c r="D86" s="64">
        <v>34.75</v>
      </c>
      <c r="E86" s="64">
        <v>6.65</v>
      </c>
      <c r="F86" s="64">
        <v>5.99</v>
      </c>
      <c r="G86" s="64">
        <v>53.14</v>
      </c>
      <c r="H86" s="64">
        <v>19.09</v>
      </c>
      <c r="I86" s="64">
        <v>3.98</v>
      </c>
      <c r="J86" s="64">
        <v>1.88</v>
      </c>
      <c r="K86" s="64">
        <v>152.27000000000001</v>
      </c>
      <c r="L86" s="64">
        <v>32.43</v>
      </c>
      <c r="M86" s="64">
        <v>55.75</v>
      </c>
      <c r="N86" s="64">
        <v>34.299999999999997</v>
      </c>
      <c r="O86" s="64">
        <v>0</v>
      </c>
      <c r="P86" s="64">
        <v>0.63</v>
      </c>
      <c r="Q86" s="64">
        <v>9.36</v>
      </c>
      <c r="R86" s="198"/>
      <c r="S86" s="198"/>
      <c r="T86" s="198"/>
      <c r="U86" s="198"/>
    </row>
    <row r="87" spans="1:26" s="12" customFormat="1" x14ac:dyDescent="0.25">
      <c r="A87" s="214" t="s">
        <v>1764</v>
      </c>
      <c r="B87" s="64">
        <v>5.9</v>
      </c>
      <c r="C87" s="64">
        <v>21.1</v>
      </c>
      <c r="D87" s="64">
        <v>31.34</v>
      </c>
      <c r="E87" s="64">
        <v>5.77</v>
      </c>
      <c r="F87" s="64">
        <v>5.34</v>
      </c>
      <c r="G87" s="64">
        <v>52.57</v>
      </c>
      <c r="H87" s="64">
        <v>18.97</v>
      </c>
      <c r="I87" s="64">
        <v>3.91</v>
      </c>
      <c r="J87" s="64">
        <v>2.29</v>
      </c>
      <c r="K87" s="64">
        <v>151.01</v>
      </c>
      <c r="L87" s="64">
        <v>30.68</v>
      </c>
      <c r="M87" s="64">
        <v>59.33</v>
      </c>
      <c r="N87" s="64">
        <v>29.3</v>
      </c>
      <c r="O87" s="64">
        <v>0</v>
      </c>
      <c r="P87" s="64">
        <v>0.61</v>
      </c>
      <c r="Q87" s="64">
        <v>9.35</v>
      </c>
      <c r="R87" s="198"/>
      <c r="S87" s="198"/>
      <c r="T87" s="198"/>
      <c r="U87" s="198"/>
    </row>
    <row r="88" spans="1:26" s="12" customFormat="1" x14ac:dyDescent="0.25">
      <c r="A88" s="214" t="s">
        <v>1765</v>
      </c>
      <c r="B88" s="64">
        <v>5.39</v>
      </c>
      <c r="C88" s="64">
        <v>20.53</v>
      </c>
      <c r="D88" s="64">
        <v>31.03</v>
      </c>
      <c r="E88" s="64">
        <v>5.76</v>
      </c>
      <c r="F88" s="64">
        <v>5.91</v>
      </c>
      <c r="G88" s="64">
        <v>52.57</v>
      </c>
      <c r="H88" s="64">
        <v>18.97</v>
      </c>
      <c r="I88" s="64">
        <v>4.1500000000000004</v>
      </c>
      <c r="J88" s="64">
        <v>2.42</v>
      </c>
      <c r="K88" s="64">
        <v>156.56</v>
      </c>
      <c r="L88" s="64">
        <v>29.59</v>
      </c>
      <c r="M88" s="64">
        <v>64.349999999999994</v>
      </c>
      <c r="N88" s="64">
        <v>31.2</v>
      </c>
      <c r="O88" s="64">
        <v>0</v>
      </c>
      <c r="P88" s="64">
        <v>0.61</v>
      </c>
      <c r="Q88" s="64">
        <v>9.32</v>
      </c>
      <c r="R88" s="198"/>
      <c r="S88" s="198"/>
      <c r="T88" s="198"/>
      <c r="U88" s="198"/>
    </row>
    <row r="89" spans="1:26" s="12" customFormat="1" x14ac:dyDescent="0.25">
      <c r="A89" s="214" t="s">
        <v>1766</v>
      </c>
      <c r="B89" s="64">
        <v>5.04</v>
      </c>
      <c r="C89" s="64">
        <v>20.07</v>
      </c>
      <c r="D89" s="64">
        <v>30.68</v>
      </c>
      <c r="E89" s="64">
        <v>5.83</v>
      </c>
      <c r="F89" s="64">
        <v>5.99</v>
      </c>
      <c r="G89" s="64">
        <v>52.57</v>
      </c>
      <c r="H89" s="64">
        <v>18.97</v>
      </c>
      <c r="I89" s="64">
        <v>3.96</v>
      </c>
      <c r="J89" s="64">
        <v>1.87</v>
      </c>
      <c r="K89" s="64">
        <v>154.59</v>
      </c>
      <c r="L89" s="64">
        <v>29.86</v>
      </c>
      <c r="M89" s="64">
        <v>65.099999999999994</v>
      </c>
      <c r="N89" s="64">
        <v>29.5</v>
      </c>
      <c r="O89" s="64">
        <v>0</v>
      </c>
      <c r="P89" s="64">
        <v>0.56000000000000005</v>
      </c>
      <c r="Q89" s="64">
        <v>9.35</v>
      </c>
      <c r="R89" s="198"/>
      <c r="S89" s="198"/>
      <c r="T89" s="198"/>
      <c r="U89" s="198"/>
    </row>
    <row r="90" spans="1:26" s="12" customFormat="1" x14ac:dyDescent="0.25">
      <c r="A90" s="214" t="s">
        <v>1767</v>
      </c>
      <c r="B90" s="64">
        <v>4.9000000000000004</v>
      </c>
      <c r="C90" s="64">
        <v>19.170000000000002</v>
      </c>
      <c r="D90" s="64">
        <v>29.17</v>
      </c>
      <c r="E90" s="64">
        <v>5.15</v>
      </c>
      <c r="F90" s="64">
        <v>5.66</v>
      </c>
      <c r="G90" s="64">
        <v>50.51</v>
      </c>
      <c r="H90" s="64">
        <v>18.03</v>
      </c>
      <c r="I90" s="64">
        <v>4.05</v>
      </c>
      <c r="J90" s="64">
        <v>2.25</v>
      </c>
      <c r="K90" s="64">
        <v>157.4</v>
      </c>
      <c r="L90" s="64">
        <v>29.28</v>
      </c>
      <c r="M90" s="64">
        <v>64.38</v>
      </c>
      <c r="N90" s="64">
        <v>29.5</v>
      </c>
      <c r="O90" s="64">
        <v>0</v>
      </c>
      <c r="P90" s="64">
        <v>0.53</v>
      </c>
      <c r="Q90" s="64">
        <v>9.34</v>
      </c>
      <c r="R90" s="198"/>
      <c r="S90" s="198"/>
      <c r="T90" s="198"/>
      <c r="U90" s="198"/>
    </row>
    <row r="91" spans="1:26" s="12" customFormat="1" x14ac:dyDescent="0.25">
      <c r="A91" s="214" t="s">
        <v>1768</v>
      </c>
      <c r="B91" s="64">
        <v>5.13</v>
      </c>
      <c r="C91" s="64">
        <v>20.05</v>
      </c>
      <c r="D91" s="64">
        <v>30.51</v>
      </c>
      <c r="E91" s="64">
        <v>5.39</v>
      </c>
      <c r="F91" s="64">
        <v>6.15</v>
      </c>
      <c r="G91" s="64">
        <v>44.52</v>
      </c>
      <c r="H91" s="64">
        <v>15.27</v>
      </c>
      <c r="I91" s="64">
        <v>3.89</v>
      </c>
      <c r="J91" s="64">
        <v>1.59</v>
      </c>
      <c r="K91" s="64">
        <v>154.32</v>
      </c>
      <c r="L91" s="64">
        <v>28.99</v>
      </c>
      <c r="M91" s="64">
        <v>66.28</v>
      </c>
      <c r="N91" s="64">
        <v>29.3</v>
      </c>
      <c r="O91" s="64">
        <v>0</v>
      </c>
      <c r="P91" s="64">
        <v>0.48</v>
      </c>
      <c r="Q91" s="64">
        <v>9.32</v>
      </c>
      <c r="R91" s="198"/>
      <c r="S91" s="198"/>
      <c r="T91" s="198"/>
      <c r="U91" s="198"/>
    </row>
    <row r="92" spans="1:26" s="12" customFormat="1" x14ac:dyDescent="0.25">
      <c r="A92" s="214" t="s">
        <v>1769</v>
      </c>
      <c r="B92" s="64">
        <v>5.05</v>
      </c>
      <c r="C92" s="64">
        <v>18.87</v>
      </c>
      <c r="D92" s="64">
        <v>28.37</v>
      </c>
      <c r="E92" s="64">
        <v>5.19</v>
      </c>
      <c r="F92" s="64">
        <v>7.11</v>
      </c>
      <c r="G92" s="64">
        <v>44.52</v>
      </c>
      <c r="H92" s="64">
        <v>15.27</v>
      </c>
      <c r="I92" s="64">
        <v>3.81</v>
      </c>
      <c r="J92" s="64">
        <v>1.8</v>
      </c>
      <c r="K92" s="64">
        <v>148.91</v>
      </c>
      <c r="L92" s="64">
        <v>29.13</v>
      </c>
      <c r="M92" s="64">
        <v>64.680000000000007</v>
      </c>
      <c r="N92" s="64">
        <v>29.2</v>
      </c>
      <c r="O92" s="64">
        <v>0</v>
      </c>
      <c r="P92" s="64">
        <v>0.47</v>
      </c>
      <c r="Q92" s="64">
        <v>9.3000000000000007</v>
      </c>
      <c r="R92" s="198"/>
      <c r="S92" s="198"/>
      <c r="T92" s="198"/>
      <c r="U92" s="198"/>
    </row>
    <row r="93" spans="1:26" s="12" customFormat="1" x14ac:dyDescent="0.25">
      <c r="A93" s="214" t="s">
        <v>1770</v>
      </c>
      <c r="B93" s="64">
        <v>5.04</v>
      </c>
      <c r="C93" s="64">
        <v>18.27</v>
      </c>
      <c r="D93" s="64">
        <v>27.24</v>
      </c>
      <c r="E93" s="64">
        <v>5.13</v>
      </c>
      <c r="F93" s="64">
        <v>9.4600000000000009</v>
      </c>
      <c r="G93" s="64">
        <v>44.52</v>
      </c>
      <c r="H93" s="64">
        <v>15.27</v>
      </c>
      <c r="I93" s="64">
        <v>3.98</v>
      </c>
      <c r="J93" s="64">
        <v>1.51</v>
      </c>
      <c r="K93" s="64">
        <v>161.41999999999999</v>
      </c>
      <c r="L93" s="64">
        <v>29.55</v>
      </c>
      <c r="M93" s="64">
        <v>67.31</v>
      </c>
      <c r="N93" s="64">
        <v>29.5</v>
      </c>
      <c r="O93" s="64">
        <v>0</v>
      </c>
      <c r="P93" s="64">
        <v>0.46</v>
      </c>
      <c r="Q93" s="64">
        <v>9.3000000000000007</v>
      </c>
      <c r="R93" s="198"/>
      <c r="S93" s="198"/>
      <c r="T93" s="198"/>
      <c r="U93" s="198"/>
    </row>
    <row r="94" spans="1:26" s="12" customFormat="1" x14ac:dyDescent="0.25">
      <c r="A94" s="214" t="s">
        <v>1771</v>
      </c>
      <c r="B94" s="64">
        <v>5.17</v>
      </c>
      <c r="C94" s="64">
        <v>19.7</v>
      </c>
      <c r="D94" s="64">
        <v>29.76</v>
      </c>
      <c r="E94" s="64">
        <v>5.19</v>
      </c>
      <c r="F94" s="64">
        <v>15.13</v>
      </c>
      <c r="G94" s="64">
        <v>41.92</v>
      </c>
      <c r="H94" s="64">
        <v>14.66</v>
      </c>
      <c r="I94" s="64">
        <v>3.97</v>
      </c>
      <c r="J94" s="64">
        <v>1.02</v>
      </c>
      <c r="K94" s="64">
        <v>166.07</v>
      </c>
      <c r="L94" s="64">
        <v>29.26</v>
      </c>
      <c r="M94" s="64">
        <v>68</v>
      </c>
      <c r="N94" s="64">
        <v>29</v>
      </c>
      <c r="O94" s="64">
        <v>0</v>
      </c>
      <c r="P94" s="64">
        <v>0.39</v>
      </c>
      <c r="Q94" s="64">
        <v>9.3000000000000007</v>
      </c>
      <c r="R94" s="198"/>
      <c r="S94" s="198"/>
      <c r="T94" s="198"/>
      <c r="U94" s="198"/>
    </row>
    <row r="95" spans="1:26" s="12" customFormat="1" x14ac:dyDescent="0.25">
      <c r="A95" s="214" t="s">
        <v>1772</v>
      </c>
      <c r="B95" s="64">
        <v>5.13</v>
      </c>
      <c r="C95" s="64">
        <v>20.059999999999999</v>
      </c>
      <c r="D95" s="64">
        <v>30.52</v>
      </c>
      <c r="E95" s="64">
        <v>5.37</v>
      </c>
      <c r="F95" s="64">
        <v>11.17</v>
      </c>
      <c r="G95" s="64">
        <v>34.35</v>
      </c>
      <c r="H95" s="64">
        <v>12.87</v>
      </c>
      <c r="I95" s="64">
        <v>4.03</v>
      </c>
      <c r="J95" s="64">
        <v>0.91</v>
      </c>
      <c r="K95" s="64">
        <v>226.72</v>
      </c>
      <c r="L95" s="64">
        <v>29.52</v>
      </c>
      <c r="M95" s="64">
        <v>65.16</v>
      </c>
      <c r="N95" s="64">
        <v>29</v>
      </c>
      <c r="O95" s="64">
        <v>0</v>
      </c>
      <c r="P95" s="64">
        <v>0.39</v>
      </c>
      <c r="Q95" s="64">
        <v>9.3000000000000007</v>
      </c>
      <c r="R95" s="198"/>
      <c r="S95" s="198"/>
      <c r="T95" s="198"/>
      <c r="U95" s="198"/>
    </row>
    <row r="96" spans="1:26" s="12" customFormat="1" x14ac:dyDescent="0.25">
      <c r="A96" s="214" t="s">
        <v>1773</v>
      </c>
      <c r="B96" s="64">
        <v>5.08</v>
      </c>
      <c r="C96" s="64">
        <v>18.3</v>
      </c>
      <c r="D96" s="64">
        <v>27.23</v>
      </c>
      <c r="E96" s="64">
        <v>5.33</v>
      </c>
      <c r="F96" s="64">
        <v>5.67</v>
      </c>
      <c r="G96" s="64">
        <v>34.35</v>
      </c>
      <c r="H96" s="64">
        <v>12.87</v>
      </c>
      <c r="I96" s="64">
        <v>3.93</v>
      </c>
      <c r="J96" s="64">
        <v>1.1000000000000001</v>
      </c>
      <c r="K96" s="64">
        <v>231.26</v>
      </c>
      <c r="L96" s="64">
        <v>28.8</v>
      </c>
      <c r="M96" s="64">
        <v>72.040000000000006</v>
      </c>
      <c r="N96" s="64">
        <v>30.6</v>
      </c>
      <c r="O96" s="64">
        <v>0</v>
      </c>
      <c r="P96" s="64">
        <v>0.43</v>
      </c>
      <c r="Q96" s="64">
        <v>9.31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1774</v>
      </c>
      <c r="B97" s="64">
        <v>4.8899999999999997</v>
      </c>
      <c r="C97" s="64">
        <v>17.77</v>
      </c>
      <c r="D97" s="64">
        <v>26.51</v>
      </c>
      <c r="E97" s="64">
        <v>5.42</v>
      </c>
      <c r="F97" s="64">
        <v>6.66</v>
      </c>
      <c r="G97" s="64">
        <v>34.35</v>
      </c>
      <c r="H97" s="64">
        <v>12.87</v>
      </c>
      <c r="I97" s="64">
        <v>4.05</v>
      </c>
      <c r="J97" s="64">
        <v>1.08</v>
      </c>
      <c r="K97" s="64">
        <v>233.42</v>
      </c>
      <c r="L97" s="64">
        <v>28.33</v>
      </c>
      <c r="M97" s="64">
        <v>78.41</v>
      </c>
      <c r="N97" s="64">
        <v>30.5</v>
      </c>
      <c r="O97" s="64">
        <v>0</v>
      </c>
      <c r="P97" s="64">
        <v>0.4</v>
      </c>
      <c r="Q97" s="64">
        <v>9.31</v>
      </c>
      <c r="R97" s="198"/>
      <c r="S97" s="198"/>
      <c r="T97" s="198"/>
      <c r="U97" s="198"/>
    </row>
    <row r="98" spans="1:33" s="12" customFormat="1" x14ac:dyDescent="0.25">
      <c r="A98" s="214" t="s">
        <v>1775</v>
      </c>
      <c r="B98" s="64">
        <v>4.66</v>
      </c>
      <c r="C98" s="64">
        <v>17.23</v>
      </c>
      <c r="D98" s="64">
        <v>25.82</v>
      </c>
      <c r="E98" s="64">
        <v>5.2</v>
      </c>
      <c r="F98" s="64">
        <v>6.58</v>
      </c>
      <c r="G98" s="64">
        <v>35.51</v>
      </c>
      <c r="H98" s="64">
        <v>13.69</v>
      </c>
      <c r="I98" s="64">
        <v>3.81</v>
      </c>
      <c r="J98" s="64">
        <v>1.06</v>
      </c>
      <c r="K98" s="64">
        <v>213.85</v>
      </c>
      <c r="L98" s="64">
        <v>27.11</v>
      </c>
      <c r="M98" s="64">
        <v>81.099999999999994</v>
      </c>
      <c r="N98" s="64">
        <v>30.3</v>
      </c>
      <c r="O98" s="64">
        <v>0</v>
      </c>
      <c r="P98" s="64">
        <v>0.38</v>
      </c>
      <c r="Q98" s="64">
        <v>9.31</v>
      </c>
      <c r="R98" s="198"/>
      <c r="S98" s="198"/>
      <c r="T98" s="198"/>
      <c r="U98" s="198"/>
    </row>
    <row r="99" spans="1:33" s="12" customFormat="1" x14ac:dyDescent="0.25">
      <c r="A99" s="214" t="s">
        <v>1776</v>
      </c>
      <c r="B99" s="64">
        <v>4.57</v>
      </c>
      <c r="C99" s="64">
        <v>17.36</v>
      </c>
      <c r="D99" s="64">
        <v>26.2</v>
      </c>
      <c r="E99" s="64">
        <v>5.12</v>
      </c>
      <c r="F99" s="64">
        <v>4.66</v>
      </c>
      <c r="G99" s="64">
        <v>38.89</v>
      </c>
      <c r="H99" s="64">
        <v>16.07</v>
      </c>
      <c r="I99" s="64">
        <v>3.99</v>
      </c>
      <c r="J99" s="64">
        <v>1.3</v>
      </c>
      <c r="K99" s="64">
        <v>207.73</v>
      </c>
      <c r="L99" s="64">
        <v>26.14</v>
      </c>
      <c r="M99" s="64">
        <v>82.95</v>
      </c>
      <c r="N99" s="64">
        <v>28.8</v>
      </c>
      <c r="O99" s="64">
        <v>0</v>
      </c>
      <c r="P99" s="64">
        <v>0.35</v>
      </c>
      <c r="Q99" s="64">
        <v>9.32</v>
      </c>
      <c r="R99" s="198"/>
      <c r="S99" s="198"/>
      <c r="T99" s="198"/>
      <c r="U99" s="198"/>
    </row>
    <row r="100" spans="1:33" s="12" customFormat="1" x14ac:dyDescent="0.25">
      <c r="A100" s="214" t="s">
        <v>1777</v>
      </c>
      <c r="B100" s="64">
        <v>4.54</v>
      </c>
      <c r="C100" s="64">
        <v>15.79</v>
      </c>
      <c r="D100" s="64">
        <v>23.26</v>
      </c>
      <c r="E100" s="64">
        <v>5.3</v>
      </c>
      <c r="F100" s="64">
        <v>8.34</v>
      </c>
      <c r="G100" s="64">
        <v>38.89</v>
      </c>
      <c r="H100" s="64">
        <v>16.07</v>
      </c>
      <c r="I100" s="64">
        <v>4.0199999999999996</v>
      </c>
      <c r="J100" s="64">
        <v>1.1299999999999999</v>
      </c>
      <c r="K100" s="64">
        <v>203.96</v>
      </c>
      <c r="L100" s="64">
        <v>25.72</v>
      </c>
      <c r="M100" s="64">
        <v>82.91</v>
      </c>
      <c r="N100" s="64">
        <v>29.6</v>
      </c>
      <c r="O100" s="64">
        <v>0</v>
      </c>
      <c r="P100" s="64">
        <v>0.34</v>
      </c>
      <c r="Q100" s="64">
        <v>9.31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1778</v>
      </c>
      <c r="B101" s="64">
        <v>4.54</v>
      </c>
      <c r="C101" s="64">
        <v>15.68</v>
      </c>
      <c r="D101" s="64">
        <v>23.04</v>
      </c>
      <c r="E101" s="64">
        <v>5.0999999999999996</v>
      </c>
      <c r="F101" s="64">
        <v>6.48</v>
      </c>
      <c r="G101" s="64">
        <v>38.89</v>
      </c>
      <c r="H101" s="64">
        <v>16.07</v>
      </c>
      <c r="I101" s="64">
        <v>4.0999999999999996</v>
      </c>
      <c r="J101" s="64">
        <v>0.82</v>
      </c>
      <c r="K101" s="64">
        <v>198.11</v>
      </c>
      <c r="L101" s="64">
        <v>26.33</v>
      </c>
      <c r="M101" s="64">
        <v>82.43</v>
      </c>
      <c r="N101" s="64">
        <v>28.7</v>
      </c>
      <c r="O101" s="64">
        <v>0</v>
      </c>
      <c r="P101" s="64">
        <v>0.31</v>
      </c>
      <c r="Q101" s="64">
        <v>9.31</v>
      </c>
      <c r="R101" s="198"/>
      <c r="S101" s="198"/>
      <c r="T101" s="198"/>
      <c r="U101" s="198"/>
    </row>
    <row r="102" spans="1:33" s="12" customFormat="1" x14ac:dyDescent="0.25">
      <c r="A102" s="214" t="s">
        <v>1779</v>
      </c>
      <c r="B102" s="64">
        <v>4.5599999999999996</v>
      </c>
      <c r="C102" s="64">
        <v>14.94</v>
      </c>
      <c r="D102" s="64">
        <v>21.59</v>
      </c>
      <c r="E102" s="64">
        <v>5.22</v>
      </c>
      <c r="F102" s="64">
        <v>8.0500000000000007</v>
      </c>
      <c r="G102" s="64">
        <v>42.23</v>
      </c>
      <c r="H102" s="64">
        <v>15.28</v>
      </c>
      <c r="I102" s="64">
        <v>3.99</v>
      </c>
      <c r="J102" s="64">
        <v>0.93</v>
      </c>
      <c r="K102" s="64">
        <v>207.09</v>
      </c>
      <c r="L102" s="64">
        <v>26.84</v>
      </c>
      <c r="M102" s="64">
        <v>79.67</v>
      </c>
      <c r="N102" s="64">
        <v>28.6</v>
      </c>
      <c r="O102" s="64">
        <v>0</v>
      </c>
      <c r="P102" s="64">
        <v>0.28999999999999998</v>
      </c>
      <c r="Q102" s="64">
        <v>9.3000000000000007</v>
      </c>
      <c r="R102" s="198"/>
      <c r="S102" s="198"/>
      <c r="T102" s="198"/>
      <c r="U102" s="198"/>
    </row>
    <row r="103" spans="1:33" s="12" customFormat="1" x14ac:dyDescent="0.25">
      <c r="A103" s="214" t="s">
        <v>1780</v>
      </c>
      <c r="B103" s="64">
        <v>4.6100000000000003</v>
      </c>
      <c r="C103" s="64">
        <v>14.44</v>
      </c>
      <c r="D103" s="64">
        <v>20.56</v>
      </c>
      <c r="E103" s="64">
        <v>4.82</v>
      </c>
      <c r="F103" s="64">
        <v>6.6</v>
      </c>
      <c r="G103" s="64">
        <v>51.96</v>
      </c>
      <c r="H103" s="64">
        <v>12.97</v>
      </c>
      <c r="I103" s="64">
        <v>3.96</v>
      </c>
      <c r="J103" s="64">
        <v>0.9</v>
      </c>
      <c r="K103" s="64">
        <v>204.31</v>
      </c>
      <c r="L103" s="64">
        <v>26.76</v>
      </c>
      <c r="M103" s="64">
        <v>79.33</v>
      </c>
      <c r="N103" s="64">
        <v>29.1</v>
      </c>
      <c r="O103" s="64">
        <v>0</v>
      </c>
      <c r="P103" s="64">
        <v>0.28999999999999998</v>
      </c>
      <c r="Q103" s="64">
        <v>9.2899999999999991</v>
      </c>
      <c r="R103" s="198"/>
      <c r="S103" s="198"/>
      <c r="T103" s="198"/>
      <c r="U103" s="198"/>
    </row>
    <row r="104" spans="1:33" s="12" customFormat="1" x14ac:dyDescent="0.25">
      <c r="A104" s="214" t="s">
        <v>1781</v>
      </c>
      <c r="B104" s="64">
        <v>4.63</v>
      </c>
      <c r="C104" s="64">
        <v>14.13</v>
      </c>
      <c r="D104" s="64">
        <v>19.940000000000001</v>
      </c>
      <c r="E104" s="64">
        <v>5.29</v>
      </c>
      <c r="F104" s="64">
        <v>8.44</v>
      </c>
      <c r="G104" s="64">
        <v>51.96</v>
      </c>
      <c r="H104" s="64">
        <v>12.97</v>
      </c>
      <c r="I104" s="64">
        <v>3.98</v>
      </c>
      <c r="J104" s="64">
        <v>0.43</v>
      </c>
      <c r="K104" s="64">
        <v>219.13</v>
      </c>
      <c r="L104" s="64">
        <v>27.43</v>
      </c>
      <c r="M104" s="64">
        <v>79.2</v>
      </c>
      <c r="N104" s="64">
        <v>28.8</v>
      </c>
      <c r="O104" s="64">
        <v>0</v>
      </c>
      <c r="P104" s="64">
        <v>0.26</v>
      </c>
      <c r="Q104" s="64">
        <v>9.2799999999999994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4.3499999999999996</v>
      </c>
      <c r="C106" s="67">
        <f>MIN(C9:C104)</f>
        <v>14.13</v>
      </c>
      <c r="D106" s="67">
        <f t="shared" ref="D106:Q106" si="0">MIN(D9:D104)</f>
        <v>19.940000000000001</v>
      </c>
      <c r="E106" s="67">
        <f t="shared" si="0"/>
        <v>4.21</v>
      </c>
      <c r="F106" s="67">
        <f t="shared" si="0"/>
        <v>4.66</v>
      </c>
      <c r="G106" s="67">
        <f t="shared" si="0"/>
        <v>23.92</v>
      </c>
      <c r="H106" s="67">
        <f t="shared" si="0"/>
        <v>10.57</v>
      </c>
      <c r="I106" s="67">
        <f t="shared" si="0"/>
        <v>3.79</v>
      </c>
      <c r="J106" s="67">
        <f t="shared" si="0"/>
        <v>0.11</v>
      </c>
      <c r="K106" s="67">
        <f t="shared" si="0"/>
        <v>109.45</v>
      </c>
      <c r="L106" s="67">
        <f t="shared" si="0"/>
        <v>25.72</v>
      </c>
      <c r="M106" s="67">
        <f t="shared" si="0"/>
        <v>30.44</v>
      </c>
      <c r="N106" s="67">
        <f t="shared" si="0"/>
        <v>28.6</v>
      </c>
      <c r="O106" s="67">
        <f t="shared" si="0"/>
        <v>0</v>
      </c>
      <c r="P106" s="67">
        <f t="shared" si="0"/>
        <v>0.26</v>
      </c>
      <c r="Q106" s="67">
        <f t="shared" si="0"/>
        <v>9.24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15.92</v>
      </c>
      <c r="C107" s="66">
        <f t="shared" ref="C107:Q107" si="1">MAX(C9:C104)</f>
        <v>48.22</v>
      </c>
      <c r="D107" s="66">
        <f t="shared" si="1"/>
        <v>67.86</v>
      </c>
      <c r="E107" s="66">
        <f t="shared" si="1"/>
        <v>16.170000000000002</v>
      </c>
      <c r="F107" s="66">
        <f t="shared" si="1"/>
        <v>28.47</v>
      </c>
      <c r="G107" s="66">
        <f t="shared" si="1"/>
        <v>57.18</v>
      </c>
      <c r="H107" s="66">
        <f t="shared" si="1"/>
        <v>28.28</v>
      </c>
      <c r="I107" s="66">
        <f t="shared" si="1"/>
        <v>4.3</v>
      </c>
      <c r="J107" s="66">
        <f t="shared" si="1"/>
        <v>2.42</v>
      </c>
      <c r="K107" s="66">
        <f t="shared" si="1"/>
        <v>280.72000000000003</v>
      </c>
      <c r="L107" s="66">
        <f t="shared" si="1"/>
        <v>41.8</v>
      </c>
      <c r="M107" s="66">
        <f t="shared" si="1"/>
        <v>82.95</v>
      </c>
      <c r="N107" s="66">
        <f t="shared" si="1"/>
        <v>790.7</v>
      </c>
      <c r="O107" s="66">
        <f t="shared" si="1"/>
        <v>0</v>
      </c>
      <c r="P107" s="66">
        <f t="shared" si="1"/>
        <v>0.93</v>
      </c>
      <c r="Q107" s="66">
        <f t="shared" si="1"/>
        <v>9.43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5.8485416666666659</v>
      </c>
      <c r="C108" s="67">
        <f t="shared" ref="C108:Q108" si="2">AVERAGE(C9:C104)</f>
        <v>20.425416666666667</v>
      </c>
      <c r="D108" s="67">
        <f t="shared" si="2"/>
        <v>30.118229166666683</v>
      </c>
      <c r="E108" s="67">
        <f t="shared" si="2"/>
        <v>6.7543750000000005</v>
      </c>
      <c r="F108" s="67">
        <f t="shared" si="2"/>
        <v>12.373750000000001</v>
      </c>
      <c r="G108" s="67">
        <f t="shared" si="2"/>
        <v>40.015416666666688</v>
      </c>
      <c r="H108" s="67">
        <f t="shared" si="2"/>
        <v>17.379062499999996</v>
      </c>
      <c r="I108" s="67">
        <f t="shared" si="2"/>
        <v>3.9941666666666671</v>
      </c>
      <c r="J108" s="67">
        <f t="shared" si="2"/>
        <v>0.81343749999999992</v>
      </c>
      <c r="K108" s="67">
        <f t="shared" si="2"/>
        <v>197.5397916666667</v>
      </c>
      <c r="L108" s="67">
        <f t="shared" si="2"/>
        <v>32.76302083333335</v>
      </c>
      <c r="M108" s="67">
        <f t="shared" si="2"/>
        <v>59.378645833333337</v>
      </c>
      <c r="N108" s="67">
        <f t="shared" si="2"/>
        <v>199.54062499999989</v>
      </c>
      <c r="O108" s="67">
        <f t="shared" si="2"/>
        <v>0</v>
      </c>
      <c r="P108" s="67">
        <f t="shared" si="2"/>
        <v>0.51218749999999991</v>
      </c>
      <c r="Q108" s="67">
        <f t="shared" si="2"/>
        <v>9.3390624999999936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1.7526863466760305</v>
      </c>
      <c r="C109" s="67">
        <f t="shared" ref="C109:Q109" si="3">STDEV(C9:C104)</f>
        <v>5.8941228384796629</v>
      </c>
      <c r="D109" s="67">
        <f t="shared" si="3"/>
        <v>9.1497632980360297</v>
      </c>
      <c r="E109" s="67">
        <f t="shared" si="3"/>
        <v>2.8142815527048333</v>
      </c>
      <c r="F109" s="67">
        <f t="shared" si="3"/>
        <v>6.2281138903827706</v>
      </c>
      <c r="G109" s="67">
        <f t="shared" si="3"/>
        <v>10.819621835658827</v>
      </c>
      <c r="H109" s="67">
        <f t="shared" si="3"/>
        <v>3.9330382197682843</v>
      </c>
      <c r="I109" s="67">
        <f t="shared" si="3"/>
        <v>8.8658619869660615E-2</v>
      </c>
      <c r="J109" s="67">
        <f t="shared" si="3"/>
        <v>0.42335459350537979</v>
      </c>
      <c r="K109" s="67">
        <f t="shared" si="3"/>
        <v>36.825144269675938</v>
      </c>
      <c r="L109" s="67">
        <f t="shared" si="3"/>
        <v>4.6887273820001845</v>
      </c>
      <c r="M109" s="67">
        <f t="shared" si="3"/>
        <v>18.729591931924308</v>
      </c>
      <c r="N109" s="67">
        <f t="shared" si="3"/>
        <v>237.08021586224669</v>
      </c>
      <c r="O109" s="67">
        <f t="shared" si="3"/>
        <v>0</v>
      </c>
      <c r="P109" s="67">
        <f t="shared" si="3"/>
        <v>0.14514749757619519</v>
      </c>
      <c r="Q109" s="67">
        <f t="shared" si="3"/>
        <v>4.6522843851166257E-2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9" sqref="L9:N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1782</v>
      </c>
      <c r="B9" s="64">
        <v>4.72</v>
      </c>
      <c r="C9" s="64">
        <v>13.99</v>
      </c>
      <c r="D9" s="64">
        <v>19.53</v>
      </c>
      <c r="E9" s="64">
        <v>4.7699999999999996</v>
      </c>
      <c r="F9" s="64">
        <v>6.56</v>
      </c>
      <c r="G9" s="64">
        <v>51.96</v>
      </c>
      <c r="H9" s="64">
        <v>12.97</v>
      </c>
      <c r="I9" s="64">
        <v>3.98</v>
      </c>
      <c r="J9" s="64">
        <v>0.56000000000000005</v>
      </c>
      <c r="K9" s="64">
        <v>217.66</v>
      </c>
      <c r="L9" s="64">
        <v>27.52</v>
      </c>
      <c r="M9" s="64">
        <v>78.47</v>
      </c>
      <c r="N9" s="64">
        <v>29.1</v>
      </c>
      <c r="O9" s="64">
        <v>0</v>
      </c>
      <c r="P9" s="64">
        <v>0.26</v>
      </c>
      <c r="Q9" s="64">
        <v>9.26</v>
      </c>
      <c r="R9" s="198"/>
      <c r="S9" s="198"/>
      <c r="T9" s="198"/>
      <c r="U9" s="198"/>
    </row>
    <row r="10" spans="1:21" s="12" customFormat="1" x14ac:dyDescent="0.25">
      <c r="A10" s="214" t="s">
        <v>1783</v>
      </c>
      <c r="B10" s="64">
        <v>4.7699999999999996</v>
      </c>
      <c r="C10" s="64">
        <v>14.96</v>
      </c>
      <c r="D10" s="64">
        <v>21.31</v>
      </c>
      <c r="E10" s="64">
        <v>5.41</v>
      </c>
      <c r="F10" s="64">
        <v>5.26</v>
      </c>
      <c r="G10" s="64">
        <v>47</v>
      </c>
      <c r="H10" s="64">
        <v>13.21</v>
      </c>
      <c r="I10" s="64">
        <v>3.99</v>
      </c>
      <c r="J10" s="64">
        <v>0.73</v>
      </c>
      <c r="K10" s="64">
        <v>234</v>
      </c>
      <c r="L10" s="64">
        <v>27.74</v>
      </c>
      <c r="M10" s="64">
        <v>78.09</v>
      </c>
      <c r="N10" s="64">
        <v>29</v>
      </c>
      <c r="O10" s="64">
        <v>0</v>
      </c>
      <c r="P10" s="64">
        <v>0.28000000000000003</v>
      </c>
      <c r="Q10" s="64">
        <v>9.26</v>
      </c>
      <c r="R10" s="198"/>
      <c r="S10" s="198"/>
      <c r="T10" s="198"/>
      <c r="U10" s="198"/>
    </row>
    <row r="11" spans="1:21" s="12" customFormat="1" x14ac:dyDescent="0.25">
      <c r="A11" s="214" t="s">
        <v>1784</v>
      </c>
      <c r="B11" s="64">
        <v>4.7699999999999996</v>
      </c>
      <c r="C11" s="64">
        <v>14.8</v>
      </c>
      <c r="D11" s="64">
        <v>20.99</v>
      </c>
      <c r="E11" s="64">
        <v>4.95</v>
      </c>
      <c r="F11" s="64">
        <v>5.1100000000000003</v>
      </c>
      <c r="G11" s="64">
        <v>32.53</v>
      </c>
      <c r="H11" s="64">
        <v>13.91</v>
      </c>
      <c r="I11" s="64">
        <v>4.04</v>
      </c>
      <c r="J11" s="64">
        <v>0.76</v>
      </c>
      <c r="K11" s="64">
        <v>232.11</v>
      </c>
      <c r="L11" s="64">
        <v>27.93</v>
      </c>
      <c r="M11" s="64">
        <v>76.14</v>
      </c>
      <c r="N11" s="64">
        <v>29.1</v>
      </c>
      <c r="O11" s="64">
        <v>0</v>
      </c>
      <c r="P11" s="64">
        <v>0.25</v>
      </c>
      <c r="Q11" s="64">
        <v>9.26</v>
      </c>
      <c r="R11" s="198"/>
      <c r="S11" s="198"/>
      <c r="T11" s="198"/>
      <c r="U11" s="198"/>
    </row>
    <row r="12" spans="1:21" s="12" customFormat="1" x14ac:dyDescent="0.25">
      <c r="A12" s="214" t="s">
        <v>1785</v>
      </c>
      <c r="B12" s="64">
        <v>4.6900000000000004</v>
      </c>
      <c r="C12" s="64">
        <v>14.24</v>
      </c>
      <c r="D12" s="64">
        <v>20.059999999999999</v>
      </c>
      <c r="E12" s="64">
        <v>4.9400000000000004</v>
      </c>
      <c r="F12" s="64">
        <v>6.88</v>
      </c>
      <c r="G12" s="64">
        <v>32.53</v>
      </c>
      <c r="H12" s="64">
        <v>13.91</v>
      </c>
      <c r="I12" s="64">
        <v>3.94</v>
      </c>
      <c r="J12" s="64">
        <v>0.88</v>
      </c>
      <c r="K12" s="64">
        <v>233.48</v>
      </c>
      <c r="L12" s="64">
        <v>27.88</v>
      </c>
      <c r="M12" s="64">
        <v>75.150000000000006</v>
      </c>
      <c r="N12" s="64">
        <v>29.4</v>
      </c>
      <c r="O12" s="64">
        <v>0</v>
      </c>
      <c r="P12" s="64">
        <v>0.24</v>
      </c>
      <c r="Q12" s="64">
        <v>9.26</v>
      </c>
      <c r="R12" s="198"/>
      <c r="S12" s="198"/>
      <c r="T12" s="198"/>
      <c r="U12" s="198"/>
    </row>
    <row r="13" spans="1:21" s="12" customFormat="1" x14ac:dyDescent="0.25">
      <c r="A13" s="214" t="s">
        <v>1786</v>
      </c>
      <c r="B13" s="64">
        <v>4.7</v>
      </c>
      <c r="C13" s="64">
        <v>13.88</v>
      </c>
      <c r="D13" s="64">
        <v>19.36</v>
      </c>
      <c r="E13" s="64">
        <v>5.17</v>
      </c>
      <c r="F13" s="64">
        <v>4.79</v>
      </c>
      <c r="G13" s="64">
        <v>32.53</v>
      </c>
      <c r="H13" s="64">
        <v>13.91</v>
      </c>
      <c r="I13" s="64">
        <v>3.89</v>
      </c>
      <c r="J13" s="64">
        <v>1.01</v>
      </c>
      <c r="K13" s="64">
        <v>235.43</v>
      </c>
      <c r="L13" s="64">
        <v>27.44</v>
      </c>
      <c r="M13" s="64">
        <v>78.44</v>
      </c>
      <c r="N13" s="64">
        <v>30</v>
      </c>
      <c r="O13" s="64">
        <v>0</v>
      </c>
      <c r="P13" s="64">
        <v>0.28000000000000003</v>
      </c>
      <c r="Q13" s="64">
        <v>9.27</v>
      </c>
      <c r="R13" s="198"/>
      <c r="S13" s="198"/>
      <c r="T13" s="198"/>
      <c r="U13" s="198"/>
    </row>
    <row r="14" spans="1:21" s="12" customFormat="1" x14ac:dyDescent="0.25">
      <c r="A14" s="214" t="s">
        <v>1787</v>
      </c>
      <c r="B14" s="64">
        <v>4.8099999999999996</v>
      </c>
      <c r="C14" s="64">
        <v>13.95</v>
      </c>
      <c r="D14" s="64">
        <v>19.329999999999998</v>
      </c>
      <c r="E14" s="64">
        <v>5.08</v>
      </c>
      <c r="F14" s="64">
        <v>6.48</v>
      </c>
      <c r="G14" s="64">
        <v>28.99</v>
      </c>
      <c r="H14" s="64">
        <v>13.5</v>
      </c>
      <c r="I14" s="64">
        <v>4.0599999999999996</v>
      </c>
      <c r="J14" s="64">
        <v>0.9</v>
      </c>
      <c r="K14" s="64">
        <v>236.5</v>
      </c>
      <c r="L14" s="64">
        <v>26.89</v>
      </c>
      <c r="M14" s="64">
        <v>82.67</v>
      </c>
      <c r="N14" s="64">
        <v>30.1</v>
      </c>
      <c r="O14" s="64">
        <v>0</v>
      </c>
      <c r="P14" s="64">
        <v>0.31</v>
      </c>
      <c r="Q14" s="64">
        <v>9.26</v>
      </c>
      <c r="R14" s="198"/>
      <c r="S14" s="198"/>
      <c r="T14" s="198"/>
      <c r="U14" s="198"/>
    </row>
    <row r="15" spans="1:21" s="12" customFormat="1" x14ac:dyDescent="0.25">
      <c r="A15" s="214" t="s">
        <v>1788</v>
      </c>
      <c r="B15" s="64">
        <v>4.8600000000000003</v>
      </c>
      <c r="C15" s="64">
        <v>13.95</v>
      </c>
      <c r="D15" s="64">
        <v>19.23</v>
      </c>
      <c r="E15" s="64">
        <v>4.7</v>
      </c>
      <c r="F15" s="64">
        <v>8.64</v>
      </c>
      <c r="G15" s="64">
        <v>18.07</v>
      </c>
      <c r="H15" s="64">
        <v>12.24</v>
      </c>
      <c r="I15" s="64">
        <v>3.97</v>
      </c>
      <c r="J15" s="64">
        <v>0.71</v>
      </c>
      <c r="K15" s="64">
        <v>236.37</v>
      </c>
      <c r="L15" s="64">
        <v>26.46</v>
      </c>
      <c r="M15" s="64">
        <v>84.3</v>
      </c>
      <c r="N15" s="64">
        <v>29.5</v>
      </c>
      <c r="O15" s="64">
        <v>0</v>
      </c>
      <c r="P15" s="64">
        <v>0.28999999999999998</v>
      </c>
      <c r="Q15" s="64">
        <v>9.25</v>
      </c>
      <c r="R15" s="198"/>
      <c r="S15" s="198"/>
      <c r="T15" s="198"/>
      <c r="U15" s="198"/>
    </row>
    <row r="16" spans="1:21" s="12" customFormat="1" x14ac:dyDescent="0.25">
      <c r="A16" s="214" t="s">
        <v>1789</v>
      </c>
      <c r="B16" s="64">
        <v>4.84</v>
      </c>
      <c r="C16" s="64">
        <v>13.4</v>
      </c>
      <c r="D16" s="64">
        <v>18.22</v>
      </c>
      <c r="E16" s="64">
        <v>4.91</v>
      </c>
      <c r="F16" s="64">
        <v>8.32</v>
      </c>
      <c r="G16" s="64">
        <v>18.07</v>
      </c>
      <c r="H16" s="64">
        <v>12.24</v>
      </c>
      <c r="I16" s="64">
        <v>4.17</v>
      </c>
      <c r="J16" s="64">
        <v>0.54</v>
      </c>
      <c r="K16" s="64">
        <v>235.82</v>
      </c>
      <c r="L16" s="64">
        <v>26.59</v>
      </c>
      <c r="M16" s="64">
        <v>84.27</v>
      </c>
      <c r="N16" s="64">
        <v>28.9</v>
      </c>
      <c r="O16" s="64">
        <v>0</v>
      </c>
      <c r="P16" s="64">
        <v>0.28000000000000003</v>
      </c>
      <c r="Q16" s="64">
        <v>9.25</v>
      </c>
      <c r="R16" s="198"/>
      <c r="S16" s="198"/>
      <c r="T16" s="198"/>
      <c r="U16" s="198"/>
    </row>
    <row r="17" spans="1:21" s="12" customFormat="1" x14ac:dyDescent="0.25">
      <c r="A17" s="214" t="s">
        <v>1790</v>
      </c>
      <c r="B17" s="64">
        <v>4.9000000000000004</v>
      </c>
      <c r="C17" s="64">
        <v>13.5</v>
      </c>
      <c r="D17" s="64">
        <v>18.32</v>
      </c>
      <c r="E17" s="64">
        <v>4.75</v>
      </c>
      <c r="F17" s="64">
        <v>6.59</v>
      </c>
      <c r="G17" s="64">
        <v>18.07</v>
      </c>
      <c r="H17" s="64">
        <v>12.24</v>
      </c>
      <c r="I17" s="64">
        <v>3.91</v>
      </c>
      <c r="J17" s="64">
        <v>0.62</v>
      </c>
      <c r="K17" s="64">
        <v>237.3</v>
      </c>
      <c r="L17" s="64">
        <v>26.86</v>
      </c>
      <c r="M17" s="64">
        <v>82.79</v>
      </c>
      <c r="N17" s="64">
        <v>28.8</v>
      </c>
      <c r="O17" s="64">
        <v>0</v>
      </c>
      <c r="P17" s="64">
        <v>0.27</v>
      </c>
      <c r="Q17" s="64">
        <v>9.25</v>
      </c>
      <c r="R17" s="198"/>
      <c r="S17" s="198"/>
      <c r="T17" s="198"/>
      <c r="U17" s="198"/>
    </row>
    <row r="18" spans="1:21" s="12" customFormat="1" x14ac:dyDescent="0.25">
      <c r="A18" s="214" t="s">
        <v>1791</v>
      </c>
      <c r="B18" s="64">
        <v>4.99</v>
      </c>
      <c r="C18" s="64">
        <v>13.77</v>
      </c>
      <c r="D18" s="64">
        <v>18.690000000000001</v>
      </c>
      <c r="E18" s="64">
        <v>4.53</v>
      </c>
      <c r="F18" s="64">
        <v>6.74</v>
      </c>
      <c r="G18" s="64">
        <v>16.53</v>
      </c>
      <c r="H18" s="64">
        <v>11.68</v>
      </c>
      <c r="I18" s="64">
        <v>4.05</v>
      </c>
      <c r="J18" s="64">
        <v>0.73</v>
      </c>
      <c r="K18" s="64">
        <v>236.35</v>
      </c>
      <c r="L18" s="64">
        <v>27</v>
      </c>
      <c r="M18" s="64">
        <v>81.7</v>
      </c>
      <c r="N18" s="64">
        <v>29.1</v>
      </c>
      <c r="O18" s="64">
        <v>0</v>
      </c>
      <c r="P18" s="64">
        <v>0.28000000000000003</v>
      </c>
      <c r="Q18" s="64">
        <v>9.26</v>
      </c>
      <c r="R18" s="198"/>
      <c r="S18" s="198"/>
      <c r="T18" s="198"/>
      <c r="U18" s="198"/>
    </row>
    <row r="19" spans="1:21" s="12" customFormat="1" x14ac:dyDescent="0.25">
      <c r="A19" s="214" t="s">
        <v>1792</v>
      </c>
      <c r="B19" s="64">
        <v>5</v>
      </c>
      <c r="C19" s="64">
        <v>13.78</v>
      </c>
      <c r="D19" s="64">
        <v>18.690000000000001</v>
      </c>
      <c r="E19" s="64">
        <v>4.79</v>
      </c>
      <c r="F19" s="64">
        <v>6.63</v>
      </c>
      <c r="G19" s="64">
        <v>12.07</v>
      </c>
      <c r="H19" s="64">
        <v>10.050000000000001</v>
      </c>
      <c r="I19" s="64">
        <v>4.08</v>
      </c>
      <c r="J19" s="64">
        <v>0.63</v>
      </c>
      <c r="K19" s="64">
        <v>236.34</v>
      </c>
      <c r="L19" s="64">
        <v>26.93</v>
      </c>
      <c r="M19" s="64">
        <v>81.739999999999995</v>
      </c>
      <c r="N19" s="64">
        <v>29.1</v>
      </c>
      <c r="O19" s="64">
        <v>0</v>
      </c>
      <c r="P19" s="64">
        <v>0.27</v>
      </c>
      <c r="Q19" s="64">
        <v>9.26</v>
      </c>
      <c r="R19" s="198"/>
      <c r="S19" s="198"/>
      <c r="T19" s="198"/>
      <c r="U19" s="198"/>
    </row>
    <row r="20" spans="1:21" s="12" customFormat="1" x14ac:dyDescent="0.25">
      <c r="A20" s="214" t="s">
        <v>1793</v>
      </c>
      <c r="B20" s="64">
        <v>5.01</v>
      </c>
      <c r="C20" s="64">
        <v>14.91</v>
      </c>
      <c r="D20" s="64">
        <v>20.85</v>
      </c>
      <c r="E20" s="64">
        <v>4.7300000000000004</v>
      </c>
      <c r="F20" s="64">
        <v>4.68</v>
      </c>
      <c r="G20" s="64">
        <v>12.07</v>
      </c>
      <c r="H20" s="64">
        <v>10.050000000000001</v>
      </c>
      <c r="I20" s="64">
        <v>4.16</v>
      </c>
      <c r="J20" s="64">
        <v>0.67</v>
      </c>
      <c r="K20" s="64">
        <v>236.02</v>
      </c>
      <c r="L20" s="64">
        <v>27.02</v>
      </c>
      <c r="M20" s="64">
        <v>81.34</v>
      </c>
      <c r="N20" s="64">
        <v>29.1</v>
      </c>
      <c r="O20" s="64">
        <v>0</v>
      </c>
      <c r="P20" s="64">
        <v>0.3</v>
      </c>
      <c r="Q20" s="64">
        <v>9.24</v>
      </c>
      <c r="R20" s="198"/>
      <c r="S20" s="198"/>
      <c r="T20" s="198"/>
      <c r="U20" s="198"/>
    </row>
    <row r="21" spans="1:21" s="12" customFormat="1" x14ac:dyDescent="0.25">
      <c r="A21" s="214" t="s">
        <v>1794</v>
      </c>
      <c r="B21" s="64">
        <v>5.07</v>
      </c>
      <c r="C21" s="64">
        <v>16.02</v>
      </c>
      <c r="D21" s="64">
        <v>22.87</v>
      </c>
      <c r="E21" s="64">
        <v>5.1100000000000003</v>
      </c>
      <c r="F21" s="64">
        <v>3.29</v>
      </c>
      <c r="G21" s="64">
        <v>12.07</v>
      </c>
      <c r="H21" s="64">
        <v>10.050000000000001</v>
      </c>
      <c r="I21" s="64">
        <v>4.04</v>
      </c>
      <c r="J21" s="64">
        <v>0.67</v>
      </c>
      <c r="K21" s="64">
        <v>235.95</v>
      </c>
      <c r="L21" s="64">
        <v>27.11</v>
      </c>
      <c r="M21" s="64">
        <v>81.31</v>
      </c>
      <c r="N21" s="64">
        <v>29.1</v>
      </c>
      <c r="O21" s="64">
        <v>0</v>
      </c>
      <c r="P21" s="64">
        <v>0.31</v>
      </c>
      <c r="Q21" s="64">
        <v>9.26</v>
      </c>
      <c r="R21" s="198"/>
      <c r="S21" s="198"/>
      <c r="T21" s="198"/>
      <c r="U21" s="198"/>
    </row>
    <row r="22" spans="1:21" s="12" customFormat="1" x14ac:dyDescent="0.25">
      <c r="A22" s="214" t="s">
        <v>1795</v>
      </c>
      <c r="B22" s="64">
        <v>5.1100000000000003</v>
      </c>
      <c r="C22" s="64">
        <v>15.53</v>
      </c>
      <c r="D22" s="64">
        <v>21.89</v>
      </c>
      <c r="E22" s="64">
        <v>4.84</v>
      </c>
      <c r="F22" s="64">
        <v>4.43</v>
      </c>
      <c r="G22" s="64">
        <v>11.14</v>
      </c>
      <c r="H22" s="64">
        <v>9.7899999999999991</v>
      </c>
      <c r="I22" s="64">
        <v>3.94</v>
      </c>
      <c r="J22" s="64">
        <v>0.56000000000000005</v>
      </c>
      <c r="K22" s="64">
        <v>234.56</v>
      </c>
      <c r="L22" s="64">
        <v>27.09</v>
      </c>
      <c r="M22" s="64">
        <v>82.02</v>
      </c>
      <c r="N22" s="64">
        <v>29.1</v>
      </c>
      <c r="O22" s="64">
        <v>0</v>
      </c>
      <c r="P22" s="64">
        <v>0.33</v>
      </c>
      <c r="Q22" s="64">
        <v>9.26</v>
      </c>
      <c r="R22" s="198"/>
      <c r="S22" s="198"/>
      <c r="T22" s="198"/>
      <c r="U22" s="198"/>
    </row>
    <row r="23" spans="1:21" s="12" customFormat="1" x14ac:dyDescent="0.25">
      <c r="A23" s="214" t="s">
        <v>1796</v>
      </c>
      <c r="B23" s="64">
        <v>5.25</v>
      </c>
      <c r="C23" s="64">
        <v>17.940000000000001</v>
      </c>
      <c r="D23" s="64">
        <v>26.29</v>
      </c>
      <c r="E23" s="64">
        <v>4.7</v>
      </c>
      <c r="F23" s="64">
        <v>6.1</v>
      </c>
      <c r="G23" s="64">
        <v>8.2899999999999991</v>
      </c>
      <c r="H23" s="64">
        <v>9.01</v>
      </c>
      <c r="I23" s="64">
        <v>4.04</v>
      </c>
      <c r="J23" s="64">
        <v>0.57999999999999996</v>
      </c>
      <c r="K23" s="64">
        <v>170.52</v>
      </c>
      <c r="L23" s="64">
        <v>27.06</v>
      </c>
      <c r="M23" s="64">
        <v>81.709999999999994</v>
      </c>
      <c r="N23" s="64">
        <v>29.2</v>
      </c>
      <c r="O23" s="64">
        <v>0</v>
      </c>
      <c r="P23" s="64">
        <v>0.53</v>
      </c>
      <c r="Q23" s="64">
        <v>9.2799999999999994</v>
      </c>
      <c r="R23" s="198"/>
      <c r="S23" s="198"/>
      <c r="T23" s="198"/>
      <c r="U23" s="198"/>
    </row>
    <row r="24" spans="1:21" s="12" customFormat="1" x14ac:dyDescent="0.25">
      <c r="A24" s="214" t="s">
        <v>1797</v>
      </c>
      <c r="B24" s="64">
        <v>5.39</v>
      </c>
      <c r="C24" s="64">
        <v>17.09</v>
      </c>
      <c r="D24" s="64">
        <v>24.44</v>
      </c>
      <c r="E24" s="64">
        <v>4.96</v>
      </c>
      <c r="F24" s="64">
        <v>4.9000000000000004</v>
      </c>
      <c r="G24" s="64">
        <v>8.2899999999999991</v>
      </c>
      <c r="H24" s="64">
        <v>9.01</v>
      </c>
      <c r="I24" s="64">
        <v>4.09</v>
      </c>
      <c r="J24" s="64">
        <v>1.31</v>
      </c>
      <c r="K24" s="64">
        <v>155.88999999999999</v>
      </c>
      <c r="L24" s="64">
        <v>26.78</v>
      </c>
      <c r="M24" s="64">
        <v>83.64</v>
      </c>
      <c r="N24" s="64">
        <v>29.5</v>
      </c>
      <c r="O24" s="64">
        <v>0</v>
      </c>
      <c r="P24" s="64">
        <v>0.38</v>
      </c>
      <c r="Q24" s="64">
        <v>9.2899999999999991</v>
      </c>
      <c r="R24" s="198"/>
      <c r="S24" s="198"/>
      <c r="T24" s="198"/>
      <c r="U24" s="198"/>
    </row>
    <row r="25" spans="1:21" s="12" customFormat="1" x14ac:dyDescent="0.25">
      <c r="A25" s="214" t="s">
        <v>1798</v>
      </c>
      <c r="B25" s="64">
        <v>5.5</v>
      </c>
      <c r="C25" s="64">
        <v>16.7</v>
      </c>
      <c r="D25" s="64">
        <v>23.52</v>
      </c>
      <c r="E25" s="64">
        <v>4.6900000000000004</v>
      </c>
      <c r="F25" s="64">
        <v>4.1500000000000004</v>
      </c>
      <c r="G25" s="64">
        <v>8.2899999999999991</v>
      </c>
      <c r="H25" s="64">
        <v>9.01</v>
      </c>
      <c r="I25" s="64">
        <v>4</v>
      </c>
      <c r="J25" s="64">
        <v>1.1100000000000001</v>
      </c>
      <c r="K25" s="64">
        <v>155.86000000000001</v>
      </c>
      <c r="L25" s="64">
        <v>26.66</v>
      </c>
      <c r="M25" s="64">
        <v>84.14</v>
      </c>
      <c r="N25" s="64">
        <v>29.4</v>
      </c>
      <c r="O25" s="64">
        <v>0</v>
      </c>
      <c r="P25" s="64">
        <v>0.36</v>
      </c>
      <c r="Q25" s="64">
        <v>9.3000000000000007</v>
      </c>
      <c r="R25" s="198"/>
      <c r="S25" s="198"/>
      <c r="T25" s="198"/>
      <c r="U25" s="198"/>
    </row>
    <row r="26" spans="1:21" s="12" customFormat="1" x14ac:dyDescent="0.25">
      <c r="A26" s="214" t="s">
        <v>1799</v>
      </c>
      <c r="B26" s="64">
        <v>5.5</v>
      </c>
      <c r="C26" s="64">
        <v>15.94</v>
      </c>
      <c r="D26" s="64">
        <v>22.08</v>
      </c>
      <c r="E26" s="64">
        <v>4.55</v>
      </c>
      <c r="F26" s="64">
        <v>4.6500000000000004</v>
      </c>
      <c r="G26" s="64">
        <v>13.51</v>
      </c>
      <c r="H26" s="64">
        <v>8.41</v>
      </c>
      <c r="I26" s="64">
        <v>3.89</v>
      </c>
      <c r="J26" s="64">
        <v>1.08</v>
      </c>
      <c r="K26" s="64">
        <v>157.08000000000001</v>
      </c>
      <c r="L26" s="64">
        <v>26.39</v>
      </c>
      <c r="M26" s="64">
        <v>85.04</v>
      </c>
      <c r="N26" s="64">
        <v>29.7</v>
      </c>
      <c r="O26" s="64">
        <v>0</v>
      </c>
      <c r="P26" s="64">
        <v>0.36</v>
      </c>
      <c r="Q26" s="64">
        <v>9.2899999999999991</v>
      </c>
      <c r="R26" s="198"/>
      <c r="S26" s="198"/>
      <c r="T26" s="198"/>
      <c r="U26" s="198"/>
    </row>
    <row r="27" spans="1:21" s="12" customFormat="1" x14ac:dyDescent="0.25">
      <c r="A27" s="214" t="s">
        <v>1800</v>
      </c>
      <c r="B27" s="64">
        <v>5.42</v>
      </c>
      <c r="C27" s="64">
        <v>15.99</v>
      </c>
      <c r="D27" s="64">
        <v>22.29</v>
      </c>
      <c r="E27" s="64">
        <v>5.35</v>
      </c>
      <c r="F27" s="64">
        <v>5.04</v>
      </c>
      <c r="G27" s="64">
        <v>29.65</v>
      </c>
      <c r="H27" s="64">
        <v>6.53</v>
      </c>
      <c r="I27" s="64">
        <v>3.97</v>
      </c>
      <c r="J27" s="64">
        <v>0.88</v>
      </c>
      <c r="K27" s="64">
        <v>162.02000000000001</v>
      </c>
      <c r="L27" s="64">
        <v>26.31</v>
      </c>
      <c r="M27" s="64">
        <v>85.7</v>
      </c>
      <c r="N27" s="64">
        <v>29.4</v>
      </c>
      <c r="O27" s="64">
        <v>0</v>
      </c>
      <c r="P27" s="64">
        <v>0.34</v>
      </c>
      <c r="Q27" s="64">
        <v>9.2899999999999991</v>
      </c>
      <c r="R27" s="198"/>
      <c r="S27" s="198"/>
      <c r="T27" s="198"/>
      <c r="U27" s="198"/>
    </row>
    <row r="28" spans="1:21" s="12" customFormat="1" x14ac:dyDescent="0.25">
      <c r="A28" s="214" t="s">
        <v>1801</v>
      </c>
      <c r="B28" s="64">
        <v>5.52</v>
      </c>
      <c r="C28" s="64">
        <v>15.72</v>
      </c>
      <c r="D28" s="64">
        <v>21.63</v>
      </c>
      <c r="E28" s="64">
        <v>4.84</v>
      </c>
      <c r="F28" s="64">
        <v>4.3</v>
      </c>
      <c r="G28" s="64">
        <v>29.65</v>
      </c>
      <c r="H28" s="64">
        <v>6.53</v>
      </c>
      <c r="I28" s="64">
        <v>4.03</v>
      </c>
      <c r="J28" s="64">
        <v>1.05</v>
      </c>
      <c r="K28" s="64">
        <v>156.61000000000001</v>
      </c>
      <c r="L28" s="64">
        <v>26.22</v>
      </c>
      <c r="M28" s="64">
        <v>86.2</v>
      </c>
      <c r="N28" s="64">
        <v>29.3</v>
      </c>
      <c r="O28" s="64">
        <v>0</v>
      </c>
      <c r="P28" s="64">
        <v>0.34</v>
      </c>
      <c r="Q28" s="64">
        <v>9.2899999999999991</v>
      </c>
      <c r="R28" s="198"/>
      <c r="S28" s="198"/>
      <c r="T28" s="198"/>
      <c r="U28" s="198"/>
    </row>
    <row r="29" spans="1:21" s="12" customFormat="1" x14ac:dyDescent="0.25">
      <c r="A29" s="214" t="s">
        <v>1802</v>
      </c>
      <c r="B29" s="64">
        <v>5.51</v>
      </c>
      <c r="C29" s="64">
        <v>15.76</v>
      </c>
      <c r="D29" s="64">
        <v>21.71</v>
      </c>
      <c r="E29" s="64">
        <v>4.71</v>
      </c>
      <c r="F29" s="64">
        <v>4.29</v>
      </c>
      <c r="G29" s="64">
        <v>29.65</v>
      </c>
      <c r="H29" s="64">
        <v>6.53</v>
      </c>
      <c r="I29" s="64">
        <v>3.96</v>
      </c>
      <c r="J29" s="64">
        <v>0.76</v>
      </c>
      <c r="K29" s="64">
        <v>149.68</v>
      </c>
      <c r="L29" s="64">
        <v>26.17</v>
      </c>
      <c r="M29" s="64">
        <v>86.15</v>
      </c>
      <c r="N29" s="64">
        <v>30.1</v>
      </c>
      <c r="O29" s="64">
        <v>0</v>
      </c>
      <c r="P29" s="64">
        <v>0.35</v>
      </c>
      <c r="Q29" s="64">
        <v>9.27</v>
      </c>
      <c r="R29" s="198"/>
      <c r="S29" s="198"/>
      <c r="T29" s="198"/>
      <c r="U29" s="198"/>
    </row>
    <row r="30" spans="1:21" s="12" customFormat="1" x14ac:dyDescent="0.25">
      <c r="A30" s="214" t="s">
        <v>1803</v>
      </c>
      <c r="B30" s="64">
        <v>5.52</v>
      </c>
      <c r="C30" s="64">
        <v>16.350000000000001</v>
      </c>
      <c r="D30" s="64">
        <v>22.82</v>
      </c>
      <c r="E30" s="64">
        <v>4.91</v>
      </c>
      <c r="F30" s="64">
        <v>7.07</v>
      </c>
      <c r="G30" s="64">
        <v>26.87</v>
      </c>
      <c r="H30" s="64">
        <v>7.05</v>
      </c>
      <c r="I30" s="64">
        <v>4.12</v>
      </c>
      <c r="J30" s="64">
        <v>1.1499999999999999</v>
      </c>
      <c r="K30" s="64">
        <v>156.38</v>
      </c>
      <c r="L30" s="64">
        <v>26.03</v>
      </c>
      <c r="M30" s="64">
        <v>86.81</v>
      </c>
      <c r="N30" s="64">
        <v>32</v>
      </c>
      <c r="O30" s="64">
        <v>0</v>
      </c>
      <c r="P30" s="64">
        <v>0.31</v>
      </c>
      <c r="Q30" s="64">
        <v>9.2899999999999991</v>
      </c>
      <c r="R30" s="198"/>
      <c r="S30" s="198"/>
      <c r="T30" s="198"/>
      <c r="U30" s="198"/>
    </row>
    <row r="31" spans="1:21" s="12" customFormat="1" x14ac:dyDescent="0.25">
      <c r="A31" s="214" t="s">
        <v>1804</v>
      </c>
      <c r="B31" s="64">
        <v>5.47</v>
      </c>
      <c r="C31" s="64">
        <v>15.84</v>
      </c>
      <c r="D31" s="64">
        <v>21.92</v>
      </c>
      <c r="E31" s="64">
        <v>4.79</v>
      </c>
      <c r="F31" s="64">
        <v>10.02</v>
      </c>
      <c r="G31" s="64">
        <v>18.29</v>
      </c>
      <c r="H31" s="64">
        <v>8.57</v>
      </c>
      <c r="I31" s="64">
        <v>3.95</v>
      </c>
      <c r="J31" s="64">
        <v>0.52</v>
      </c>
      <c r="K31" s="64">
        <v>191.98</v>
      </c>
      <c r="L31" s="64">
        <v>26.04</v>
      </c>
      <c r="M31" s="64">
        <v>86.77</v>
      </c>
      <c r="N31" s="64">
        <v>37.4</v>
      </c>
      <c r="O31" s="64">
        <v>0</v>
      </c>
      <c r="P31" s="64">
        <v>0.28000000000000003</v>
      </c>
      <c r="Q31" s="64">
        <v>9.2899999999999991</v>
      </c>
      <c r="R31" s="198"/>
      <c r="S31" s="198"/>
      <c r="T31" s="198"/>
      <c r="U31" s="198"/>
    </row>
    <row r="32" spans="1:21" s="12" customFormat="1" x14ac:dyDescent="0.25">
      <c r="A32" s="214" t="s">
        <v>1805</v>
      </c>
      <c r="B32" s="64">
        <v>5.55</v>
      </c>
      <c r="C32" s="64">
        <v>16.02</v>
      </c>
      <c r="D32" s="64">
        <v>22.13</v>
      </c>
      <c r="E32" s="64">
        <v>5.38</v>
      </c>
      <c r="F32" s="64">
        <v>8.61</v>
      </c>
      <c r="G32" s="64">
        <v>18.29</v>
      </c>
      <c r="H32" s="64">
        <v>8.57</v>
      </c>
      <c r="I32" s="64">
        <v>4.08</v>
      </c>
      <c r="J32" s="64">
        <v>0.63</v>
      </c>
      <c r="K32" s="64">
        <v>184.15</v>
      </c>
      <c r="L32" s="64">
        <v>26.02</v>
      </c>
      <c r="M32" s="64">
        <v>86.56</v>
      </c>
      <c r="N32" s="64">
        <v>44</v>
      </c>
      <c r="O32" s="64">
        <v>0</v>
      </c>
      <c r="P32" s="64">
        <v>0.3</v>
      </c>
      <c r="Q32" s="64">
        <v>9.2899999999999991</v>
      </c>
      <c r="R32" s="198"/>
      <c r="S32" s="198"/>
      <c r="T32" s="198"/>
      <c r="U32" s="198"/>
    </row>
    <row r="33" spans="1:21" s="12" customFormat="1" x14ac:dyDescent="0.25">
      <c r="A33" s="214" t="s">
        <v>1806</v>
      </c>
      <c r="B33" s="64">
        <v>5.74</v>
      </c>
      <c r="C33" s="64">
        <v>16.34</v>
      </c>
      <c r="D33" s="64">
        <v>22.46</v>
      </c>
      <c r="E33" s="64">
        <v>4.97</v>
      </c>
      <c r="F33" s="64">
        <v>8.32</v>
      </c>
      <c r="G33" s="64">
        <v>18.29</v>
      </c>
      <c r="H33" s="64">
        <v>8.57</v>
      </c>
      <c r="I33" s="64">
        <v>4.05</v>
      </c>
      <c r="J33" s="64">
        <v>0.56999999999999995</v>
      </c>
      <c r="K33" s="64">
        <v>199.39</v>
      </c>
      <c r="L33" s="64">
        <v>25.94</v>
      </c>
      <c r="M33" s="64">
        <v>86.74</v>
      </c>
      <c r="N33" s="64">
        <v>51.1</v>
      </c>
      <c r="O33" s="64">
        <v>0</v>
      </c>
      <c r="P33" s="64">
        <v>0.3</v>
      </c>
      <c r="Q33" s="64">
        <v>9.2799999999999994</v>
      </c>
      <c r="R33" s="198"/>
      <c r="S33" s="198"/>
      <c r="T33" s="198"/>
      <c r="U33" s="198"/>
    </row>
    <row r="34" spans="1:21" s="12" customFormat="1" x14ac:dyDescent="0.25">
      <c r="A34" s="214" t="s">
        <v>1807</v>
      </c>
      <c r="B34" s="64">
        <v>5.71</v>
      </c>
      <c r="C34" s="64">
        <v>16.02</v>
      </c>
      <c r="D34" s="64">
        <v>21.91</v>
      </c>
      <c r="E34" s="64">
        <v>5.21</v>
      </c>
      <c r="F34" s="64">
        <v>9.64</v>
      </c>
      <c r="G34" s="64">
        <v>16.649999999999999</v>
      </c>
      <c r="H34" s="64">
        <v>8.8699999999999992</v>
      </c>
      <c r="I34" s="64">
        <v>3.9</v>
      </c>
      <c r="J34" s="64">
        <v>0.59</v>
      </c>
      <c r="K34" s="64">
        <v>214</v>
      </c>
      <c r="L34" s="64">
        <v>26</v>
      </c>
      <c r="M34" s="64">
        <v>86.93</v>
      </c>
      <c r="N34" s="64">
        <v>59.4</v>
      </c>
      <c r="O34" s="64">
        <v>0</v>
      </c>
      <c r="P34" s="64">
        <v>0.3</v>
      </c>
      <c r="Q34" s="64">
        <v>9.26</v>
      </c>
      <c r="R34" s="198"/>
      <c r="S34" s="198"/>
      <c r="T34" s="198"/>
      <c r="U34" s="198"/>
    </row>
    <row r="35" spans="1:21" s="12" customFormat="1" x14ac:dyDescent="0.25">
      <c r="A35" s="214" t="s">
        <v>1808</v>
      </c>
      <c r="B35" s="64">
        <v>5.7</v>
      </c>
      <c r="C35" s="64">
        <v>16.11</v>
      </c>
      <c r="D35" s="64">
        <v>22.09</v>
      </c>
      <c r="E35" s="64">
        <v>5.17</v>
      </c>
      <c r="F35" s="64">
        <v>8.5</v>
      </c>
      <c r="G35" s="64">
        <v>11.59</v>
      </c>
      <c r="H35" s="64">
        <v>9.7200000000000006</v>
      </c>
      <c r="I35" s="64">
        <v>3.87</v>
      </c>
      <c r="J35" s="64">
        <v>0.71</v>
      </c>
      <c r="K35" s="64">
        <v>172.72</v>
      </c>
      <c r="L35" s="64">
        <v>26.09</v>
      </c>
      <c r="M35" s="64">
        <v>86.92</v>
      </c>
      <c r="N35" s="64">
        <v>67</v>
      </c>
      <c r="O35" s="64">
        <v>0</v>
      </c>
      <c r="P35" s="64">
        <v>0.3</v>
      </c>
      <c r="Q35" s="64">
        <v>9.27</v>
      </c>
      <c r="R35" s="198"/>
      <c r="S35" s="198"/>
      <c r="T35" s="198"/>
      <c r="U35" s="198"/>
    </row>
    <row r="36" spans="1:21" s="12" customFormat="1" x14ac:dyDescent="0.25">
      <c r="A36" s="214" t="s">
        <v>1809</v>
      </c>
      <c r="B36" s="64">
        <v>5.84</v>
      </c>
      <c r="C36" s="64">
        <v>17.43</v>
      </c>
      <c r="D36" s="64">
        <v>24.41</v>
      </c>
      <c r="E36" s="64">
        <v>4.96</v>
      </c>
      <c r="F36" s="64">
        <v>10.56</v>
      </c>
      <c r="G36" s="64">
        <v>11.59</v>
      </c>
      <c r="H36" s="64">
        <v>9.7200000000000006</v>
      </c>
      <c r="I36" s="64">
        <v>3.92</v>
      </c>
      <c r="J36" s="64">
        <v>0.46</v>
      </c>
      <c r="K36" s="64">
        <v>179.58</v>
      </c>
      <c r="L36" s="64">
        <v>26.3</v>
      </c>
      <c r="M36" s="64">
        <v>86.42</v>
      </c>
      <c r="N36" s="64">
        <v>84.7</v>
      </c>
      <c r="O36" s="64">
        <v>0</v>
      </c>
      <c r="P36" s="64">
        <v>0.3</v>
      </c>
      <c r="Q36" s="64">
        <v>9.27</v>
      </c>
      <c r="R36" s="198"/>
      <c r="S36" s="198"/>
      <c r="T36" s="198"/>
      <c r="U36" s="198"/>
    </row>
    <row r="37" spans="1:21" s="12" customFormat="1" x14ac:dyDescent="0.25">
      <c r="A37" s="214" t="s">
        <v>1810</v>
      </c>
      <c r="B37" s="64">
        <v>6.16</v>
      </c>
      <c r="C37" s="64">
        <v>17.989999999999998</v>
      </c>
      <c r="D37" s="64">
        <v>24.99</v>
      </c>
      <c r="E37" s="64">
        <v>4.75</v>
      </c>
      <c r="F37" s="64">
        <v>5.22</v>
      </c>
      <c r="G37" s="64">
        <v>11.59</v>
      </c>
      <c r="H37" s="64">
        <v>9.7200000000000006</v>
      </c>
      <c r="I37" s="64">
        <v>3.78</v>
      </c>
      <c r="J37" s="64">
        <v>0.69</v>
      </c>
      <c r="K37" s="64">
        <v>175.74</v>
      </c>
      <c r="L37" s="64">
        <v>26.49</v>
      </c>
      <c r="M37" s="64">
        <v>86.03</v>
      </c>
      <c r="N37" s="64">
        <v>114.9</v>
      </c>
      <c r="O37" s="64">
        <v>0</v>
      </c>
      <c r="P37" s="64">
        <v>0.31</v>
      </c>
      <c r="Q37" s="64">
        <v>9.2799999999999994</v>
      </c>
      <c r="R37" s="198"/>
      <c r="S37" s="198"/>
      <c r="T37" s="198"/>
      <c r="U37" s="198"/>
    </row>
    <row r="38" spans="1:21" s="12" customFormat="1" x14ac:dyDescent="0.25">
      <c r="A38" s="214" t="s">
        <v>1811</v>
      </c>
      <c r="B38" s="64">
        <v>6.29</v>
      </c>
      <c r="C38" s="64">
        <v>18.46</v>
      </c>
      <c r="D38" s="64">
        <v>25.67</v>
      </c>
      <c r="E38" s="64">
        <v>4.9000000000000004</v>
      </c>
      <c r="F38" s="64">
        <v>5.21</v>
      </c>
      <c r="G38" s="64">
        <v>12.35</v>
      </c>
      <c r="H38" s="64">
        <v>10.79</v>
      </c>
      <c r="I38" s="64">
        <v>3.97</v>
      </c>
      <c r="J38" s="64">
        <v>0.4</v>
      </c>
      <c r="K38" s="64">
        <v>209.18</v>
      </c>
      <c r="L38" s="64">
        <v>27.04</v>
      </c>
      <c r="M38" s="64">
        <v>84.9</v>
      </c>
      <c r="N38" s="64">
        <v>146</v>
      </c>
      <c r="O38" s="64">
        <v>0</v>
      </c>
      <c r="P38" s="64">
        <v>0.32</v>
      </c>
      <c r="Q38" s="64">
        <v>9.27</v>
      </c>
      <c r="R38" s="198"/>
      <c r="S38" s="198"/>
      <c r="T38" s="198"/>
      <c r="U38" s="198"/>
    </row>
    <row r="39" spans="1:21" s="12" customFormat="1" x14ac:dyDescent="0.25">
      <c r="A39" s="214" t="s">
        <v>1812</v>
      </c>
      <c r="B39" s="64">
        <v>6.41</v>
      </c>
      <c r="C39" s="64">
        <v>17.96</v>
      </c>
      <c r="D39" s="64">
        <v>24.54</v>
      </c>
      <c r="E39" s="64">
        <v>4.93</v>
      </c>
      <c r="F39" s="64">
        <v>4.1100000000000003</v>
      </c>
      <c r="G39" s="64">
        <v>14.71</v>
      </c>
      <c r="H39" s="64">
        <v>14.11</v>
      </c>
      <c r="I39" s="64">
        <v>4.0199999999999996</v>
      </c>
      <c r="J39" s="64">
        <v>0.53</v>
      </c>
      <c r="K39" s="64">
        <v>229.57</v>
      </c>
      <c r="L39" s="64">
        <v>27.46</v>
      </c>
      <c r="M39" s="64">
        <v>83.24</v>
      </c>
      <c r="N39" s="64">
        <v>140.69999999999999</v>
      </c>
      <c r="O39" s="64">
        <v>0</v>
      </c>
      <c r="P39" s="64">
        <v>0.32</v>
      </c>
      <c r="Q39" s="64">
        <v>9.2799999999999994</v>
      </c>
      <c r="R39" s="198"/>
      <c r="S39" s="198"/>
      <c r="T39" s="198"/>
      <c r="U39" s="198"/>
    </row>
    <row r="40" spans="1:21" s="12" customFormat="1" x14ac:dyDescent="0.25">
      <c r="A40" s="214" t="s">
        <v>1813</v>
      </c>
      <c r="B40" s="64">
        <v>6.31</v>
      </c>
      <c r="C40" s="64">
        <v>18.100000000000001</v>
      </c>
      <c r="D40" s="64">
        <v>24.97</v>
      </c>
      <c r="E40" s="64">
        <v>3.67</v>
      </c>
      <c r="F40" s="64">
        <v>4.2</v>
      </c>
      <c r="G40" s="64">
        <v>14.71</v>
      </c>
      <c r="H40" s="64">
        <v>14.11</v>
      </c>
      <c r="I40" s="64">
        <v>3.97</v>
      </c>
      <c r="J40" s="64">
        <v>0.7</v>
      </c>
      <c r="K40" s="64">
        <v>221.06</v>
      </c>
      <c r="L40" s="64">
        <v>27.4</v>
      </c>
      <c r="M40" s="64">
        <v>84.4</v>
      </c>
      <c r="N40" s="64">
        <v>144.19999999999999</v>
      </c>
      <c r="O40" s="64">
        <v>0</v>
      </c>
      <c r="P40" s="64">
        <v>0.33</v>
      </c>
      <c r="Q40" s="64">
        <v>9.2899999999999991</v>
      </c>
      <c r="R40" s="198"/>
      <c r="S40" s="198"/>
      <c r="T40" s="198"/>
      <c r="U40" s="198"/>
    </row>
    <row r="41" spans="1:21" s="12" customFormat="1" x14ac:dyDescent="0.25">
      <c r="A41" s="214" t="s">
        <v>1814</v>
      </c>
      <c r="B41" s="64">
        <v>6.11</v>
      </c>
      <c r="C41" s="64">
        <v>17.23</v>
      </c>
      <c r="D41" s="64">
        <v>23.6</v>
      </c>
      <c r="E41" s="64">
        <v>3.72</v>
      </c>
      <c r="F41" s="64">
        <v>4.68</v>
      </c>
      <c r="G41" s="64">
        <v>14.71</v>
      </c>
      <c r="H41" s="64">
        <v>14.11</v>
      </c>
      <c r="I41" s="64">
        <v>4.18</v>
      </c>
      <c r="J41" s="64">
        <v>0.74</v>
      </c>
      <c r="K41" s="64">
        <v>230.91</v>
      </c>
      <c r="L41" s="64">
        <v>27.52</v>
      </c>
      <c r="M41" s="64">
        <v>83.9</v>
      </c>
      <c r="N41" s="64">
        <v>166.5</v>
      </c>
      <c r="O41" s="64">
        <v>0</v>
      </c>
      <c r="P41" s="64">
        <v>0.33</v>
      </c>
      <c r="Q41" s="64">
        <v>9.2899999999999991</v>
      </c>
      <c r="R41" s="198"/>
      <c r="S41" s="198"/>
      <c r="T41" s="198"/>
      <c r="U41" s="198"/>
    </row>
    <row r="42" spans="1:21" s="12" customFormat="1" x14ac:dyDescent="0.25">
      <c r="A42" s="214" t="s">
        <v>1815</v>
      </c>
      <c r="B42" s="64">
        <v>5.91</v>
      </c>
      <c r="C42" s="64">
        <v>17.829999999999998</v>
      </c>
      <c r="D42" s="64">
        <v>25.04</v>
      </c>
      <c r="E42" s="64">
        <v>4.32</v>
      </c>
      <c r="F42" s="64">
        <v>3.65</v>
      </c>
      <c r="G42" s="64">
        <v>15.12</v>
      </c>
      <c r="H42" s="64">
        <v>13.8</v>
      </c>
      <c r="I42" s="64">
        <v>4.1399999999999997</v>
      </c>
      <c r="J42" s="64">
        <v>0.56000000000000005</v>
      </c>
      <c r="K42" s="64">
        <v>236.84</v>
      </c>
      <c r="L42" s="64">
        <v>28.02</v>
      </c>
      <c r="M42" s="64">
        <v>81.849999999999994</v>
      </c>
      <c r="N42" s="64">
        <v>140</v>
      </c>
      <c r="O42" s="64">
        <v>0</v>
      </c>
      <c r="P42" s="64">
        <v>0.34</v>
      </c>
      <c r="Q42" s="64">
        <v>9.2799999999999994</v>
      </c>
      <c r="R42" s="198"/>
      <c r="S42" s="198"/>
      <c r="T42" s="198"/>
      <c r="U42" s="198"/>
    </row>
    <row r="43" spans="1:21" s="12" customFormat="1" x14ac:dyDescent="0.25">
      <c r="A43" s="214" t="s">
        <v>1816</v>
      </c>
      <c r="B43" s="64">
        <v>5.79</v>
      </c>
      <c r="C43" s="64">
        <v>17.260000000000002</v>
      </c>
      <c r="D43" s="64">
        <v>24.14</v>
      </c>
      <c r="E43" s="64">
        <v>3.85</v>
      </c>
      <c r="F43" s="64">
        <v>4.6100000000000003</v>
      </c>
      <c r="G43" s="64">
        <v>16.309999999999999</v>
      </c>
      <c r="H43" s="64">
        <v>12.93</v>
      </c>
      <c r="I43" s="64">
        <v>3.95</v>
      </c>
      <c r="J43" s="64">
        <v>0.71</v>
      </c>
      <c r="K43" s="64">
        <v>239.22</v>
      </c>
      <c r="L43" s="64">
        <v>28.22</v>
      </c>
      <c r="M43" s="64">
        <v>80.73</v>
      </c>
      <c r="N43" s="64">
        <v>181</v>
      </c>
      <c r="O43" s="64">
        <v>0</v>
      </c>
      <c r="P43" s="64">
        <v>0.34</v>
      </c>
      <c r="Q43" s="64">
        <v>9.2799999999999994</v>
      </c>
      <c r="R43" s="198"/>
      <c r="S43" s="198"/>
      <c r="T43" s="198"/>
      <c r="U43" s="198"/>
    </row>
    <row r="44" spans="1:21" s="12" customFormat="1" x14ac:dyDescent="0.25">
      <c r="A44" s="214" t="s">
        <v>1817</v>
      </c>
      <c r="B44" s="64">
        <v>5.62</v>
      </c>
      <c r="C44" s="64">
        <v>17.690000000000001</v>
      </c>
      <c r="D44" s="64">
        <v>25.22</v>
      </c>
      <c r="E44" s="64">
        <v>3.84</v>
      </c>
      <c r="F44" s="64">
        <v>3.94</v>
      </c>
      <c r="G44" s="64">
        <v>16.309999999999999</v>
      </c>
      <c r="H44" s="64">
        <v>12.93</v>
      </c>
      <c r="I44" s="64">
        <v>3.99</v>
      </c>
      <c r="J44" s="64">
        <v>0.76</v>
      </c>
      <c r="K44" s="64">
        <v>236.67</v>
      </c>
      <c r="L44" s="64">
        <v>28.49</v>
      </c>
      <c r="M44" s="64">
        <v>79.650000000000006</v>
      </c>
      <c r="N44" s="64">
        <v>200.5</v>
      </c>
      <c r="O44" s="64">
        <v>0</v>
      </c>
      <c r="P44" s="64">
        <v>0.35</v>
      </c>
      <c r="Q44" s="64">
        <v>9.2799999999999994</v>
      </c>
      <c r="R44" s="198"/>
      <c r="S44" s="198"/>
      <c r="T44" s="198"/>
      <c r="U44" s="198"/>
    </row>
    <row r="45" spans="1:21" s="12" customFormat="1" x14ac:dyDescent="0.25">
      <c r="A45" s="214" t="s">
        <v>1818</v>
      </c>
      <c r="B45" s="64">
        <v>5.84</v>
      </c>
      <c r="C45" s="64">
        <v>18.010000000000002</v>
      </c>
      <c r="D45" s="64">
        <v>25.51</v>
      </c>
      <c r="E45" s="64">
        <v>3.57</v>
      </c>
      <c r="F45" s="64">
        <v>4.4400000000000004</v>
      </c>
      <c r="G45" s="64">
        <v>16.309999999999999</v>
      </c>
      <c r="H45" s="64">
        <v>12.93</v>
      </c>
      <c r="I45" s="64">
        <v>4.13</v>
      </c>
      <c r="J45" s="64">
        <v>0.67</v>
      </c>
      <c r="K45" s="64">
        <v>235.09</v>
      </c>
      <c r="L45" s="64">
        <v>28.66</v>
      </c>
      <c r="M45" s="64">
        <v>79.010000000000005</v>
      </c>
      <c r="N45" s="64">
        <v>245.1</v>
      </c>
      <c r="O45" s="64">
        <v>0</v>
      </c>
      <c r="P45" s="64">
        <v>0.35</v>
      </c>
      <c r="Q45" s="64">
        <v>9.2799999999999994</v>
      </c>
      <c r="R45" s="198"/>
      <c r="S45" s="198"/>
      <c r="T45" s="198"/>
      <c r="U45" s="198"/>
    </row>
    <row r="46" spans="1:21" s="12" customFormat="1" x14ac:dyDescent="0.25">
      <c r="A46" s="214" t="s">
        <v>1819</v>
      </c>
      <c r="B46" s="64">
        <v>5.95</v>
      </c>
      <c r="C46" s="64">
        <v>18.8</v>
      </c>
      <c r="D46" s="64">
        <v>26.85</v>
      </c>
      <c r="E46" s="64">
        <v>3.89</v>
      </c>
      <c r="F46" s="64">
        <v>3.68</v>
      </c>
      <c r="G46" s="64">
        <v>17.010000000000002</v>
      </c>
      <c r="H46" s="64">
        <v>12.83</v>
      </c>
      <c r="I46" s="64">
        <v>3.93</v>
      </c>
      <c r="J46" s="64">
        <v>0.67</v>
      </c>
      <c r="K46" s="64">
        <v>230.4</v>
      </c>
      <c r="L46" s="64">
        <v>29.45</v>
      </c>
      <c r="M46" s="64">
        <v>77.11</v>
      </c>
      <c r="N46" s="64">
        <v>397.8</v>
      </c>
      <c r="O46" s="64">
        <v>0</v>
      </c>
      <c r="P46" s="64">
        <v>0.39</v>
      </c>
      <c r="Q46" s="64">
        <v>9.2799999999999994</v>
      </c>
      <c r="R46" s="198"/>
      <c r="S46" s="198"/>
      <c r="T46" s="198"/>
      <c r="U46" s="198"/>
    </row>
    <row r="47" spans="1:21" s="12" customFormat="1" x14ac:dyDescent="0.25">
      <c r="A47" s="214" t="s">
        <v>1820</v>
      </c>
      <c r="B47" s="64">
        <v>6.35</v>
      </c>
      <c r="C47" s="64">
        <v>20.65</v>
      </c>
      <c r="D47" s="64">
        <v>29.79</v>
      </c>
      <c r="E47" s="64">
        <v>3.82</v>
      </c>
      <c r="F47" s="64">
        <v>5.3</v>
      </c>
      <c r="G47" s="64">
        <v>19.190000000000001</v>
      </c>
      <c r="H47" s="64">
        <v>12.56</v>
      </c>
      <c r="I47" s="64">
        <v>3.96</v>
      </c>
      <c r="J47" s="64">
        <v>0.68</v>
      </c>
      <c r="K47" s="64">
        <v>233.8</v>
      </c>
      <c r="L47" s="64">
        <v>31.82</v>
      </c>
      <c r="M47" s="64">
        <v>67.290000000000006</v>
      </c>
      <c r="N47" s="64">
        <v>605.70000000000005</v>
      </c>
      <c r="O47" s="64">
        <v>0</v>
      </c>
      <c r="P47" s="64">
        <v>0.5</v>
      </c>
      <c r="Q47" s="64">
        <v>9.3000000000000007</v>
      </c>
      <c r="R47" s="198"/>
      <c r="S47" s="198"/>
      <c r="T47" s="198"/>
      <c r="U47" s="198"/>
    </row>
    <row r="48" spans="1:21" s="12" customFormat="1" x14ac:dyDescent="0.25">
      <c r="A48" s="214" t="s">
        <v>1821</v>
      </c>
      <c r="B48" s="64">
        <v>6.92</v>
      </c>
      <c r="C48" s="64">
        <v>22.81</v>
      </c>
      <c r="D48" s="64">
        <v>33.03</v>
      </c>
      <c r="E48" s="64">
        <v>4.13</v>
      </c>
      <c r="F48" s="64">
        <v>5.03</v>
      </c>
      <c r="G48" s="64">
        <v>19.190000000000001</v>
      </c>
      <c r="H48" s="64">
        <v>12.56</v>
      </c>
      <c r="I48" s="64">
        <v>3.92</v>
      </c>
      <c r="J48" s="64">
        <v>0.75</v>
      </c>
      <c r="K48" s="64">
        <v>234.04</v>
      </c>
      <c r="L48" s="64">
        <v>31.54</v>
      </c>
      <c r="M48" s="64">
        <v>67.319999999999993</v>
      </c>
      <c r="N48" s="64">
        <v>615.79999999999995</v>
      </c>
      <c r="O48" s="64">
        <v>0</v>
      </c>
      <c r="P48" s="64">
        <v>0.62</v>
      </c>
      <c r="Q48" s="64">
        <v>9.31</v>
      </c>
      <c r="R48" s="198"/>
      <c r="S48" s="198"/>
      <c r="T48" s="198"/>
      <c r="U48" s="198"/>
    </row>
    <row r="49" spans="1:21" s="12" customFormat="1" x14ac:dyDescent="0.25">
      <c r="A49" s="214" t="s">
        <v>1822</v>
      </c>
      <c r="B49" s="64">
        <v>7.28</v>
      </c>
      <c r="C49" s="64">
        <v>24</v>
      </c>
      <c r="D49" s="64">
        <v>34.75</v>
      </c>
      <c r="E49" s="64">
        <v>4.55</v>
      </c>
      <c r="F49" s="64">
        <v>8.08</v>
      </c>
      <c r="G49" s="64">
        <v>19.190000000000001</v>
      </c>
      <c r="H49" s="64">
        <v>12.56</v>
      </c>
      <c r="I49" s="64">
        <v>3.86</v>
      </c>
      <c r="J49" s="64">
        <v>0.56000000000000005</v>
      </c>
      <c r="K49" s="64">
        <v>233.07</v>
      </c>
      <c r="L49" s="64">
        <v>32.89</v>
      </c>
      <c r="M49" s="64">
        <v>62.4</v>
      </c>
      <c r="N49" s="64">
        <v>650.9</v>
      </c>
      <c r="O49" s="64">
        <v>0</v>
      </c>
      <c r="P49" s="64">
        <v>0.77</v>
      </c>
      <c r="Q49" s="64">
        <v>9.3000000000000007</v>
      </c>
      <c r="R49" s="198"/>
      <c r="S49" s="198"/>
      <c r="T49" s="198"/>
      <c r="U49" s="198"/>
    </row>
    <row r="50" spans="1:21" s="12" customFormat="1" x14ac:dyDescent="0.25">
      <c r="A50" s="214" t="s">
        <v>1823</v>
      </c>
      <c r="B50" s="64">
        <v>6.9</v>
      </c>
      <c r="C50" s="64">
        <v>24.08</v>
      </c>
      <c r="D50" s="64">
        <v>35.51</v>
      </c>
      <c r="E50" s="64">
        <v>4.43</v>
      </c>
      <c r="F50" s="64">
        <v>7.93</v>
      </c>
      <c r="G50" s="64">
        <v>21.22</v>
      </c>
      <c r="H50" s="64">
        <v>13.2</v>
      </c>
      <c r="I50" s="64">
        <v>4.01</v>
      </c>
      <c r="J50" s="64">
        <v>0.77</v>
      </c>
      <c r="K50" s="64">
        <v>237.96</v>
      </c>
      <c r="L50" s="64">
        <v>34.270000000000003</v>
      </c>
      <c r="M50" s="64">
        <v>57.55</v>
      </c>
      <c r="N50" s="64">
        <v>725</v>
      </c>
      <c r="O50" s="64">
        <v>0</v>
      </c>
      <c r="P50" s="64">
        <v>0.68</v>
      </c>
      <c r="Q50" s="64">
        <v>9.3000000000000007</v>
      </c>
      <c r="R50" s="198"/>
      <c r="S50" s="198"/>
      <c r="T50" s="198"/>
      <c r="U50" s="198"/>
    </row>
    <row r="51" spans="1:21" s="12" customFormat="1" x14ac:dyDescent="0.25">
      <c r="A51" s="214" t="s">
        <v>1824</v>
      </c>
      <c r="B51" s="64">
        <v>6.67</v>
      </c>
      <c r="C51" s="64">
        <v>22.76</v>
      </c>
      <c r="D51" s="64">
        <v>33.31</v>
      </c>
      <c r="E51" s="64">
        <v>4.3600000000000003</v>
      </c>
      <c r="F51" s="64">
        <v>5.21</v>
      </c>
      <c r="G51" s="64">
        <v>27.51</v>
      </c>
      <c r="H51" s="64">
        <v>15.05</v>
      </c>
      <c r="I51" s="64">
        <v>3.86</v>
      </c>
      <c r="J51" s="64">
        <v>0.87</v>
      </c>
      <c r="K51" s="64">
        <v>240.52</v>
      </c>
      <c r="L51" s="64">
        <v>33.68</v>
      </c>
      <c r="M51" s="64">
        <v>58.19</v>
      </c>
      <c r="N51" s="64">
        <v>627.20000000000005</v>
      </c>
      <c r="O51" s="64">
        <v>0</v>
      </c>
      <c r="P51" s="64">
        <v>0.7</v>
      </c>
      <c r="Q51" s="64">
        <v>9.3000000000000007</v>
      </c>
      <c r="R51" s="198"/>
      <c r="S51" s="198"/>
      <c r="T51" s="198"/>
      <c r="U51" s="198"/>
    </row>
    <row r="52" spans="1:21" s="12" customFormat="1" x14ac:dyDescent="0.25">
      <c r="A52" s="214" t="s">
        <v>1825</v>
      </c>
      <c r="B52" s="64">
        <v>6.83</v>
      </c>
      <c r="C52" s="64">
        <v>24.31</v>
      </c>
      <c r="D52" s="64">
        <v>36.03</v>
      </c>
      <c r="E52" s="64">
        <v>4.91</v>
      </c>
      <c r="F52" s="64">
        <v>7.96</v>
      </c>
      <c r="G52" s="64">
        <v>27.51</v>
      </c>
      <c r="H52" s="64">
        <v>15.05</v>
      </c>
      <c r="I52" s="64">
        <v>4.0999999999999996</v>
      </c>
      <c r="J52" s="64">
        <v>0.61</v>
      </c>
      <c r="K52" s="64">
        <v>236.99</v>
      </c>
      <c r="L52" s="64">
        <v>34.630000000000003</v>
      </c>
      <c r="M52" s="64">
        <v>55.19</v>
      </c>
      <c r="N52" s="64">
        <v>619.29999999999995</v>
      </c>
      <c r="O52" s="64">
        <v>0</v>
      </c>
      <c r="P52" s="64">
        <v>0.83</v>
      </c>
      <c r="Q52" s="64">
        <v>9.31</v>
      </c>
      <c r="R52" s="198"/>
      <c r="S52" s="198"/>
      <c r="T52" s="198"/>
      <c r="U52" s="198"/>
    </row>
    <row r="53" spans="1:21" s="12" customFormat="1" x14ac:dyDescent="0.25">
      <c r="A53" s="214" t="s">
        <v>1826</v>
      </c>
      <c r="B53" s="64">
        <v>6.34</v>
      </c>
      <c r="C53" s="64">
        <v>22.58</v>
      </c>
      <c r="D53" s="64">
        <v>33.47</v>
      </c>
      <c r="E53" s="64">
        <v>4.38</v>
      </c>
      <c r="F53" s="64">
        <v>6.81</v>
      </c>
      <c r="G53" s="64">
        <v>27.51</v>
      </c>
      <c r="H53" s="64">
        <v>15.05</v>
      </c>
      <c r="I53" s="64">
        <v>3.93</v>
      </c>
      <c r="J53" s="64">
        <v>0.83</v>
      </c>
      <c r="K53" s="64">
        <v>241.09</v>
      </c>
      <c r="L53" s="64">
        <v>33.86</v>
      </c>
      <c r="M53" s="64">
        <v>56.26</v>
      </c>
      <c r="N53" s="64">
        <v>443.9</v>
      </c>
      <c r="O53" s="64">
        <v>0</v>
      </c>
      <c r="P53" s="64">
        <v>0.84</v>
      </c>
      <c r="Q53" s="64">
        <v>9.31</v>
      </c>
      <c r="R53" s="198"/>
      <c r="S53" s="198"/>
      <c r="T53" s="198"/>
      <c r="U53" s="198"/>
    </row>
    <row r="54" spans="1:21" s="12" customFormat="1" x14ac:dyDescent="0.25">
      <c r="A54" s="214" t="s">
        <v>1827</v>
      </c>
      <c r="B54" s="64">
        <v>6.31</v>
      </c>
      <c r="C54" s="64">
        <v>25.4</v>
      </c>
      <c r="D54" s="64">
        <v>38.94</v>
      </c>
      <c r="E54" s="64">
        <v>4.12</v>
      </c>
      <c r="F54" s="64">
        <v>8.68</v>
      </c>
      <c r="G54" s="64">
        <v>30.12</v>
      </c>
      <c r="H54" s="64">
        <v>16.87</v>
      </c>
      <c r="I54" s="64">
        <v>3.85</v>
      </c>
      <c r="J54" s="64">
        <v>0.86</v>
      </c>
      <c r="K54" s="64">
        <v>239.6</v>
      </c>
      <c r="L54" s="64">
        <v>34.25</v>
      </c>
      <c r="M54" s="64">
        <v>54.86</v>
      </c>
      <c r="N54" s="64">
        <v>355.3</v>
      </c>
      <c r="O54" s="64">
        <v>0</v>
      </c>
      <c r="P54" s="64">
        <v>0.88</v>
      </c>
      <c r="Q54" s="64">
        <v>9.31</v>
      </c>
      <c r="R54" s="198"/>
      <c r="S54" s="198"/>
      <c r="T54" s="198"/>
      <c r="U54" s="198"/>
    </row>
    <row r="55" spans="1:21" s="12" customFormat="1" x14ac:dyDescent="0.25">
      <c r="A55" s="214" t="s">
        <v>1828</v>
      </c>
      <c r="B55" s="64">
        <v>5.86</v>
      </c>
      <c r="C55" s="64">
        <v>24.02</v>
      </c>
      <c r="D55" s="64">
        <v>36.99</v>
      </c>
      <c r="E55" s="64">
        <v>4.09</v>
      </c>
      <c r="F55" s="64">
        <v>5.29</v>
      </c>
      <c r="G55" s="64">
        <v>37.72</v>
      </c>
      <c r="H55" s="64">
        <v>22.5</v>
      </c>
      <c r="I55" s="64">
        <v>4.09</v>
      </c>
      <c r="J55" s="64">
        <v>0.61</v>
      </c>
      <c r="K55" s="64">
        <v>224.47</v>
      </c>
      <c r="L55" s="64">
        <v>33.24</v>
      </c>
      <c r="M55" s="64">
        <v>57.48</v>
      </c>
      <c r="N55" s="64">
        <v>343.7</v>
      </c>
      <c r="O55" s="64">
        <v>0</v>
      </c>
      <c r="P55" s="64">
        <v>0.87</v>
      </c>
      <c r="Q55" s="64">
        <v>9.31</v>
      </c>
      <c r="R55" s="198"/>
      <c r="S55" s="198"/>
      <c r="T55" s="198"/>
      <c r="U55" s="198"/>
    </row>
    <row r="56" spans="1:21" s="12" customFormat="1" x14ac:dyDescent="0.25">
      <c r="A56" s="214" t="s">
        <v>1829</v>
      </c>
      <c r="B56" s="64">
        <v>5.68</v>
      </c>
      <c r="C56" s="64">
        <v>24.08</v>
      </c>
      <c r="D56" s="64">
        <v>37.369999999999997</v>
      </c>
      <c r="E56" s="64">
        <v>4.57</v>
      </c>
      <c r="F56" s="64">
        <v>4.74</v>
      </c>
      <c r="G56" s="64">
        <v>37.72</v>
      </c>
      <c r="H56" s="64">
        <v>22.5</v>
      </c>
      <c r="I56" s="64">
        <v>4.1100000000000003</v>
      </c>
      <c r="J56" s="64">
        <v>0.71</v>
      </c>
      <c r="K56" s="64">
        <v>235.19</v>
      </c>
      <c r="L56" s="64">
        <v>33.35</v>
      </c>
      <c r="M56" s="64">
        <v>57.79</v>
      </c>
      <c r="N56" s="64">
        <v>469.5</v>
      </c>
      <c r="O56" s="64">
        <v>0</v>
      </c>
      <c r="P56" s="64">
        <v>0.86</v>
      </c>
      <c r="Q56" s="64">
        <v>9.33</v>
      </c>
      <c r="R56" s="198"/>
      <c r="S56" s="198"/>
      <c r="T56" s="198"/>
      <c r="U56" s="198"/>
    </row>
    <row r="57" spans="1:21" s="12" customFormat="1" x14ac:dyDescent="0.25">
      <c r="A57" s="214" t="s">
        <v>1830</v>
      </c>
      <c r="B57" s="64">
        <v>5.55</v>
      </c>
      <c r="C57" s="64">
        <v>22.05</v>
      </c>
      <c r="D57" s="64">
        <v>33.68</v>
      </c>
      <c r="E57" s="64">
        <v>4.43</v>
      </c>
      <c r="F57" s="64">
        <v>9.83</v>
      </c>
      <c r="G57" s="64">
        <v>37.72</v>
      </c>
      <c r="H57" s="64">
        <v>22.5</v>
      </c>
      <c r="I57" s="64">
        <v>4.0199999999999996</v>
      </c>
      <c r="J57" s="64">
        <v>0.65</v>
      </c>
      <c r="K57" s="64">
        <v>234.78</v>
      </c>
      <c r="L57" s="64">
        <v>35.200000000000003</v>
      </c>
      <c r="M57" s="64">
        <v>51.86</v>
      </c>
      <c r="N57" s="64">
        <v>553.29999999999995</v>
      </c>
      <c r="O57" s="64">
        <v>0</v>
      </c>
      <c r="P57" s="64">
        <v>0.89</v>
      </c>
      <c r="Q57" s="64">
        <v>9.32</v>
      </c>
      <c r="R57" s="198"/>
      <c r="S57" s="198"/>
      <c r="T57" s="198"/>
      <c r="U57" s="198"/>
    </row>
    <row r="58" spans="1:21" s="12" customFormat="1" x14ac:dyDescent="0.25">
      <c r="A58" s="214" t="s">
        <v>1831</v>
      </c>
      <c r="B58" s="64">
        <v>5.66</v>
      </c>
      <c r="C58" s="64">
        <v>21.89</v>
      </c>
      <c r="D58" s="64">
        <v>33.21</v>
      </c>
      <c r="E58" s="64">
        <v>4.2</v>
      </c>
      <c r="F58" s="64">
        <v>7.51</v>
      </c>
      <c r="G58" s="64">
        <v>36.18</v>
      </c>
      <c r="H58" s="64">
        <v>21.49</v>
      </c>
      <c r="I58" s="64">
        <v>3.82</v>
      </c>
      <c r="J58" s="64">
        <v>0.85</v>
      </c>
      <c r="K58" s="64">
        <v>241.9</v>
      </c>
      <c r="L58" s="64">
        <v>36.47</v>
      </c>
      <c r="M58" s="64">
        <v>48.76</v>
      </c>
      <c r="N58" s="64">
        <v>646.29999999999995</v>
      </c>
      <c r="O58" s="64">
        <v>0</v>
      </c>
      <c r="P58" s="64">
        <v>0.89</v>
      </c>
      <c r="Q58" s="64">
        <v>9.2899999999999991</v>
      </c>
      <c r="R58" s="198"/>
      <c r="S58" s="198"/>
      <c r="T58" s="198"/>
      <c r="U58" s="198"/>
    </row>
    <row r="59" spans="1:21" s="12" customFormat="1" x14ac:dyDescent="0.25">
      <c r="A59" s="214" t="s">
        <v>1832</v>
      </c>
      <c r="B59" s="64">
        <v>5.52</v>
      </c>
      <c r="C59" s="64">
        <v>22.43</v>
      </c>
      <c r="D59" s="64">
        <v>34.46</v>
      </c>
      <c r="E59" s="64">
        <v>3.84</v>
      </c>
      <c r="F59" s="64">
        <v>10.91</v>
      </c>
      <c r="G59" s="64">
        <v>31.69</v>
      </c>
      <c r="H59" s="64">
        <v>18.38</v>
      </c>
      <c r="I59" s="64">
        <v>3.94</v>
      </c>
      <c r="J59" s="64">
        <v>0.56999999999999995</v>
      </c>
      <c r="K59" s="64">
        <v>223.21</v>
      </c>
      <c r="L59" s="64">
        <v>37.35</v>
      </c>
      <c r="M59" s="64">
        <v>46.33</v>
      </c>
      <c r="N59" s="64">
        <v>460.8</v>
      </c>
      <c r="O59" s="64">
        <v>0</v>
      </c>
      <c r="P59" s="64">
        <v>0.9</v>
      </c>
      <c r="Q59" s="64">
        <v>9.3000000000000007</v>
      </c>
      <c r="R59" s="198"/>
      <c r="S59" s="198"/>
      <c r="T59" s="198"/>
      <c r="U59" s="198"/>
    </row>
    <row r="60" spans="1:21" s="12" customFormat="1" x14ac:dyDescent="0.25">
      <c r="A60" s="214" t="s">
        <v>1833</v>
      </c>
      <c r="B60" s="64">
        <v>6.49</v>
      </c>
      <c r="C60" s="64">
        <v>23.08</v>
      </c>
      <c r="D60" s="64">
        <v>34.200000000000003</v>
      </c>
      <c r="E60" s="64">
        <v>4.43</v>
      </c>
      <c r="F60" s="64">
        <v>8.67</v>
      </c>
      <c r="G60" s="64">
        <v>31.69</v>
      </c>
      <c r="H60" s="64">
        <v>18.38</v>
      </c>
      <c r="I60" s="64">
        <v>4.05</v>
      </c>
      <c r="J60" s="64">
        <v>0.82</v>
      </c>
      <c r="K60" s="64">
        <v>243.63</v>
      </c>
      <c r="L60" s="64">
        <v>37.9</v>
      </c>
      <c r="M60" s="64">
        <v>45.91</v>
      </c>
      <c r="N60" s="64">
        <v>595.6</v>
      </c>
      <c r="O60" s="64">
        <v>0</v>
      </c>
      <c r="P60" s="64">
        <v>0.92</v>
      </c>
      <c r="Q60" s="64">
        <v>9.33</v>
      </c>
      <c r="R60" s="198"/>
      <c r="S60" s="198"/>
      <c r="T60" s="198"/>
      <c r="U60" s="198"/>
    </row>
    <row r="61" spans="1:21" s="12" customFormat="1" x14ac:dyDescent="0.25">
      <c r="A61" s="214" t="s">
        <v>1834</v>
      </c>
      <c r="B61" s="64">
        <v>6.49</v>
      </c>
      <c r="C61" s="64">
        <v>23.15</v>
      </c>
      <c r="D61" s="64">
        <v>34.36</v>
      </c>
      <c r="E61" s="64">
        <v>5.14</v>
      </c>
      <c r="F61" s="64">
        <v>19.28</v>
      </c>
      <c r="G61" s="64">
        <v>31.69</v>
      </c>
      <c r="H61" s="64">
        <v>18.38</v>
      </c>
      <c r="I61" s="64">
        <v>3.94</v>
      </c>
      <c r="J61" s="64">
        <v>0.87</v>
      </c>
      <c r="K61" s="64">
        <v>250.63</v>
      </c>
      <c r="L61" s="64">
        <v>38.5</v>
      </c>
      <c r="M61" s="64">
        <v>44.04</v>
      </c>
      <c r="N61" s="64">
        <v>520.6</v>
      </c>
      <c r="O61" s="64">
        <v>0</v>
      </c>
      <c r="P61" s="64">
        <v>0.83</v>
      </c>
      <c r="Q61" s="64">
        <v>9.33</v>
      </c>
      <c r="R61" s="198"/>
      <c r="S61" s="198"/>
      <c r="T61" s="198"/>
      <c r="U61" s="198"/>
    </row>
    <row r="62" spans="1:21" s="12" customFormat="1" x14ac:dyDescent="0.25">
      <c r="A62" s="214" t="s">
        <v>1835</v>
      </c>
      <c r="B62" s="64">
        <v>7.77</v>
      </c>
      <c r="C62" s="64">
        <v>23.99</v>
      </c>
      <c r="D62" s="64">
        <v>33.99</v>
      </c>
      <c r="E62" s="64">
        <v>7.01</v>
      </c>
      <c r="F62" s="64">
        <v>23.03</v>
      </c>
      <c r="G62" s="64">
        <v>34.299999999999997</v>
      </c>
      <c r="H62" s="64">
        <v>18.760000000000002</v>
      </c>
      <c r="I62" s="64">
        <v>3.93</v>
      </c>
      <c r="J62" s="64">
        <v>0.33</v>
      </c>
      <c r="K62" s="64">
        <v>192.58</v>
      </c>
      <c r="L62" s="64">
        <v>38.47</v>
      </c>
      <c r="M62" s="64">
        <v>44.2</v>
      </c>
      <c r="N62" s="64">
        <v>433.4</v>
      </c>
      <c r="O62" s="64">
        <v>0</v>
      </c>
      <c r="P62" s="64">
        <v>0.86</v>
      </c>
      <c r="Q62" s="64">
        <v>9.33</v>
      </c>
      <c r="R62" s="198"/>
      <c r="S62" s="198"/>
      <c r="T62" s="198"/>
      <c r="U62" s="198"/>
    </row>
    <row r="63" spans="1:21" s="12" customFormat="1" x14ac:dyDescent="0.25">
      <c r="A63" s="214" t="s">
        <v>1836</v>
      </c>
      <c r="B63" s="64">
        <v>5.41</v>
      </c>
      <c r="C63" s="64">
        <v>20.11</v>
      </c>
      <c r="D63" s="64">
        <v>30.2</v>
      </c>
      <c r="E63" s="64">
        <v>5.89</v>
      </c>
      <c r="F63" s="64">
        <v>19.670000000000002</v>
      </c>
      <c r="G63" s="64">
        <v>41.89</v>
      </c>
      <c r="H63" s="64">
        <v>19.940000000000001</v>
      </c>
      <c r="I63" s="64">
        <v>3.97</v>
      </c>
      <c r="J63" s="64">
        <v>0.33</v>
      </c>
      <c r="K63" s="64">
        <v>227.07</v>
      </c>
      <c r="L63" s="64">
        <v>38.229999999999997</v>
      </c>
      <c r="M63" s="64">
        <v>43.13</v>
      </c>
      <c r="N63" s="64">
        <v>307.2</v>
      </c>
      <c r="O63" s="64">
        <v>0</v>
      </c>
      <c r="P63" s="64">
        <v>0.73</v>
      </c>
      <c r="Q63" s="64">
        <v>9.32</v>
      </c>
      <c r="R63" s="198"/>
      <c r="S63" s="198"/>
      <c r="T63" s="198"/>
      <c r="U63" s="198"/>
    </row>
    <row r="64" spans="1:21" s="12" customFormat="1" x14ac:dyDescent="0.25">
      <c r="A64" s="214" t="s">
        <v>1837</v>
      </c>
      <c r="B64" s="64">
        <v>5.16</v>
      </c>
      <c r="C64" s="64">
        <v>18.68</v>
      </c>
      <c r="D64" s="64">
        <v>27.83</v>
      </c>
      <c r="E64" s="64">
        <v>7.19</v>
      </c>
      <c r="F64" s="64">
        <v>24.49</v>
      </c>
      <c r="G64" s="64">
        <v>41.89</v>
      </c>
      <c r="H64" s="64">
        <v>19.940000000000001</v>
      </c>
      <c r="I64" s="64">
        <v>3.9</v>
      </c>
      <c r="J64" s="64">
        <v>0.43</v>
      </c>
      <c r="K64" s="64">
        <v>158.59</v>
      </c>
      <c r="L64" s="64">
        <v>37.31</v>
      </c>
      <c r="M64" s="64">
        <v>44.94</v>
      </c>
      <c r="N64" s="64">
        <v>452.4</v>
      </c>
      <c r="O64" s="64">
        <v>0</v>
      </c>
      <c r="P64" s="64">
        <v>0.62</v>
      </c>
      <c r="Q64" s="64">
        <v>9.3000000000000007</v>
      </c>
      <c r="R64" s="198"/>
      <c r="S64" s="198"/>
      <c r="T64" s="198"/>
      <c r="U64" s="198"/>
    </row>
    <row r="65" spans="1:21" s="12" customFormat="1" x14ac:dyDescent="0.25">
      <c r="A65" s="214" t="s">
        <v>1838</v>
      </c>
      <c r="B65" s="64">
        <v>5.33</v>
      </c>
      <c r="C65" s="64">
        <v>22.14</v>
      </c>
      <c r="D65" s="64">
        <v>34.200000000000003</v>
      </c>
      <c r="E65" s="64">
        <v>7.34</v>
      </c>
      <c r="F65" s="64">
        <v>27.19</v>
      </c>
      <c r="G65" s="64">
        <v>41.89</v>
      </c>
      <c r="H65" s="64">
        <v>19.940000000000001</v>
      </c>
      <c r="I65" s="64">
        <v>3.77</v>
      </c>
      <c r="J65" s="64">
        <v>0.51</v>
      </c>
      <c r="K65" s="64">
        <v>157.03</v>
      </c>
      <c r="L65" s="64">
        <v>36.71</v>
      </c>
      <c r="M65" s="64">
        <v>46.92</v>
      </c>
      <c r="N65" s="64">
        <v>362</v>
      </c>
      <c r="O65" s="64">
        <v>0</v>
      </c>
      <c r="P65" s="64">
        <v>0.67</v>
      </c>
      <c r="Q65" s="64">
        <v>9.3000000000000007</v>
      </c>
      <c r="R65" s="198"/>
      <c r="S65" s="198"/>
      <c r="T65" s="198"/>
      <c r="U65" s="198"/>
    </row>
    <row r="66" spans="1:21" s="12" customFormat="1" x14ac:dyDescent="0.25">
      <c r="A66" s="214" t="s">
        <v>1839</v>
      </c>
      <c r="B66" s="64">
        <v>6.81</v>
      </c>
      <c r="C66" s="64">
        <v>24.48</v>
      </c>
      <c r="D66" s="64">
        <v>36.39</v>
      </c>
      <c r="E66" s="64">
        <v>8.14</v>
      </c>
      <c r="F66" s="64">
        <v>33.06</v>
      </c>
      <c r="G66" s="64">
        <v>40.54</v>
      </c>
      <c r="H66" s="64">
        <v>19.739999999999998</v>
      </c>
      <c r="I66" s="64">
        <v>3.87</v>
      </c>
      <c r="J66" s="64">
        <v>0.5</v>
      </c>
      <c r="K66" s="64">
        <v>220.91</v>
      </c>
      <c r="L66" s="64">
        <v>37.43</v>
      </c>
      <c r="M66" s="64">
        <v>45.19</v>
      </c>
      <c r="N66" s="64">
        <v>264.7</v>
      </c>
      <c r="O66" s="64">
        <v>0</v>
      </c>
      <c r="P66" s="64">
        <v>0.67</v>
      </c>
      <c r="Q66" s="64">
        <v>9.3000000000000007</v>
      </c>
      <c r="R66" s="198"/>
      <c r="S66" s="198"/>
      <c r="T66" s="198"/>
      <c r="U66" s="198"/>
    </row>
    <row r="67" spans="1:21" s="12" customFormat="1" x14ac:dyDescent="0.25">
      <c r="A67" s="214" t="s">
        <v>1840</v>
      </c>
      <c r="B67" s="64">
        <v>6.71</v>
      </c>
      <c r="C67" s="64">
        <v>26.23</v>
      </c>
      <c r="D67" s="64">
        <v>39.909999999999997</v>
      </c>
      <c r="E67" s="64">
        <v>9.0399999999999991</v>
      </c>
      <c r="F67" s="64">
        <v>31.45</v>
      </c>
      <c r="G67" s="64">
        <v>36.61</v>
      </c>
      <c r="H67" s="64">
        <v>19.14</v>
      </c>
      <c r="I67" s="64">
        <v>3.94</v>
      </c>
      <c r="J67" s="64">
        <v>0.49</v>
      </c>
      <c r="K67" s="64">
        <v>230.35</v>
      </c>
      <c r="L67" s="64">
        <v>38.130000000000003</v>
      </c>
      <c r="M67" s="64">
        <v>42.9</v>
      </c>
      <c r="N67" s="64">
        <v>282</v>
      </c>
      <c r="O67" s="64">
        <v>0</v>
      </c>
      <c r="P67" s="64">
        <v>0.67</v>
      </c>
      <c r="Q67" s="64">
        <v>9.31</v>
      </c>
      <c r="R67" s="198"/>
      <c r="S67" s="198"/>
      <c r="T67" s="198"/>
      <c r="U67" s="198"/>
    </row>
    <row r="68" spans="1:21" s="12" customFormat="1" x14ac:dyDescent="0.25">
      <c r="A68" s="214" t="s">
        <v>1841</v>
      </c>
      <c r="B68" s="64">
        <v>8.17</v>
      </c>
      <c r="C68" s="64">
        <v>32.090000000000003</v>
      </c>
      <c r="D68" s="64">
        <v>48.87</v>
      </c>
      <c r="E68" s="64">
        <v>8.8699999999999992</v>
      </c>
      <c r="F68" s="64">
        <v>30.51</v>
      </c>
      <c r="G68" s="64">
        <v>36.61</v>
      </c>
      <c r="H68" s="64">
        <v>19.14</v>
      </c>
      <c r="I68" s="64">
        <v>3.99</v>
      </c>
      <c r="J68" s="64">
        <v>0.68</v>
      </c>
      <c r="K68" s="64">
        <v>250.99</v>
      </c>
      <c r="L68" s="64">
        <v>39.19</v>
      </c>
      <c r="M68" s="64">
        <v>40.29</v>
      </c>
      <c r="N68" s="64">
        <v>264.10000000000002</v>
      </c>
      <c r="O68" s="64">
        <v>0</v>
      </c>
      <c r="P68" s="64">
        <v>0.64</v>
      </c>
      <c r="Q68" s="64">
        <v>9.33</v>
      </c>
      <c r="R68" s="198"/>
      <c r="S68" s="198"/>
      <c r="T68" s="198"/>
      <c r="U68" s="198"/>
    </row>
    <row r="69" spans="1:21" s="12" customFormat="1" x14ac:dyDescent="0.25">
      <c r="A69" s="214" t="s">
        <v>1842</v>
      </c>
      <c r="B69" s="64">
        <v>8.7200000000000006</v>
      </c>
      <c r="C69" s="64">
        <v>28.31</v>
      </c>
      <c r="D69" s="64">
        <v>40.81</v>
      </c>
      <c r="E69" s="64">
        <v>8.75</v>
      </c>
      <c r="F69" s="64">
        <v>28.99</v>
      </c>
      <c r="G69" s="64">
        <v>36.61</v>
      </c>
      <c r="H69" s="64">
        <v>19.14</v>
      </c>
      <c r="I69" s="64">
        <v>4.13</v>
      </c>
      <c r="J69" s="64">
        <v>0.54</v>
      </c>
      <c r="K69" s="64">
        <v>252.21</v>
      </c>
      <c r="L69" s="64">
        <v>39.44</v>
      </c>
      <c r="M69" s="64">
        <v>39.35</v>
      </c>
      <c r="N69" s="64">
        <v>264.2</v>
      </c>
      <c r="O69" s="64">
        <v>0</v>
      </c>
      <c r="P69" s="64">
        <v>0.62</v>
      </c>
      <c r="Q69" s="64">
        <v>9.33</v>
      </c>
      <c r="R69" s="198"/>
      <c r="S69" s="198"/>
      <c r="T69" s="198"/>
      <c r="U69" s="198"/>
    </row>
    <row r="70" spans="1:21" s="12" customFormat="1" x14ac:dyDescent="0.25">
      <c r="A70" s="214" t="s">
        <v>1843</v>
      </c>
      <c r="B70" s="64">
        <v>8.7200000000000006</v>
      </c>
      <c r="C70" s="64">
        <v>29.17</v>
      </c>
      <c r="D70" s="64">
        <v>42.44</v>
      </c>
      <c r="E70" s="64">
        <v>8.86</v>
      </c>
      <c r="F70" s="64">
        <v>30.09</v>
      </c>
      <c r="G70" s="64">
        <v>36.630000000000003</v>
      </c>
      <c r="H70" s="64">
        <v>17.989999999999998</v>
      </c>
      <c r="I70" s="64">
        <v>3.91</v>
      </c>
      <c r="J70" s="64">
        <v>0.59</v>
      </c>
      <c r="K70" s="64">
        <v>184.74</v>
      </c>
      <c r="L70" s="64">
        <v>38.549999999999997</v>
      </c>
      <c r="M70" s="64">
        <v>40.9</v>
      </c>
      <c r="N70" s="64">
        <v>249.4</v>
      </c>
      <c r="O70" s="64">
        <v>0</v>
      </c>
      <c r="P70" s="64">
        <v>0.52</v>
      </c>
      <c r="Q70" s="64">
        <v>9.31</v>
      </c>
      <c r="R70" s="198"/>
      <c r="S70" s="198"/>
      <c r="T70" s="198"/>
      <c r="U70" s="198"/>
    </row>
    <row r="71" spans="1:21" s="12" customFormat="1" x14ac:dyDescent="0.25">
      <c r="A71" s="214" t="s">
        <v>1844</v>
      </c>
      <c r="B71" s="64">
        <v>5.49</v>
      </c>
      <c r="C71" s="64">
        <v>19.510000000000002</v>
      </c>
      <c r="D71" s="64">
        <v>28.92</v>
      </c>
      <c r="E71" s="64">
        <v>8.4499999999999993</v>
      </c>
      <c r="F71" s="64">
        <v>27.72</v>
      </c>
      <c r="G71" s="64">
        <v>36.69</v>
      </c>
      <c r="H71" s="64">
        <v>14.65</v>
      </c>
      <c r="I71" s="64">
        <v>4.07</v>
      </c>
      <c r="J71" s="64">
        <v>0.9</v>
      </c>
      <c r="K71" s="64">
        <v>163.15</v>
      </c>
      <c r="L71" s="64">
        <v>37.28</v>
      </c>
      <c r="M71" s="64">
        <v>42.37</v>
      </c>
      <c r="N71" s="64">
        <v>231.3</v>
      </c>
      <c r="O71" s="64">
        <v>0</v>
      </c>
      <c r="P71" s="64">
        <v>0.49</v>
      </c>
      <c r="Q71" s="64">
        <v>9.32</v>
      </c>
      <c r="R71" s="198"/>
      <c r="S71" s="198"/>
      <c r="T71" s="198"/>
      <c r="U71" s="198"/>
    </row>
    <row r="72" spans="1:21" s="12" customFormat="1" x14ac:dyDescent="0.25">
      <c r="A72" s="214" t="s">
        <v>1845</v>
      </c>
      <c r="B72" s="64">
        <v>5.14</v>
      </c>
      <c r="C72" s="64">
        <v>19.690000000000001</v>
      </c>
      <c r="D72" s="64">
        <v>29.79</v>
      </c>
      <c r="E72" s="64">
        <v>7.76</v>
      </c>
      <c r="F72" s="64">
        <v>26.19</v>
      </c>
      <c r="G72" s="64">
        <v>36.69</v>
      </c>
      <c r="H72" s="64">
        <v>14.65</v>
      </c>
      <c r="I72" s="64">
        <v>3.9</v>
      </c>
      <c r="J72" s="64">
        <v>1.1599999999999999</v>
      </c>
      <c r="K72" s="64">
        <v>155.35</v>
      </c>
      <c r="L72" s="64">
        <v>36.86</v>
      </c>
      <c r="M72" s="64">
        <v>43.58</v>
      </c>
      <c r="N72" s="64">
        <v>188.5</v>
      </c>
      <c r="O72" s="64">
        <v>0</v>
      </c>
      <c r="P72" s="64">
        <v>0.52</v>
      </c>
      <c r="Q72" s="64">
        <v>9.32</v>
      </c>
      <c r="R72" s="198"/>
      <c r="S72" s="198"/>
      <c r="T72" s="198"/>
      <c r="U72" s="198"/>
    </row>
    <row r="73" spans="1:21" s="12" customFormat="1" x14ac:dyDescent="0.25">
      <c r="A73" s="214" t="s">
        <v>1846</v>
      </c>
      <c r="B73" s="64">
        <v>5.04</v>
      </c>
      <c r="C73" s="64">
        <v>20.56</v>
      </c>
      <c r="D73" s="64">
        <v>31.62</v>
      </c>
      <c r="E73" s="64">
        <v>6.8</v>
      </c>
      <c r="F73" s="64">
        <v>24.69</v>
      </c>
      <c r="G73" s="64">
        <v>36.69</v>
      </c>
      <c r="H73" s="64">
        <v>14.65</v>
      </c>
      <c r="I73" s="64">
        <v>4.0199999999999996</v>
      </c>
      <c r="J73" s="64">
        <v>0.86</v>
      </c>
      <c r="K73" s="64">
        <v>166.73</v>
      </c>
      <c r="L73" s="64">
        <v>36.57</v>
      </c>
      <c r="M73" s="64">
        <v>45.59</v>
      </c>
      <c r="N73" s="64">
        <v>188.2</v>
      </c>
      <c r="O73" s="64">
        <v>0</v>
      </c>
      <c r="P73" s="64">
        <v>0.63</v>
      </c>
      <c r="Q73" s="64">
        <v>9.31</v>
      </c>
      <c r="R73" s="198"/>
      <c r="S73" s="198"/>
      <c r="T73" s="198"/>
      <c r="U73" s="198"/>
    </row>
    <row r="74" spans="1:21" s="12" customFormat="1" x14ac:dyDescent="0.25">
      <c r="A74" s="214" t="s">
        <v>1847</v>
      </c>
      <c r="B74" s="64">
        <v>4.87</v>
      </c>
      <c r="C74" s="64">
        <v>22.03</v>
      </c>
      <c r="D74" s="64">
        <v>34.69</v>
      </c>
      <c r="E74" s="64">
        <v>7.1</v>
      </c>
      <c r="F74" s="64">
        <v>23.07</v>
      </c>
      <c r="G74" s="64">
        <v>38.31</v>
      </c>
      <c r="H74" s="64">
        <v>15.08</v>
      </c>
      <c r="I74" s="64">
        <v>4.0199999999999996</v>
      </c>
      <c r="J74" s="64">
        <v>1.1299999999999999</v>
      </c>
      <c r="K74" s="64">
        <v>166.56</v>
      </c>
      <c r="L74" s="64">
        <v>36.479999999999997</v>
      </c>
      <c r="M74" s="64">
        <v>46.4</v>
      </c>
      <c r="N74" s="64">
        <v>151.9</v>
      </c>
      <c r="O74" s="64">
        <v>0</v>
      </c>
      <c r="P74" s="64">
        <v>0.68</v>
      </c>
      <c r="Q74" s="64">
        <v>9.31</v>
      </c>
      <c r="R74" s="198"/>
      <c r="S74" s="198"/>
      <c r="T74" s="198"/>
      <c r="U74" s="198"/>
    </row>
    <row r="75" spans="1:21" s="12" customFormat="1" x14ac:dyDescent="0.25">
      <c r="A75" s="214" t="s">
        <v>1848</v>
      </c>
      <c r="B75" s="64">
        <v>4.87</v>
      </c>
      <c r="C75" s="64">
        <v>21.33</v>
      </c>
      <c r="D75" s="64">
        <v>33.35</v>
      </c>
      <c r="E75" s="64">
        <v>6.02</v>
      </c>
      <c r="F75" s="64">
        <v>16.82</v>
      </c>
      <c r="G75" s="64">
        <v>43.01</v>
      </c>
      <c r="H75" s="64">
        <v>16.329999999999998</v>
      </c>
      <c r="I75" s="64">
        <v>4.07</v>
      </c>
      <c r="J75" s="64">
        <v>0.91</v>
      </c>
      <c r="K75" s="64">
        <v>205.56</v>
      </c>
      <c r="L75" s="64">
        <v>36.15</v>
      </c>
      <c r="M75" s="64">
        <v>48.23</v>
      </c>
      <c r="N75" s="64">
        <v>134.80000000000001</v>
      </c>
      <c r="O75" s="64">
        <v>0</v>
      </c>
      <c r="P75" s="64">
        <v>0.67</v>
      </c>
      <c r="Q75" s="64">
        <v>9.3000000000000007</v>
      </c>
      <c r="R75" s="198"/>
      <c r="S75" s="198"/>
      <c r="T75" s="198"/>
      <c r="U75" s="198"/>
    </row>
    <row r="76" spans="1:21" s="12" customFormat="1" x14ac:dyDescent="0.25">
      <c r="A76" s="214" t="s">
        <v>1849</v>
      </c>
      <c r="B76" s="64">
        <v>4.8</v>
      </c>
      <c r="C76" s="64">
        <v>20.66</v>
      </c>
      <c r="D76" s="64">
        <v>32.18</v>
      </c>
      <c r="E76" s="64">
        <v>5.85</v>
      </c>
      <c r="F76" s="64">
        <v>22.35</v>
      </c>
      <c r="G76" s="64">
        <v>43.01</v>
      </c>
      <c r="H76" s="64">
        <v>16.329999999999998</v>
      </c>
      <c r="I76" s="64">
        <v>4.0999999999999996</v>
      </c>
      <c r="J76" s="64">
        <v>0.8</v>
      </c>
      <c r="K76" s="64">
        <v>178.89</v>
      </c>
      <c r="L76" s="64">
        <v>35.85</v>
      </c>
      <c r="M76" s="64">
        <v>49.37</v>
      </c>
      <c r="N76" s="64">
        <v>108.9</v>
      </c>
      <c r="O76" s="64">
        <v>0</v>
      </c>
      <c r="P76" s="64">
        <v>0.61</v>
      </c>
      <c r="Q76" s="64">
        <v>9.2799999999999994</v>
      </c>
      <c r="R76" s="198"/>
      <c r="S76" s="198"/>
      <c r="T76" s="198"/>
      <c r="U76" s="198"/>
    </row>
    <row r="77" spans="1:21" s="12" customFormat="1" x14ac:dyDescent="0.25">
      <c r="A77" s="214" t="s">
        <v>1850</v>
      </c>
      <c r="B77" s="64">
        <v>4.8600000000000003</v>
      </c>
      <c r="C77" s="64">
        <v>22.45</v>
      </c>
      <c r="D77" s="64">
        <v>35.5</v>
      </c>
      <c r="E77" s="64">
        <v>5.95</v>
      </c>
      <c r="F77" s="64">
        <v>24.19</v>
      </c>
      <c r="G77" s="64">
        <v>43.01</v>
      </c>
      <c r="H77" s="64">
        <v>16.329999999999998</v>
      </c>
      <c r="I77" s="64">
        <v>4</v>
      </c>
      <c r="J77" s="64">
        <v>0.76</v>
      </c>
      <c r="K77" s="64">
        <v>175.81</v>
      </c>
      <c r="L77" s="64">
        <v>35.700000000000003</v>
      </c>
      <c r="M77" s="64">
        <v>49.81</v>
      </c>
      <c r="N77" s="64">
        <v>94.6</v>
      </c>
      <c r="O77" s="64">
        <v>0</v>
      </c>
      <c r="P77" s="64">
        <v>0.56999999999999995</v>
      </c>
      <c r="Q77" s="64">
        <v>9.2799999999999994</v>
      </c>
      <c r="R77" s="198"/>
      <c r="S77" s="198"/>
      <c r="T77" s="198"/>
      <c r="U77" s="198"/>
    </row>
    <row r="78" spans="1:21" s="12" customFormat="1" x14ac:dyDescent="0.25">
      <c r="A78" s="214" t="s">
        <v>1851</v>
      </c>
      <c r="B78" s="64">
        <v>4.84</v>
      </c>
      <c r="C78" s="64">
        <v>22.35</v>
      </c>
      <c r="D78" s="64">
        <v>35.35</v>
      </c>
      <c r="E78" s="64">
        <v>5.94</v>
      </c>
      <c r="F78" s="64">
        <v>24.99</v>
      </c>
      <c r="G78" s="64">
        <v>42.47</v>
      </c>
      <c r="H78" s="64">
        <v>15.72</v>
      </c>
      <c r="I78" s="64">
        <v>4.0999999999999996</v>
      </c>
      <c r="J78" s="64">
        <v>0.73</v>
      </c>
      <c r="K78" s="64">
        <v>192.71</v>
      </c>
      <c r="L78" s="64">
        <v>35.590000000000003</v>
      </c>
      <c r="M78" s="64">
        <v>49.71</v>
      </c>
      <c r="N78" s="64">
        <v>83.4</v>
      </c>
      <c r="O78" s="64">
        <v>0</v>
      </c>
      <c r="P78" s="64">
        <v>0.53</v>
      </c>
      <c r="Q78" s="64">
        <v>9.26</v>
      </c>
      <c r="R78" s="198"/>
      <c r="S78" s="198"/>
      <c r="T78" s="198"/>
      <c r="U78" s="198"/>
    </row>
    <row r="79" spans="1:21" s="12" customFormat="1" x14ac:dyDescent="0.25">
      <c r="A79" s="214" t="s">
        <v>1852</v>
      </c>
      <c r="B79" s="64">
        <v>4.71</v>
      </c>
      <c r="C79" s="64">
        <v>21.04</v>
      </c>
      <c r="D79" s="64">
        <v>33.03</v>
      </c>
      <c r="E79" s="64">
        <v>6.04</v>
      </c>
      <c r="F79" s="64">
        <v>26.96</v>
      </c>
      <c r="G79" s="64">
        <v>40.9</v>
      </c>
      <c r="H79" s="64">
        <v>13.83</v>
      </c>
      <c r="I79" s="64">
        <v>4.05</v>
      </c>
      <c r="J79" s="64">
        <v>0.63</v>
      </c>
      <c r="K79" s="64">
        <v>210.99</v>
      </c>
      <c r="L79" s="64">
        <v>35.409999999999997</v>
      </c>
      <c r="M79" s="64">
        <v>49.68</v>
      </c>
      <c r="N79" s="64">
        <v>68.7</v>
      </c>
      <c r="O79" s="64">
        <v>0</v>
      </c>
      <c r="P79" s="64">
        <v>0.51</v>
      </c>
      <c r="Q79" s="64">
        <v>9.25</v>
      </c>
      <c r="R79" s="198"/>
      <c r="S79" s="198"/>
      <c r="T79" s="198"/>
      <c r="U79" s="198"/>
    </row>
    <row r="80" spans="1:21" s="12" customFormat="1" x14ac:dyDescent="0.25">
      <c r="A80" s="214" t="s">
        <v>1853</v>
      </c>
      <c r="B80" s="64">
        <v>4.7699999999999996</v>
      </c>
      <c r="C80" s="64">
        <v>25.56</v>
      </c>
      <c r="D80" s="64">
        <v>41.61</v>
      </c>
      <c r="E80" s="64">
        <v>6.17</v>
      </c>
      <c r="F80" s="64">
        <v>25.92</v>
      </c>
      <c r="G80" s="64">
        <v>40.9</v>
      </c>
      <c r="H80" s="64">
        <v>13.83</v>
      </c>
      <c r="I80" s="64">
        <v>4</v>
      </c>
      <c r="J80" s="64">
        <v>0.61</v>
      </c>
      <c r="K80" s="64">
        <v>188.83</v>
      </c>
      <c r="L80" s="64">
        <v>35.14</v>
      </c>
      <c r="M80" s="64">
        <v>50.08</v>
      </c>
      <c r="N80" s="64">
        <v>54.4</v>
      </c>
      <c r="O80" s="64">
        <v>0</v>
      </c>
      <c r="P80" s="64">
        <v>0.49</v>
      </c>
      <c r="Q80" s="64">
        <v>9.25</v>
      </c>
      <c r="R80" s="198"/>
      <c r="S80" s="198"/>
      <c r="T80" s="198"/>
      <c r="U80" s="198"/>
    </row>
    <row r="81" spans="1:26" s="12" customFormat="1" x14ac:dyDescent="0.25">
      <c r="A81" s="214" t="s">
        <v>1854</v>
      </c>
      <c r="B81" s="64">
        <v>4.97</v>
      </c>
      <c r="C81" s="64">
        <v>22.31</v>
      </c>
      <c r="D81" s="64">
        <v>35.06</v>
      </c>
      <c r="E81" s="64">
        <v>5.8</v>
      </c>
      <c r="F81" s="64">
        <v>17.63</v>
      </c>
      <c r="G81" s="64">
        <v>40.9</v>
      </c>
      <c r="H81" s="64">
        <v>13.83</v>
      </c>
      <c r="I81" s="64">
        <v>4.1500000000000004</v>
      </c>
      <c r="J81" s="64">
        <v>0.83</v>
      </c>
      <c r="K81" s="64">
        <v>184.63</v>
      </c>
      <c r="L81" s="64">
        <v>34.79</v>
      </c>
      <c r="M81" s="64">
        <v>51.79</v>
      </c>
      <c r="N81" s="64">
        <v>42.7</v>
      </c>
      <c r="O81" s="64">
        <v>0</v>
      </c>
      <c r="P81" s="64">
        <v>0.51</v>
      </c>
      <c r="Q81" s="64">
        <v>9.24</v>
      </c>
      <c r="R81" s="198"/>
      <c r="S81" s="198"/>
      <c r="T81" s="198"/>
      <c r="U81" s="198"/>
    </row>
    <row r="82" spans="1:26" s="12" customFormat="1" x14ac:dyDescent="0.25">
      <c r="A82" s="214" t="s">
        <v>1855</v>
      </c>
      <c r="B82" s="64">
        <v>5.19</v>
      </c>
      <c r="C82" s="64">
        <v>24.71</v>
      </c>
      <c r="D82" s="64">
        <v>39.33</v>
      </c>
      <c r="E82" s="64">
        <v>5.18</v>
      </c>
      <c r="F82" s="64">
        <v>17.47</v>
      </c>
      <c r="G82" s="64">
        <v>38.700000000000003</v>
      </c>
      <c r="H82" s="64">
        <v>13.74</v>
      </c>
      <c r="I82" s="64">
        <v>3.93</v>
      </c>
      <c r="J82" s="64">
        <v>1.06</v>
      </c>
      <c r="K82" s="64">
        <v>154.77000000000001</v>
      </c>
      <c r="L82" s="64">
        <v>34.229999999999997</v>
      </c>
      <c r="M82" s="64">
        <v>56</v>
      </c>
      <c r="N82" s="64">
        <v>33.700000000000003</v>
      </c>
      <c r="O82" s="64">
        <v>0</v>
      </c>
      <c r="P82" s="64">
        <v>0.48</v>
      </c>
      <c r="Q82" s="64">
        <v>9.24</v>
      </c>
      <c r="R82" s="198"/>
      <c r="S82" s="198"/>
      <c r="T82" s="198"/>
      <c r="U82" s="198"/>
    </row>
    <row r="83" spans="1:26" s="12" customFormat="1" x14ac:dyDescent="0.25">
      <c r="A83" s="214" t="s">
        <v>1856</v>
      </c>
      <c r="B83" s="64">
        <v>5.09</v>
      </c>
      <c r="C83" s="64">
        <v>25.32</v>
      </c>
      <c r="D83" s="64">
        <v>40.65</v>
      </c>
      <c r="E83" s="64">
        <v>5.41</v>
      </c>
      <c r="F83" s="64">
        <v>20.8</v>
      </c>
      <c r="G83" s="64">
        <v>32.28</v>
      </c>
      <c r="H83" s="64">
        <v>13.48</v>
      </c>
      <c r="I83" s="64">
        <v>3.94</v>
      </c>
      <c r="J83" s="64">
        <v>1.05</v>
      </c>
      <c r="K83" s="64">
        <v>158.34</v>
      </c>
      <c r="L83" s="64">
        <v>33.83</v>
      </c>
      <c r="M83" s="64">
        <v>58</v>
      </c>
      <c r="N83" s="64">
        <v>30</v>
      </c>
      <c r="O83" s="64">
        <v>0</v>
      </c>
      <c r="P83" s="64">
        <v>0.46</v>
      </c>
      <c r="Q83" s="64">
        <v>9.24</v>
      </c>
      <c r="R83" s="198"/>
      <c r="S83" s="198"/>
      <c r="T83" s="198"/>
      <c r="U83" s="198"/>
    </row>
    <row r="84" spans="1:26" s="12" customFormat="1" x14ac:dyDescent="0.25">
      <c r="A84" s="214" t="s">
        <v>1857</v>
      </c>
      <c r="B84" s="64">
        <v>5.18</v>
      </c>
      <c r="C84" s="64">
        <v>26.66</v>
      </c>
      <c r="D84" s="64">
        <v>43.06</v>
      </c>
      <c r="E84" s="64">
        <v>5.18</v>
      </c>
      <c r="F84" s="64">
        <v>22.45</v>
      </c>
      <c r="G84" s="64">
        <v>32.28</v>
      </c>
      <c r="H84" s="64">
        <v>13.48</v>
      </c>
      <c r="I84" s="64">
        <v>4.04</v>
      </c>
      <c r="J84" s="64">
        <v>0.65</v>
      </c>
      <c r="K84" s="64">
        <v>182.14</v>
      </c>
      <c r="L84" s="64">
        <v>33.54</v>
      </c>
      <c r="M84" s="64">
        <v>58.67</v>
      </c>
      <c r="N84" s="64">
        <v>29.4</v>
      </c>
      <c r="O84" s="64">
        <v>0</v>
      </c>
      <c r="P84" s="64">
        <v>0.45</v>
      </c>
      <c r="Q84" s="64">
        <v>9.25</v>
      </c>
      <c r="R84" s="198"/>
      <c r="S84" s="198"/>
      <c r="T84" s="198"/>
      <c r="U84" s="198"/>
    </row>
    <row r="85" spans="1:26" s="12" customFormat="1" x14ac:dyDescent="0.25">
      <c r="A85" s="214" t="s">
        <v>1858</v>
      </c>
      <c r="B85" s="64">
        <v>5.0999999999999996</v>
      </c>
      <c r="C85" s="64">
        <v>28.88</v>
      </c>
      <c r="D85" s="64">
        <v>47.45</v>
      </c>
      <c r="E85" s="64">
        <v>5.14</v>
      </c>
      <c r="F85" s="64">
        <v>22.17</v>
      </c>
      <c r="G85" s="64">
        <v>32.28</v>
      </c>
      <c r="H85" s="64">
        <v>13.48</v>
      </c>
      <c r="I85" s="64">
        <v>4.01</v>
      </c>
      <c r="J85" s="64">
        <v>0.51</v>
      </c>
      <c r="K85" s="64">
        <v>188.12</v>
      </c>
      <c r="L85" s="64">
        <v>33.35</v>
      </c>
      <c r="M85" s="64">
        <v>59.31</v>
      </c>
      <c r="N85" s="64">
        <v>29.2</v>
      </c>
      <c r="O85" s="64">
        <v>0</v>
      </c>
      <c r="P85" s="64">
        <v>0.52</v>
      </c>
      <c r="Q85" s="64">
        <v>9.27</v>
      </c>
      <c r="R85" s="198"/>
      <c r="S85" s="198"/>
      <c r="T85" s="198"/>
      <c r="U85" s="198"/>
    </row>
    <row r="86" spans="1:26" s="12" customFormat="1" x14ac:dyDescent="0.25">
      <c r="A86" s="214" t="s">
        <v>1859</v>
      </c>
      <c r="B86" s="64">
        <v>5.0999999999999996</v>
      </c>
      <c r="C86" s="64">
        <v>26.89</v>
      </c>
      <c r="D86" s="64">
        <v>43.64</v>
      </c>
      <c r="E86" s="64">
        <v>5.58</v>
      </c>
      <c r="F86" s="64">
        <v>23.63</v>
      </c>
      <c r="G86" s="64">
        <v>31.85</v>
      </c>
      <c r="H86" s="64">
        <v>13.42</v>
      </c>
      <c r="I86" s="64">
        <v>3.87</v>
      </c>
      <c r="J86" s="64">
        <v>0.56000000000000005</v>
      </c>
      <c r="K86" s="64">
        <v>167.16</v>
      </c>
      <c r="L86" s="64">
        <v>33.03</v>
      </c>
      <c r="M86" s="64">
        <v>60.91</v>
      </c>
      <c r="N86" s="64">
        <v>29.3</v>
      </c>
      <c r="O86" s="64">
        <v>0</v>
      </c>
      <c r="P86" s="64">
        <v>0.54</v>
      </c>
      <c r="Q86" s="64">
        <v>9.2799999999999994</v>
      </c>
      <c r="R86" s="198"/>
      <c r="S86" s="198"/>
      <c r="T86" s="198"/>
      <c r="U86" s="198"/>
    </row>
    <row r="87" spans="1:26" s="12" customFormat="1" x14ac:dyDescent="0.25">
      <c r="A87" s="214" t="s">
        <v>1860</v>
      </c>
      <c r="B87" s="64">
        <v>5.15</v>
      </c>
      <c r="C87" s="64">
        <v>32.119999999999997</v>
      </c>
      <c r="D87" s="64">
        <v>53.57</v>
      </c>
      <c r="E87" s="64">
        <v>5.37</v>
      </c>
      <c r="F87" s="64">
        <v>20.58</v>
      </c>
      <c r="G87" s="64">
        <v>30.6</v>
      </c>
      <c r="H87" s="64">
        <v>13.27</v>
      </c>
      <c r="I87" s="64">
        <v>4.07</v>
      </c>
      <c r="J87" s="64">
        <v>0.56000000000000005</v>
      </c>
      <c r="K87" s="64">
        <v>168.07</v>
      </c>
      <c r="L87" s="64">
        <v>32.880000000000003</v>
      </c>
      <c r="M87" s="64">
        <v>61.56</v>
      </c>
      <c r="N87" s="64">
        <v>29.1</v>
      </c>
      <c r="O87" s="64">
        <v>0</v>
      </c>
      <c r="P87" s="64">
        <v>0.6</v>
      </c>
      <c r="Q87" s="64">
        <v>9.2799999999999994</v>
      </c>
      <c r="R87" s="198"/>
      <c r="S87" s="198"/>
      <c r="T87" s="198"/>
      <c r="U87" s="198"/>
    </row>
    <row r="88" spans="1:26" s="12" customFormat="1" x14ac:dyDescent="0.25">
      <c r="A88" s="214" t="s">
        <v>1861</v>
      </c>
      <c r="B88" s="64">
        <v>5.64</v>
      </c>
      <c r="C88" s="64">
        <v>28.85</v>
      </c>
      <c r="D88" s="64">
        <v>46.55</v>
      </c>
      <c r="E88" s="64">
        <v>5.52</v>
      </c>
      <c r="F88" s="64">
        <v>22.08</v>
      </c>
      <c r="G88" s="64">
        <v>30.6</v>
      </c>
      <c r="H88" s="64">
        <v>13.27</v>
      </c>
      <c r="I88" s="64">
        <v>4.0599999999999996</v>
      </c>
      <c r="J88" s="64">
        <v>0.76</v>
      </c>
      <c r="K88" s="64">
        <v>157.72</v>
      </c>
      <c r="L88" s="64">
        <v>32.68</v>
      </c>
      <c r="M88" s="64">
        <v>62.43</v>
      </c>
      <c r="N88" s="64">
        <v>28.9</v>
      </c>
      <c r="O88" s="64">
        <v>0</v>
      </c>
      <c r="P88" s="64">
        <v>0.61</v>
      </c>
      <c r="Q88" s="64">
        <v>9.2899999999999991</v>
      </c>
      <c r="R88" s="198"/>
      <c r="S88" s="198"/>
      <c r="T88" s="198"/>
      <c r="U88" s="198"/>
    </row>
    <row r="89" spans="1:26" s="12" customFormat="1" x14ac:dyDescent="0.25">
      <c r="A89" s="214" t="s">
        <v>1862</v>
      </c>
      <c r="B89" s="64">
        <v>5.04</v>
      </c>
      <c r="C89" s="64">
        <v>26.02</v>
      </c>
      <c r="D89" s="64">
        <v>42.06</v>
      </c>
      <c r="E89" s="64">
        <v>5.36</v>
      </c>
      <c r="F89" s="64">
        <v>23.02</v>
      </c>
      <c r="G89" s="64">
        <v>30.6</v>
      </c>
      <c r="H89" s="64">
        <v>13.27</v>
      </c>
      <c r="I89" s="64">
        <v>4.13</v>
      </c>
      <c r="J89" s="64">
        <v>0.68</v>
      </c>
      <c r="K89" s="64">
        <v>159.86000000000001</v>
      </c>
      <c r="L89" s="64">
        <v>32.67</v>
      </c>
      <c r="M89" s="64">
        <v>62.48</v>
      </c>
      <c r="N89" s="64">
        <v>28.9</v>
      </c>
      <c r="O89" s="64">
        <v>0</v>
      </c>
      <c r="P89" s="64">
        <v>0.64</v>
      </c>
      <c r="Q89" s="64">
        <v>9.2899999999999991</v>
      </c>
      <c r="R89" s="198"/>
      <c r="S89" s="198"/>
      <c r="T89" s="198"/>
      <c r="U89" s="198"/>
    </row>
    <row r="90" spans="1:26" s="12" customFormat="1" x14ac:dyDescent="0.25">
      <c r="A90" s="214" t="s">
        <v>1863</v>
      </c>
      <c r="B90" s="64">
        <v>5.83</v>
      </c>
      <c r="C90" s="64">
        <v>34.1</v>
      </c>
      <c r="D90" s="64">
        <v>56.32</v>
      </c>
      <c r="E90" s="64">
        <v>5.31</v>
      </c>
      <c r="F90" s="64">
        <v>17.54</v>
      </c>
      <c r="G90" s="64">
        <v>32.06</v>
      </c>
      <c r="H90" s="64">
        <v>13.24</v>
      </c>
      <c r="I90" s="64">
        <v>3.87</v>
      </c>
      <c r="J90" s="64">
        <v>0.42</v>
      </c>
      <c r="K90" s="64">
        <v>159.29</v>
      </c>
      <c r="L90" s="64">
        <v>32.549999999999997</v>
      </c>
      <c r="M90" s="64">
        <v>63.31</v>
      </c>
      <c r="N90" s="64">
        <v>29.1</v>
      </c>
      <c r="O90" s="64">
        <v>0</v>
      </c>
      <c r="P90" s="64">
        <v>0.68</v>
      </c>
      <c r="Q90" s="64">
        <v>9.2899999999999991</v>
      </c>
      <c r="R90" s="198"/>
      <c r="S90" s="198"/>
      <c r="T90" s="198"/>
      <c r="U90" s="198"/>
    </row>
    <row r="91" spans="1:26" s="12" customFormat="1" x14ac:dyDescent="0.25">
      <c r="A91" s="214" t="s">
        <v>1864</v>
      </c>
      <c r="B91" s="64">
        <v>6.35</v>
      </c>
      <c r="C91" s="64">
        <v>43.15</v>
      </c>
      <c r="D91" s="64">
        <v>72.849999999999994</v>
      </c>
      <c r="E91" s="64">
        <v>4.97</v>
      </c>
      <c r="F91" s="64">
        <v>15.43</v>
      </c>
      <c r="G91" s="64">
        <v>36.32</v>
      </c>
      <c r="H91" s="64">
        <v>13.15</v>
      </c>
      <c r="I91" s="64">
        <v>4.22</v>
      </c>
      <c r="J91" s="64">
        <v>0.4</v>
      </c>
      <c r="K91" s="64">
        <v>192.74</v>
      </c>
      <c r="L91" s="64">
        <v>32.42</v>
      </c>
      <c r="M91" s="64">
        <v>63.9</v>
      </c>
      <c r="N91" s="64">
        <v>29</v>
      </c>
      <c r="O91" s="64">
        <v>0</v>
      </c>
      <c r="P91" s="64">
        <v>0.73</v>
      </c>
      <c r="Q91" s="64">
        <v>9.2899999999999991</v>
      </c>
      <c r="R91" s="198"/>
      <c r="S91" s="198"/>
      <c r="T91" s="198"/>
      <c r="U91" s="198"/>
    </row>
    <row r="92" spans="1:26" s="12" customFormat="1" x14ac:dyDescent="0.25">
      <c r="A92" s="214" t="s">
        <v>1865</v>
      </c>
      <c r="B92" s="64">
        <v>6.89</v>
      </c>
      <c r="C92" s="64">
        <v>41.34</v>
      </c>
      <c r="D92" s="64">
        <v>68.55</v>
      </c>
      <c r="E92" s="64">
        <v>5.1100000000000003</v>
      </c>
      <c r="F92" s="64">
        <v>16.61</v>
      </c>
      <c r="G92" s="64">
        <v>36.32</v>
      </c>
      <c r="H92" s="64">
        <v>13.15</v>
      </c>
      <c r="I92" s="64">
        <v>3.98</v>
      </c>
      <c r="J92" s="64">
        <v>0.35</v>
      </c>
      <c r="K92" s="64">
        <v>171.82</v>
      </c>
      <c r="L92" s="64">
        <v>32.25</v>
      </c>
      <c r="M92" s="64">
        <v>64.81</v>
      </c>
      <c r="N92" s="64">
        <v>29.1</v>
      </c>
      <c r="O92" s="64">
        <v>0</v>
      </c>
      <c r="P92" s="64">
        <v>0.72</v>
      </c>
      <c r="Q92" s="64">
        <v>9.32</v>
      </c>
      <c r="R92" s="198"/>
      <c r="S92" s="198"/>
      <c r="T92" s="198"/>
      <c r="U92" s="198"/>
    </row>
    <row r="93" spans="1:26" s="12" customFormat="1" x14ac:dyDescent="0.25">
      <c r="A93" s="214" t="s">
        <v>1866</v>
      </c>
      <c r="B93" s="64">
        <v>17.55</v>
      </c>
      <c r="C93" s="64">
        <v>61.83</v>
      </c>
      <c r="D93" s="64">
        <v>91.4</v>
      </c>
      <c r="E93" s="64">
        <v>5.15</v>
      </c>
      <c r="F93" s="64">
        <v>12.33</v>
      </c>
      <c r="G93" s="64">
        <v>36.32</v>
      </c>
      <c r="H93" s="64">
        <v>13.15</v>
      </c>
      <c r="I93" s="64">
        <v>3.97</v>
      </c>
      <c r="J93" s="64">
        <v>0.77</v>
      </c>
      <c r="K93" s="64">
        <v>153.30000000000001</v>
      </c>
      <c r="L93" s="64">
        <v>32.32</v>
      </c>
      <c r="M93" s="64">
        <v>64.27</v>
      </c>
      <c r="N93" s="64">
        <v>28.9</v>
      </c>
      <c r="O93" s="64">
        <v>0</v>
      </c>
      <c r="P93" s="64">
        <v>0.66</v>
      </c>
      <c r="Q93" s="64">
        <v>9.33</v>
      </c>
      <c r="R93" s="198"/>
      <c r="S93" s="198"/>
      <c r="T93" s="198"/>
      <c r="U93" s="198"/>
    </row>
    <row r="94" spans="1:26" s="12" customFormat="1" x14ac:dyDescent="0.25">
      <c r="A94" s="214" t="s">
        <v>1867</v>
      </c>
      <c r="B94" s="64">
        <v>7.81</v>
      </c>
      <c r="C94" s="64">
        <v>43.72</v>
      </c>
      <c r="D94" s="64">
        <v>71.69</v>
      </c>
      <c r="E94" s="64">
        <v>4.97</v>
      </c>
      <c r="F94" s="64">
        <v>13.32</v>
      </c>
      <c r="G94" s="64">
        <v>36.08</v>
      </c>
      <c r="H94" s="64">
        <v>13.57</v>
      </c>
      <c r="I94" s="64">
        <v>4.01</v>
      </c>
      <c r="J94" s="64">
        <v>0.73</v>
      </c>
      <c r="K94" s="64">
        <v>153.1</v>
      </c>
      <c r="L94" s="64">
        <v>32.43</v>
      </c>
      <c r="M94" s="64">
        <v>62.84</v>
      </c>
      <c r="N94" s="64">
        <v>29.1</v>
      </c>
      <c r="O94" s="64">
        <v>0</v>
      </c>
      <c r="P94" s="64">
        <v>0.67</v>
      </c>
      <c r="Q94" s="64">
        <v>9.34</v>
      </c>
      <c r="R94" s="198"/>
      <c r="S94" s="198"/>
      <c r="T94" s="198"/>
      <c r="U94" s="198"/>
    </row>
    <row r="95" spans="1:26" s="12" customFormat="1" x14ac:dyDescent="0.25">
      <c r="A95" s="214" t="s">
        <v>1868</v>
      </c>
      <c r="B95" s="64">
        <v>6.57</v>
      </c>
      <c r="C95" s="64">
        <v>27.78</v>
      </c>
      <c r="D95" s="64">
        <v>43.08</v>
      </c>
      <c r="E95" s="64">
        <v>4.7300000000000004</v>
      </c>
      <c r="F95" s="64">
        <v>14.42</v>
      </c>
      <c r="G95" s="64">
        <v>35.369999999999997</v>
      </c>
      <c r="H95" s="64">
        <v>14.87</v>
      </c>
      <c r="I95" s="64">
        <v>4.0999999999999996</v>
      </c>
      <c r="J95" s="64">
        <v>1.01</v>
      </c>
      <c r="K95" s="64">
        <v>147.63999999999999</v>
      </c>
      <c r="L95" s="64">
        <v>32.42</v>
      </c>
      <c r="M95" s="64">
        <v>61.09</v>
      </c>
      <c r="N95" s="64">
        <v>29.2</v>
      </c>
      <c r="O95" s="64">
        <v>0</v>
      </c>
      <c r="P95" s="64">
        <v>0.61</v>
      </c>
      <c r="Q95" s="64">
        <v>9.35</v>
      </c>
      <c r="R95" s="198"/>
      <c r="S95" s="198"/>
      <c r="T95" s="198"/>
      <c r="U95" s="198"/>
    </row>
    <row r="96" spans="1:26" s="12" customFormat="1" x14ac:dyDescent="0.25">
      <c r="A96" s="214" t="s">
        <v>1869</v>
      </c>
      <c r="B96" s="64">
        <v>6.61</v>
      </c>
      <c r="C96" s="64">
        <v>35.94</v>
      </c>
      <c r="D96" s="64">
        <v>58.65</v>
      </c>
      <c r="E96" s="64">
        <v>4.6500000000000004</v>
      </c>
      <c r="F96" s="64">
        <v>15.73</v>
      </c>
      <c r="G96" s="64">
        <v>35.369999999999997</v>
      </c>
      <c r="H96" s="64">
        <v>14.87</v>
      </c>
      <c r="I96" s="64">
        <v>3.96</v>
      </c>
      <c r="J96" s="64">
        <v>0.98</v>
      </c>
      <c r="K96" s="64">
        <v>145.03</v>
      </c>
      <c r="L96" s="64">
        <v>32.450000000000003</v>
      </c>
      <c r="M96" s="64">
        <v>59.08</v>
      </c>
      <c r="N96" s="64">
        <v>29.2</v>
      </c>
      <c r="O96" s="64">
        <v>0</v>
      </c>
      <c r="P96" s="64">
        <v>0.55000000000000004</v>
      </c>
      <c r="Q96" s="64">
        <v>9.3699999999999992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1870</v>
      </c>
      <c r="B97" s="64">
        <v>4.97</v>
      </c>
      <c r="C97" s="64">
        <v>36.14</v>
      </c>
      <c r="D97" s="64">
        <v>61.53</v>
      </c>
      <c r="E97" s="64">
        <v>4.97</v>
      </c>
      <c r="F97" s="64">
        <v>19.12</v>
      </c>
      <c r="G97" s="64">
        <v>35.369999999999997</v>
      </c>
      <c r="H97" s="64">
        <v>14.87</v>
      </c>
      <c r="I97" s="64">
        <v>4.0199999999999996</v>
      </c>
      <c r="J97" s="64">
        <v>0.3</v>
      </c>
      <c r="K97" s="64">
        <v>153.85</v>
      </c>
      <c r="L97" s="64">
        <v>32.36</v>
      </c>
      <c r="M97" s="64">
        <v>59.28</v>
      </c>
      <c r="N97" s="64">
        <v>29.4</v>
      </c>
      <c r="O97" s="64">
        <v>0</v>
      </c>
      <c r="P97" s="64">
        <v>0.59</v>
      </c>
      <c r="Q97" s="64">
        <v>9.39</v>
      </c>
      <c r="R97" s="198"/>
      <c r="S97" s="198"/>
      <c r="T97" s="198"/>
      <c r="U97" s="198"/>
    </row>
    <row r="98" spans="1:33" s="12" customFormat="1" x14ac:dyDescent="0.25">
      <c r="A98" s="214" t="s">
        <v>1871</v>
      </c>
      <c r="B98" s="64">
        <v>6.06</v>
      </c>
      <c r="C98" s="64">
        <v>43.13</v>
      </c>
      <c r="D98" s="64">
        <v>73.25</v>
      </c>
      <c r="E98" s="64">
        <v>4.93</v>
      </c>
      <c r="F98" s="64">
        <v>14.54</v>
      </c>
      <c r="G98" s="64">
        <v>35.659999999999997</v>
      </c>
      <c r="H98" s="64">
        <v>15.1</v>
      </c>
      <c r="I98" s="64">
        <v>4.0999999999999996</v>
      </c>
      <c r="J98" s="64">
        <v>0.4</v>
      </c>
      <c r="K98" s="64">
        <v>150.93</v>
      </c>
      <c r="L98" s="64">
        <v>32.18</v>
      </c>
      <c r="M98" s="64">
        <v>60.25</v>
      </c>
      <c r="N98" s="64">
        <v>29.3</v>
      </c>
      <c r="O98" s="64">
        <v>0</v>
      </c>
      <c r="P98" s="64">
        <v>0.61</v>
      </c>
      <c r="Q98" s="64">
        <v>9.39</v>
      </c>
      <c r="R98" s="198"/>
      <c r="S98" s="198"/>
      <c r="T98" s="198"/>
      <c r="U98" s="198"/>
    </row>
    <row r="99" spans="1:33" s="12" customFormat="1" x14ac:dyDescent="0.25">
      <c r="A99" s="214" t="s">
        <v>1872</v>
      </c>
      <c r="B99" s="64">
        <v>12.07</v>
      </c>
      <c r="C99" s="64">
        <v>57.52</v>
      </c>
      <c r="D99" s="64">
        <v>91.55</v>
      </c>
      <c r="E99" s="64">
        <v>4.91</v>
      </c>
      <c r="F99" s="64">
        <v>11.08</v>
      </c>
      <c r="G99" s="64">
        <v>36.479999999999997</v>
      </c>
      <c r="H99" s="64">
        <v>15.77</v>
      </c>
      <c r="I99" s="64">
        <v>3.99</v>
      </c>
      <c r="J99" s="64">
        <v>0.24</v>
      </c>
      <c r="K99" s="64">
        <v>163.04</v>
      </c>
      <c r="L99" s="64">
        <v>32.130000000000003</v>
      </c>
      <c r="M99" s="64">
        <v>59.38</v>
      </c>
      <c r="N99" s="64">
        <v>29.2</v>
      </c>
      <c r="O99" s="64">
        <v>0</v>
      </c>
      <c r="P99" s="64">
        <v>0.55000000000000004</v>
      </c>
      <c r="Q99" s="64">
        <v>9.3800000000000008</v>
      </c>
      <c r="R99" s="198"/>
      <c r="S99" s="198"/>
      <c r="T99" s="198"/>
      <c r="U99" s="198"/>
    </row>
    <row r="100" spans="1:33" s="12" customFormat="1" x14ac:dyDescent="0.25">
      <c r="A100" s="214" t="s">
        <v>1873</v>
      </c>
      <c r="B100" s="64">
        <v>5.15</v>
      </c>
      <c r="C100" s="64">
        <v>30.87</v>
      </c>
      <c r="D100" s="64">
        <v>51.18</v>
      </c>
      <c r="E100" s="64">
        <v>5.03</v>
      </c>
      <c r="F100" s="64">
        <v>18.059999999999999</v>
      </c>
      <c r="G100" s="64">
        <v>36.479999999999997</v>
      </c>
      <c r="H100" s="64">
        <v>15.77</v>
      </c>
      <c r="I100" s="64">
        <v>4.2</v>
      </c>
      <c r="J100" s="64">
        <v>0.51</v>
      </c>
      <c r="K100" s="64">
        <v>175.63</v>
      </c>
      <c r="L100" s="64">
        <v>32.200000000000003</v>
      </c>
      <c r="M100" s="64">
        <v>59.11</v>
      </c>
      <c r="N100" s="64">
        <v>28.9</v>
      </c>
      <c r="O100" s="64">
        <v>0</v>
      </c>
      <c r="P100" s="64">
        <v>0.56999999999999995</v>
      </c>
      <c r="Q100" s="64">
        <v>9.41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1874</v>
      </c>
      <c r="B101" s="64">
        <v>4.9000000000000004</v>
      </c>
      <c r="C101" s="64">
        <v>33.44</v>
      </c>
      <c r="D101" s="64">
        <v>56.49</v>
      </c>
      <c r="E101" s="64">
        <v>5.13</v>
      </c>
      <c r="F101" s="64">
        <v>18.239999999999998</v>
      </c>
      <c r="G101" s="64">
        <v>36.479999999999997</v>
      </c>
      <c r="H101" s="64">
        <v>15.77</v>
      </c>
      <c r="I101" s="64">
        <v>4.04</v>
      </c>
      <c r="J101" s="64">
        <v>0.28999999999999998</v>
      </c>
      <c r="K101" s="64">
        <v>184.33</v>
      </c>
      <c r="L101" s="64">
        <v>32.229999999999997</v>
      </c>
      <c r="M101" s="64">
        <v>58.36</v>
      </c>
      <c r="N101" s="64">
        <v>29.2</v>
      </c>
      <c r="O101" s="64">
        <v>0</v>
      </c>
      <c r="P101" s="64">
        <v>0.56999999999999995</v>
      </c>
      <c r="Q101" s="64">
        <v>9.41</v>
      </c>
      <c r="R101" s="198"/>
      <c r="S101" s="198"/>
      <c r="T101" s="198"/>
      <c r="U101" s="198"/>
    </row>
    <row r="102" spans="1:33" s="12" customFormat="1" x14ac:dyDescent="0.25">
      <c r="A102" s="214" t="s">
        <v>1875</v>
      </c>
      <c r="B102" s="64">
        <v>4.47</v>
      </c>
      <c r="C102" s="64">
        <v>33.22</v>
      </c>
      <c r="D102" s="64">
        <v>56.73</v>
      </c>
      <c r="E102" s="64">
        <v>5.32</v>
      </c>
      <c r="F102" s="64">
        <v>19.54</v>
      </c>
      <c r="G102" s="64">
        <v>37.090000000000003</v>
      </c>
      <c r="H102" s="64">
        <v>15.26</v>
      </c>
      <c r="I102" s="64">
        <v>4.0599999999999996</v>
      </c>
      <c r="J102" s="64">
        <v>0.36</v>
      </c>
      <c r="K102" s="64">
        <v>217.38</v>
      </c>
      <c r="L102" s="64">
        <v>32.19</v>
      </c>
      <c r="M102" s="64">
        <v>57.83</v>
      </c>
      <c r="N102" s="64">
        <v>29.3</v>
      </c>
      <c r="O102" s="64">
        <v>0</v>
      </c>
      <c r="P102" s="64">
        <v>0.53</v>
      </c>
      <c r="Q102" s="64">
        <v>9.41</v>
      </c>
      <c r="R102" s="198"/>
      <c r="S102" s="198"/>
      <c r="T102" s="198"/>
      <c r="U102" s="198"/>
    </row>
    <row r="103" spans="1:33" s="12" customFormat="1" x14ac:dyDescent="0.25">
      <c r="A103" s="214" t="s">
        <v>1876</v>
      </c>
      <c r="B103" s="64">
        <v>14.19</v>
      </c>
      <c r="C103" s="64">
        <v>54.92</v>
      </c>
      <c r="D103" s="64">
        <v>83.33</v>
      </c>
      <c r="E103" s="64">
        <v>5.18</v>
      </c>
      <c r="F103" s="64">
        <v>11.54</v>
      </c>
      <c r="G103" s="64">
        <v>38.880000000000003</v>
      </c>
      <c r="H103" s="64">
        <v>13.76</v>
      </c>
      <c r="I103" s="64">
        <v>3.95</v>
      </c>
      <c r="J103" s="64">
        <v>0.3</v>
      </c>
      <c r="K103" s="64">
        <v>248.12</v>
      </c>
      <c r="L103" s="64">
        <v>32.06</v>
      </c>
      <c r="M103" s="64">
        <v>63.06</v>
      </c>
      <c r="N103" s="64">
        <v>29.7</v>
      </c>
      <c r="O103" s="64">
        <v>0</v>
      </c>
      <c r="P103" s="64">
        <v>0.83</v>
      </c>
      <c r="Q103" s="64">
        <v>9.39</v>
      </c>
      <c r="R103" s="198"/>
      <c r="S103" s="198"/>
      <c r="T103" s="198"/>
      <c r="U103" s="198"/>
    </row>
    <row r="104" spans="1:33" s="12" customFormat="1" x14ac:dyDescent="0.25">
      <c r="A104" s="214" t="s">
        <v>1877</v>
      </c>
      <c r="B104" s="64">
        <v>10.06</v>
      </c>
      <c r="C104" s="64">
        <v>51.16</v>
      </c>
      <c r="D104" s="64">
        <v>82.49</v>
      </c>
      <c r="E104" s="64">
        <v>5.29</v>
      </c>
      <c r="F104" s="64">
        <v>11.08</v>
      </c>
      <c r="G104" s="64">
        <v>38.880000000000003</v>
      </c>
      <c r="H104" s="64">
        <v>13.76</v>
      </c>
      <c r="I104" s="64">
        <v>4.0199999999999996</v>
      </c>
      <c r="J104" s="64">
        <v>0.24</v>
      </c>
      <c r="K104" s="64">
        <v>219.22</v>
      </c>
      <c r="L104" s="64">
        <v>31.72</v>
      </c>
      <c r="M104" s="64">
        <v>62.64</v>
      </c>
      <c r="N104" s="64">
        <v>29.3</v>
      </c>
      <c r="O104" s="64">
        <v>0</v>
      </c>
      <c r="P104" s="64">
        <v>0.8</v>
      </c>
      <c r="Q104" s="64">
        <v>9.39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4.47</v>
      </c>
      <c r="C106" s="67">
        <f>MIN(C9:C104)</f>
        <v>13.4</v>
      </c>
      <c r="D106" s="67">
        <f t="shared" ref="D106:Q106" si="0">MIN(D9:D104)</f>
        <v>18.22</v>
      </c>
      <c r="E106" s="67">
        <f t="shared" si="0"/>
        <v>3.57</v>
      </c>
      <c r="F106" s="67">
        <f t="shared" si="0"/>
        <v>3.29</v>
      </c>
      <c r="G106" s="67">
        <f t="shared" si="0"/>
        <v>8.2899999999999991</v>
      </c>
      <c r="H106" s="67">
        <f t="shared" si="0"/>
        <v>6.53</v>
      </c>
      <c r="I106" s="67">
        <f t="shared" si="0"/>
        <v>3.77</v>
      </c>
      <c r="J106" s="67">
        <f t="shared" si="0"/>
        <v>0.24</v>
      </c>
      <c r="K106" s="67">
        <f t="shared" si="0"/>
        <v>145.03</v>
      </c>
      <c r="L106" s="67">
        <f t="shared" si="0"/>
        <v>25.94</v>
      </c>
      <c r="M106" s="67">
        <f t="shared" si="0"/>
        <v>39.35</v>
      </c>
      <c r="N106" s="67">
        <f t="shared" si="0"/>
        <v>28.8</v>
      </c>
      <c r="O106" s="67">
        <f t="shared" si="0"/>
        <v>0</v>
      </c>
      <c r="P106" s="67">
        <f t="shared" si="0"/>
        <v>0.24</v>
      </c>
      <c r="Q106" s="67">
        <f t="shared" si="0"/>
        <v>9.24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17.55</v>
      </c>
      <c r="C107" s="66">
        <f t="shared" ref="C107:Q107" si="1">MAX(C9:C104)</f>
        <v>61.83</v>
      </c>
      <c r="D107" s="66">
        <f t="shared" si="1"/>
        <v>91.55</v>
      </c>
      <c r="E107" s="66">
        <f t="shared" si="1"/>
        <v>9.0399999999999991</v>
      </c>
      <c r="F107" s="66">
        <f t="shared" si="1"/>
        <v>33.06</v>
      </c>
      <c r="G107" s="66">
        <f t="shared" si="1"/>
        <v>51.96</v>
      </c>
      <c r="H107" s="66">
        <f t="shared" si="1"/>
        <v>22.5</v>
      </c>
      <c r="I107" s="66">
        <f t="shared" si="1"/>
        <v>4.22</v>
      </c>
      <c r="J107" s="66">
        <f t="shared" si="1"/>
        <v>1.31</v>
      </c>
      <c r="K107" s="66">
        <f t="shared" si="1"/>
        <v>252.21</v>
      </c>
      <c r="L107" s="66">
        <f t="shared" si="1"/>
        <v>39.44</v>
      </c>
      <c r="M107" s="66">
        <f t="shared" si="1"/>
        <v>86.93</v>
      </c>
      <c r="N107" s="66">
        <f t="shared" si="1"/>
        <v>725</v>
      </c>
      <c r="O107" s="66">
        <f t="shared" si="1"/>
        <v>0</v>
      </c>
      <c r="P107" s="66">
        <f t="shared" si="1"/>
        <v>0.92</v>
      </c>
      <c r="Q107" s="66">
        <f t="shared" si="1"/>
        <v>9.41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6.0336458333333347</v>
      </c>
      <c r="C108" s="67">
        <f t="shared" ref="C108:Q108" si="2">AVERAGE(C9:C104)</f>
        <v>23.614062499999992</v>
      </c>
      <c r="D108" s="67">
        <f t="shared" si="2"/>
        <v>35.935520833333335</v>
      </c>
      <c r="E108" s="67">
        <f t="shared" si="2"/>
        <v>5.2715625000000008</v>
      </c>
      <c r="F108" s="67">
        <f t="shared" si="2"/>
        <v>13.076145833333333</v>
      </c>
      <c r="G108" s="67">
        <f t="shared" si="2"/>
        <v>28.84802083333334</v>
      </c>
      <c r="H108" s="67">
        <f t="shared" si="2"/>
        <v>13.891354166666668</v>
      </c>
      <c r="I108" s="67">
        <f t="shared" si="2"/>
        <v>4.0004166666666681</v>
      </c>
      <c r="J108" s="67">
        <f t="shared" si="2"/>
        <v>0.68395833333333311</v>
      </c>
      <c r="K108" s="67">
        <f t="shared" si="2"/>
        <v>201.19364583333331</v>
      </c>
      <c r="L108" s="67">
        <f t="shared" si="2"/>
        <v>31.620520833333327</v>
      </c>
      <c r="M108" s="67">
        <f t="shared" si="2"/>
        <v>65.554270833333348</v>
      </c>
      <c r="N108" s="67">
        <f t="shared" si="2"/>
        <v>166.71250000000001</v>
      </c>
      <c r="O108" s="67">
        <f t="shared" si="2"/>
        <v>0</v>
      </c>
      <c r="P108" s="67">
        <f t="shared" si="2"/>
        <v>0.52333333333333332</v>
      </c>
      <c r="Q108" s="67">
        <f t="shared" si="2"/>
        <v>9.2976041666666607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1.8788362130188117</v>
      </c>
      <c r="C109" s="67">
        <f t="shared" ref="C109:Q109" si="3">STDEV(C9:C104)</f>
        <v>9.8463542361333598</v>
      </c>
      <c r="D109" s="67">
        <f t="shared" si="3"/>
        <v>16.852476867451337</v>
      </c>
      <c r="E109" s="67">
        <f t="shared" si="3"/>
        <v>1.1839490815197922</v>
      </c>
      <c r="F109" s="67">
        <f t="shared" si="3"/>
        <v>8.498926046060383</v>
      </c>
      <c r="G109" s="67">
        <f t="shared" si="3"/>
        <v>10.854668519731259</v>
      </c>
      <c r="H109" s="67">
        <f t="shared" si="3"/>
        <v>3.6042847658371109</v>
      </c>
      <c r="I109" s="67">
        <f t="shared" si="3"/>
        <v>9.3301059582934193E-2</v>
      </c>
      <c r="J109" s="67">
        <f t="shared" si="3"/>
        <v>0.22409809490567131</v>
      </c>
      <c r="K109" s="67">
        <f t="shared" si="3"/>
        <v>34.540611615582549</v>
      </c>
      <c r="L109" s="67">
        <f t="shared" si="3"/>
        <v>4.1790478315651063</v>
      </c>
      <c r="M109" s="67">
        <f t="shared" si="3"/>
        <v>15.496638124023061</v>
      </c>
      <c r="N109" s="67">
        <f t="shared" si="3"/>
        <v>196.65689772050362</v>
      </c>
      <c r="O109" s="67">
        <f t="shared" si="3"/>
        <v>0</v>
      </c>
      <c r="P109" s="67">
        <f t="shared" si="3"/>
        <v>0.19848195817075703</v>
      </c>
      <c r="Q109" s="67">
        <f t="shared" si="3"/>
        <v>3.9966954551733949E-2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1878</v>
      </c>
      <c r="B9" s="64">
        <v>14.89</v>
      </c>
      <c r="C9" s="64">
        <v>51.77</v>
      </c>
      <c r="D9" s="64">
        <v>76.23</v>
      </c>
      <c r="E9" s="64">
        <v>5.91</v>
      </c>
      <c r="F9" s="64">
        <v>12.31</v>
      </c>
      <c r="G9" s="64">
        <v>38.880000000000003</v>
      </c>
      <c r="H9" s="64">
        <v>13.76</v>
      </c>
      <c r="I9" s="64">
        <v>3.79</v>
      </c>
      <c r="J9" s="64">
        <v>0.4</v>
      </c>
      <c r="K9" s="64">
        <v>236.62</v>
      </c>
      <c r="L9" s="64">
        <v>31.85</v>
      </c>
      <c r="M9" s="64">
        <v>62.72</v>
      </c>
      <c r="N9" s="64">
        <v>29.6</v>
      </c>
      <c r="O9" s="64">
        <v>0</v>
      </c>
      <c r="P9" s="64">
        <v>0.84</v>
      </c>
      <c r="Q9" s="64">
        <v>9.41</v>
      </c>
      <c r="R9" s="198"/>
      <c r="S9" s="198"/>
      <c r="T9" s="198"/>
      <c r="U9" s="198"/>
    </row>
    <row r="10" spans="1:21" s="12" customFormat="1" x14ac:dyDescent="0.25">
      <c r="A10" s="214" t="s">
        <v>1879</v>
      </c>
      <c r="B10" s="64">
        <v>11.83</v>
      </c>
      <c r="C10" s="64">
        <v>47.11</v>
      </c>
      <c r="D10" s="64">
        <v>72.010000000000005</v>
      </c>
      <c r="E10" s="64">
        <v>5.69</v>
      </c>
      <c r="F10" s="64">
        <v>11.24</v>
      </c>
      <c r="G10" s="64">
        <v>40.01</v>
      </c>
      <c r="H10" s="64">
        <v>14.58</v>
      </c>
      <c r="I10" s="64">
        <v>3.96</v>
      </c>
      <c r="J10" s="64">
        <v>0.18</v>
      </c>
      <c r="K10" s="64">
        <v>267.77999999999997</v>
      </c>
      <c r="L10" s="64">
        <v>31.43</v>
      </c>
      <c r="M10" s="64">
        <v>66.44</v>
      </c>
      <c r="N10" s="64">
        <v>29.6</v>
      </c>
      <c r="O10" s="64">
        <v>0</v>
      </c>
      <c r="P10" s="64">
        <v>0.91</v>
      </c>
      <c r="Q10" s="64">
        <v>9.42</v>
      </c>
      <c r="R10" s="198"/>
      <c r="S10" s="198"/>
      <c r="T10" s="198"/>
      <c r="U10" s="198"/>
    </row>
    <row r="11" spans="1:21" s="12" customFormat="1" x14ac:dyDescent="0.25">
      <c r="A11" s="214" t="s">
        <v>1880</v>
      </c>
      <c r="B11" s="64">
        <v>5.87</v>
      </c>
      <c r="C11" s="64">
        <v>38.4</v>
      </c>
      <c r="D11" s="64">
        <v>64.489999999999995</v>
      </c>
      <c r="E11" s="64">
        <v>5.51</v>
      </c>
      <c r="F11" s="64">
        <v>14.44</v>
      </c>
      <c r="G11" s="64">
        <v>43.3</v>
      </c>
      <c r="H11" s="64">
        <v>16.98</v>
      </c>
      <c r="I11" s="64">
        <v>4.09</v>
      </c>
      <c r="J11" s="64">
        <v>0.05</v>
      </c>
      <c r="K11" s="64">
        <v>182.43</v>
      </c>
      <c r="L11" s="64">
        <v>31.19</v>
      </c>
      <c r="M11" s="64">
        <v>64.77</v>
      </c>
      <c r="N11" s="64">
        <v>29.3</v>
      </c>
      <c r="O11" s="64">
        <v>0</v>
      </c>
      <c r="P11" s="64">
        <v>0.71</v>
      </c>
      <c r="Q11" s="64">
        <v>9.44</v>
      </c>
      <c r="R11" s="198"/>
      <c r="S11" s="198"/>
      <c r="T11" s="198"/>
      <c r="U11" s="198"/>
    </row>
    <row r="12" spans="1:21" s="12" customFormat="1" x14ac:dyDescent="0.25">
      <c r="A12" s="214" t="s">
        <v>1881</v>
      </c>
      <c r="B12" s="64">
        <v>6.11</v>
      </c>
      <c r="C12" s="64">
        <v>39.69</v>
      </c>
      <c r="D12" s="64">
        <v>66.599999999999994</v>
      </c>
      <c r="E12" s="64">
        <v>5.77</v>
      </c>
      <c r="F12" s="64">
        <v>13.67</v>
      </c>
      <c r="G12" s="64">
        <v>43.3</v>
      </c>
      <c r="H12" s="64">
        <v>16.98</v>
      </c>
      <c r="I12" s="64">
        <v>3.92</v>
      </c>
      <c r="J12" s="64">
        <v>0.32</v>
      </c>
      <c r="K12" s="64">
        <v>221.56</v>
      </c>
      <c r="L12" s="64">
        <v>31.4</v>
      </c>
      <c r="M12" s="64">
        <v>63.23</v>
      </c>
      <c r="N12" s="64">
        <v>29.2</v>
      </c>
      <c r="O12" s="64">
        <v>0</v>
      </c>
      <c r="P12" s="64">
        <v>0.64</v>
      </c>
      <c r="Q12" s="64">
        <v>9.4499999999999993</v>
      </c>
      <c r="R12" s="198"/>
      <c r="S12" s="198"/>
      <c r="T12" s="198"/>
      <c r="U12" s="198"/>
    </row>
    <row r="13" spans="1:21" s="12" customFormat="1" x14ac:dyDescent="0.25">
      <c r="A13" s="214" t="s">
        <v>1882</v>
      </c>
      <c r="B13" s="64">
        <v>8.7200000000000006</v>
      </c>
      <c r="C13" s="64">
        <v>29.03</v>
      </c>
      <c r="D13" s="64">
        <v>42.18</v>
      </c>
      <c r="E13" s="64">
        <v>5.47</v>
      </c>
      <c r="F13" s="64">
        <v>8.2899999999999991</v>
      </c>
      <c r="G13" s="64">
        <v>43.3</v>
      </c>
      <c r="H13" s="64">
        <v>16.98</v>
      </c>
      <c r="I13" s="64">
        <v>4</v>
      </c>
      <c r="J13" s="64">
        <v>1.25</v>
      </c>
      <c r="K13" s="64">
        <v>155.5</v>
      </c>
      <c r="L13" s="64">
        <v>31.49</v>
      </c>
      <c r="M13" s="64">
        <v>63.42</v>
      </c>
      <c r="N13" s="64">
        <v>28.7</v>
      </c>
      <c r="O13" s="64">
        <v>0</v>
      </c>
      <c r="P13" s="64">
        <v>0.57999999999999996</v>
      </c>
      <c r="Q13" s="64">
        <v>9.4700000000000006</v>
      </c>
      <c r="R13" s="198"/>
      <c r="S13" s="198"/>
      <c r="T13" s="198"/>
      <c r="U13" s="198"/>
    </row>
    <row r="14" spans="1:21" s="12" customFormat="1" x14ac:dyDescent="0.25">
      <c r="A14" s="214" t="s">
        <v>1883</v>
      </c>
      <c r="B14" s="64">
        <v>6.86</v>
      </c>
      <c r="C14" s="64">
        <v>21.39</v>
      </c>
      <c r="D14" s="64">
        <v>30.39</v>
      </c>
      <c r="E14" s="64">
        <v>5.81</v>
      </c>
      <c r="F14" s="64">
        <v>17.86</v>
      </c>
      <c r="G14" s="64">
        <v>43.59</v>
      </c>
      <c r="H14" s="64">
        <v>16.850000000000001</v>
      </c>
      <c r="I14" s="64">
        <v>4.09</v>
      </c>
      <c r="J14" s="64">
        <v>0.56000000000000005</v>
      </c>
      <c r="K14" s="64">
        <v>137.21</v>
      </c>
      <c r="L14" s="64">
        <v>31.43</v>
      </c>
      <c r="M14" s="64">
        <v>62.48</v>
      </c>
      <c r="N14" s="64">
        <v>29.3</v>
      </c>
      <c r="O14" s="64">
        <v>0</v>
      </c>
      <c r="P14" s="64">
        <v>0.46</v>
      </c>
      <c r="Q14" s="64">
        <v>9.4700000000000006</v>
      </c>
      <c r="R14" s="198"/>
      <c r="S14" s="198"/>
      <c r="T14" s="198"/>
      <c r="U14" s="198"/>
    </row>
    <row r="15" spans="1:21" s="12" customFormat="1" x14ac:dyDescent="0.25">
      <c r="A15" s="214" t="s">
        <v>1884</v>
      </c>
      <c r="B15" s="64">
        <v>6.99</v>
      </c>
      <c r="C15" s="64">
        <v>22.24</v>
      </c>
      <c r="D15" s="64">
        <v>31.85</v>
      </c>
      <c r="E15" s="64">
        <v>5.32</v>
      </c>
      <c r="F15" s="64">
        <v>13.72</v>
      </c>
      <c r="G15" s="64">
        <v>44.5</v>
      </c>
      <c r="H15" s="64">
        <v>16.47</v>
      </c>
      <c r="I15" s="64">
        <v>4.0199999999999996</v>
      </c>
      <c r="J15" s="64">
        <v>0.23</v>
      </c>
      <c r="K15" s="64">
        <v>330.1</v>
      </c>
      <c r="L15" s="64">
        <v>31.36</v>
      </c>
      <c r="M15" s="64">
        <v>64.22</v>
      </c>
      <c r="N15" s="64">
        <v>29.5</v>
      </c>
      <c r="O15" s="64">
        <v>0</v>
      </c>
      <c r="P15" s="64">
        <v>0.6</v>
      </c>
      <c r="Q15" s="64">
        <v>9.43</v>
      </c>
      <c r="R15" s="198"/>
      <c r="S15" s="198"/>
      <c r="T15" s="198"/>
      <c r="U15" s="198"/>
    </row>
    <row r="16" spans="1:21" s="12" customFormat="1" x14ac:dyDescent="0.25">
      <c r="A16" s="214" t="s">
        <v>1885</v>
      </c>
      <c r="B16" s="64">
        <v>5</v>
      </c>
      <c r="C16" s="64">
        <v>19.7</v>
      </c>
      <c r="D16" s="64">
        <v>30.04</v>
      </c>
      <c r="E16" s="64">
        <v>5.85</v>
      </c>
      <c r="F16" s="64">
        <v>19.98</v>
      </c>
      <c r="G16" s="64">
        <v>44.5</v>
      </c>
      <c r="H16" s="64">
        <v>16.47</v>
      </c>
      <c r="I16" s="64">
        <v>3.74</v>
      </c>
      <c r="J16" s="64">
        <v>0.16</v>
      </c>
      <c r="K16" s="64">
        <v>339.14</v>
      </c>
      <c r="L16" s="64">
        <v>31.41</v>
      </c>
      <c r="M16" s="64">
        <v>63.19</v>
      </c>
      <c r="N16" s="64">
        <v>29.4</v>
      </c>
      <c r="O16" s="64">
        <v>0</v>
      </c>
      <c r="P16" s="64">
        <v>0.42</v>
      </c>
      <c r="Q16" s="64">
        <v>9.42</v>
      </c>
      <c r="R16" s="198"/>
      <c r="S16" s="198"/>
      <c r="T16" s="198"/>
      <c r="U16" s="198"/>
    </row>
    <row r="17" spans="1:21" s="12" customFormat="1" x14ac:dyDescent="0.25">
      <c r="A17" s="214" t="s">
        <v>1886</v>
      </c>
      <c r="B17" s="64">
        <v>6.8</v>
      </c>
      <c r="C17" s="64">
        <v>22.51</v>
      </c>
      <c r="D17" s="64">
        <v>32.64</v>
      </c>
      <c r="E17" s="64">
        <v>6.06</v>
      </c>
      <c r="F17" s="64">
        <v>14.55</v>
      </c>
      <c r="G17" s="64">
        <v>44.5</v>
      </c>
      <c r="H17" s="64">
        <v>16.47</v>
      </c>
      <c r="I17" s="64">
        <v>4.09</v>
      </c>
      <c r="J17" s="64">
        <v>0.42</v>
      </c>
      <c r="K17" s="64">
        <v>309.74</v>
      </c>
      <c r="L17" s="64">
        <v>31.25</v>
      </c>
      <c r="M17" s="64">
        <v>60.49</v>
      </c>
      <c r="N17" s="64">
        <v>30.3</v>
      </c>
      <c r="O17" s="64">
        <v>0</v>
      </c>
      <c r="P17" s="64">
        <v>0.51</v>
      </c>
      <c r="Q17" s="64">
        <v>9.41</v>
      </c>
      <c r="R17" s="198"/>
      <c r="S17" s="198"/>
      <c r="T17" s="198"/>
      <c r="U17" s="198"/>
    </row>
    <row r="18" spans="1:21" s="12" customFormat="1" x14ac:dyDescent="0.25">
      <c r="A18" s="214" t="s">
        <v>1887</v>
      </c>
      <c r="B18" s="64">
        <v>6.16</v>
      </c>
      <c r="C18" s="64">
        <v>20.23</v>
      </c>
      <c r="D18" s="64">
        <v>29.26</v>
      </c>
      <c r="E18" s="64">
        <v>6.18</v>
      </c>
      <c r="F18" s="64">
        <v>6.74</v>
      </c>
      <c r="G18" s="64">
        <v>44.27</v>
      </c>
      <c r="H18" s="64">
        <v>16.149999999999999</v>
      </c>
      <c r="I18" s="64">
        <v>3.82</v>
      </c>
      <c r="J18" s="64">
        <v>0.43</v>
      </c>
      <c r="K18" s="64">
        <v>276.58</v>
      </c>
      <c r="L18" s="64">
        <v>29.81</v>
      </c>
      <c r="M18" s="64">
        <v>62.04</v>
      </c>
      <c r="N18" s="64">
        <v>31.3</v>
      </c>
      <c r="O18" s="64">
        <v>0</v>
      </c>
      <c r="P18" s="64">
        <v>0.56999999999999995</v>
      </c>
      <c r="Q18" s="64">
        <v>9.3800000000000008</v>
      </c>
      <c r="R18" s="198"/>
      <c r="S18" s="198"/>
      <c r="T18" s="198"/>
      <c r="U18" s="198"/>
    </row>
    <row r="19" spans="1:21" s="12" customFormat="1" x14ac:dyDescent="0.25">
      <c r="A19" s="214" t="s">
        <v>1888</v>
      </c>
      <c r="B19" s="64">
        <v>6.04</v>
      </c>
      <c r="C19" s="64">
        <v>24.81</v>
      </c>
      <c r="D19" s="64">
        <v>38.21</v>
      </c>
      <c r="E19" s="64">
        <v>6.46</v>
      </c>
      <c r="F19" s="64">
        <v>6.13</v>
      </c>
      <c r="G19" s="64">
        <v>43.55</v>
      </c>
      <c r="H19" s="64">
        <v>15.15</v>
      </c>
      <c r="I19" s="64">
        <v>3.84</v>
      </c>
      <c r="J19" s="64">
        <v>0.34</v>
      </c>
      <c r="K19" s="64">
        <v>288.45999999999998</v>
      </c>
      <c r="L19" s="64">
        <v>28.72</v>
      </c>
      <c r="M19" s="64">
        <v>71.22</v>
      </c>
      <c r="N19" s="64">
        <v>30.8</v>
      </c>
      <c r="O19" s="64">
        <v>0</v>
      </c>
      <c r="P19" s="64">
        <v>0.6</v>
      </c>
      <c r="Q19" s="64">
        <v>9.3800000000000008</v>
      </c>
      <c r="R19" s="198"/>
      <c r="S19" s="198"/>
      <c r="T19" s="198"/>
      <c r="U19" s="198"/>
    </row>
    <row r="20" spans="1:21" s="12" customFormat="1" x14ac:dyDescent="0.25">
      <c r="A20" s="214" t="s">
        <v>1889</v>
      </c>
      <c r="B20" s="64">
        <v>6.36</v>
      </c>
      <c r="C20" s="64">
        <v>22.04</v>
      </c>
      <c r="D20" s="64">
        <v>32.409999999999997</v>
      </c>
      <c r="E20" s="64">
        <v>6.47</v>
      </c>
      <c r="F20" s="64">
        <v>6.44</v>
      </c>
      <c r="G20" s="64">
        <v>43.55</v>
      </c>
      <c r="H20" s="64">
        <v>15.15</v>
      </c>
      <c r="I20" s="64">
        <v>3.94</v>
      </c>
      <c r="J20" s="64">
        <v>0.25</v>
      </c>
      <c r="K20" s="64">
        <v>273.17</v>
      </c>
      <c r="L20" s="64">
        <v>28.17</v>
      </c>
      <c r="M20" s="64">
        <v>76.05</v>
      </c>
      <c r="N20" s="64">
        <v>29.9</v>
      </c>
      <c r="O20" s="64">
        <v>0</v>
      </c>
      <c r="P20" s="64">
        <v>0.6</v>
      </c>
      <c r="Q20" s="64">
        <v>9.3800000000000008</v>
      </c>
      <c r="R20" s="198"/>
      <c r="S20" s="198"/>
      <c r="T20" s="198"/>
      <c r="U20" s="198"/>
    </row>
    <row r="21" spans="1:21" s="12" customFormat="1" x14ac:dyDescent="0.25">
      <c r="A21" s="214" t="s">
        <v>1890</v>
      </c>
      <c r="B21" s="64">
        <v>6.03</v>
      </c>
      <c r="C21" s="64">
        <v>20.27</v>
      </c>
      <c r="D21" s="64">
        <v>29.55</v>
      </c>
      <c r="E21" s="64">
        <v>6.03</v>
      </c>
      <c r="F21" s="64">
        <v>8.4499999999999993</v>
      </c>
      <c r="G21" s="64">
        <v>43.55</v>
      </c>
      <c r="H21" s="64">
        <v>15.15</v>
      </c>
      <c r="I21" s="64">
        <v>3.94</v>
      </c>
      <c r="J21" s="64">
        <v>0.24</v>
      </c>
      <c r="K21" s="64">
        <v>247.98</v>
      </c>
      <c r="L21" s="64">
        <v>28.07</v>
      </c>
      <c r="M21" s="64">
        <v>75.430000000000007</v>
      </c>
      <c r="N21" s="64">
        <v>29.5</v>
      </c>
      <c r="O21" s="64">
        <v>0</v>
      </c>
      <c r="P21" s="64">
        <v>0.53</v>
      </c>
      <c r="Q21" s="64">
        <v>9.3800000000000008</v>
      </c>
      <c r="R21" s="198"/>
      <c r="S21" s="198"/>
      <c r="T21" s="198"/>
      <c r="U21" s="198"/>
    </row>
    <row r="22" spans="1:21" s="12" customFormat="1" x14ac:dyDescent="0.25">
      <c r="A22" s="214" t="s">
        <v>1891</v>
      </c>
      <c r="B22" s="64">
        <v>5.93</v>
      </c>
      <c r="C22" s="64">
        <v>18.940000000000001</v>
      </c>
      <c r="D22" s="64">
        <v>27.14</v>
      </c>
      <c r="E22" s="64">
        <v>6.06</v>
      </c>
      <c r="F22" s="64">
        <v>14.39</v>
      </c>
      <c r="G22" s="64">
        <v>43.84</v>
      </c>
      <c r="H22" s="64">
        <v>15.04</v>
      </c>
      <c r="I22" s="64">
        <v>3.95</v>
      </c>
      <c r="J22" s="64">
        <v>0.26</v>
      </c>
      <c r="K22" s="64">
        <v>243.38</v>
      </c>
      <c r="L22" s="64">
        <v>27.92</v>
      </c>
      <c r="M22" s="64">
        <v>78.09</v>
      </c>
      <c r="N22" s="64">
        <v>29.5</v>
      </c>
      <c r="O22" s="64">
        <v>0</v>
      </c>
      <c r="P22" s="64">
        <v>0.45</v>
      </c>
      <c r="Q22" s="64">
        <v>9.36</v>
      </c>
      <c r="R22" s="198"/>
      <c r="S22" s="198"/>
      <c r="T22" s="198"/>
      <c r="U22" s="198"/>
    </row>
    <row r="23" spans="1:21" s="12" customFormat="1" x14ac:dyDescent="0.25">
      <c r="A23" s="214" t="s">
        <v>1892</v>
      </c>
      <c r="B23" s="64">
        <v>6.38</v>
      </c>
      <c r="C23" s="64">
        <v>20.55</v>
      </c>
      <c r="D23" s="64">
        <v>29.54</v>
      </c>
      <c r="E23" s="64">
        <v>6.12</v>
      </c>
      <c r="F23" s="64">
        <v>13.02</v>
      </c>
      <c r="G23" s="64">
        <v>44.68</v>
      </c>
      <c r="H23" s="64">
        <v>14.69</v>
      </c>
      <c r="I23" s="64">
        <v>4.01</v>
      </c>
      <c r="J23" s="64">
        <v>0.18</v>
      </c>
      <c r="K23" s="64">
        <v>261.27999999999997</v>
      </c>
      <c r="L23" s="64">
        <v>27.76</v>
      </c>
      <c r="M23" s="64">
        <v>81.41</v>
      </c>
      <c r="N23" s="64">
        <v>29.6</v>
      </c>
      <c r="O23" s="64">
        <v>0</v>
      </c>
      <c r="P23" s="64">
        <v>0.44</v>
      </c>
      <c r="Q23" s="64">
        <v>9.34</v>
      </c>
      <c r="R23" s="198"/>
      <c r="S23" s="198"/>
      <c r="T23" s="198"/>
      <c r="U23" s="198"/>
    </row>
    <row r="24" spans="1:21" s="12" customFormat="1" x14ac:dyDescent="0.25">
      <c r="A24" s="214" t="s">
        <v>1893</v>
      </c>
      <c r="B24" s="64">
        <v>7.24</v>
      </c>
      <c r="C24" s="64">
        <v>21.89</v>
      </c>
      <c r="D24" s="64">
        <v>30.79</v>
      </c>
      <c r="E24" s="64">
        <v>5.88</v>
      </c>
      <c r="F24" s="64">
        <v>7.63</v>
      </c>
      <c r="G24" s="64">
        <v>44.68</v>
      </c>
      <c r="H24" s="64">
        <v>14.69</v>
      </c>
      <c r="I24" s="64">
        <v>4.1900000000000004</v>
      </c>
      <c r="J24" s="64">
        <v>1.01</v>
      </c>
      <c r="K24" s="64">
        <v>250.78</v>
      </c>
      <c r="L24" s="64">
        <v>27.82</v>
      </c>
      <c r="M24" s="64">
        <v>83.46</v>
      </c>
      <c r="N24" s="64">
        <v>29.6</v>
      </c>
      <c r="O24" s="64">
        <v>0</v>
      </c>
      <c r="P24" s="64">
        <v>0.48</v>
      </c>
      <c r="Q24" s="64">
        <v>9.34</v>
      </c>
      <c r="R24" s="198"/>
      <c r="S24" s="198"/>
      <c r="T24" s="198"/>
      <c r="U24" s="198"/>
    </row>
    <row r="25" spans="1:21" s="12" customFormat="1" x14ac:dyDescent="0.25">
      <c r="A25" s="214" t="s">
        <v>1894</v>
      </c>
      <c r="B25" s="64">
        <v>8.66</v>
      </c>
      <c r="C25" s="64">
        <v>21.94</v>
      </c>
      <c r="D25" s="64">
        <v>28.7</v>
      </c>
      <c r="E25" s="64">
        <v>5.62</v>
      </c>
      <c r="F25" s="64">
        <v>4.59</v>
      </c>
      <c r="G25" s="64">
        <v>44.68</v>
      </c>
      <c r="H25" s="64">
        <v>14.69</v>
      </c>
      <c r="I25" s="64">
        <v>4.09</v>
      </c>
      <c r="J25" s="64">
        <v>1.28</v>
      </c>
      <c r="K25" s="64">
        <v>250.76</v>
      </c>
      <c r="L25" s="64">
        <v>27.5</v>
      </c>
      <c r="M25" s="64">
        <v>84.1</v>
      </c>
      <c r="N25" s="64">
        <v>30.4</v>
      </c>
      <c r="O25" s="64">
        <v>0</v>
      </c>
      <c r="P25" s="64">
        <v>0.5</v>
      </c>
      <c r="Q25" s="64">
        <v>9.34</v>
      </c>
      <c r="R25" s="198"/>
      <c r="S25" s="198"/>
      <c r="T25" s="198"/>
      <c r="U25" s="198"/>
    </row>
    <row r="26" spans="1:21" s="12" customFormat="1" x14ac:dyDescent="0.25">
      <c r="A26" s="214" t="s">
        <v>1895</v>
      </c>
      <c r="B26" s="64">
        <v>7.8</v>
      </c>
      <c r="C26" s="64">
        <v>25.29</v>
      </c>
      <c r="D26" s="64">
        <v>36.42</v>
      </c>
      <c r="E26" s="64">
        <v>5.64</v>
      </c>
      <c r="F26" s="64">
        <v>6.83</v>
      </c>
      <c r="G26" s="64">
        <v>43.57</v>
      </c>
      <c r="H26" s="64">
        <v>14.51</v>
      </c>
      <c r="I26" s="64">
        <v>4.01</v>
      </c>
      <c r="J26" s="64">
        <v>1.1100000000000001</v>
      </c>
      <c r="K26" s="64">
        <v>244.36</v>
      </c>
      <c r="L26" s="64">
        <v>27.05</v>
      </c>
      <c r="M26" s="64">
        <v>84.57</v>
      </c>
      <c r="N26" s="64">
        <v>29.3</v>
      </c>
      <c r="O26" s="64">
        <v>0</v>
      </c>
      <c r="P26" s="64">
        <v>0.53</v>
      </c>
      <c r="Q26" s="64">
        <v>9.35</v>
      </c>
      <c r="R26" s="198"/>
      <c r="S26" s="198"/>
      <c r="T26" s="198"/>
      <c r="U26" s="198"/>
    </row>
    <row r="27" spans="1:21" s="12" customFormat="1" x14ac:dyDescent="0.25">
      <c r="A27" s="214" t="s">
        <v>1896</v>
      </c>
      <c r="B27" s="64">
        <v>6.8</v>
      </c>
      <c r="C27" s="64">
        <v>26.01</v>
      </c>
      <c r="D27" s="64">
        <v>39.35</v>
      </c>
      <c r="E27" s="64">
        <v>6.22</v>
      </c>
      <c r="F27" s="64">
        <v>7.77</v>
      </c>
      <c r="G27" s="64">
        <v>40.130000000000003</v>
      </c>
      <c r="H27" s="64">
        <v>13.94</v>
      </c>
      <c r="I27" s="64">
        <v>3.97</v>
      </c>
      <c r="J27" s="64">
        <v>0.23</v>
      </c>
      <c r="K27" s="64">
        <v>124.37</v>
      </c>
      <c r="L27" s="64">
        <v>26.3</v>
      </c>
      <c r="M27" s="64">
        <v>85.56</v>
      </c>
      <c r="N27" s="64">
        <v>29.4</v>
      </c>
      <c r="O27" s="64">
        <v>0</v>
      </c>
      <c r="P27" s="64">
        <v>0.56000000000000005</v>
      </c>
      <c r="Q27" s="64">
        <v>9.36</v>
      </c>
      <c r="R27" s="198"/>
      <c r="S27" s="198"/>
      <c r="T27" s="198"/>
      <c r="U27" s="198"/>
    </row>
    <row r="28" spans="1:21" s="12" customFormat="1" x14ac:dyDescent="0.25">
      <c r="A28" s="214" t="s">
        <v>1897</v>
      </c>
      <c r="B28" s="64">
        <v>7.82</v>
      </c>
      <c r="C28" s="64">
        <v>24.77</v>
      </c>
      <c r="D28" s="64">
        <v>35.409999999999997</v>
      </c>
      <c r="E28" s="64">
        <v>6.1</v>
      </c>
      <c r="F28" s="64">
        <v>7.12</v>
      </c>
      <c r="G28" s="64">
        <v>40.130000000000003</v>
      </c>
      <c r="H28" s="64">
        <v>13.94</v>
      </c>
      <c r="I28" s="64">
        <v>4.18</v>
      </c>
      <c r="J28" s="64">
        <v>0.67</v>
      </c>
      <c r="K28" s="64">
        <v>107.99</v>
      </c>
      <c r="L28" s="64">
        <v>25.49</v>
      </c>
      <c r="M28" s="64">
        <v>86.72</v>
      </c>
      <c r="N28" s="64">
        <v>30</v>
      </c>
      <c r="O28" s="64">
        <v>0.8</v>
      </c>
      <c r="P28" s="64">
        <v>0.55000000000000004</v>
      </c>
      <c r="Q28" s="64">
        <v>9.3800000000000008</v>
      </c>
      <c r="R28" s="198"/>
      <c r="S28" s="198"/>
      <c r="T28" s="198"/>
      <c r="U28" s="198"/>
    </row>
    <row r="29" spans="1:21" s="12" customFormat="1" x14ac:dyDescent="0.25">
      <c r="A29" s="214" t="s">
        <v>1898</v>
      </c>
      <c r="B29" s="64">
        <v>7.42</v>
      </c>
      <c r="C29" s="64">
        <v>21.96</v>
      </c>
      <c r="D29" s="64">
        <v>30.65</v>
      </c>
      <c r="E29" s="64">
        <v>5.57</v>
      </c>
      <c r="F29" s="64">
        <v>8.08</v>
      </c>
      <c r="G29" s="64">
        <v>40.130000000000003</v>
      </c>
      <c r="H29" s="64">
        <v>13.94</v>
      </c>
      <c r="I29" s="64">
        <v>4.08</v>
      </c>
      <c r="J29" s="64">
        <v>0.28999999999999998</v>
      </c>
      <c r="K29" s="64">
        <v>113.87</v>
      </c>
      <c r="L29" s="64">
        <v>24.83</v>
      </c>
      <c r="M29" s="64">
        <v>87.3</v>
      </c>
      <c r="N29" s="64">
        <v>30.2</v>
      </c>
      <c r="O29" s="64">
        <v>1.2</v>
      </c>
      <c r="P29" s="64">
        <v>0.51</v>
      </c>
      <c r="Q29" s="64">
        <v>9.4</v>
      </c>
      <c r="R29" s="198"/>
      <c r="S29" s="198"/>
      <c r="T29" s="198"/>
      <c r="U29" s="198"/>
    </row>
    <row r="30" spans="1:21" s="12" customFormat="1" x14ac:dyDescent="0.25">
      <c r="A30" s="214" t="s">
        <v>1899</v>
      </c>
      <c r="B30" s="64">
        <v>7.78</v>
      </c>
      <c r="C30" s="64">
        <v>20.21</v>
      </c>
      <c r="D30" s="64">
        <v>26.74</v>
      </c>
      <c r="E30" s="64">
        <v>5.43</v>
      </c>
      <c r="F30" s="64">
        <v>5.04</v>
      </c>
      <c r="G30" s="64">
        <v>40.369999999999997</v>
      </c>
      <c r="H30" s="64">
        <v>14.64</v>
      </c>
      <c r="I30" s="64">
        <v>4.0599999999999996</v>
      </c>
      <c r="J30" s="64">
        <v>0.67</v>
      </c>
      <c r="K30" s="64">
        <v>120.89</v>
      </c>
      <c r="L30" s="64">
        <v>24.58</v>
      </c>
      <c r="M30" s="64">
        <v>86.85</v>
      </c>
      <c r="N30" s="64">
        <v>29.8</v>
      </c>
      <c r="O30" s="64">
        <v>0.4</v>
      </c>
      <c r="P30" s="64">
        <v>0.53</v>
      </c>
      <c r="Q30" s="64">
        <v>9.4</v>
      </c>
      <c r="R30" s="198"/>
      <c r="S30" s="198"/>
      <c r="T30" s="198"/>
      <c r="U30" s="198"/>
    </row>
    <row r="31" spans="1:21" s="12" customFormat="1" x14ac:dyDescent="0.25">
      <c r="A31" s="214" t="s">
        <v>1900</v>
      </c>
      <c r="B31" s="64">
        <v>7.72</v>
      </c>
      <c r="C31" s="64">
        <v>19.93</v>
      </c>
      <c r="D31" s="64">
        <v>26.28</v>
      </c>
      <c r="E31" s="64">
        <v>5.52</v>
      </c>
      <c r="F31" s="64">
        <v>4.88</v>
      </c>
      <c r="G31" s="64">
        <v>41.12</v>
      </c>
      <c r="H31" s="64">
        <v>16.809999999999999</v>
      </c>
      <c r="I31" s="64">
        <v>4.01</v>
      </c>
      <c r="J31" s="64">
        <v>0.77</v>
      </c>
      <c r="K31" s="64">
        <v>142.57</v>
      </c>
      <c r="L31" s="64">
        <v>24.93</v>
      </c>
      <c r="M31" s="64">
        <v>86.84</v>
      </c>
      <c r="N31" s="64">
        <v>31.9</v>
      </c>
      <c r="O31" s="64">
        <v>0</v>
      </c>
      <c r="P31" s="64">
        <v>0.5</v>
      </c>
      <c r="Q31" s="64">
        <v>9.41</v>
      </c>
      <c r="R31" s="198"/>
      <c r="S31" s="198"/>
      <c r="T31" s="198"/>
      <c r="U31" s="198"/>
    </row>
    <row r="32" spans="1:21" s="12" customFormat="1" x14ac:dyDescent="0.25">
      <c r="A32" s="214" t="s">
        <v>1901</v>
      </c>
      <c r="B32" s="64">
        <v>7.62</v>
      </c>
      <c r="C32" s="64">
        <v>19.23</v>
      </c>
      <c r="D32" s="64">
        <v>25.11</v>
      </c>
      <c r="E32" s="64">
        <v>5.23</v>
      </c>
      <c r="F32" s="64">
        <v>5.17</v>
      </c>
      <c r="G32" s="64">
        <v>41.12</v>
      </c>
      <c r="H32" s="64">
        <v>16.809999999999999</v>
      </c>
      <c r="I32" s="64">
        <v>3.76</v>
      </c>
      <c r="J32" s="64">
        <v>0.91</v>
      </c>
      <c r="K32" s="64">
        <v>176.64</v>
      </c>
      <c r="L32" s="64">
        <v>24.81</v>
      </c>
      <c r="M32" s="64">
        <v>86.97</v>
      </c>
      <c r="N32" s="64">
        <v>36.299999999999997</v>
      </c>
      <c r="O32" s="64">
        <v>0</v>
      </c>
      <c r="P32" s="64">
        <v>0.49</v>
      </c>
      <c r="Q32" s="64">
        <v>9.4</v>
      </c>
      <c r="R32" s="198"/>
      <c r="S32" s="198"/>
      <c r="T32" s="198"/>
      <c r="U32" s="198"/>
    </row>
    <row r="33" spans="1:21" s="12" customFormat="1" x14ac:dyDescent="0.25">
      <c r="A33" s="214" t="s">
        <v>1902</v>
      </c>
      <c r="B33" s="64">
        <v>7.28</v>
      </c>
      <c r="C33" s="64">
        <v>18.96</v>
      </c>
      <c r="D33" s="64">
        <v>25.11</v>
      </c>
      <c r="E33" s="64">
        <v>5.18</v>
      </c>
      <c r="F33" s="64">
        <v>3.14</v>
      </c>
      <c r="G33" s="64">
        <v>41.12</v>
      </c>
      <c r="H33" s="64">
        <v>16.809999999999999</v>
      </c>
      <c r="I33" s="64">
        <v>3.97</v>
      </c>
      <c r="J33" s="64">
        <v>1.62</v>
      </c>
      <c r="K33" s="64">
        <v>157.96</v>
      </c>
      <c r="L33" s="64">
        <v>24.85</v>
      </c>
      <c r="M33" s="64">
        <v>86.73</v>
      </c>
      <c r="N33" s="64">
        <v>47.1</v>
      </c>
      <c r="O33" s="64">
        <v>0.2</v>
      </c>
      <c r="P33" s="64">
        <v>0.48</v>
      </c>
      <c r="Q33" s="64">
        <v>9.4</v>
      </c>
      <c r="R33" s="198"/>
      <c r="S33" s="198"/>
      <c r="T33" s="198"/>
      <c r="U33" s="198"/>
    </row>
    <row r="34" spans="1:21" s="12" customFormat="1" x14ac:dyDescent="0.25">
      <c r="A34" s="214" t="s">
        <v>1903</v>
      </c>
      <c r="B34" s="64">
        <v>6.97</v>
      </c>
      <c r="C34" s="64">
        <v>18.41</v>
      </c>
      <c r="D34" s="64">
        <v>24.55</v>
      </c>
      <c r="E34" s="64">
        <v>5.03</v>
      </c>
      <c r="F34" s="64">
        <v>4.05</v>
      </c>
      <c r="G34" s="64">
        <v>39.81</v>
      </c>
      <c r="H34" s="64">
        <v>16.39</v>
      </c>
      <c r="I34" s="64">
        <v>3.96</v>
      </c>
      <c r="J34" s="64">
        <v>1.68</v>
      </c>
      <c r="K34" s="64">
        <v>157.66999999999999</v>
      </c>
      <c r="L34" s="64">
        <v>24.88</v>
      </c>
      <c r="M34" s="64">
        <v>86.85</v>
      </c>
      <c r="N34" s="64">
        <v>54.3</v>
      </c>
      <c r="O34" s="64">
        <v>0</v>
      </c>
      <c r="P34" s="64">
        <v>0.47</v>
      </c>
      <c r="Q34" s="64">
        <v>9.3800000000000008</v>
      </c>
      <c r="R34" s="198"/>
      <c r="S34" s="198"/>
      <c r="T34" s="198"/>
      <c r="U34" s="198"/>
    </row>
    <row r="35" spans="1:21" s="12" customFormat="1" x14ac:dyDescent="0.25">
      <c r="A35" s="214" t="s">
        <v>1904</v>
      </c>
      <c r="B35" s="64">
        <v>6.67</v>
      </c>
      <c r="C35" s="64">
        <v>18.23</v>
      </c>
      <c r="D35" s="64">
        <v>24.66</v>
      </c>
      <c r="E35" s="64">
        <v>5.01</v>
      </c>
      <c r="F35" s="64">
        <v>4.0199999999999996</v>
      </c>
      <c r="G35" s="64">
        <v>35.76</v>
      </c>
      <c r="H35" s="64">
        <v>15.09</v>
      </c>
      <c r="I35" s="64">
        <v>3.88</v>
      </c>
      <c r="J35" s="64">
        <v>0.88</v>
      </c>
      <c r="K35" s="64">
        <v>156.61000000000001</v>
      </c>
      <c r="L35" s="64">
        <v>24.98</v>
      </c>
      <c r="M35" s="64">
        <v>86.43</v>
      </c>
      <c r="N35" s="64">
        <v>59.6</v>
      </c>
      <c r="O35" s="64">
        <v>0</v>
      </c>
      <c r="P35" s="64">
        <v>0.46</v>
      </c>
      <c r="Q35" s="64">
        <v>9.3800000000000008</v>
      </c>
      <c r="R35" s="198"/>
      <c r="S35" s="198"/>
      <c r="T35" s="198"/>
      <c r="U35" s="198"/>
    </row>
    <row r="36" spans="1:21" s="12" customFormat="1" x14ac:dyDescent="0.25">
      <c r="A36" s="214" t="s">
        <v>1905</v>
      </c>
      <c r="B36" s="64">
        <v>6.51</v>
      </c>
      <c r="C36" s="64">
        <v>18.28</v>
      </c>
      <c r="D36" s="64">
        <v>25</v>
      </c>
      <c r="E36" s="64">
        <v>4.8099999999999996</v>
      </c>
      <c r="F36" s="64">
        <v>4.57</v>
      </c>
      <c r="G36" s="64">
        <v>35.76</v>
      </c>
      <c r="H36" s="64">
        <v>15.09</v>
      </c>
      <c r="I36" s="64">
        <v>3.92</v>
      </c>
      <c r="J36" s="64">
        <v>1.1000000000000001</v>
      </c>
      <c r="K36" s="64">
        <v>164.36</v>
      </c>
      <c r="L36" s="64">
        <v>25.22</v>
      </c>
      <c r="M36" s="64">
        <v>86.5</v>
      </c>
      <c r="N36" s="64">
        <v>87.5</v>
      </c>
      <c r="O36" s="64">
        <v>0</v>
      </c>
      <c r="P36" s="64">
        <v>0.43</v>
      </c>
      <c r="Q36" s="64">
        <v>9.3699999999999992</v>
      </c>
      <c r="R36" s="198"/>
      <c r="S36" s="198"/>
      <c r="T36" s="198"/>
      <c r="U36" s="198"/>
    </row>
    <row r="37" spans="1:21" s="12" customFormat="1" x14ac:dyDescent="0.25">
      <c r="A37" s="214" t="s">
        <v>1906</v>
      </c>
      <c r="B37" s="64">
        <v>6.24</v>
      </c>
      <c r="C37" s="64">
        <v>17.489999999999998</v>
      </c>
      <c r="D37" s="64">
        <v>23.9</v>
      </c>
      <c r="E37" s="64">
        <v>4.71</v>
      </c>
      <c r="F37" s="64">
        <v>4.59</v>
      </c>
      <c r="G37" s="64">
        <v>35.76</v>
      </c>
      <c r="H37" s="64">
        <v>15.09</v>
      </c>
      <c r="I37" s="64">
        <v>4</v>
      </c>
      <c r="J37" s="64">
        <v>0.79</v>
      </c>
      <c r="K37" s="64">
        <v>150.86000000000001</v>
      </c>
      <c r="L37" s="64">
        <v>25.62</v>
      </c>
      <c r="M37" s="64">
        <v>85.35</v>
      </c>
      <c r="N37" s="64">
        <v>100</v>
      </c>
      <c r="O37" s="64">
        <v>0</v>
      </c>
      <c r="P37" s="64">
        <v>0.41</v>
      </c>
      <c r="Q37" s="64">
        <v>9.35</v>
      </c>
      <c r="R37" s="198"/>
      <c r="S37" s="198"/>
      <c r="T37" s="198"/>
      <c r="U37" s="198"/>
    </row>
    <row r="38" spans="1:21" s="12" customFormat="1" x14ac:dyDescent="0.25">
      <c r="A38" s="214" t="s">
        <v>1907</v>
      </c>
      <c r="B38" s="64">
        <v>6.68</v>
      </c>
      <c r="C38" s="64">
        <v>20.65</v>
      </c>
      <c r="D38" s="64">
        <v>29.27</v>
      </c>
      <c r="E38" s="64">
        <v>4.87</v>
      </c>
      <c r="F38" s="64">
        <v>5.95</v>
      </c>
      <c r="G38" s="64">
        <v>33.76</v>
      </c>
      <c r="H38" s="64">
        <v>14.16</v>
      </c>
      <c r="I38" s="64">
        <v>3.92</v>
      </c>
      <c r="J38" s="64">
        <v>0.6</v>
      </c>
      <c r="K38" s="64">
        <v>163.02000000000001</v>
      </c>
      <c r="L38" s="64">
        <v>26.22</v>
      </c>
      <c r="M38" s="64">
        <v>83.91</v>
      </c>
      <c r="N38" s="64">
        <v>103.8</v>
      </c>
      <c r="O38" s="64">
        <v>0</v>
      </c>
      <c r="P38" s="64">
        <v>0.42</v>
      </c>
      <c r="Q38" s="64">
        <v>9.34</v>
      </c>
      <c r="R38" s="198"/>
      <c r="S38" s="198"/>
      <c r="T38" s="198"/>
      <c r="U38" s="198"/>
    </row>
    <row r="39" spans="1:21" s="12" customFormat="1" x14ac:dyDescent="0.25">
      <c r="A39" s="214" t="s">
        <v>1908</v>
      </c>
      <c r="B39" s="64">
        <v>6.28</v>
      </c>
      <c r="C39" s="64">
        <v>18.16</v>
      </c>
      <c r="D39" s="64">
        <v>25.12</v>
      </c>
      <c r="E39" s="64">
        <v>4.54</v>
      </c>
      <c r="F39" s="64">
        <v>5.61</v>
      </c>
      <c r="G39" s="64">
        <v>27.59</v>
      </c>
      <c r="H39" s="64">
        <v>11.45</v>
      </c>
      <c r="I39" s="64">
        <v>3.98</v>
      </c>
      <c r="J39" s="64">
        <v>0.69</v>
      </c>
      <c r="K39" s="64">
        <v>230.65</v>
      </c>
      <c r="L39" s="64">
        <v>26.78</v>
      </c>
      <c r="M39" s="64">
        <v>82.63</v>
      </c>
      <c r="N39" s="64">
        <v>99.7</v>
      </c>
      <c r="O39" s="64">
        <v>0</v>
      </c>
      <c r="P39" s="64">
        <v>0.43</v>
      </c>
      <c r="Q39" s="64">
        <v>9.32</v>
      </c>
      <c r="R39" s="198"/>
      <c r="S39" s="198"/>
      <c r="T39" s="198"/>
      <c r="U39" s="198"/>
    </row>
    <row r="40" spans="1:21" s="12" customFormat="1" x14ac:dyDescent="0.25">
      <c r="A40" s="214" t="s">
        <v>1909</v>
      </c>
      <c r="B40" s="64">
        <v>6.24</v>
      </c>
      <c r="C40" s="64">
        <v>18.100000000000001</v>
      </c>
      <c r="D40" s="64">
        <v>25.06</v>
      </c>
      <c r="E40" s="64">
        <v>3.68</v>
      </c>
      <c r="F40" s="64">
        <v>4.91</v>
      </c>
      <c r="G40" s="64">
        <v>27.59</v>
      </c>
      <c r="H40" s="64">
        <v>11.45</v>
      </c>
      <c r="I40" s="64">
        <v>3.85</v>
      </c>
      <c r="J40" s="64">
        <v>0.75</v>
      </c>
      <c r="K40" s="64">
        <v>231.42</v>
      </c>
      <c r="L40" s="64">
        <v>26.61</v>
      </c>
      <c r="M40" s="64">
        <v>82.96</v>
      </c>
      <c r="N40" s="64">
        <v>120.1</v>
      </c>
      <c r="O40" s="64">
        <v>0</v>
      </c>
      <c r="P40" s="64">
        <v>0.42</v>
      </c>
      <c r="Q40" s="64">
        <v>9.34</v>
      </c>
      <c r="R40" s="198"/>
      <c r="S40" s="198"/>
      <c r="T40" s="198"/>
      <c r="U40" s="198"/>
    </row>
    <row r="41" spans="1:21" s="12" customFormat="1" x14ac:dyDescent="0.25">
      <c r="A41" s="214" t="s">
        <v>1910</v>
      </c>
      <c r="B41" s="64">
        <v>6.26</v>
      </c>
      <c r="C41" s="64">
        <v>19.239999999999998</v>
      </c>
      <c r="D41" s="64">
        <v>27.21</v>
      </c>
      <c r="E41" s="64">
        <v>3.5</v>
      </c>
      <c r="F41" s="64">
        <v>8.85</v>
      </c>
      <c r="G41" s="64">
        <v>27.59</v>
      </c>
      <c r="H41" s="64">
        <v>11.45</v>
      </c>
      <c r="I41" s="64">
        <v>4.1399999999999997</v>
      </c>
      <c r="J41" s="64">
        <v>0.61</v>
      </c>
      <c r="K41" s="64">
        <v>229.01</v>
      </c>
      <c r="L41" s="64">
        <v>26.57</v>
      </c>
      <c r="M41" s="64">
        <v>83.24</v>
      </c>
      <c r="N41" s="64">
        <v>142.80000000000001</v>
      </c>
      <c r="O41" s="64">
        <v>0</v>
      </c>
      <c r="P41" s="64">
        <v>0.42</v>
      </c>
      <c r="Q41" s="64">
        <v>9.34</v>
      </c>
      <c r="R41" s="198"/>
      <c r="S41" s="198"/>
      <c r="T41" s="198"/>
      <c r="U41" s="198"/>
    </row>
    <row r="42" spans="1:21" s="12" customFormat="1" x14ac:dyDescent="0.25">
      <c r="A42" s="214" t="s">
        <v>1911</v>
      </c>
      <c r="B42" s="64">
        <v>5.85</v>
      </c>
      <c r="C42" s="64">
        <v>18.399999999999999</v>
      </c>
      <c r="D42" s="64">
        <v>26.25</v>
      </c>
      <c r="E42" s="64">
        <v>3.2</v>
      </c>
      <c r="F42" s="64">
        <v>12.33</v>
      </c>
      <c r="G42" s="64">
        <v>27.41</v>
      </c>
      <c r="H42" s="64">
        <v>11.48</v>
      </c>
      <c r="I42" s="64">
        <v>3.92</v>
      </c>
      <c r="J42" s="64">
        <v>0.53</v>
      </c>
      <c r="K42" s="64">
        <v>220.06</v>
      </c>
      <c r="L42" s="64">
        <v>26.9</v>
      </c>
      <c r="M42" s="64">
        <v>82.76</v>
      </c>
      <c r="N42" s="64">
        <v>185.5</v>
      </c>
      <c r="O42" s="64">
        <v>0</v>
      </c>
      <c r="P42" s="64">
        <v>0.37</v>
      </c>
      <c r="Q42" s="64">
        <v>9.32</v>
      </c>
      <c r="R42" s="198"/>
      <c r="S42" s="198"/>
      <c r="T42" s="198"/>
      <c r="U42" s="198"/>
    </row>
    <row r="43" spans="1:21" s="12" customFormat="1" x14ac:dyDescent="0.25">
      <c r="A43" s="214" t="s">
        <v>1912</v>
      </c>
      <c r="B43" s="64">
        <v>6.29</v>
      </c>
      <c r="C43" s="64">
        <v>19.690000000000001</v>
      </c>
      <c r="D43" s="64">
        <v>28.03</v>
      </c>
      <c r="E43" s="64">
        <v>3.41</v>
      </c>
      <c r="F43" s="64">
        <v>11.08</v>
      </c>
      <c r="G43" s="64">
        <v>26.83</v>
      </c>
      <c r="H43" s="64">
        <v>11.59</v>
      </c>
      <c r="I43" s="64">
        <v>4.09</v>
      </c>
      <c r="J43" s="64">
        <v>0.47</v>
      </c>
      <c r="K43" s="64">
        <v>204.78</v>
      </c>
      <c r="L43" s="64">
        <v>27.55</v>
      </c>
      <c r="M43" s="64">
        <v>82.01</v>
      </c>
      <c r="N43" s="64">
        <v>174.2</v>
      </c>
      <c r="O43" s="64">
        <v>0</v>
      </c>
      <c r="P43" s="64">
        <v>0.38</v>
      </c>
      <c r="Q43" s="64">
        <v>9.3000000000000007</v>
      </c>
      <c r="R43" s="198"/>
      <c r="S43" s="198"/>
      <c r="T43" s="198"/>
      <c r="U43" s="198"/>
    </row>
    <row r="44" spans="1:21" s="12" customFormat="1" x14ac:dyDescent="0.25">
      <c r="A44" s="214" t="s">
        <v>1913</v>
      </c>
      <c r="B44" s="64">
        <v>9.4499999999999993</v>
      </c>
      <c r="C44" s="64">
        <v>23.95</v>
      </c>
      <c r="D44" s="64">
        <v>31.34</v>
      </c>
      <c r="E44" s="64">
        <v>3.56</v>
      </c>
      <c r="F44" s="64">
        <v>7.23</v>
      </c>
      <c r="G44" s="64">
        <v>26.83</v>
      </c>
      <c r="H44" s="64">
        <v>11.59</v>
      </c>
      <c r="I44" s="64">
        <v>4.0999999999999996</v>
      </c>
      <c r="J44" s="64">
        <v>0.79</v>
      </c>
      <c r="K44" s="64">
        <v>232.54</v>
      </c>
      <c r="L44" s="64">
        <v>28.29</v>
      </c>
      <c r="M44" s="64">
        <v>81.97</v>
      </c>
      <c r="N44" s="64">
        <v>138.5</v>
      </c>
      <c r="O44" s="64">
        <v>0</v>
      </c>
      <c r="P44" s="64">
        <v>0.45</v>
      </c>
      <c r="Q44" s="64">
        <v>9.2899999999999991</v>
      </c>
      <c r="R44" s="198"/>
      <c r="S44" s="198"/>
      <c r="T44" s="198"/>
      <c r="U44" s="198"/>
    </row>
    <row r="45" spans="1:21" s="12" customFormat="1" x14ac:dyDescent="0.25">
      <c r="A45" s="214" t="s">
        <v>1914</v>
      </c>
      <c r="B45" s="64">
        <v>8.9499999999999993</v>
      </c>
      <c r="C45" s="64">
        <v>21.92</v>
      </c>
      <c r="D45" s="64">
        <v>28.21</v>
      </c>
      <c r="E45" s="64">
        <v>3.65</v>
      </c>
      <c r="F45" s="64">
        <v>6.95</v>
      </c>
      <c r="G45" s="64">
        <v>26.83</v>
      </c>
      <c r="H45" s="64">
        <v>11.59</v>
      </c>
      <c r="I45" s="64">
        <v>4</v>
      </c>
      <c r="J45" s="64">
        <v>1.1299999999999999</v>
      </c>
      <c r="K45" s="64">
        <v>233.39</v>
      </c>
      <c r="L45" s="64">
        <v>28.62</v>
      </c>
      <c r="M45" s="64">
        <v>81.78</v>
      </c>
      <c r="N45" s="64">
        <v>155.9</v>
      </c>
      <c r="O45" s="64">
        <v>0</v>
      </c>
      <c r="P45" s="64">
        <v>0.45</v>
      </c>
      <c r="Q45" s="64">
        <v>9.3000000000000007</v>
      </c>
      <c r="R45" s="198"/>
      <c r="S45" s="198"/>
      <c r="T45" s="198"/>
      <c r="U45" s="198"/>
    </row>
    <row r="46" spans="1:21" s="12" customFormat="1" x14ac:dyDescent="0.25">
      <c r="A46" s="214" t="s">
        <v>1915</v>
      </c>
      <c r="B46" s="64">
        <v>9.67</v>
      </c>
      <c r="C46" s="64">
        <v>22.11</v>
      </c>
      <c r="D46" s="64">
        <v>27.47</v>
      </c>
      <c r="E46" s="64">
        <v>3.39</v>
      </c>
      <c r="F46" s="64">
        <v>7.08</v>
      </c>
      <c r="G46" s="64">
        <v>28.43</v>
      </c>
      <c r="H46" s="64">
        <v>11.63</v>
      </c>
      <c r="I46" s="64">
        <v>3.95</v>
      </c>
      <c r="J46" s="64">
        <v>1.0900000000000001</v>
      </c>
      <c r="K46" s="64">
        <v>233.36</v>
      </c>
      <c r="L46" s="64">
        <v>28.96</v>
      </c>
      <c r="M46" s="64">
        <v>81.17</v>
      </c>
      <c r="N46" s="64">
        <v>208.8</v>
      </c>
      <c r="O46" s="64">
        <v>0</v>
      </c>
      <c r="P46" s="64">
        <v>0.46</v>
      </c>
      <c r="Q46" s="64">
        <v>9.31</v>
      </c>
      <c r="R46" s="198"/>
      <c r="S46" s="198"/>
      <c r="T46" s="198"/>
      <c r="U46" s="198"/>
    </row>
    <row r="47" spans="1:21" s="12" customFormat="1" x14ac:dyDescent="0.25">
      <c r="A47" s="214" t="s">
        <v>1916</v>
      </c>
      <c r="B47" s="64">
        <v>8.66</v>
      </c>
      <c r="C47" s="64">
        <v>20.76</v>
      </c>
      <c r="D47" s="64">
        <v>26.43</v>
      </c>
      <c r="E47" s="64">
        <v>3.28</v>
      </c>
      <c r="F47" s="64">
        <v>7.06</v>
      </c>
      <c r="G47" s="64">
        <v>33.1</v>
      </c>
      <c r="H47" s="64">
        <v>11.76</v>
      </c>
      <c r="I47" s="64">
        <v>3.86</v>
      </c>
      <c r="J47" s="64">
        <v>0.8</v>
      </c>
      <c r="K47" s="64">
        <v>231.53</v>
      </c>
      <c r="L47" s="64">
        <v>29.83</v>
      </c>
      <c r="M47" s="64">
        <v>78.75</v>
      </c>
      <c r="N47" s="64">
        <v>242</v>
      </c>
      <c r="O47" s="64">
        <v>0</v>
      </c>
      <c r="P47" s="64">
        <v>0.47</v>
      </c>
      <c r="Q47" s="64">
        <v>9.33</v>
      </c>
      <c r="R47" s="198"/>
      <c r="S47" s="198"/>
      <c r="T47" s="198"/>
      <c r="U47" s="198"/>
    </row>
    <row r="48" spans="1:21" s="12" customFormat="1" x14ac:dyDescent="0.25">
      <c r="A48" s="214" t="s">
        <v>1917</v>
      </c>
      <c r="B48" s="64">
        <v>8.1199999999999992</v>
      </c>
      <c r="C48" s="64">
        <v>21.15</v>
      </c>
      <c r="D48" s="64">
        <v>28.01</v>
      </c>
      <c r="E48" s="64">
        <v>3.2</v>
      </c>
      <c r="F48" s="64">
        <v>4.1100000000000003</v>
      </c>
      <c r="G48" s="64">
        <v>33.1</v>
      </c>
      <c r="H48" s="64">
        <v>11.76</v>
      </c>
      <c r="I48" s="64">
        <v>3.92</v>
      </c>
      <c r="J48" s="64">
        <v>1.0900000000000001</v>
      </c>
      <c r="K48" s="64">
        <v>232.05</v>
      </c>
      <c r="L48" s="64">
        <v>30.47</v>
      </c>
      <c r="M48" s="64">
        <v>78.11</v>
      </c>
      <c r="N48" s="64">
        <v>293.60000000000002</v>
      </c>
      <c r="O48" s="64">
        <v>0</v>
      </c>
      <c r="P48" s="64">
        <v>0.48</v>
      </c>
      <c r="Q48" s="64">
        <v>9.34</v>
      </c>
      <c r="R48" s="198"/>
      <c r="S48" s="198"/>
      <c r="T48" s="198"/>
      <c r="U48" s="198"/>
    </row>
    <row r="49" spans="1:21" s="12" customFormat="1" x14ac:dyDescent="0.25">
      <c r="A49" s="214" t="s">
        <v>1918</v>
      </c>
      <c r="B49" s="64">
        <v>11</v>
      </c>
      <c r="C49" s="64">
        <v>26.14</v>
      </c>
      <c r="D49" s="64">
        <v>33.159999999999997</v>
      </c>
      <c r="E49" s="64">
        <v>3.63</v>
      </c>
      <c r="F49" s="64">
        <v>8.6199999999999992</v>
      </c>
      <c r="G49" s="64">
        <v>33.1</v>
      </c>
      <c r="H49" s="64">
        <v>11.76</v>
      </c>
      <c r="I49" s="64">
        <v>4.04</v>
      </c>
      <c r="J49" s="64">
        <v>0.74</v>
      </c>
      <c r="K49" s="64">
        <v>248.03</v>
      </c>
      <c r="L49" s="64">
        <v>31.01</v>
      </c>
      <c r="M49" s="64">
        <v>80.010000000000005</v>
      </c>
      <c r="N49" s="64">
        <v>275.3</v>
      </c>
      <c r="O49" s="64">
        <v>0</v>
      </c>
      <c r="P49" s="64">
        <v>0.57999999999999996</v>
      </c>
      <c r="Q49" s="64">
        <v>9.36</v>
      </c>
      <c r="R49" s="198"/>
      <c r="S49" s="198"/>
      <c r="T49" s="198"/>
      <c r="U49" s="198"/>
    </row>
    <row r="50" spans="1:21" s="12" customFormat="1" x14ac:dyDescent="0.25">
      <c r="A50" s="214" t="s">
        <v>1919</v>
      </c>
      <c r="B50" s="64">
        <v>10.69</v>
      </c>
      <c r="C50" s="64">
        <v>26.53</v>
      </c>
      <c r="D50" s="64">
        <v>34.369999999999997</v>
      </c>
      <c r="E50" s="64">
        <v>3.55</v>
      </c>
      <c r="F50" s="64">
        <v>8.9</v>
      </c>
      <c r="G50" s="64">
        <v>35.520000000000003</v>
      </c>
      <c r="H50" s="64">
        <v>12.37</v>
      </c>
      <c r="I50" s="64">
        <v>3.97</v>
      </c>
      <c r="J50" s="64">
        <v>0.69</v>
      </c>
      <c r="K50" s="64">
        <v>264.75</v>
      </c>
      <c r="L50" s="64">
        <v>31.21</v>
      </c>
      <c r="M50" s="64">
        <v>80.010000000000005</v>
      </c>
      <c r="N50" s="64">
        <v>278.10000000000002</v>
      </c>
      <c r="O50" s="64">
        <v>0</v>
      </c>
      <c r="P50" s="64">
        <v>0.62</v>
      </c>
      <c r="Q50" s="64">
        <v>9.3699999999999992</v>
      </c>
      <c r="R50" s="198"/>
      <c r="S50" s="198"/>
      <c r="T50" s="198"/>
      <c r="U50" s="198"/>
    </row>
    <row r="51" spans="1:21" s="12" customFormat="1" x14ac:dyDescent="0.25">
      <c r="A51" s="214" t="s">
        <v>1920</v>
      </c>
      <c r="B51" s="64">
        <v>10.78</v>
      </c>
      <c r="C51" s="64">
        <v>29.32</v>
      </c>
      <c r="D51" s="64">
        <v>39.57</v>
      </c>
      <c r="E51" s="64">
        <v>3.47</v>
      </c>
      <c r="F51" s="64">
        <v>10.58</v>
      </c>
      <c r="G51" s="64">
        <v>42.57</v>
      </c>
      <c r="H51" s="64">
        <v>14.27</v>
      </c>
      <c r="I51" s="64">
        <v>4.07</v>
      </c>
      <c r="J51" s="64">
        <v>0.41</v>
      </c>
      <c r="K51" s="64">
        <v>250.24</v>
      </c>
      <c r="L51" s="64">
        <v>31.36</v>
      </c>
      <c r="M51" s="64">
        <v>79.459999999999994</v>
      </c>
      <c r="N51" s="64">
        <v>285.60000000000002</v>
      </c>
      <c r="O51" s="64">
        <v>0</v>
      </c>
      <c r="P51" s="64">
        <v>0.67</v>
      </c>
      <c r="Q51" s="64">
        <v>9.39</v>
      </c>
      <c r="R51" s="198"/>
      <c r="S51" s="198"/>
      <c r="T51" s="198"/>
      <c r="U51" s="198"/>
    </row>
    <row r="52" spans="1:21" s="12" customFormat="1" x14ac:dyDescent="0.25">
      <c r="A52" s="214" t="s">
        <v>1921</v>
      </c>
      <c r="B52" s="64">
        <v>9.75</v>
      </c>
      <c r="C52" s="64">
        <v>26.63</v>
      </c>
      <c r="D52" s="64">
        <v>36.01</v>
      </c>
      <c r="E52" s="64">
        <v>3.69</v>
      </c>
      <c r="F52" s="64">
        <v>4.8</v>
      </c>
      <c r="G52" s="64">
        <v>42.57</v>
      </c>
      <c r="H52" s="64">
        <v>14.27</v>
      </c>
      <c r="I52" s="64">
        <v>3.98</v>
      </c>
      <c r="J52" s="64">
        <v>0.82</v>
      </c>
      <c r="K52" s="64">
        <v>242.7</v>
      </c>
      <c r="L52" s="64">
        <v>31.86</v>
      </c>
      <c r="M52" s="64">
        <v>79.17</v>
      </c>
      <c r="N52" s="64">
        <v>298.89999999999998</v>
      </c>
      <c r="O52" s="64">
        <v>0</v>
      </c>
      <c r="P52" s="64">
        <v>0.65</v>
      </c>
      <c r="Q52" s="64">
        <v>9.4</v>
      </c>
      <c r="R52" s="198"/>
      <c r="S52" s="198"/>
      <c r="T52" s="198"/>
      <c r="U52" s="198"/>
    </row>
    <row r="53" spans="1:21" s="12" customFormat="1" x14ac:dyDescent="0.25">
      <c r="A53" s="214" t="s">
        <v>1922</v>
      </c>
      <c r="B53" s="64">
        <v>10.71</v>
      </c>
      <c r="C53" s="64">
        <v>26.48</v>
      </c>
      <c r="D53" s="64">
        <v>34.229999999999997</v>
      </c>
      <c r="E53" s="64">
        <v>3.49</v>
      </c>
      <c r="F53" s="64">
        <v>5.64</v>
      </c>
      <c r="G53" s="64">
        <v>42.57</v>
      </c>
      <c r="H53" s="64">
        <v>14.27</v>
      </c>
      <c r="I53" s="64">
        <v>4.03</v>
      </c>
      <c r="J53" s="64">
        <v>0.86</v>
      </c>
      <c r="K53" s="64">
        <v>241.38</v>
      </c>
      <c r="L53" s="64">
        <v>32.39</v>
      </c>
      <c r="M53" s="64">
        <v>77.11</v>
      </c>
      <c r="N53" s="64">
        <v>326.39999999999998</v>
      </c>
      <c r="O53" s="64">
        <v>0</v>
      </c>
      <c r="P53" s="64">
        <v>0.7</v>
      </c>
      <c r="Q53" s="64">
        <v>9.43</v>
      </c>
      <c r="R53" s="198"/>
      <c r="S53" s="198"/>
      <c r="T53" s="198"/>
      <c r="U53" s="198"/>
    </row>
    <row r="54" spans="1:21" s="12" customFormat="1" x14ac:dyDescent="0.25">
      <c r="A54" s="214" t="s">
        <v>1923</v>
      </c>
      <c r="B54" s="64">
        <v>11.21</v>
      </c>
      <c r="C54" s="64">
        <v>32.35</v>
      </c>
      <c r="D54" s="64">
        <v>44.7</v>
      </c>
      <c r="E54" s="64">
        <v>4.1900000000000004</v>
      </c>
      <c r="F54" s="64">
        <v>12.69</v>
      </c>
      <c r="G54" s="64">
        <v>46.24</v>
      </c>
      <c r="H54" s="64">
        <v>15.74</v>
      </c>
      <c r="I54" s="64">
        <v>4.04</v>
      </c>
      <c r="J54" s="64">
        <v>0.36</v>
      </c>
      <c r="K54" s="64">
        <v>236.34</v>
      </c>
      <c r="L54" s="64">
        <v>32.89</v>
      </c>
      <c r="M54" s="64">
        <v>74.52</v>
      </c>
      <c r="N54" s="64">
        <v>452.9</v>
      </c>
      <c r="O54" s="64">
        <v>0</v>
      </c>
      <c r="P54" s="64">
        <v>0.79</v>
      </c>
      <c r="Q54" s="64">
        <v>9.44</v>
      </c>
      <c r="R54" s="198"/>
      <c r="S54" s="198"/>
      <c r="T54" s="198"/>
      <c r="U54" s="198"/>
    </row>
    <row r="55" spans="1:21" s="12" customFormat="1" x14ac:dyDescent="0.25">
      <c r="A55" s="214" t="s">
        <v>1924</v>
      </c>
      <c r="B55" s="64">
        <v>10.39</v>
      </c>
      <c r="C55" s="64">
        <v>28.72</v>
      </c>
      <c r="D55" s="64">
        <v>39.020000000000003</v>
      </c>
      <c r="E55" s="64">
        <v>4.09</v>
      </c>
      <c r="F55" s="64">
        <v>9.5299999999999994</v>
      </c>
      <c r="G55" s="64">
        <v>57.58</v>
      </c>
      <c r="H55" s="64">
        <v>20.27</v>
      </c>
      <c r="I55" s="64">
        <v>3.91</v>
      </c>
      <c r="J55" s="64">
        <v>0.52</v>
      </c>
      <c r="K55" s="64">
        <v>244.76</v>
      </c>
      <c r="L55" s="64">
        <v>33.61</v>
      </c>
      <c r="M55" s="64">
        <v>72.31</v>
      </c>
      <c r="N55" s="64">
        <v>490.3</v>
      </c>
      <c r="O55" s="64">
        <v>0</v>
      </c>
      <c r="P55" s="64">
        <v>0.74</v>
      </c>
      <c r="Q55" s="64">
        <v>9.4700000000000006</v>
      </c>
      <c r="R55" s="198"/>
      <c r="S55" s="198"/>
      <c r="T55" s="198"/>
      <c r="U55" s="198"/>
    </row>
    <row r="56" spans="1:21" s="12" customFormat="1" x14ac:dyDescent="0.25">
      <c r="A56" s="214" t="s">
        <v>1925</v>
      </c>
      <c r="B56" s="64">
        <v>10.38</v>
      </c>
      <c r="C56" s="64">
        <v>33.89</v>
      </c>
      <c r="D56" s="64">
        <v>48.94</v>
      </c>
      <c r="E56" s="64">
        <v>4.1500000000000004</v>
      </c>
      <c r="F56" s="64">
        <v>16.02</v>
      </c>
      <c r="G56" s="64">
        <v>57.58</v>
      </c>
      <c r="H56" s="64">
        <v>20.27</v>
      </c>
      <c r="I56" s="64">
        <v>4</v>
      </c>
      <c r="J56" s="64">
        <v>0.17</v>
      </c>
      <c r="K56" s="64">
        <v>250.19</v>
      </c>
      <c r="L56" s="64">
        <v>33.409999999999997</v>
      </c>
      <c r="M56" s="64">
        <v>72.569999999999993</v>
      </c>
      <c r="N56" s="64">
        <v>363.3</v>
      </c>
      <c r="O56" s="64">
        <v>0</v>
      </c>
      <c r="P56" s="64">
        <v>0.83</v>
      </c>
      <c r="Q56" s="64">
        <v>9.4700000000000006</v>
      </c>
      <c r="R56" s="198"/>
      <c r="S56" s="198"/>
      <c r="T56" s="198"/>
      <c r="U56" s="198"/>
    </row>
    <row r="57" spans="1:21" s="12" customFormat="1" x14ac:dyDescent="0.25">
      <c r="A57" s="214" t="s">
        <v>1926</v>
      </c>
      <c r="B57" s="64">
        <v>10.56</v>
      </c>
      <c r="C57" s="64">
        <v>31.67</v>
      </c>
      <c r="D57" s="64">
        <v>44.42</v>
      </c>
      <c r="E57" s="64">
        <v>5.04</v>
      </c>
      <c r="F57" s="64">
        <v>17.07</v>
      </c>
      <c r="G57" s="64">
        <v>57.58</v>
      </c>
      <c r="H57" s="64">
        <v>20.27</v>
      </c>
      <c r="I57" s="64">
        <v>3.88</v>
      </c>
      <c r="J57" s="64">
        <v>0.52</v>
      </c>
      <c r="K57" s="64">
        <v>249.75</v>
      </c>
      <c r="L57" s="64">
        <v>33.770000000000003</v>
      </c>
      <c r="M57" s="64">
        <v>71.37</v>
      </c>
      <c r="N57" s="64">
        <v>380.1</v>
      </c>
      <c r="O57" s="64">
        <v>0</v>
      </c>
      <c r="P57" s="64">
        <v>0.86</v>
      </c>
      <c r="Q57" s="64">
        <v>9.4700000000000006</v>
      </c>
      <c r="R57" s="198"/>
      <c r="S57" s="198"/>
      <c r="T57" s="198"/>
      <c r="U57" s="198"/>
    </row>
    <row r="58" spans="1:21" s="12" customFormat="1" x14ac:dyDescent="0.25">
      <c r="A58" s="214" t="s">
        <v>1927</v>
      </c>
      <c r="B58" s="64">
        <v>15.67</v>
      </c>
      <c r="C58" s="64">
        <v>42.89</v>
      </c>
      <c r="D58" s="64">
        <v>58.03</v>
      </c>
      <c r="E58" s="64">
        <v>5.38</v>
      </c>
      <c r="F58" s="64">
        <v>18.989999999999998</v>
      </c>
      <c r="G58" s="64">
        <v>60.36</v>
      </c>
      <c r="H58" s="64">
        <v>21.39</v>
      </c>
      <c r="I58" s="64">
        <v>4.01</v>
      </c>
      <c r="J58" s="64">
        <v>0.61</v>
      </c>
      <c r="K58" s="64">
        <v>246.39</v>
      </c>
      <c r="L58" s="64">
        <v>34.26</v>
      </c>
      <c r="M58" s="64">
        <v>69.17</v>
      </c>
      <c r="N58" s="64">
        <v>363.9</v>
      </c>
      <c r="O58" s="64">
        <v>0</v>
      </c>
      <c r="P58" s="64">
        <v>0.94</v>
      </c>
      <c r="Q58" s="64">
        <v>9.4499999999999993</v>
      </c>
      <c r="R58" s="198"/>
      <c r="S58" s="198"/>
      <c r="T58" s="198"/>
      <c r="U58" s="198"/>
    </row>
    <row r="59" spans="1:21" s="12" customFormat="1" x14ac:dyDescent="0.25">
      <c r="A59" s="214" t="s">
        <v>1928</v>
      </c>
      <c r="B59" s="64">
        <v>9.06</v>
      </c>
      <c r="C59" s="64">
        <v>31.06</v>
      </c>
      <c r="D59" s="64">
        <v>45.56</v>
      </c>
      <c r="E59" s="64">
        <v>5.0199999999999996</v>
      </c>
      <c r="F59" s="64">
        <v>20.32</v>
      </c>
      <c r="G59" s="64">
        <v>68.45</v>
      </c>
      <c r="H59" s="64">
        <v>24.83</v>
      </c>
      <c r="I59" s="64">
        <v>3.99</v>
      </c>
      <c r="J59" s="64">
        <v>0.62</v>
      </c>
      <c r="K59" s="64">
        <v>239.17</v>
      </c>
      <c r="L59" s="64">
        <v>34.24</v>
      </c>
      <c r="M59" s="64">
        <v>67.959999999999994</v>
      </c>
      <c r="N59" s="64">
        <v>376.6</v>
      </c>
      <c r="O59" s="64">
        <v>0</v>
      </c>
      <c r="P59" s="64">
        <v>0.82</v>
      </c>
      <c r="Q59" s="64">
        <v>9.4499999999999993</v>
      </c>
      <c r="R59" s="198"/>
      <c r="S59" s="198"/>
      <c r="T59" s="198"/>
      <c r="U59" s="198"/>
    </row>
    <row r="60" spans="1:21" s="12" customFormat="1" x14ac:dyDescent="0.25">
      <c r="A60" s="214" t="s">
        <v>1929</v>
      </c>
      <c r="B60" s="64">
        <v>8.18</v>
      </c>
      <c r="C60" s="64">
        <v>30.59</v>
      </c>
      <c r="D60" s="64">
        <v>46</v>
      </c>
      <c r="E60" s="64">
        <v>5.28</v>
      </c>
      <c r="F60" s="64">
        <v>24.42</v>
      </c>
      <c r="G60" s="64">
        <v>68.45</v>
      </c>
      <c r="H60" s="64">
        <v>24.83</v>
      </c>
      <c r="I60" s="64">
        <v>4.04</v>
      </c>
      <c r="J60" s="64">
        <v>0.38</v>
      </c>
      <c r="K60" s="64">
        <v>207</v>
      </c>
      <c r="L60" s="64">
        <v>33.380000000000003</v>
      </c>
      <c r="M60" s="64">
        <v>69.680000000000007</v>
      </c>
      <c r="N60" s="64">
        <v>428.6</v>
      </c>
      <c r="O60" s="64">
        <v>0</v>
      </c>
      <c r="P60" s="64">
        <v>0.77</v>
      </c>
      <c r="Q60" s="64">
        <v>9.43</v>
      </c>
      <c r="R60" s="198"/>
      <c r="S60" s="198"/>
      <c r="T60" s="198"/>
      <c r="U60" s="198"/>
    </row>
    <row r="61" spans="1:21" s="12" customFormat="1" x14ac:dyDescent="0.25">
      <c r="A61" s="214" t="s">
        <v>1930</v>
      </c>
      <c r="B61" s="64">
        <v>6.87</v>
      </c>
      <c r="C61" s="64">
        <v>26.35</v>
      </c>
      <c r="D61" s="64">
        <v>39.880000000000003</v>
      </c>
      <c r="E61" s="64">
        <v>4.97</v>
      </c>
      <c r="F61" s="64">
        <v>27.45</v>
      </c>
      <c r="G61" s="64">
        <v>68.45</v>
      </c>
      <c r="H61" s="64">
        <v>24.83</v>
      </c>
      <c r="I61" s="64">
        <v>3.97</v>
      </c>
      <c r="J61" s="64">
        <v>0.6</v>
      </c>
      <c r="K61" s="64">
        <v>150.31</v>
      </c>
      <c r="L61" s="64">
        <v>32.81</v>
      </c>
      <c r="M61" s="64">
        <v>70.88</v>
      </c>
      <c r="N61" s="64">
        <v>374.6</v>
      </c>
      <c r="O61" s="64">
        <v>0</v>
      </c>
      <c r="P61" s="64">
        <v>0.63</v>
      </c>
      <c r="Q61" s="64">
        <v>9.43</v>
      </c>
      <c r="R61" s="198"/>
      <c r="S61" s="198"/>
      <c r="T61" s="198"/>
      <c r="U61" s="198"/>
    </row>
    <row r="62" spans="1:21" s="12" customFormat="1" x14ac:dyDescent="0.25">
      <c r="A62" s="214" t="s">
        <v>1931</v>
      </c>
      <c r="B62" s="64">
        <v>8.68</v>
      </c>
      <c r="C62" s="64">
        <v>29.9</v>
      </c>
      <c r="D62" s="64">
        <v>43.92</v>
      </c>
      <c r="E62" s="64">
        <v>5.0999999999999996</v>
      </c>
      <c r="F62" s="64">
        <v>28.97</v>
      </c>
      <c r="G62" s="64">
        <v>66.459999999999994</v>
      </c>
      <c r="H62" s="64">
        <v>24.38</v>
      </c>
      <c r="I62" s="64">
        <v>4.03</v>
      </c>
      <c r="J62" s="64">
        <v>0.28000000000000003</v>
      </c>
      <c r="K62" s="64">
        <v>203.99</v>
      </c>
      <c r="L62" s="64">
        <v>33.549999999999997</v>
      </c>
      <c r="M62" s="64">
        <v>69.63</v>
      </c>
      <c r="N62" s="64">
        <v>386.1</v>
      </c>
      <c r="O62" s="64">
        <v>0</v>
      </c>
      <c r="P62" s="64">
        <v>0.72</v>
      </c>
      <c r="Q62" s="64">
        <v>9.39</v>
      </c>
      <c r="R62" s="198"/>
      <c r="S62" s="198"/>
      <c r="T62" s="198"/>
      <c r="U62" s="198"/>
    </row>
    <row r="63" spans="1:21" s="12" customFormat="1" x14ac:dyDescent="0.25">
      <c r="A63" s="214" t="s">
        <v>1932</v>
      </c>
      <c r="B63" s="64">
        <v>8.9</v>
      </c>
      <c r="C63" s="64">
        <v>30.1</v>
      </c>
      <c r="D63" s="64">
        <v>43.94</v>
      </c>
      <c r="E63" s="64">
        <v>4.4000000000000004</v>
      </c>
      <c r="F63" s="64">
        <v>30.5</v>
      </c>
      <c r="G63" s="64">
        <v>60.69</v>
      </c>
      <c r="H63" s="64">
        <v>23.04</v>
      </c>
      <c r="I63" s="64">
        <v>4.03</v>
      </c>
      <c r="J63" s="64">
        <v>0.45</v>
      </c>
      <c r="K63" s="64">
        <v>236</v>
      </c>
      <c r="L63" s="64">
        <v>34.58</v>
      </c>
      <c r="M63" s="64">
        <v>65.44</v>
      </c>
      <c r="N63" s="64">
        <v>406.8</v>
      </c>
      <c r="O63" s="64">
        <v>0</v>
      </c>
      <c r="P63" s="64">
        <v>0.69</v>
      </c>
      <c r="Q63" s="64">
        <v>9.3699999999999992</v>
      </c>
      <c r="R63" s="198"/>
      <c r="S63" s="198"/>
      <c r="T63" s="198"/>
      <c r="U63" s="198"/>
    </row>
    <row r="64" spans="1:21" s="12" customFormat="1" x14ac:dyDescent="0.25">
      <c r="A64" s="214" t="s">
        <v>1933</v>
      </c>
      <c r="B64" s="64">
        <v>6.64</v>
      </c>
      <c r="C64" s="64">
        <v>23.52</v>
      </c>
      <c r="D64" s="64">
        <v>34.82</v>
      </c>
      <c r="E64" s="64">
        <v>5.36</v>
      </c>
      <c r="F64" s="64">
        <v>26.77</v>
      </c>
      <c r="G64" s="64">
        <v>60.69</v>
      </c>
      <c r="H64" s="64">
        <v>23.04</v>
      </c>
      <c r="I64" s="64">
        <v>4.16</v>
      </c>
      <c r="J64" s="64">
        <v>0.57999999999999996</v>
      </c>
      <c r="K64" s="64">
        <v>224.77</v>
      </c>
      <c r="L64" s="64">
        <v>35.42</v>
      </c>
      <c r="M64" s="64">
        <v>63</v>
      </c>
      <c r="N64" s="64">
        <v>427.6</v>
      </c>
      <c r="O64" s="64">
        <v>0</v>
      </c>
      <c r="P64" s="64">
        <v>0.71</v>
      </c>
      <c r="Q64" s="64">
        <v>9.3699999999999992</v>
      </c>
      <c r="R64" s="198"/>
      <c r="S64" s="198"/>
      <c r="T64" s="198"/>
      <c r="U64" s="198"/>
    </row>
    <row r="65" spans="1:21" s="12" customFormat="1" x14ac:dyDescent="0.25">
      <c r="A65" s="214" t="s">
        <v>1934</v>
      </c>
      <c r="B65" s="64">
        <v>6.32</v>
      </c>
      <c r="C65" s="64">
        <v>23.64</v>
      </c>
      <c r="D65" s="64">
        <v>35.56</v>
      </c>
      <c r="E65" s="64">
        <v>5.42</v>
      </c>
      <c r="F65" s="64">
        <v>16.239999999999998</v>
      </c>
      <c r="G65" s="64">
        <v>60.69</v>
      </c>
      <c r="H65" s="64">
        <v>23.04</v>
      </c>
      <c r="I65" s="64">
        <v>3.85</v>
      </c>
      <c r="J65" s="64">
        <v>0.94</v>
      </c>
      <c r="K65" s="64">
        <v>238.41</v>
      </c>
      <c r="L65" s="64">
        <v>36.56</v>
      </c>
      <c r="M65" s="64">
        <v>58.08</v>
      </c>
      <c r="N65" s="64">
        <v>391.6</v>
      </c>
      <c r="O65" s="64">
        <v>0</v>
      </c>
      <c r="P65" s="64">
        <v>0.76</v>
      </c>
      <c r="Q65" s="64">
        <v>9.35</v>
      </c>
      <c r="R65" s="198"/>
      <c r="S65" s="198"/>
      <c r="T65" s="198"/>
      <c r="U65" s="198"/>
    </row>
    <row r="66" spans="1:21" s="12" customFormat="1" x14ac:dyDescent="0.25">
      <c r="A66" s="214" t="s">
        <v>1935</v>
      </c>
      <c r="B66" s="64">
        <v>8.33</v>
      </c>
      <c r="C66" s="64">
        <v>26.93</v>
      </c>
      <c r="D66" s="64">
        <v>38.75</v>
      </c>
      <c r="E66" s="64">
        <v>5.46</v>
      </c>
      <c r="F66" s="64">
        <v>25.6</v>
      </c>
      <c r="G66" s="64">
        <v>59.72</v>
      </c>
      <c r="H66" s="64">
        <v>22.94</v>
      </c>
      <c r="I66" s="64">
        <v>4.05</v>
      </c>
      <c r="J66" s="64">
        <v>0.17</v>
      </c>
      <c r="K66" s="64">
        <v>191.68</v>
      </c>
      <c r="L66" s="64">
        <v>35.549999999999997</v>
      </c>
      <c r="M66" s="64">
        <v>59.77</v>
      </c>
      <c r="N66" s="64">
        <v>283.8</v>
      </c>
      <c r="O66" s="64">
        <v>0</v>
      </c>
      <c r="P66" s="64">
        <v>0.67</v>
      </c>
      <c r="Q66" s="64">
        <v>9.35</v>
      </c>
      <c r="R66" s="198"/>
      <c r="S66" s="198"/>
      <c r="T66" s="198"/>
      <c r="U66" s="198"/>
    </row>
    <row r="67" spans="1:21" s="12" customFormat="1" x14ac:dyDescent="0.25">
      <c r="A67" s="214" t="s">
        <v>1936</v>
      </c>
      <c r="B67" s="64">
        <v>6.92</v>
      </c>
      <c r="C67" s="64">
        <v>23.96</v>
      </c>
      <c r="D67" s="64">
        <v>35.229999999999997</v>
      </c>
      <c r="E67" s="64">
        <v>5.67</v>
      </c>
      <c r="F67" s="64">
        <v>25.85</v>
      </c>
      <c r="G67" s="64">
        <v>56.72</v>
      </c>
      <c r="H67" s="64">
        <v>22.66</v>
      </c>
      <c r="I67" s="64">
        <v>4.04</v>
      </c>
      <c r="J67" s="64">
        <v>0.52</v>
      </c>
      <c r="K67" s="64">
        <v>258.72000000000003</v>
      </c>
      <c r="L67" s="64">
        <v>36.159999999999997</v>
      </c>
      <c r="M67" s="64">
        <v>58.88</v>
      </c>
      <c r="N67" s="64">
        <v>271.89999999999998</v>
      </c>
      <c r="O67" s="64">
        <v>0</v>
      </c>
      <c r="P67" s="64">
        <v>0.78</v>
      </c>
      <c r="Q67" s="64">
        <v>9.35</v>
      </c>
      <c r="R67" s="198"/>
      <c r="S67" s="198"/>
      <c r="T67" s="198"/>
      <c r="U67" s="198"/>
    </row>
    <row r="68" spans="1:21" s="12" customFormat="1" x14ac:dyDescent="0.25">
      <c r="A68" s="214" t="s">
        <v>1937</v>
      </c>
      <c r="B68" s="64">
        <v>7.49</v>
      </c>
      <c r="C68" s="64">
        <v>28.71</v>
      </c>
      <c r="D68" s="64">
        <v>43.45</v>
      </c>
      <c r="E68" s="64">
        <v>5.95</v>
      </c>
      <c r="F68" s="64">
        <v>28.19</v>
      </c>
      <c r="G68" s="64">
        <v>56.72</v>
      </c>
      <c r="H68" s="64">
        <v>22.66</v>
      </c>
      <c r="I68" s="64">
        <v>4.18</v>
      </c>
      <c r="J68" s="64">
        <v>0.36</v>
      </c>
      <c r="K68" s="64">
        <v>237.6</v>
      </c>
      <c r="L68" s="64">
        <v>36.15</v>
      </c>
      <c r="M68" s="64">
        <v>57.93</v>
      </c>
      <c r="N68" s="64">
        <v>302.39999999999998</v>
      </c>
      <c r="O68" s="64">
        <v>0</v>
      </c>
      <c r="P68" s="64">
        <v>0.8</v>
      </c>
      <c r="Q68" s="64">
        <v>9.33</v>
      </c>
      <c r="R68" s="198"/>
      <c r="S68" s="198"/>
      <c r="T68" s="198"/>
      <c r="U68" s="198"/>
    </row>
    <row r="69" spans="1:21" s="12" customFormat="1" x14ac:dyDescent="0.25">
      <c r="A69" s="214" t="s">
        <v>1938</v>
      </c>
      <c r="B69" s="64">
        <v>6.61</v>
      </c>
      <c r="C69" s="64">
        <v>27.71</v>
      </c>
      <c r="D69" s="64">
        <v>42.89</v>
      </c>
      <c r="E69" s="64">
        <v>5.87</v>
      </c>
      <c r="F69" s="64">
        <v>24.04</v>
      </c>
      <c r="G69" s="64">
        <v>56.72</v>
      </c>
      <c r="H69" s="64">
        <v>22.66</v>
      </c>
      <c r="I69" s="64">
        <v>3.93</v>
      </c>
      <c r="J69" s="64">
        <v>0.63</v>
      </c>
      <c r="K69" s="64">
        <v>244.8</v>
      </c>
      <c r="L69" s="64">
        <v>36.42</v>
      </c>
      <c r="M69" s="64">
        <v>56.36</v>
      </c>
      <c r="N69" s="64">
        <v>268</v>
      </c>
      <c r="O69" s="64">
        <v>0</v>
      </c>
      <c r="P69" s="64">
        <v>0.83</v>
      </c>
      <c r="Q69" s="64">
        <v>9.34</v>
      </c>
      <c r="R69" s="198"/>
      <c r="S69" s="198"/>
      <c r="T69" s="198"/>
      <c r="U69" s="198"/>
    </row>
    <row r="70" spans="1:21" s="12" customFormat="1" x14ac:dyDescent="0.25">
      <c r="A70" s="214" t="s">
        <v>1939</v>
      </c>
      <c r="B70" s="64">
        <v>7.21</v>
      </c>
      <c r="C70" s="64">
        <v>29.12</v>
      </c>
      <c r="D70" s="64">
        <v>44.68</v>
      </c>
      <c r="E70" s="64">
        <v>6.28</v>
      </c>
      <c r="F70" s="64">
        <v>30.97</v>
      </c>
      <c r="G70" s="64">
        <v>55.49</v>
      </c>
      <c r="H70" s="64">
        <v>22.68</v>
      </c>
      <c r="I70" s="64">
        <v>4.0999999999999996</v>
      </c>
      <c r="J70" s="64">
        <v>0.55000000000000004</v>
      </c>
      <c r="K70" s="64">
        <v>252.94</v>
      </c>
      <c r="L70" s="64">
        <v>36.82</v>
      </c>
      <c r="M70" s="64">
        <v>54.84</v>
      </c>
      <c r="N70" s="64">
        <v>337.5</v>
      </c>
      <c r="O70" s="64">
        <v>0</v>
      </c>
      <c r="P70" s="64">
        <v>0.84</v>
      </c>
      <c r="Q70" s="64">
        <v>9.35</v>
      </c>
      <c r="R70" s="198"/>
      <c r="S70" s="198"/>
      <c r="T70" s="198"/>
      <c r="U70" s="198"/>
    </row>
    <row r="71" spans="1:21" s="12" customFormat="1" x14ac:dyDescent="0.25">
      <c r="A71" s="214" t="s">
        <v>1940</v>
      </c>
      <c r="B71" s="64">
        <v>5.07</v>
      </c>
      <c r="C71" s="64">
        <v>23.86</v>
      </c>
      <c r="D71" s="64">
        <v>37.89</v>
      </c>
      <c r="E71" s="64">
        <v>6.35</v>
      </c>
      <c r="F71" s="64">
        <v>27.5</v>
      </c>
      <c r="G71" s="64">
        <v>51.9</v>
      </c>
      <c r="H71" s="64">
        <v>22.75</v>
      </c>
      <c r="I71" s="64">
        <v>3.95</v>
      </c>
      <c r="J71" s="64">
        <v>0.93</v>
      </c>
      <c r="K71" s="64">
        <v>116.64</v>
      </c>
      <c r="L71" s="64">
        <v>35.6</v>
      </c>
      <c r="M71" s="64">
        <v>56.54</v>
      </c>
      <c r="N71" s="64">
        <v>339.3</v>
      </c>
      <c r="O71" s="64">
        <v>0</v>
      </c>
      <c r="P71" s="64">
        <v>0.68</v>
      </c>
      <c r="Q71" s="64">
        <v>9.35</v>
      </c>
      <c r="R71" s="198"/>
      <c r="S71" s="198"/>
      <c r="T71" s="198"/>
      <c r="U71" s="198"/>
    </row>
    <row r="72" spans="1:21" s="12" customFormat="1" x14ac:dyDescent="0.25">
      <c r="A72" s="214" t="s">
        <v>1941</v>
      </c>
      <c r="B72" s="64">
        <v>4.76</v>
      </c>
      <c r="C72" s="64">
        <v>21</v>
      </c>
      <c r="D72" s="64">
        <v>32.880000000000003</v>
      </c>
      <c r="E72" s="64">
        <v>7.76</v>
      </c>
      <c r="F72" s="64">
        <v>31.22</v>
      </c>
      <c r="G72" s="64">
        <v>51.9</v>
      </c>
      <c r="H72" s="64">
        <v>22.75</v>
      </c>
      <c r="I72" s="64">
        <v>4.04</v>
      </c>
      <c r="J72" s="64">
        <v>0.51</v>
      </c>
      <c r="K72" s="64">
        <v>96.06</v>
      </c>
      <c r="L72" s="64">
        <v>34.409999999999997</v>
      </c>
      <c r="M72" s="64">
        <v>58.39</v>
      </c>
      <c r="N72" s="64">
        <v>182.8</v>
      </c>
      <c r="O72" s="64">
        <v>0</v>
      </c>
      <c r="P72" s="64">
        <v>0.59</v>
      </c>
      <c r="Q72" s="64">
        <v>9.32</v>
      </c>
      <c r="R72" s="198"/>
      <c r="S72" s="198"/>
      <c r="T72" s="198"/>
      <c r="U72" s="198"/>
    </row>
    <row r="73" spans="1:21" s="12" customFormat="1" x14ac:dyDescent="0.25">
      <c r="A73" s="214" t="s">
        <v>1942</v>
      </c>
      <c r="B73" s="64">
        <v>6.5</v>
      </c>
      <c r="C73" s="64">
        <v>28.97</v>
      </c>
      <c r="D73" s="64">
        <v>45.46</v>
      </c>
      <c r="E73" s="64">
        <v>7.81</v>
      </c>
      <c r="F73" s="64">
        <v>27.2</v>
      </c>
      <c r="G73" s="64">
        <v>51.9</v>
      </c>
      <c r="H73" s="64">
        <v>22.75</v>
      </c>
      <c r="I73" s="64">
        <v>4.09</v>
      </c>
      <c r="J73" s="64">
        <v>0.51</v>
      </c>
      <c r="K73" s="64">
        <v>135.61000000000001</v>
      </c>
      <c r="L73" s="64">
        <v>34.68</v>
      </c>
      <c r="M73" s="64">
        <v>55.99</v>
      </c>
      <c r="N73" s="64">
        <v>283.3</v>
      </c>
      <c r="O73" s="64">
        <v>0</v>
      </c>
      <c r="P73" s="64">
        <v>0.62</v>
      </c>
      <c r="Q73" s="64">
        <v>9.2899999999999991</v>
      </c>
      <c r="R73" s="198"/>
      <c r="S73" s="198"/>
      <c r="T73" s="198"/>
      <c r="U73" s="198"/>
    </row>
    <row r="74" spans="1:21" s="12" customFormat="1" x14ac:dyDescent="0.25">
      <c r="A74" s="214" t="s">
        <v>1943</v>
      </c>
      <c r="B74" s="64">
        <v>4.3899999999999997</v>
      </c>
      <c r="C74" s="64">
        <v>19.98</v>
      </c>
      <c r="D74" s="64">
        <v>31.5</v>
      </c>
      <c r="E74" s="64">
        <v>7.51</v>
      </c>
      <c r="F74" s="64">
        <v>26.67</v>
      </c>
      <c r="G74" s="64">
        <v>50.97</v>
      </c>
      <c r="H74" s="64">
        <v>21.92</v>
      </c>
      <c r="I74" s="64">
        <v>3.99</v>
      </c>
      <c r="J74" s="64">
        <v>0.63</v>
      </c>
      <c r="K74" s="64">
        <v>166.79</v>
      </c>
      <c r="L74" s="64">
        <v>34.93</v>
      </c>
      <c r="M74" s="64">
        <v>50.21</v>
      </c>
      <c r="N74" s="64">
        <v>159.80000000000001</v>
      </c>
      <c r="O74" s="64">
        <v>0</v>
      </c>
      <c r="P74" s="64">
        <v>0.53</v>
      </c>
      <c r="Q74" s="64">
        <v>9.2899999999999991</v>
      </c>
      <c r="R74" s="198"/>
      <c r="S74" s="198"/>
      <c r="T74" s="198"/>
      <c r="U74" s="198"/>
    </row>
    <row r="75" spans="1:21" s="12" customFormat="1" x14ac:dyDescent="0.25">
      <c r="A75" s="214" t="s">
        <v>1944</v>
      </c>
      <c r="B75" s="64">
        <v>4.5999999999999996</v>
      </c>
      <c r="C75" s="64">
        <v>20.59</v>
      </c>
      <c r="D75" s="64">
        <v>32.35</v>
      </c>
      <c r="E75" s="64">
        <v>7.05</v>
      </c>
      <c r="F75" s="64">
        <v>22.59</v>
      </c>
      <c r="G75" s="64">
        <v>48.25</v>
      </c>
      <c r="H75" s="64">
        <v>19.36</v>
      </c>
      <c r="I75" s="64">
        <v>3.83</v>
      </c>
      <c r="J75" s="64">
        <v>0.91</v>
      </c>
      <c r="K75" s="64">
        <v>170.95</v>
      </c>
      <c r="L75" s="64">
        <v>35.020000000000003</v>
      </c>
      <c r="M75" s="64">
        <v>47.08</v>
      </c>
      <c r="N75" s="64">
        <v>134.6</v>
      </c>
      <c r="O75" s="64">
        <v>0</v>
      </c>
      <c r="P75" s="64">
        <v>0.49</v>
      </c>
      <c r="Q75" s="64">
        <v>9.27</v>
      </c>
      <c r="R75" s="198"/>
      <c r="S75" s="198"/>
      <c r="T75" s="198"/>
      <c r="U75" s="198"/>
    </row>
    <row r="76" spans="1:21" s="12" customFormat="1" x14ac:dyDescent="0.25">
      <c r="A76" s="214" t="s">
        <v>1945</v>
      </c>
      <c r="B76" s="64">
        <v>4.5599999999999996</v>
      </c>
      <c r="C76" s="64">
        <v>19.510000000000002</v>
      </c>
      <c r="D76" s="64">
        <v>30.35</v>
      </c>
      <c r="E76" s="64">
        <v>7.5</v>
      </c>
      <c r="F76" s="64">
        <v>27.64</v>
      </c>
      <c r="G76" s="64">
        <v>48.25</v>
      </c>
      <c r="H76" s="64">
        <v>19.36</v>
      </c>
      <c r="I76" s="64">
        <v>3.84</v>
      </c>
      <c r="J76" s="64">
        <v>1.17</v>
      </c>
      <c r="K76" s="64">
        <v>143.22999999999999</v>
      </c>
      <c r="L76" s="64">
        <v>34.979999999999997</v>
      </c>
      <c r="M76" s="64">
        <v>47.87</v>
      </c>
      <c r="N76" s="64">
        <v>111.9</v>
      </c>
      <c r="O76" s="64">
        <v>0</v>
      </c>
      <c r="P76" s="64">
        <v>0.43</v>
      </c>
      <c r="Q76" s="64">
        <v>9.2799999999999994</v>
      </c>
      <c r="R76" s="198"/>
      <c r="S76" s="198"/>
      <c r="T76" s="198"/>
      <c r="U76" s="198"/>
    </row>
    <row r="77" spans="1:21" s="12" customFormat="1" x14ac:dyDescent="0.25">
      <c r="A77" s="214" t="s">
        <v>1946</v>
      </c>
      <c r="B77" s="64">
        <v>4.34</v>
      </c>
      <c r="C77" s="64">
        <v>18.149999999999999</v>
      </c>
      <c r="D77" s="64">
        <v>28.08</v>
      </c>
      <c r="E77" s="64">
        <v>7.73</v>
      </c>
      <c r="F77" s="64">
        <v>32.369999999999997</v>
      </c>
      <c r="G77" s="64">
        <v>48.25</v>
      </c>
      <c r="H77" s="64">
        <v>19.36</v>
      </c>
      <c r="I77" s="64">
        <v>3.83</v>
      </c>
      <c r="J77" s="64">
        <v>0.62</v>
      </c>
      <c r="K77" s="64">
        <v>182.16</v>
      </c>
      <c r="L77" s="64">
        <v>34.9</v>
      </c>
      <c r="M77" s="64">
        <v>53.86</v>
      </c>
      <c r="N77" s="64">
        <v>94.1</v>
      </c>
      <c r="O77" s="64">
        <v>0</v>
      </c>
      <c r="P77" s="64">
        <v>0.4</v>
      </c>
      <c r="Q77" s="64">
        <v>9.27</v>
      </c>
      <c r="R77" s="198"/>
      <c r="S77" s="198"/>
      <c r="T77" s="198"/>
      <c r="U77" s="198"/>
    </row>
    <row r="78" spans="1:21" s="12" customFormat="1" x14ac:dyDescent="0.25">
      <c r="A78" s="214" t="s">
        <v>1947</v>
      </c>
      <c r="B78" s="64">
        <v>4.43</v>
      </c>
      <c r="C78" s="64">
        <v>19.64</v>
      </c>
      <c r="D78" s="64">
        <v>30.8</v>
      </c>
      <c r="E78" s="64">
        <v>7.53</v>
      </c>
      <c r="F78" s="64">
        <v>31.82</v>
      </c>
      <c r="G78" s="64">
        <v>45.9</v>
      </c>
      <c r="H78" s="64">
        <v>18.920000000000002</v>
      </c>
      <c r="I78" s="64">
        <v>3.94</v>
      </c>
      <c r="J78" s="64">
        <v>0.92</v>
      </c>
      <c r="K78" s="64">
        <v>147.41</v>
      </c>
      <c r="L78" s="64">
        <v>34.71</v>
      </c>
      <c r="M78" s="64">
        <v>53.84</v>
      </c>
      <c r="N78" s="64">
        <v>81.599999999999994</v>
      </c>
      <c r="O78" s="64">
        <v>0</v>
      </c>
      <c r="P78" s="64">
        <v>0.44</v>
      </c>
      <c r="Q78" s="64">
        <v>9.25</v>
      </c>
      <c r="R78" s="198"/>
      <c r="S78" s="198"/>
      <c r="T78" s="198"/>
      <c r="U78" s="198"/>
    </row>
    <row r="79" spans="1:21" s="12" customFormat="1" x14ac:dyDescent="0.25">
      <c r="A79" s="214" t="s">
        <v>1948</v>
      </c>
      <c r="B79" s="64">
        <v>4.63</v>
      </c>
      <c r="C79" s="64">
        <v>25.48</v>
      </c>
      <c r="D79" s="64">
        <v>41.67</v>
      </c>
      <c r="E79" s="64">
        <v>6.98</v>
      </c>
      <c r="F79" s="64">
        <v>30.07</v>
      </c>
      <c r="G79" s="64">
        <v>39.049999999999997</v>
      </c>
      <c r="H79" s="64">
        <v>17.55</v>
      </c>
      <c r="I79" s="64">
        <v>4.0599999999999996</v>
      </c>
      <c r="J79" s="64">
        <v>0.67</v>
      </c>
      <c r="K79" s="64">
        <v>157.65</v>
      </c>
      <c r="L79" s="64">
        <v>34.53</v>
      </c>
      <c r="M79" s="64">
        <v>54.16</v>
      </c>
      <c r="N79" s="64">
        <v>66.5</v>
      </c>
      <c r="O79" s="64">
        <v>0</v>
      </c>
      <c r="P79" s="64">
        <v>0.39</v>
      </c>
      <c r="Q79" s="64">
        <v>9.25</v>
      </c>
      <c r="R79" s="198"/>
      <c r="S79" s="198"/>
      <c r="T79" s="198"/>
      <c r="U79" s="198"/>
    </row>
    <row r="80" spans="1:21" s="12" customFormat="1" x14ac:dyDescent="0.25">
      <c r="A80" s="214" t="s">
        <v>1949</v>
      </c>
      <c r="B80" s="64">
        <v>4.55</v>
      </c>
      <c r="C80" s="64">
        <v>24.16</v>
      </c>
      <c r="D80" s="64">
        <v>39.26</v>
      </c>
      <c r="E80" s="64">
        <v>7.1</v>
      </c>
      <c r="F80" s="64">
        <v>23.86</v>
      </c>
      <c r="G80" s="64">
        <v>39.049999999999997</v>
      </c>
      <c r="H80" s="64">
        <v>17.55</v>
      </c>
      <c r="I80" s="64">
        <v>3.92</v>
      </c>
      <c r="J80" s="64">
        <v>1.1399999999999999</v>
      </c>
      <c r="K80" s="64">
        <v>149.02000000000001</v>
      </c>
      <c r="L80" s="64">
        <v>34.33</v>
      </c>
      <c r="M80" s="64">
        <v>55.43</v>
      </c>
      <c r="N80" s="64">
        <v>55.3</v>
      </c>
      <c r="O80" s="64">
        <v>0</v>
      </c>
      <c r="P80" s="64">
        <v>0.47</v>
      </c>
      <c r="Q80" s="64">
        <v>9.26</v>
      </c>
      <c r="R80" s="198"/>
      <c r="S80" s="198"/>
      <c r="T80" s="198"/>
      <c r="U80" s="198"/>
    </row>
    <row r="81" spans="1:26" s="12" customFormat="1" x14ac:dyDescent="0.25">
      <c r="A81" s="214" t="s">
        <v>1950</v>
      </c>
      <c r="B81" s="64">
        <v>4.54</v>
      </c>
      <c r="C81" s="64">
        <v>25.17</v>
      </c>
      <c r="D81" s="64">
        <v>41.22</v>
      </c>
      <c r="E81" s="64">
        <v>7.18</v>
      </c>
      <c r="F81" s="64">
        <v>27.26</v>
      </c>
      <c r="G81" s="64">
        <v>39.049999999999997</v>
      </c>
      <c r="H81" s="64">
        <v>17.55</v>
      </c>
      <c r="I81" s="64">
        <v>3.98</v>
      </c>
      <c r="J81" s="64">
        <v>0.8</v>
      </c>
      <c r="K81" s="64">
        <v>160.47999999999999</v>
      </c>
      <c r="L81" s="64">
        <v>34.14</v>
      </c>
      <c r="M81" s="64">
        <v>55.96</v>
      </c>
      <c r="N81" s="64">
        <v>43.9</v>
      </c>
      <c r="O81" s="64">
        <v>0</v>
      </c>
      <c r="P81" s="64">
        <v>0.48</v>
      </c>
      <c r="Q81" s="64">
        <v>9.26</v>
      </c>
      <c r="R81" s="198"/>
      <c r="S81" s="198"/>
      <c r="T81" s="198"/>
      <c r="U81" s="198"/>
    </row>
    <row r="82" spans="1:26" s="12" customFormat="1" x14ac:dyDescent="0.25">
      <c r="A82" s="214" t="s">
        <v>1951</v>
      </c>
      <c r="B82" s="64">
        <v>4.58</v>
      </c>
      <c r="C82" s="64">
        <v>28.45</v>
      </c>
      <c r="D82" s="64">
        <v>47.43</v>
      </c>
      <c r="E82" s="64">
        <v>7.12</v>
      </c>
      <c r="F82" s="64">
        <v>28.26</v>
      </c>
      <c r="G82" s="64">
        <v>38.92</v>
      </c>
      <c r="H82" s="64">
        <v>17.690000000000001</v>
      </c>
      <c r="I82" s="64">
        <v>3.98</v>
      </c>
      <c r="J82" s="64">
        <v>0.42</v>
      </c>
      <c r="K82" s="64">
        <v>183.16</v>
      </c>
      <c r="L82" s="64">
        <v>33.81</v>
      </c>
      <c r="M82" s="64">
        <v>57.78</v>
      </c>
      <c r="N82" s="64">
        <v>34.5</v>
      </c>
      <c r="O82" s="64">
        <v>0</v>
      </c>
      <c r="P82" s="64">
        <v>0.46</v>
      </c>
      <c r="Q82" s="64">
        <v>9.26</v>
      </c>
      <c r="R82" s="198"/>
      <c r="S82" s="198"/>
      <c r="T82" s="198"/>
      <c r="U82" s="198"/>
    </row>
    <row r="83" spans="1:26" s="12" customFormat="1" x14ac:dyDescent="0.25">
      <c r="A83" s="214" t="s">
        <v>1952</v>
      </c>
      <c r="B83" s="64">
        <v>4.32</v>
      </c>
      <c r="C83" s="64">
        <v>27.98</v>
      </c>
      <c r="D83" s="64">
        <v>46.92</v>
      </c>
      <c r="E83" s="64">
        <v>6.76</v>
      </c>
      <c r="F83" s="64">
        <v>24.37</v>
      </c>
      <c r="G83" s="64">
        <v>38.520000000000003</v>
      </c>
      <c r="H83" s="64">
        <v>18.11</v>
      </c>
      <c r="I83" s="64">
        <v>4.05</v>
      </c>
      <c r="J83" s="64">
        <v>0.45</v>
      </c>
      <c r="K83" s="64">
        <v>196.99</v>
      </c>
      <c r="L83" s="64">
        <v>33.479999999999997</v>
      </c>
      <c r="M83" s="64">
        <v>59.62</v>
      </c>
      <c r="N83" s="64">
        <v>30.4</v>
      </c>
      <c r="O83" s="64">
        <v>0</v>
      </c>
      <c r="P83" s="64">
        <v>0.51</v>
      </c>
      <c r="Q83" s="64">
        <v>9.25</v>
      </c>
      <c r="R83" s="198"/>
      <c r="S83" s="198"/>
      <c r="T83" s="198"/>
      <c r="U83" s="198"/>
    </row>
    <row r="84" spans="1:26" s="12" customFormat="1" x14ac:dyDescent="0.25">
      <c r="A84" s="214" t="s">
        <v>1953</v>
      </c>
      <c r="B84" s="64">
        <v>4.5999999999999996</v>
      </c>
      <c r="C84" s="64">
        <v>35.380000000000003</v>
      </c>
      <c r="D84" s="64">
        <v>60.66</v>
      </c>
      <c r="E84" s="64">
        <v>6.73</v>
      </c>
      <c r="F84" s="64">
        <v>23.37</v>
      </c>
      <c r="G84" s="64">
        <v>38.520000000000003</v>
      </c>
      <c r="H84" s="64">
        <v>18.11</v>
      </c>
      <c r="I84" s="64">
        <v>3.78</v>
      </c>
      <c r="J84" s="64">
        <v>0.38</v>
      </c>
      <c r="K84" s="64">
        <v>208.41</v>
      </c>
      <c r="L84" s="64">
        <v>33.26</v>
      </c>
      <c r="M84" s="64">
        <v>61.21</v>
      </c>
      <c r="N84" s="64">
        <v>29.6</v>
      </c>
      <c r="O84" s="64">
        <v>0</v>
      </c>
      <c r="P84" s="64">
        <v>0.54</v>
      </c>
      <c r="Q84" s="64">
        <v>9.25</v>
      </c>
      <c r="R84" s="198"/>
      <c r="S84" s="198"/>
      <c r="T84" s="198"/>
      <c r="U84" s="198"/>
    </row>
    <row r="85" spans="1:26" s="12" customFormat="1" x14ac:dyDescent="0.25">
      <c r="A85" s="214" t="s">
        <v>1954</v>
      </c>
      <c r="B85" s="64">
        <v>5.86</v>
      </c>
      <c r="C85" s="64">
        <v>47.29</v>
      </c>
      <c r="D85" s="64">
        <v>81.52</v>
      </c>
      <c r="E85" s="64">
        <v>6.11</v>
      </c>
      <c r="F85" s="64">
        <v>19.899999999999999</v>
      </c>
      <c r="G85" s="64">
        <v>38.520000000000003</v>
      </c>
      <c r="H85" s="64">
        <v>18.11</v>
      </c>
      <c r="I85" s="64">
        <v>3.98</v>
      </c>
      <c r="J85" s="64">
        <v>0.31</v>
      </c>
      <c r="K85" s="64">
        <v>205.49</v>
      </c>
      <c r="L85" s="64">
        <v>32.869999999999997</v>
      </c>
      <c r="M85" s="64">
        <v>63.19</v>
      </c>
      <c r="N85" s="64">
        <v>29.5</v>
      </c>
      <c r="O85" s="64">
        <v>0</v>
      </c>
      <c r="P85" s="64">
        <v>0.64</v>
      </c>
      <c r="Q85" s="64">
        <v>9.26</v>
      </c>
      <c r="R85" s="198"/>
      <c r="S85" s="198"/>
      <c r="T85" s="198"/>
      <c r="U85" s="198"/>
    </row>
    <row r="86" spans="1:26" s="12" customFormat="1" x14ac:dyDescent="0.25">
      <c r="A86" s="214" t="s">
        <v>1955</v>
      </c>
      <c r="B86" s="64">
        <v>5.34</v>
      </c>
      <c r="C86" s="64">
        <v>40.99</v>
      </c>
      <c r="D86" s="64">
        <v>70.260000000000005</v>
      </c>
      <c r="E86" s="64">
        <v>6.04</v>
      </c>
      <c r="F86" s="64">
        <v>19.899999999999999</v>
      </c>
      <c r="G86" s="64">
        <v>38.200000000000003</v>
      </c>
      <c r="H86" s="64">
        <v>17.489999999999998</v>
      </c>
      <c r="I86" s="64">
        <v>4.07</v>
      </c>
      <c r="J86" s="64">
        <v>0.27</v>
      </c>
      <c r="K86" s="64">
        <v>157</v>
      </c>
      <c r="L86" s="64">
        <v>32.840000000000003</v>
      </c>
      <c r="M86" s="64">
        <v>63.99</v>
      </c>
      <c r="N86" s="64">
        <v>29.2</v>
      </c>
      <c r="O86" s="64">
        <v>0</v>
      </c>
      <c r="P86" s="64">
        <v>0.71</v>
      </c>
      <c r="Q86" s="64">
        <v>9.27</v>
      </c>
      <c r="R86" s="198"/>
      <c r="S86" s="198"/>
      <c r="T86" s="198"/>
      <c r="U86" s="198"/>
    </row>
    <row r="87" spans="1:26" s="12" customFormat="1" x14ac:dyDescent="0.25">
      <c r="A87" s="214" t="s">
        <v>1956</v>
      </c>
      <c r="B87" s="64">
        <v>5.0999999999999996</v>
      </c>
      <c r="C87" s="64">
        <v>38.869999999999997</v>
      </c>
      <c r="D87" s="64">
        <v>66.56</v>
      </c>
      <c r="E87" s="64">
        <v>5.97</v>
      </c>
      <c r="F87" s="64">
        <v>19.47</v>
      </c>
      <c r="G87" s="64">
        <v>37.28</v>
      </c>
      <c r="H87" s="64">
        <v>15.57</v>
      </c>
      <c r="I87" s="64">
        <v>3.94</v>
      </c>
      <c r="J87" s="64">
        <v>0.59</v>
      </c>
      <c r="K87" s="64">
        <v>93.73</v>
      </c>
      <c r="L87" s="64">
        <v>32.700000000000003</v>
      </c>
      <c r="M87" s="64">
        <v>66.209999999999994</v>
      </c>
      <c r="N87" s="64">
        <v>29.2</v>
      </c>
      <c r="O87" s="64">
        <v>0</v>
      </c>
      <c r="P87" s="64">
        <v>0.7</v>
      </c>
      <c r="Q87" s="64">
        <v>9.2799999999999994</v>
      </c>
      <c r="R87" s="198"/>
      <c r="S87" s="198"/>
      <c r="T87" s="198"/>
      <c r="U87" s="198"/>
    </row>
    <row r="88" spans="1:26" s="12" customFormat="1" x14ac:dyDescent="0.25">
      <c r="A88" s="214" t="s">
        <v>1957</v>
      </c>
      <c r="B88" s="64">
        <v>5.31</v>
      </c>
      <c r="C88" s="64">
        <v>31.63</v>
      </c>
      <c r="D88" s="64">
        <v>52.38</v>
      </c>
      <c r="E88" s="64">
        <v>5.91</v>
      </c>
      <c r="F88" s="64">
        <v>12.95</v>
      </c>
      <c r="G88" s="64">
        <v>37.28</v>
      </c>
      <c r="H88" s="64">
        <v>15.57</v>
      </c>
      <c r="I88" s="64">
        <v>4.16</v>
      </c>
      <c r="J88" s="64">
        <v>0.64</v>
      </c>
      <c r="K88" s="64">
        <v>193.37</v>
      </c>
      <c r="L88" s="64">
        <v>32.51</v>
      </c>
      <c r="M88" s="64">
        <v>67.86</v>
      </c>
      <c r="N88" s="64">
        <v>29.4</v>
      </c>
      <c r="O88" s="64">
        <v>0</v>
      </c>
      <c r="P88" s="64">
        <v>0.7</v>
      </c>
      <c r="Q88" s="64">
        <v>9.2899999999999991</v>
      </c>
      <c r="R88" s="198"/>
      <c r="S88" s="198"/>
      <c r="T88" s="198"/>
      <c r="U88" s="198"/>
    </row>
    <row r="89" spans="1:26" s="12" customFormat="1" x14ac:dyDescent="0.25">
      <c r="A89" s="214" t="s">
        <v>1958</v>
      </c>
      <c r="B89" s="64">
        <v>5.99</v>
      </c>
      <c r="C89" s="64">
        <v>39.76</v>
      </c>
      <c r="D89" s="64">
        <v>66.89</v>
      </c>
      <c r="E89" s="64">
        <v>5.88</v>
      </c>
      <c r="F89" s="64">
        <v>16.03</v>
      </c>
      <c r="G89" s="64">
        <v>37.28</v>
      </c>
      <c r="H89" s="64">
        <v>15.57</v>
      </c>
      <c r="I89" s="64">
        <v>4.0999999999999996</v>
      </c>
      <c r="J89" s="64">
        <v>0.7</v>
      </c>
      <c r="K89" s="64">
        <v>161.96</v>
      </c>
      <c r="L89" s="64">
        <v>32.270000000000003</v>
      </c>
      <c r="M89" s="64">
        <v>68.94</v>
      </c>
      <c r="N89" s="64">
        <v>29.3</v>
      </c>
      <c r="O89" s="64">
        <v>0</v>
      </c>
      <c r="P89" s="64">
        <v>0.73</v>
      </c>
      <c r="Q89" s="64">
        <v>9.33</v>
      </c>
      <c r="R89" s="198"/>
      <c r="S89" s="198"/>
      <c r="T89" s="198"/>
      <c r="U89" s="198"/>
    </row>
    <row r="90" spans="1:26" s="12" customFormat="1" x14ac:dyDescent="0.25">
      <c r="A90" s="214" t="s">
        <v>1959</v>
      </c>
      <c r="B90" s="64">
        <v>6.39</v>
      </c>
      <c r="C90" s="64">
        <v>34.71</v>
      </c>
      <c r="D90" s="64">
        <v>56.63</v>
      </c>
      <c r="E90" s="64">
        <v>5.66</v>
      </c>
      <c r="F90" s="64">
        <v>15.94</v>
      </c>
      <c r="G90" s="64">
        <v>38.15</v>
      </c>
      <c r="H90" s="64">
        <v>15.27</v>
      </c>
      <c r="I90" s="64">
        <v>4.21</v>
      </c>
      <c r="J90" s="64">
        <v>0.93</v>
      </c>
      <c r="K90" s="64">
        <v>154.44999999999999</v>
      </c>
      <c r="L90" s="64">
        <v>32.26</v>
      </c>
      <c r="M90" s="64">
        <v>67.849999999999994</v>
      </c>
      <c r="N90" s="64">
        <v>29.2</v>
      </c>
      <c r="O90" s="64">
        <v>0</v>
      </c>
      <c r="P90" s="64">
        <v>0.69</v>
      </c>
      <c r="Q90" s="64">
        <v>9.35</v>
      </c>
      <c r="R90" s="198"/>
      <c r="S90" s="198"/>
      <c r="T90" s="198"/>
      <c r="U90" s="198"/>
    </row>
    <row r="91" spans="1:26" s="12" customFormat="1" x14ac:dyDescent="0.25">
      <c r="A91" s="214" t="s">
        <v>1960</v>
      </c>
      <c r="B91" s="64">
        <v>6.29</v>
      </c>
      <c r="C91" s="64">
        <v>36.06</v>
      </c>
      <c r="D91" s="64">
        <v>59.36</v>
      </c>
      <c r="E91" s="64">
        <v>5.54</v>
      </c>
      <c r="F91" s="64">
        <v>15.26</v>
      </c>
      <c r="G91" s="64">
        <v>40.659999999999997</v>
      </c>
      <c r="H91" s="64">
        <v>14.34</v>
      </c>
      <c r="I91" s="64">
        <v>3.83</v>
      </c>
      <c r="J91" s="64">
        <v>0.6</v>
      </c>
      <c r="K91" s="64">
        <v>161.44</v>
      </c>
      <c r="L91" s="64">
        <v>32.11</v>
      </c>
      <c r="M91" s="64">
        <v>68.39</v>
      </c>
      <c r="N91" s="64">
        <v>29.4</v>
      </c>
      <c r="O91" s="64">
        <v>0</v>
      </c>
      <c r="P91" s="64">
        <v>0.69</v>
      </c>
      <c r="Q91" s="64">
        <v>9.35</v>
      </c>
      <c r="R91" s="198"/>
      <c r="S91" s="198"/>
      <c r="T91" s="198"/>
      <c r="U91" s="198"/>
    </row>
    <row r="92" spans="1:26" s="12" customFormat="1" x14ac:dyDescent="0.25">
      <c r="A92" s="214" t="s">
        <v>1961</v>
      </c>
      <c r="B92" s="64">
        <v>23.29</v>
      </c>
      <c r="C92" s="64">
        <v>66.48</v>
      </c>
      <c r="D92" s="64">
        <v>91.5</v>
      </c>
      <c r="E92" s="64">
        <v>5.54</v>
      </c>
      <c r="F92" s="64">
        <v>11.82</v>
      </c>
      <c r="G92" s="64">
        <v>40.659999999999997</v>
      </c>
      <c r="H92" s="64">
        <v>14.34</v>
      </c>
      <c r="I92" s="64">
        <v>3.91</v>
      </c>
      <c r="J92" s="64">
        <v>0.17</v>
      </c>
      <c r="K92" s="64">
        <v>165.3</v>
      </c>
      <c r="L92" s="64">
        <v>31.88</v>
      </c>
      <c r="M92" s="64">
        <v>69.650000000000006</v>
      </c>
      <c r="N92" s="64">
        <v>29.7</v>
      </c>
      <c r="O92" s="64">
        <v>0</v>
      </c>
      <c r="P92" s="64">
        <v>0.94</v>
      </c>
      <c r="Q92" s="64">
        <v>9.3800000000000008</v>
      </c>
      <c r="R92" s="198"/>
      <c r="S92" s="198"/>
      <c r="T92" s="198"/>
      <c r="U92" s="198"/>
    </row>
    <row r="93" spans="1:26" s="12" customFormat="1" x14ac:dyDescent="0.25">
      <c r="A93" s="214" t="s">
        <v>1962</v>
      </c>
      <c r="B93" s="64">
        <v>7.52</v>
      </c>
      <c r="C93" s="64">
        <v>47.22</v>
      </c>
      <c r="D93" s="64">
        <v>78.83</v>
      </c>
      <c r="E93" s="64">
        <v>5.57</v>
      </c>
      <c r="F93" s="64">
        <v>13.56</v>
      </c>
      <c r="G93" s="64">
        <v>40.659999999999997</v>
      </c>
      <c r="H93" s="64">
        <v>14.34</v>
      </c>
      <c r="I93" s="64">
        <v>3.92</v>
      </c>
      <c r="J93" s="64">
        <v>0.5</v>
      </c>
      <c r="K93" s="64">
        <v>151.11000000000001</v>
      </c>
      <c r="L93" s="64">
        <v>31.71</v>
      </c>
      <c r="M93" s="64">
        <v>70.42</v>
      </c>
      <c r="N93" s="64">
        <v>29.2</v>
      </c>
      <c r="O93" s="64">
        <v>0</v>
      </c>
      <c r="P93" s="64">
        <v>0.71</v>
      </c>
      <c r="Q93" s="64">
        <v>9.42</v>
      </c>
      <c r="R93" s="198"/>
      <c r="S93" s="198"/>
      <c r="T93" s="198"/>
      <c r="U93" s="198"/>
    </row>
    <row r="94" spans="1:26" s="12" customFormat="1" x14ac:dyDescent="0.25">
      <c r="A94" s="214" t="s">
        <v>1963</v>
      </c>
      <c r="B94" s="64">
        <v>10.78</v>
      </c>
      <c r="C94" s="64">
        <v>47.43</v>
      </c>
      <c r="D94" s="64">
        <v>74.239999999999995</v>
      </c>
      <c r="E94" s="64">
        <v>5.73</v>
      </c>
      <c r="F94" s="64">
        <v>15.08</v>
      </c>
      <c r="G94" s="64">
        <v>41.82</v>
      </c>
      <c r="H94" s="64">
        <v>14.91</v>
      </c>
      <c r="I94" s="64">
        <v>3.96</v>
      </c>
      <c r="J94" s="64">
        <v>0.12</v>
      </c>
      <c r="K94" s="64">
        <v>188.4</v>
      </c>
      <c r="L94" s="64">
        <v>31.6</v>
      </c>
      <c r="M94" s="64">
        <v>71.62</v>
      </c>
      <c r="N94" s="64">
        <v>29.5</v>
      </c>
      <c r="O94" s="64">
        <v>0</v>
      </c>
      <c r="P94" s="64">
        <v>0.97</v>
      </c>
      <c r="Q94" s="64">
        <v>9.44</v>
      </c>
      <c r="R94" s="198"/>
      <c r="S94" s="198"/>
      <c r="T94" s="198"/>
      <c r="U94" s="198"/>
    </row>
    <row r="95" spans="1:26" s="12" customFormat="1" x14ac:dyDescent="0.25">
      <c r="A95" s="214" t="s">
        <v>1964</v>
      </c>
      <c r="B95" s="64">
        <v>31.95</v>
      </c>
      <c r="C95" s="64">
        <v>67.900000000000006</v>
      </c>
      <c r="D95" s="64">
        <v>80.92</v>
      </c>
      <c r="E95" s="64">
        <v>5.8</v>
      </c>
      <c r="F95" s="64">
        <v>9.8699999999999992</v>
      </c>
      <c r="G95" s="64">
        <v>45.2</v>
      </c>
      <c r="H95" s="64">
        <v>16.57</v>
      </c>
      <c r="I95" s="64">
        <v>4.07</v>
      </c>
      <c r="J95" s="64">
        <v>0.26</v>
      </c>
      <c r="K95" s="64">
        <v>233.04</v>
      </c>
      <c r="L95" s="64">
        <v>31.11</v>
      </c>
      <c r="M95" s="64">
        <v>79.760000000000005</v>
      </c>
      <c r="N95" s="64">
        <v>30</v>
      </c>
      <c r="O95" s="64">
        <v>0</v>
      </c>
      <c r="P95" s="64">
        <v>1.58</v>
      </c>
      <c r="Q95" s="64">
        <v>9.44</v>
      </c>
      <c r="R95" s="198"/>
      <c r="S95" s="198"/>
      <c r="T95" s="198"/>
      <c r="U95" s="198"/>
    </row>
    <row r="96" spans="1:26" s="12" customFormat="1" x14ac:dyDescent="0.25">
      <c r="A96" s="214" t="s">
        <v>1965</v>
      </c>
      <c r="B96" s="64">
        <v>19.829999999999998</v>
      </c>
      <c r="C96" s="64">
        <v>60.3</v>
      </c>
      <c r="D96" s="64">
        <v>84.99</v>
      </c>
      <c r="E96" s="64">
        <v>5.86</v>
      </c>
      <c r="F96" s="64">
        <v>8.4600000000000009</v>
      </c>
      <c r="G96" s="64">
        <v>45.2</v>
      </c>
      <c r="H96" s="64">
        <v>16.57</v>
      </c>
      <c r="I96" s="64">
        <v>4.1100000000000003</v>
      </c>
      <c r="J96" s="64">
        <v>0.33</v>
      </c>
      <c r="K96" s="64">
        <v>239.4</v>
      </c>
      <c r="L96" s="64">
        <v>30.72</v>
      </c>
      <c r="M96" s="64">
        <v>79.59</v>
      </c>
      <c r="N96" s="64">
        <v>29.4</v>
      </c>
      <c r="O96" s="64">
        <v>0</v>
      </c>
      <c r="P96" s="64">
        <v>1.71</v>
      </c>
      <c r="Q96" s="64">
        <v>9.48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1966</v>
      </c>
      <c r="B97" s="64">
        <v>18.079999999999998</v>
      </c>
      <c r="C97" s="64">
        <v>44.26</v>
      </c>
      <c r="D97" s="64">
        <v>56.95</v>
      </c>
      <c r="E97" s="64">
        <v>5.46</v>
      </c>
      <c r="F97" s="64">
        <v>14.87</v>
      </c>
      <c r="G97" s="64">
        <v>45.2</v>
      </c>
      <c r="H97" s="64">
        <v>16.57</v>
      </c>
      <c r="I97" s="64">
        <v>4.1100000000000003</v>
      </c>
      <c r="J97" s="64">
        <v>0.84</v>
      </c>
      <c r="K97" s="64">
        <v>238.73</v>
      </c>
      <c r="L97" s="64">
        <v>30.67</v>
      </c>
      <c r="M97" s="64">
        <v>79.540000000000006</v>
      </c>
      <c r="N97" s="64">
        <v>28.8</v>
      </c>
      <c r="O97" s="64">
        <v>0</v>
      </c>
      <c r="P97" s="64">
        <v>1.25</v>
      </c>
      <c r="Q97" s="64">
        <v>9.5</v>
      </c>
      <c r="R97" s="198"/>
      <c r="S97" s="198"/>
      <c r="T97" s="198"/>
      <c r="U97" s="198"/>
    </row>
    <row r="98" spans="1:33" s="12" customFormat="1" x14ac:dyDescent="0.25">
      <c r="A98" s="214" t="s">
        <v>1967</v>
      </c>
      <c r="B98" s="64">
        <v>15.27</v>
      </c>
      <c r="C98" s="64">
        <v>40.86</v>
      </c>
      <c r="D98" s="64">
        <v>54.77</v>
      </c>
      <c r="E98" s="64">
        <v>5.46</v>
      </c>
      <c r="F98" s="64">
        <v>12.82</v>
      </c>
      <c r="G98" s="64">
        <v>46.23</v>
      </c>
      <c r="H98" s="64">
        <v>17.12</v>
      </c>
      <c r="I98" s="64">
        <v>4.01</v>
      </c>
      <c r="J98" s="64">
        <v>1.02</v>
      </c>
      <c r="K98" s="64">
        <v>242.46</v>
      </c>
      <c r="L98" s="64">
        <v>30.73</v>
      </c>
      <c r="M98" s="64">
        <v>77.84</v>
      </c>
      <c r="N98" s="64">
        <v>29.1</v>
      </c>
      <c r="O98" s="64">
        <v>0</v>
      </c>
      <c r="P98" s="64">
        <v>1.26</v>
      </c>
      <c r="Q98" s="64">
        <v>9.5299999999999994</v>
      </c>
      <c r="R98" s="198"/>
      <c r="S98" s="198"/>
      <c r="T98" s="198"/>
      <c r="U98" s="198"/>
    </row>
    <row r="99" spans="1:33" s="12" customFormat="1" x14ac:dyDescent="0.25">
      <c r="A99" s="214" t="s">
        <v>1968</v>
      </c>
      <c r="B99" s="64">
        <v>13.05</v>
      </c>
      <c r="C99" s="64">
        <v>33.11</v>
      </c>
      <c r="D99" s="64">
        <v>43.34</v>
      </c>
      <c r="E99" s="64">
        <v>5.46</v>
      </c>
      <c r="F99" s="64">
        <v>10.09</v>
      </c>
      <c r="G99" s="64">
        <v>49.21</v>
      </c>
      <c r="H99" s="64">
        <v>18.7</v>
      </c>
      <c r="I99" s="64">
        <v>3.85</v>
      </c>
      <c r="J99" s="64">
        <v>1.34</v>
      </c>
      <c r="K99" s="64">
        <v>236.22</v>
      </c>
      <c r="L99" s="64">
        <v>30.54</v>
      </c>
      <c r="M99" s="64">
        <v>72.66</v>
      </c>
      <c r="N99" s="64">
        <v>29.8</v>
      </c>
      <c r="O99" s="64">
        <v>0</v>
      </c>
      <c r="P99" s="64">
        <v>0.92</v>
      </c>
      <c r="Q99" s="64">
        <v>9.56</v>
      </c>
      <c r="R99" s="198"/>
      <c r="S99" s="198"/>
      <c r="T99" s="198"/>
      <c r="U99" s="198"/>
    </row>
    <row r="100" spans="1:33" s="12" customFormat="1" x14ac:dyDescent="0.25">
      <c r="A100" s="214" t="s">
        <v>1969</v>
      </c>
      <c r="B100" s="64">
        <v>16.34</v>
      </c>
      <c r="C100" s="64">
        <v>36.729999999999997</v>
      </c>
      <c r="D100" s="64">
        <v>45.23</v>
      </c>
      <c r="E100" s="64">
        <v>6.36</v>
      </c>
      <c r="F100" s="64">
        <v>13.78</v>
      </c>
      <c r="G100" s="64">
        <v>49.21</v>
      </c>
      <c r="H100" s="64">
        <v>18.7</v>
      </c>
      <c r="I100" s="64">
        <v>3.99</v>
      </c>
      <c r="J100" s="64">
        <v>1.07</v>
      </c>
      <c r="K100" s="64">
        <v>238.55</v>
      </c>
      <c r="L100" s="64">
        <v>30.29</v>
      </c>
      <c r="M100" s="64">
        <v>70.58</v>
      </c>
      <c r="N100" s="64">
        <v>29.5</v>
      </c>
      <c r="O100" s="64">
        <v>0</v>
      </c>
      <c r="P100" s="64">
        <v>0.85</v>
      </c>
      <c r="Q100" s="64">
        <v>9.57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1970</v>
      </c>
      <c r="B101" s="64">
        <v>13.91</v>
      </c>
      <c r="C101" s="64">
        <v>32.270000000000003</v>
      </c>
      <c r="D101" s="64">
        <v>40.409999999999997</v>
      </c>
      <c r="E101" s="64">
        <v>6.21</v>
      </c>
      <c r="F101" s="64">
        <v>8.07</v>
      </c>
      <c r="G101" s="64">
        <v>49.21</v>
      </c>
      <c r="H101" s="64">
        <v>18.7</v>
      </c>
      <c r="I101" s="64">
        <v>4.1500000000000004</v>
      </c>
      <c r="J101" s="64">
        <v>0.92</v>
      </c>
      <c r="K101" s="64">
        <v>238.52</v>
      </c>
      <c r="L101" s="64">
        <v>30.21</v>
      </c>
      <c r="M101" s="64">
        <v>70.53</v>
      </c>
      <c r="N101" s="64">
        <v>29.6</v>
      </c>
      <c r="O101" s="64">
        <v>0</v>
      </c>
      <c r="P101" s="64">
        <v>0.88</v>
      </c>
      <c r="Q101" s="64">
        <v>9.57</v>
      </c>
      <c r="R101" s="198"/>
      <c r="S101" s="198"/>
      <c r="T101" s="198"/>
      <c r="U101" s="198"/>
    </row>
    <row r="102" spans="1:33" s="12" customFormat="1" x14ac:dyDescent="0.25">
      <c r="A102" s="214" t="s">
        <v>1971</v>
      </c>
      <c r="B102" s="64">
        <v>10.59</v>
      </c>
      <c r="C102" s="64">
        <v>36.89</v>
      </c>
      <c r="D102" s="64">
        <v>54.36</v>
      </c>
      <c r="E102" s="64">
        <v>6.09</v>
      </c>
      <c r="F102" s="64">
        <v>13.23</v>
      </c>
      <c r="G102" s="64">
        <v>51.21</v>
      </c>
      <c r="H102" s="64">
        <v>19.05</v>
      </c>
      <c r="I102" s="64">
        <v>4.05</v>
      </c>
      <c r="J102" s="64">
        <v>0.12</v>
      </c>
      <c r="K102" s="64">
        <v>192.87</v>
      </c>
      <c r="L102" s="64">
        <v>30.23</v>
      </c>
      <c r="M102" s="64">
        <v>69.81</v>
      </c>
      <c r="N102" s="64">
        <v>29.6</v>
      </c>
      <c r="O102" s="64">
        <v>0</v>
      </c>
      <c r="P102" s="64">
        <v>0.77</v>
      </c>
      <c r="Q102" s="64">
        <v>9.57</v>
      </c>
      <c r="R102" s="198"/>
      <c r="S102" s="198"/>
      <c r="T102" s="198"/>
      <c r="U102" s="198"/>
    </row>
    <row r="103" spans="1:33" s="12" customFormat="1" x14ac:dyDescent="0.25">
      <c r="A103" s="214" t="s">
        <v>1972</v>
      </c>
      <c r="B103" s="64">
        <v>7.22</v>
      </c>
      <c r="C103" s="64">
        <v>34.1</v>
      </c>
      <c r="D103" s="64">
        <v>54.19</v>
      </c>
      <c r="E103" s="64">
        <v>6.21</v>
      </c>
      <c r="F103" s="64">
        <v>11.91</v>
      </c>
      <c r="G103" s="64">
        <v>57.03</v>
      </c>
      <c r="H103" s="64">
        <v>20.05</v>
      </c>
      <c r="I103" s="64">
        <v>3.92</v>
      </c>
      <c r="J103" s="64">
        <v>0.46</v>
      </c>
      <c r="K103" s="64">
        <v>97</v>
      </c>
      <c r="L103" s="64">
        <v>30.28</v>
      </c>
      <c r="M103" s="64">
        <v>68.680000000000007</v>
      </c>
      <c r="N103" s="64">
        <v>29.5</v>
      </c>
      <c r="O103" s="64">
        <v>0</v>
      </c>
      <c r="P103" s="64">
        <v>0.75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4" t="s">
        <v>1973</v>
      </c>
      <c r="B104" s="64">
        <v>7.26</v>
      </c>
      <c r="C104" s="64">
        <v>29.07</v>
      </c>
      <c r="D104" s="64">
        <v>44.49</v>
      </c>
      <c r="E104" s="64">
        <v>6.38</v>
      </c>
      <c r="F104" s="64">
        <v>11.76</v>
      </c>
      <c r="G104" s="64">
        <v>57.03</v>
      </c>
      <c r="H104" s="64">
        <v>20.05</v>
      </c>
      <c r="I104" s="64">
        <v>3.98</v>
      </c>
      <c r="J104" s="64">
        <v>0.81</v>
      </c>
      <c r="K104" s="64">
        <v>115.84</v>
      </c>
      <c r="L104" s="64">
        <v>30.29</v>
      </c>
      <c r="M104" s="64">
        <v>68.11</v>
      </c>
      <c r="N104" s="64">
        <v>29.3</v>
      </c>
      <c r="O104" s="64">
        <v>0</v>
      </c>
      <c r="P104" s="64">
        <v>0.78</v>
      </c>
      <c r="Q104" s="64">
        <v>9.6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4.32</v>
      </c>
      <c r="C106" s="67">
        <f>MIN(C9:C104)</f>
        <v>17.489999999999998</v>
      </c>
      <c r="D106" s="67">
        <f t="shared" ref="D106:Q106" si="0">MIN(D9:D104)</f>
        <v>23.9</v>
      </c>
      <c r="E106" s="67">
        <f t="shared" si="0"/>
        <v>3.2</v>
      </c>
      <c r="F106" s="67">
        <f t="shared" si="0"/>
        <v>3.14</v>
      </c>
      <c r="G106" s="67">
        <f t="shared" si="0"/>
        <v>26.83</v>
      </c>
      <c r="H106" s="67">
        <f t="shared" si="0"/>
        <v>11.45</v>
      </c>
      <c r="I106" s="67">
        <f t="shared" si="0"/>
        <v>3.74</v>
      </c>
      <c r="J106" s="67">
        <f t="shared" si="0"/>
        <v>0.05</v>
      </c>
      <c r="K106" s="67">
        <f t="shared" si="0"/>
        <v>93.73</v>
      </c>
      <c r="L106" s="67">
        <f t="shared" si="0"/>
        <v>24.58</v>
      </c>
      <c r="M106" s="67">
        <f t="shared" si="0"/>
        <v>47.08</v>
      </c>
      <c r="N106" s="67">
        <f t="shared" si="0"/>
        <v>28.7</v>
      </c>
      <c r="O106" s="67">
        <f t="shared" si="0"/>
        <v>0</v>
      </c>
      <c r="P106" s="67">
        <f t="shared" si="0"/>
        <v>0.37</v>
      </c>
      <c r="Q106" s="67">
        <f t="shared" si="0"/>
        <v>9.25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31.95</v>
      </c>
      <c r="C107" s="66">
        <f t="shared" ref="C107:Q107" si="1">MAX(C9:C104)</f>
        <v>67.900000000000006</v>
      </c>
      <c r="D107" s="66">
        <f t="shared" si="1"/>
        <v>91.5</v>
      </c>
      <c r="E107" s="66">
        <f t="shared" si="1"/>
        <v>7.81</v>
      </c>
      <c r="F107" s="66">
        <f t="shared" si="1"/>
        <v>32.369999999999997</v>
      </c>
      <c r="G107" s="66">
        <f t="shared" si="1"/>
        <v>68.45</v>
      </c>
      <c r="H107" s="66">
        <f t="shared" si="1"/>
        <v>24.83</v>
      </c>
      <c r="I107" s="66">
        <f t="shared" si="1"/>
        <v>4.21</v>
      </c>
      <c r="J107" s="66">
        <f t="shared" si="1"/>
        <v>1.68</v>
      </c>
      <c r="K107" s="66">
        <f t="shared" si="1"/>
        <v>339.14</v>
      </c>
      <c r="L107" s="66">
        <f t="shared" si="1"/>
        <v>36.82</v>
      </c>
      <c r="M107" s="66">
        <f t="shared" si="1"/>
        <v>87.3</v>
      </c>
      <c r="N107" s="66">
        <f t="shared" si="1"/>
        <v>490.3</v>
      </c>
      <c r="O107" s="66">
        <f t="shared" si="1"/>
        <v>1.2</v>
      </c>
      <c r="P107" s="66">
        <f t="shared" si="1"/>
        <v>1.71</v>
      </c>
      <c r="Q107" s="66">
        <f t="shared" si="1"/>
        <v>9.61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8.3181249999999984</v>
      </c>
      <c r="C108" s="67">
        <f t="shared" ref="C108:Q108" si="2">AVERAGE(C9:C104)</f>
        <v>28.706979166666681</v>
      </c>
      <c r="D108" s="67">
        <f t="shared" si="2"/>
        <v>42.177395833333321</v>
      </c>
      <c r="E108" s="67">
        <f t="shared" si="2"/>
        <v>5.5078125000000027</v>
      </c>
      <c r="F108" s="67">
        <f t="shared" si="2"/>
        <v>14.80208333333333</v>
      </c>
      <c r="G108" s="67">
        <f t="shared" si="2"/>
        <v>44.407395833333304</v>
      </c>
      <c r="H108" s="67">
        <f t="shared" si="2"/>
        <v>17.052187499999985</v>
      </c>
      <c r="I108" s="67">
        <f t="shared" si="2"/>
        <v>3.988645833333333</v>
      </c>
      <c r="J108" s="67">
        <f t="shared" si="2"/>
        <v>0.63197916666666698</v>
      </c>
      <c r="K108" s="67">
        <f t="shared" si="2"/>
        <v>204.28947916666664</v>
      </c>
      <c r="L108" s="67">
        <f t="shared" si="2"/>
        <v>31.009687500000009</v>
      </c>
      <c r="M108" s="67">
        <f t="shared" si="2"/>
        <v>70.937812499999993</v>
      </c>
      <c r="N108" s="67">
        <f t="shared" si="2"/>
        <v>134.81145833333332</v>
      </c>
      <c r="O108" s="67">
        <f t="shared" si="2"/>
        <v>2.7083333333333334E-2</v>
      </c>
      <c r="P108" s="67">
        <f t="shared" si="2"/>
        <v>0.64760416666666665</v>
      </c>
      <c r="Q108" s="67">
        <f t="shared" si="2"/>
        <v>9.3785416666666688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4.2367170290462575</v>
      </c>
      <c r="C109" s="67">
        <f t="shared" ref="C109:Q109" si="3">STDEV(C9:C104)</f>
        <v>10.481542184620624</v>
      </c>
      <c r="D109" s="67">
        <f t="shared" si="3"/>
        <v>16.109227316227098</v>
      </c>
      <c r="E109" s="67">
        <f t="shared" si="3"/>
        <v>1.1373637136401156</v>
      </c>
      <c r="F109" s="67">
        <f t="shared" si="3"/>
        <v>8.4876628630732593</v>
      </c>
      <c r="G109" s="67">
        <f t="shared" si="3"/>
        <v>9.7953817522977111</v>
      </c>
      <c r="H109" s="67">
        <f t="shared" si="3"/>
        <v>3.6319379206163571</v>
      </c>
      <c r="I109" s="67">
        <f t="shared" si="3"/>
        <v>0.1018421874291341</v>
      </c>
      <c r="J109" s="67">
        <f t="shared" si="3"/>
        <v>0.34088621281553572</v>
      </c>
      <c r="K109" s="67">
        <f t="shared" si="3"/>
        <v>53.372591928812881</v>
      </c>
      <c r="L109" s="67">
        <f t="shared" si="3"/>
        <v>3.3264479089246164</v>
      </c>
      <c r="M109" s="67">
        <f t="shared" si="3"/>
        <v>10.848711997586591</v>
      </c>
      <c r="N109" s="67">
        <f t="shared" si="3"/>
        <v>138.37404294903516</v>
      </c>
      <c r="O109" s="67">
        <f t="shared" si="3"/>
        <v>0.15250826839822346</v>
      </c>
      <c r="P109" s="67">
        <f t="shared" si="3"/>
        <v>0.23265852452701555</v>
      </c>
      <c r="Q109" s="67">
        <f t="shared" si="3"/>
        <v>8.2742201625437634E-2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1974</v>
      </c>
      <c r="B9" s="64">
        <v>9.0399999999999991</v>
      </c>
      <c r="C9" s="64">
        <v>28.55</v>
      </c>
      <c r="D9" s="64">
        <v>40.770000000000003</v>
      </c>
      <c r="E9" s="64">
        <v>6.44</v>
      </c>
      <c r="F9" s="64">
        <v>8.0299999999999994</v>
      </c>
      <c r="G9" s="64">
        <v>57.03</v>
      </c>
      <c r="H9" s="64">
        <v>20.05</v>
      </c>
      <c r="I9" s="64">
        <v>3.83</v>
      </c>
      <c r="J9" s="64">
        <v>0.55000000000000004</v>
      </c>
      <c r="K9" s="64">
        <v>178.23</v>
      </c>
      <c r="L9" s="64">
        <v>30.4</v>
      </c>
      <c r="M9" s="64">
        <v>68.260000000000005</v>
      </c>
      <c r="N9" s="64">
        <v>29.4</v>
      </c>
      <c r="O9" s="64">
        <v>0</v>
      </c>
      <c r="P9" s="64">
        <v>0.91</v>
      </c>
      <c r="Q9" s="64">
        <v>9.57</v>
      </c>
      <c r="R9" s="198"/>
      <c r="S9" s="198"/>
      <c r="T9" s="198"/>
      <c r="U9" s="198"/>
    </row>
    <row r="10" spans="1:21" s="12" customFormat="1" x14ac:dyDescent="0.25">
      <c r="A10" s="214" t="s">
        <v>1975</v>
      </c>
      <c r="B10" s="64">
        <v>7.31</v>
      </c>
      <c r="C10" s="64">
        <v>41.23</v>
      </c>
      <c r="D10" s="64">
        <v>67.7</v>
      </c>
      <c r="E10" s="64">
        <v>6.72</v>
      </c>
      <c r="F10" s="64">
        <v>8.39</v>
      </c>
      <c r="G10" s="64">
        <v>57.99</v>
      </c>
      <c r="H10" s="64">
        <v>20.13</v>
      </c>
      <c r="I10" s="64">
        <v>3.99</v>
      </c>
      <c r="J10" s="64">
        <v>0.22</v>
      </c>
      <c r="K10" s="64">
        <v>227.55</v>
      </c>
      <c r="L10" s="64">
        <v>30.36</v>
      </c>
      <c r="M10" s="64">
        <v>69.11</v>
      </c>
      <c r="N10" s="64">
        <v>29.7</v>
      </c>
      <c r="O10" s="64">
        <v>0</v>
      </c>
      <c r="P10" s="64">
        <v>1.06</v>
      </c>
      <c r="Q10" s="64">
        <v>9.58</v>
      </c>
      <c r="R10" s="198"/>
      <c r="S10" s="198"/>
      <c r="T10" s="198"/>
      <c r="U10" s="198"/>
    </row>
    <row r="11" spans="1:21" s="12" customFormat="1" x14ac:dyDescent="0.25">
      <c r="A11" s="214" t="s">
        <v>1976</v>
      </c>
      <c r="B11" s="64">
        <v>10.34</v>
      </c>
      <c r="C11" s="64">
        <v>34.28</v>
      </c>
      <c r="D11" s="64">
        <v>49.74</v>
      </c>
      <c r="E11" s="64">
        <v>7.45</v>
      </c>
      <c r="F11" s="64">
        <v>7.5</v>
      </c>
      <c r="G11" s="64">
        <v>60.95</v>
      </c>
      <c r="H11" s="64">
        <v>20.399999999999999</v>
      </c>
      <c r="I11" s="64">
        <v>4.05</v>
      </c>
      <c r="J11" s="64">
        <v>0.34</v>
      </c>
      <c r="K11" s="64">
        <v>256.60000000000002</v>
      </c>
      <c r="L11" s="64">
        <v>30.25</v>
      </c>
      <c r="M11" s="64">
        <v>73.989999999999995</v>
      </c>
      <c r="N11" s="64">
        <v>29.9</v>
      </c>
      <c r="O11" s="64">
        <v>0</v>
      </c>
      <c r="P11" s="64">
        <v>1.03</v>
      </c>
      <c r="Q11" s="64">
        <v>9.58</v>
      </c>
      <c r="R11" s="198"/>
      <c r="S11" s="198"/>
      <c r="T11" s="198"/>
      <c r="U11" s="198"/>
    </row>
    <row r="12" spans="1:21" s="12" customFormat="1" x14ac:dyDescent="0.25">
      <c r="A12" s="214" t="s">
        <v>1977</v>
      </c>
      <c r="B12" s="64">
        <v>8.77</v>
      </c>
      <c r="C12" s="64">
        <v>35.340000000000003</v>
      </c>
      <c r="D12" s="64">
        <v>54.18</v>
      </c>
      <c r="E12" s="64">
        <v>7.44</v>
      </c>
      <c r="F12" s="64">
        <v>6.78</v>
      </c>
      <c r="G12" s="64">
        <v>60.95</v>
      </c>
      <c r="H12" s="64">
        <v>20.399999999999999</v>
      </c>
      <c r="I12" s="64">
        <v>4.21</v>
      </c>
      <c r="J12" s="64">
        <v>0.43</v>
      </c>
      <c r="K12" s="64">
        <v>98.24</v>
      </c>
      <c r="L12" s="64">
        <v>29.97</v>
      </c>
      <c r="M12" s="64">
        <v>74.42</v>
      </c>
      <c r="N12" s="64">
        <v>29.5</v>
      </c>
      <c r="O12" s="64">
        <v>0</v>
      </c>
      <c r="P12" s="64">
        <v>1.17</v>
      </c>
      <c r="Q12" s="64">
        <v>9.58</v>
      </c>
      <c r="R12" s="198"/>
      <c r="S12" s="198"/>
      <c r="T12" s="198"/>
      <c r="U12" s="198"/>
    </row>
    <row r="13" spans="1:21" s="12" customFormat="1" x14ac:dyDescent="0.25">
      <c r="A13" s="214" t="s">
        <v>1978</v>
      </c>
      <c r="B13" s="64">
        <v>5.5</v>
      </c>
      <c r="C13" s="64">
        <v>37.97</v>
      </c>
      <c r="D13" s="64">
        <v>64.23</v>
      </c>
      <c r="E13" s="64">
        <v>7.53</v>
      </c>
      <c r="F13" s="64">
        <v>6.58</v>
      </c>
      <c r="G13" s="64">
        <v>60.95</v>
      </c>
      <c r="H13" s="64">
        <v>20.399999999999999</v>
      </c>
      <c r="I13" s="64">
        <v>4.1399999999999997</v>
      </c>
      <c r="J13" s="64">
        <v>0.51</v>
      </c>
      <c r="K13" s="64">
        <v>108.51</v>
      </c>
      <c r="L13" s="64">
        <v>30.17</v>
      </c>
      <c r="M13" s="64">
        <v>73.02</v>
      </c>
      <c r="N13" s="64">
        <v>29.2</v>
      </c>
      <c r="O13" s="64">
        <v>0</v>
      </c>
      <c r="P13" s="64">
        <v>1.07</v>
      </c>
      <c r="Q13" s="64">
        <v>9.6</v>
      </c>
      <c r="R13" s="198"/>
      <c r="S13" s="198"/>
      <c r="T13" s="198"/>
      <c r="U13" s="198"/>
    </row>
    <row r="14" spans="1:21" s="12" customFormat="1" x14ac:dyDescent="0.25">
      <c r="A14" s="214" t="s">
        <v>1979</v>
      </c>
      <c r="B14" s="64">
        <v>10.39</v>
      </c>
      <c r="C14" s="64">
        <v>41.88</v>
      </c>
      <c r="D14" s="64">
        <v>64.22</v>
      </c>
      <c r="E14" s="64">
        <v>7.76</v>
      </c>
      <c r="F14" s="64">
        <v>7.54</v>
      </c>
      <c r="G14" s="64">
        <v>62.75</v>
      </c>
      <c r="H14" s="64">
        <v>21.18</v>
      </c>
      <c r="I14" s="64">
        <v>3.98</v>
      </c>
      <c r="J14" s="64">
        <v>0.12</v>
      </c>
      <c r="K14" s="64">
        <v>118.96</v>
      </c>
      <c r="L14" s="64">
        <v>30.13</v>
      </c>
      <c r="M14" s="64">
        <v>74.28</v>
      </c>
      <c r="N14" s="64">
        <v>29.5</v>
      </c>
      <c r="O14" s="64">
        <v>0</v>
      </c>
      <c r="P14" s="64">
        <v>1.1599999999999999</v>
      </c>
      <c r="Q14" s="64">
        <v>9.58</v>
      </c>
      <c r="R14" s="198"/>
      <c r="S14" s="198"/>
      <c r="T14" s="198"/>
      <c r="U14" s="198"/>
    </row>
    <row r="15" spans="1:21" s="12" customFormat="1" x14ac:dyDescent="0.25">
      <c r="A15" s="214" t="s">
        <v>1980</v>
      </c>
      <c r="B15" s="64">
        <v>9.3000000000000007</v>
      </c>
      <c r="C15" s="64">
        <v>37.67</v>
      </c>
      <c r="D15" s="64">
        <v>57.84</v>
      </c>
      <c r="E15" s="64">
        <v>8.84</v>
      </c>
      <c r="F15" s="64">
        <v>9.27</v>
      </c>
      <c r="G15" s="64">
        <v>68.31</v>
      </c>
      <c r="H15" s="64">
        <v>23.58</v>
      </c>
      <c r="I15" s="64">
        <v>3.94</v>
      </c>
      <c r="J15" s="64">
        <v>1.32</v>
      </c>
      <c r="K15" s="64">
        <v>112.22</v>
      </c>
      <c r="L15" s="64">
        <v>30.17</v>
      </c>
      <c r="M15" s="64">
        <v>76.48</v>
      </c>
      <c r="N15" s="64">
        <v>29.1</v>
      </c>
      <c r="O15" s="64">
        <v>0</v>
      </c>
      <c r="P15" s="64">
        <v>0.96</v>
      </c>
      <c r="Q15" s="64">
        <v>9.57</v>
      </c>
      <c r="R15" s="198"/>
      <c r="S15" s="198"/>
      <c r="T15" s="198"/>
      <c r="U15" s="198"/>
    </row>
    <row r="16" spans="1:21" s="12" customFormat="1" x14ac:dyDescent="0.25">
      <c r="A16" s="214" t="s">
        <v>1981</v>
      </c>
      <c r="B16" s="64">
        <v>8.27</v>
      </c>
      <c r="C16" s="64">
        <v>28.52</v>
      </c>
      <c r="D16" s="64">
        <v>41.9</v>
      </c>
      <c r="E16" s="64">
        <v>9.8699999999999992</v>
      </c>
      <c r="F16" s="64">
        <v>14.7</v>
      </c>
      <c r="G16" s="64">
        <v>68.31</v>
      </c>
      <c r="H16" s="64">
        <v>23.58</v>
      </c>
      <c r="I16" s="64">
        <v>4</v>
      </c>
      <c r="J16" s="64">
        <v>1.35</v>
      </c>
      <c r="K16" s="64">
        <v>105.18</v>
      </c>
      <c r="L16" s="64">
        <v>30.02</v>
      </c>
      <c r="M16" s="64">
        <v>79.16</v>
      </c>
      <c r="N16" s="64">
        <v>29.5</v>
      </c>
      <c r="O16" s="64">
        <v>0</v>
      </c>
      <c r="P16" s="64">
        <v>0.76</v>
      </c>
      <c r="Q16" s="64">
        <v>9.57</v>
      </c>
      <c r="R16" s="198"/>
      <c r="S16" s="198"/>
      <c r="T16" s="198"/>
      <c r="U16" s="198"/>
    </row>
    <row r="17" spans="1:21" s="12" customFormat="1" x14ac:dyDescent="0.25">
      <c r="A17" s="214" t="s">
        <v>1982</v>
      </c>
      <c r="B17" s="64">
        <v>6.72</v>
      </c>
      <c r="C17" s="64">
        <v>25.14</v>
      </c>
      <c r="D17" s="64">
        <v>37.799999999999997</v>
      </c>
      <c r="E17" s="64">
        <v>7.59</v>
      </c>
      <c r="F17" s="64">
        <v>15.87</v>
      </c>
      <c r="G17" s="64">
        <v>68.31</v>
      </c>
      <c r="H17" s="64">
        <v>23.58</v>
      </c>
      <c r="I17" s="64">
        <v>3.97</v>
      </c>
      <c r="J17" s="64">
        <v>0.96</v>
      </c>
      <c r="K17" s="64">
        <v>99.28</v>
      </c>
      <c r="L17" s="64">
        <v>30.03</v>
      </c>
      <c r="M17" s="64">
        <v>78.91</v>
      </c>
      <c r="N17" s="64">
        <v>29.4</v>
      </c>
      <c r="O17" s="64">
        <v>0</v>
      </c>
      <c r="P17" s="64">
        <v>0.56000000000000005</v>
      </c>
      <c r="Q17" s="64">
        <v>9.57</v>
      </c>
      <c r="R17" s="198"/>
      <c r="S17" s="198"/>
      <c r="T17" s="198"/>
      <c r="U17" s="198"/>
    </row>
    <row r="18" spans="1:21" s="12" customFormat="1" x14ac:dyDescent="0.25">
      <c r="A18" s="214" t="s">
        <v>1983</v>
      </c>
      <c r="B18" s="64">
        <v>7.02</v>
      </c>
      <c r="C18" s="64">
        <v>23.35</v>
      </c>
      <c r="D18" s="64">
        <v>33.909999999999997</v>
      </c>
      <c r="E18" s="64">
        <v>7.61</v>
      </c>
      <c r="F18" s="64">
        <v>16.11</v>
      </c>
      <c r="G18" s="64">
        <v>67.650000000000006</v>
      </c>
      <c r="H18" s="64">
        <v>23.31</v>
      </c>
      <c r="I18" s="64">
        <v>4.0599999999999996</v>
      </c>
      <c r="J18" s="64">
        <v>1.29</v>
      </c>
      <c r="K18" s="64">
        <v>106.82</v>
      </c>
      <c r="L18" s="64">
        <v>30.01</v>
      </c>
      <c r="M18" s="64">
        <v>77.69</v>
      </c>
      <c r="N18" s="64">
        <v>29.4</v>
      </c>
      <c r="O18" s="64">
        <v>0</v>
      </c>
      <c r="P18" s="64">
        <v>0.53</v>
      </c>
      <c r="Q18" s="64">
        <v>9.56</v>
      </c>
      <c r="R18" s="198"/>
      <c r="S18" s="198"/>
      <c r="T18" s="198"/>
      <c r="U18" s="198"/>
    </row>
    <row r="19" spans="1:21" s="12" customFormat="1" x14ac:dyDescent="0.25">
      <c r="A19" s="214" t="s">
        <v>1984</v>
      </c>
      <c r="B19" s="64">
        <v>7.07</v>
      </c>
      <c r="C19" s="64">
        <v>21.32</v>
      </c>
      <c r="D19" s="64">
        <v>29.95</v>
      </c>
      <c r="E19" s="64">
        <v>7.15</v>
      </c>
      <c r="F19" s="64">
        <v>14.67</v>
      </c>
      <c r="G19" s="64">
        <v>65.61</v>
      </c>
      <c r="H19" s="64">
        <v>22.54</v>
      </c>
      <c r="I19" s="64">
        <v>3.88</v>
      </c>
      <c r="J19" s="64">
        <v>1.3</v>
      </c>
      <c r="K19" s="64">
        <v>103.4</v>
      </c>
      <c r="L19" s="64">
        <v>29.86</v>
      </c>
      <c r="M19" s="64">
        <v>75.5</v>
      </c>
      <c r="N19" s="64">
        <v>29.5</v>
      </c>
      <c r="O19" s="64">
        <v>0</v>
      </c>
      <c r="P19" s="64">
        <v>0.52</v>
      </c>
      <c r="Q19" s="64">
        <v>9.5399999999999991</v>
      </c>
      <c r="R19" s="198"/>
      <c r="S19" s="198"/>
      <c r="T19" s="198"/>
      <c r="U19" s="198"/>
    </row>
    <row r="20" spans="1:21" s="12" customFormat="1" x14ac:dyDescent="0.25">
      <c r="A20" s="214" t="s">
        <v>1985</v>
      </c>
      <c r="B20" s="64">
        <v>7.22</v>
      </c>
      <c r="C20" s="64">
        <v>20.03</v>
      </c>
      <c r="D20" s="64">
        <v>27.26</v>
      </c>
      <c r="E20" s="64">
        <v>7.56</v>
      </c>
      <c r="F20" s="64">
        <v>13.96</v>
      </c>
      <c r="G20" s="64">
        <v>65.61</v>
      </c>
      <c r="H20" s="64">
        <v>22.54</v>
      </c>
      <c r="I20" s="64">
        <v>3.87</v>
      </c>
      <c r="J20" s="64">
        <v>1.31</v>
      </c>
      <c r="K20" s="64">
        <v>105.78</v>
      </c>
      <c r="L20" s="64">
        <v>29.78</v>
      </c>
      <c r="M20" s="64">
        <v>73.47</v>
      </c>
      <c r="N20" s="64">
        <v>29.5</v>
      </c>
      <c r="O20" s="64">
        <v>0</v>
      </c>
      <c r="P20" s="64">
        <v>0.42</v>
      </c>
      <c r="Q20" s="64">
        <v>9.52</v>
      </c>
      <c r="R20" s="198"/>
      <c r="S20" s="198"/>
      <c r="T20" s="198"/>
      <c r="U20" s="198"/>
    </row>
    <row r="21" spans="1:21" s="12" customFormat="1" x14ac:dyDescent="0.25">
      <c r="A21" s="214" t="s">
        <v>1986</v>
      </c>
      <c r="B21" s="64">
        <v>6.66</v>
      </c>
      <c r="C21" s="64">
        <v>19.809999999999999</v>
      </c>
      <c r="D21" s="64">
        <v>27.7</v>
      </c>
      <c r="E21" s="64">
        <v>7.01</v>
      </c>
      <c r="F21" s="64">
        <v>15.19</v>
      </c>
      <c r="G21" s="64">
        <v>65.61</v>
      </c>
      <c r="H21" s="64">
        <v>22.54</v>
      </c>
      <c r="I21" s="64">
        <v>4.16</v>
      </c>
      <c r="J21" s="64">
        <v>1.1599999999999999</v>
      </c>
      <c r="K21" s="64">
        <v>114.55</v>
      </c>
      <c r="L21" s="64">
        <v>29.69</v>
      </c>
      <c r="M21" s="64">
        <v>73.33</v>
      </c>
      <c r="N21" s="64">
        <v>29.6</v>
      </c>
      <c r="O21" s="64">
        <v>0</v>
      </c>
      <c r="P21" s="64">
        <v>0.42</v>
      </c>
      <c r="Q21" s="64">
        <v>9.5</v>
      </c>
      <c r="R21" s="198"/>
      <c r="S21" s="198"/>
      <c r="T21" s="198"/>
      <c r="U21" s="198"/>
    </row>
    <row r="22" spans="1:21" s="12" customFormat="1" x14ac:dyDescent="0.25">
      <c r="A22" s="214" t="s">
        <v>1987</v>
      </c>
      <c r="B22" s="64">
        <v>6.95</v>
      </c>
      <c r="C22" s="64">
        <v>20.38</v>
      </c>
      <c r="D22" s="64">
        <v>28.33</v>
      </c>
      <c r="E22" s="64">
        <v>7.22</v>
      </c>
      <c r="F22" s="64">
        <v>10.46</v>
      </c>
      <c r="G22" s="64">
        <v>62.28</v>
      </c>
      <c r="H22" s="64">
        <v>21.77</v>
      </c>
      <c r="I22" s="64">
        <v>4.1100000000000003</v>
      </c>
      <c r="J22" s="64">
        <v>0.61</v>
      </c>
      <c r="K22" s="64">
        <v>104.51</v>
      </c>
      <c r="L22" s="64">
        <v>29.48</v>
      </c>
      <c r="M22" s="64">
        <v>72.84</v>
      </c>
      <c r="N22" s="64">
        <v>29.8</v>
      </c>
      <c r="O22" s="64">
        <v>0</v>
      </c>
      <c r="P22" s="64">
        <v>0.5</v>
      </c>
      <c r="Q22" s="64">
        <v>9.49</v>
      </c>
      <c r="R22" s="198"/>
      <c r="S22" s="198"/>
      <c r="T22" s="198"/>
      <c r="U22" s="198"/>
    </row>
    <row r="23" spans="1:21" s="12" customFormat="1" x14ac:dyDescent="0.25">
      <c r="A23" s="214" t="s">
        <v>1988</v>
      </c>
      <c r="B23" s="64">
        <v>9.18</v>
      </c>
      <c r="C23" s="64">
        <v>24.24</v>
      </c>
      <c r="D23" s="64">
        <v>32.31</v>
      </c>
      <c r="E23" s="64">
        <v>7.06</v>
      </c>
      <c r="F23" s="64">
        <v>7.27</v>
      </c>
      <c r="G23" s="64">
        <v>51.98</v>
      </c>
      <c r="H23" s="64">
        <v>19.38</v>
      </c>
      <c r="I23" s="64">
        <v>4.22</v>
      </c>
      <c r="J23" s="64">
        <v>1.01</v>
      </c>
      <c r="K23" s="64">
        <v>110.56</v>
      </c>
      <c r="L23" s="64">
        <v>29.26</v>
      </c>
      <c r="M23" s="64">
        <v>72.61</v>
      </c>
      <c r="N23" s="64">
        <v>29.7</v>
      </c>
      <c r="O23" s="64">
        <v>0</v>
      </c>
      <c r="P23" s="64">
        <v>0.63</v>
      </c>
      <c r="Q23" s="64">
        <v>9.48</v>
      </c>
      <c r="R23" s="198"/>
      <c r="S23" s="198"/>
      <c r="T23" s="198"/>
      <c r="U23" s="198"/>
    </row>
    <row r="24" spans="1:21" s="12" customFormat="1" x14ac:dyDescent="0.25">
      <c r="A24" s="214" t="s">
        <v>1989</v>
      </c>
      <c r="B24" s="64">
        <v>9.0500000000000007</v>
      </c>
      <c r="C24" s="64">
        <v>22.11</v>
      </c>
      <c r="D24" s="64">
        <v>28.43</v>
      </c>
      <c r="E24" s="64">
        <v>6.66</v>
      </c>
      <c r="F24" s="64">
        <v>6.68</v>
      </c>
      <c r="G24" s="64">
        <v>51.98</v>
      </c>
      <c r="H24" s="64">
        <v>19.38</v>
      </c>
      <c r="I24" s="64">
        <v>4.0999999999999996</v>
      </c>
      <c r="J24" s="64">
        <v>1.66</v>
      </c>
      <c r="K24" s="64">
        <v>106.07</v>
      </c>
      <c r="L24" s="64">
        <v>29.16</v>
      </c>
      <c r="M24" s="64">
        <v>72.260000000000005</v>
      </c>
      <c r="N24" s="64">
        <v>29.5</v>
      </c>
      <c r="O24" s="64">
        <v>0</v>
      </c>
      <c r="P24" s="64">
        <v>0.6</v>
      </c>
      <c r="Q24" s="64">
        <v>9.48</v>
      </c>
      <c r="R24" s="198"/>
      <c r="S24" s="198"/>
      <c r="T24" s="198"/>
      <c r="U24" s="198"/>
    </row>
    <row r="25" spans="1:21" s="12" customFormat="1" x14ac:dyDescent="0.25">
      <c r="A25" s="214" t="s">
        <v>1990</v>
      </c>
      <c r="B25" s="64">
        <v>9.1999999999999993</v>
      </c>
      <c r="C25" s="64">
        <v>20.72</v>
      </c>
      <c r="D25" s="64">
        <v>25.53</v>
      </c>
      <c r="E25" s="64">
        <v>6.69</v>
      </c>
      <c r="F25" s="64">
        <v>5.56</v>
      </c>
      <c r="G25" s="64">
        <v>51.98</v>
      </c>
      <c r="H25" s="64">
        <v>19.38</v>
      </c>
      <c r="I25" s="64">
        <v>4.12</v>
      </c>
      <c r="J25" s="64">
        <v>1.23</v>
      </c>
      <c r="K25" s="64">
        <v>105.21</v>
      </c>
      <c r="L25" s="64">
        <v>29.07</v>
      </c>
      <c r="M25" s="64">
        <v>72.69</v>
      </c>
      <c r="N25" s="64">
        <v>29.6</v>
      </c>
      <c r="O25" s="64">
        <v>0</v>
      </c>
      <c r="P25" s="64">
        <v>0.64</v>
      </c>
      <c r="Q25" s="64">
        <v>9.4600000000000009</v>
      </c>
      <c r="R25" s="198"/>
      <c r="S25" s="198"/>
      <c r="T25" s="198"/>
      <c r="U25" s="198"/>
    </row>
    <row r="26" spans="1:21" s="12" customFormat="1" x14ac:dyDescent="0.25">
      <c r="A26" s="214" t="s">
        <v>1991</v>
      </c>
      <c r="B26" s="64">
        <v>8.3000000000000007</v>
      </c>
      <c r="C26" s="64">
        <v>21.02</v>
      </c>
      <c r="D26" s="64">
        <v>27.48</v>
      </c>
      <c r="E26" s="64">
        <v>6.19</v>
      </c>
      <c r="F26" s="64">
        <v>8.07</v>
      </c>
      <c r="G26" s="64">
        <v>50.85</v>
      </c>
      <c r="H26" s="64">
        <v>19.23</v>
      </c>
      <c r="I26" s="64">
        <v>3.94</v>
      </c>
      <c r="J26" s="64">
        <v>0.56999999999999995</v>
      </c>
      <c r="K26" s="64">
        <v>95.1</v>
      </c>
      <c r="L26" s="64">
        <v>29.01</v>
      </c>
      <c r="M26" s="64">
        <v>72.91</v>
      </c>
      <c r="N26" s="64">
        <v>29.5</v>
      </c>
      <c r="O26" s="64">
        <v>0</v>
      </c>
      <c r="P26" s="64">
        <v>0.46</v>
      </c>
      <c r="Q26" s="64">
        <v>9.4499999999999993</v>
      </c>
      <c r="R26" s="198"/>
      <c r="S26" s="198"/>
      <c r="T26" s="198"/>
      <c r="U26" s="198"/>
    </row>
    <row r="27" spans="1:21" s="12" customFormat="1" x14ac:dyDescent="0.25">
      <c r="A27" s="214" t="s">
        <v>1992</v>
      </c>
      <c r="B27" s="64">
        <v>7.58</v>
      </c>
      <c r="C27" s="64">
        <v>21.8</v>
      </c>
      <c r="D27" s="64">
        <v>30.1</v>
      </c>
      <c r="E27" s="64">
        <v>6.26</v>
      </c>
      <c r="F27" s="64">
        <v>8.3699999999999992</v>
      </c>
      <c r="G27" s="64">
        <v>47.54</v>
      </c>
      <c r="H27" s="64">
        <v>18.760000000000002</v>
      </c>
      <c r="I27" s="64">
        <v>3.85</v>
      </c>
      <c r="J27" s="64">
        <v>0.99</v>
      </c>
      <c r="K27" s="64">
        <v>104.58</v>
      </c>
      <c r="L27" s="64">
        <v>28.96</v>
      </c>
      <c r="M27" s="64">
        <v>73.75</v>
      </c>
      <c r="N27" s="64">
        <v>29.5</v>
      </c>
      <c r="O27" s="64">
        <v>0</v>
      </c>
      <c r="P27" s="64">
        <v>0.43</v>
      </c>
      <c r="Q27" s="64">
        <v>9.4499999999999993</v>
      </c>
      <c r="R27" s="198"/>
      <c r="S27" s="198"/>
      <c r="T27" s="198"/>
      <c r="U27" s="198"/>
    </row>
    <row r="28" spans="1:21" s="12" customFormat="1" x14ac:dyDescent="0.25">
      <c r="A28" s="214" t="s">
        <v>1993</v>
      </c>
      <c r="B28" s="64">
        <v>8.1199999999999992</v>
      </c>
      <c r="C28" s="64">
        <v>20.13</v>
      </c>
      <c r="D28" s="64">
        <v>26.07</v>
      </c>
      <c r="E28" s="64">
        <v>6.02</v>
      </c>
      <c r="F28" s="64">
        <v>7.53</v>
      </c>
      <c r="G28" s="64">
        <v>47.54</v>
      </c>
      <c r="H28" s="64">
        <v>18.760000000000002</v>
      </c>
      <c r="I28" s="64">
        <v>3.94</v>
      </c>
      <c r="J28" s="64">
        <v>0.75</v>
      </c>
      <c r="K28" s="64">
        <v>108.64</v>
      </c>
      <c r="L28" s="64">
        <v>28.77</v>
      </c>
      <c r="M28" s="64">
        <v>74.87</v>
      </c>
      <c r="N28" s="64">
        <v>29.7</v>
      </c>
      <c r="O28" s="64">
        <v>0</v>
      </c>
      <c r="P28" s="64">
        <v>0.49</v>
      </c>
      <c r="Q28" s="64">
        <v>9.43</v>
      </c>
      <c r="R28" s="198"/>
      <c r="S28" s="198"/>
      <c r="T28" s="198"/>
      <c r="U28" s="198"/>
    </row>
    <row r="29" spans="1:21" s="12" customFormat="1" x14ac:dyDescent="0.25">
      <c r="A29" s="214" t="s">
        <v>1994</v>
      </c>
      <c r="B29" s="64">
        <v>6.6</v>
      </c>
      <c r="C29" s="64">
        <v>19.05</v>
      </c>
      <c r="D29" s="64">
        <v>26.35</v>
      </c>
      <c r="E29" s="64">
        <v>6.32</v>
      </c>
      <c r="F29" s="64">
        <v>9.2799999999999994</v>
      </c>
      <c r="G29" s="64">
        <v>47.54</v>
      </c>
      <c r="H29" s="64">
        <v>18.760000000000002</v>
      </c>
      <c r="I29" s="64">
        <v>3.86</v>
      </c>
      <c r="J29" s="64">
        <v>1.08</v>
      </c>
      <c r="K29" s="64">
        <v>103.65</v>
      </c>
      <c r="L29" s="64">
        <v>28.61</v>
      </c>
      <c r="M29" s="64">
        <v>75.87</v>
      </c>
      <c r="N29" s="64">
        <v>30.2</v>
      </c>
      <c r="O29" s="64">
        <v>0</v>
      </c>
      <c r="P29" s="64">
        <v>0.36</v>
      </c>
      <c r="Q29" s="64">
        <v>9.44</v>
      </c>
      <c r="R29" s="198"/>
      <c r="S29" s="198"/>
      <c r="T29" s="198"/>
      <c r="U29" s="198"/>
    </row>
    <row r="30" spans="1:21" s="12" customFormat="1" x14ac:dyDescent="0.25">
      <c r="A30" s="214" t="s">
        <v>1995</v>
      </c>
      <c r="B30" s="64">
        <v>7.54</v>
      </c>
      <c r="C30" s="64">
        <v>19.420000000000002</v>
      </c>
      <c r="D30" s="64">
        <v>25.59</v>
      </c>
      <c r="E30" s="64">
        <v>6.44</v>
      </c>
      <c r="F30" s="64">
        <v>5.87</v>
      </c>
      <c r="G30" s="64">
        <v>45.56</v>
      </c>
      <c r="H30" s="64">
        <v>17.809999999999999</v>
      </c>
      <c r="I30" s="64">
        <v>4.0199999999999996</v>
      </c>
      <c r="J30" s="64">
        <v>1.0900000000000001</v>
      </c>
      <c r="K30" s="64">
        <v>103.03</v>
      </c>
      <c r="L30" s="64">
        <v>28.54</v>
      </c>
      <c r="M30" s="64">
        <v>76.17</v>
      </c>
      <c r="N30" s="64">
        <v>33.4</v>
      </c>
      <c r="O30" s="64">
        <v>0</v>
      </c>
      <c r="P30" s="64">
        <v>0.52</v>
      </c>
      <c r="Q30" s="64">
        <v>9.42</v>
      </c>
      <c r="R30" s="198"/>
      <c r="S30" s="198"/>
      <c r="T30" s="198"/>
      <c r="U30" s="198"/>
    </row>
    <row r="31" spans="1:21" s="12" customFormat="1" x14ac:dyDescent="0.25">
      <c r="A31" s="214" t="s">
        <v>1996</v>
      </c>
      <c r="B31" s="64">
        <v>8.07</v>
      </c>
      <c r="C31" s="64">
        <v>23.6</v>
      </c>
      <c r="D31" s="64">
        <v>32.79</v>
      </c>
      <c r="E31" s="64">
        <v>6.29</v>
      </c>
      <c r="F31" s="64">
        <v>6.94</v>
      </c>
      <c r="G31" s="64">
        <v>39.42</v>
      </c>
      <c r="H31" s="64">
        <v>14.87</v>
      </c>
      <c r="I31" s="64">
        <v>4.0599999999999996</v>
      </c>
      <c r="J31" s="64">
        <v>0.69</v>
      </c>
      <c r="K31" s="64">
        <v>92.01</v>
      </c>
      <c r="L31" s="64">
        <v>28.59</v>
      </c>
      <c r="M31" s="64">
        <v>76.36</v>
      </c>
      <c r="N31" s="64">
        <v>41.4</v>
      </c>
      <c r="O31" s="64">
        <v>0</v>
      </c>
      <c r="P31" s="64">
        <v>0.35</v>
      </c>
      <c r="Q31" s="64">
        <v>9.43</v>
      </c>
      <c r="R31" s="198"/>
      <c r="S31" s="198"/>
      <c r="T31" s="198"/>
      <c r="U31" s="198"/>
    </row>
    <row r="32" spans="1:21" s="12" customFormat="1" x14ac:dyDescent="0.25">
      <c r="A32" s="214" t="s">
        <v>1997</v>
      </c>
      <c r="B32" s="64">
        <v>10.77</v>
      </c>
      <c r="C32" s="64">
        <v>26.94</v>
      </c>
      <c r="D32" s="64">
        <v>35.03</v>
      </c>
      <c r="E32" s="64">
        <v>5.83</v>
      </c>
      <c r="F32" s="64">
        <v>9.81</v>
      </c>
      <c r="G32" s="64">
        <v>39.42</v>
      </c>
      <c r="H32" s="64">
        <v>14.87</v>
      </c>
      <c r="I32" s="64">
        <v>3.91</v>
      </c>
      <c r="J32" s="64">
        <v>0.55000000000000004</v>
      </c>
      <c r="K32" s="64">
        <v>103.29</v>
      </c>
      <c r="L32" s="64">
        <v>28.61</v>
      </c>
      <c r="M32" s="64">
        <v>76.790000000000006</v>
      </c>
      <c r="N32" s="64">
        <v>61.7</v>
      </c>
      <c r="O32" s="64">
        <v>0</v>
      </c>
      <c r="P32" s="64">
        <v>0.34</v>
      </c>
      <c r="Q32" s="64">
        <v>9.42</v>
      </c>
      <c r="R32" s="198"/>
      <c r="S32" s="198"/>
      <c r="T32" s="198"/>
      <c r="U32" s="198"/>
    </row>
    <row r="33" spans="1:21" s="12" customFormat="1" x14ac:dyDescent="0.25">
      <c r="A33" s="214" t="s">
        <v>1998</v>
      </c>
      <c r="B33" s="64">
        <v>12.75</v>
      </c>
      <c r="C33" s="64">
        <v>31.22</v>
      </c>
      <c r="D33" s="64">
        <v>40.19</v>
      </c>
      <c r="E33" s="64">
        <v>6.05</v>
      </c>
      <c r="F33" s="64">
        <v>10.06</v>
      </c>
      <c r="G33" s="64">
        <v>39.42</v>
      </c>
      <c r="H33" s="64">
        <v>14.87</v>
      </c>
      <c r="I33" s="64">
        <v>4.07</v>
      </c>
      <c r="J33" s="64">
        <v>0.39</v>
      </c>
      <c r="K33" s="64">
        <v>99.64</v>
      </c>
      <c r="L33" s="64">
        <v>28.99</v>
      </c>
      <c r="M33" s="64">
        <v>75.91</v>
      </c>
      <c r="N33" s="64">
        <v>93.5</v>
      </c>
      <c r="O33" s="64">
        <v>0</v>
      </c>
      <c r="P33" s="64">
        <v>0.4</v>
      </c>
      <c r="Q33" s="64">
        <v>9.41</v>
      </c>
      <c r="R33" s="198"/>
      <c r="S33" s="198"/>
      <c r="T33" s="198"/>
      <c r="U33" s="198"/>
    </row>
    <row r="34" spans="1:21" s="12" customFormat="1" x14ac:dyDescent="0.25">
      <c r="A34" s="214" t="s">
        <v>1999</v>
      </c>
      <c r="B34" s="64">
        <v>7.65</v>
      </c>
      <c r="C34" s="64">
        <v>25.06</v>
      </c>
      <c r="D34" s="64">
        <v>36.22</v>
      </c>
      <c r="E34" s="64">
        <v>5.87</v>
      </c>
      <c r="F34" s="64">
        <v>12.18</v>
      </c>
      <c r="G34" s="64">
        <v>39.47</v>
      </c>
      <c r="H34" s="64">
        <v>14.8</v>
      </c>
      <c r="I34" s="64">
        <v>4.21</v>
      </c>
      <c r="J34" s="64">
        <v>0.56000000000000005</v>
      </c>
      <c r="K34" s="64">
        <v>95.25</v>
      </c>
      <c r="L34" s="64">
        <v>29.5</v>
      </c>
      <c r="M34" s="64">
        <v>73.41</v>
      </c>
      <c r="N34" s="64">
        <v>132.6</v>
      </c>
      <c r="O34" s="64">
        <v>0</v>
      </c>
      <c r="P34" s="64">
        <v>0.31</v>
      </c>
      <c r="Q34" s="64">
        <v>9.42</v>
      </c>
      <c r="R34" s="198"/>
      <c r="S34" s="198"/>
      <c r="T34" s="198"/>
      <c r="U34" s="198"/>
    </row>
    <row r="35" spans="1:21" s="12" customFormat="1" x14ac:dyDescent="0.25">
      <c r="A35" s="214" t="s">
        <v>2000</v>
      </c>
      <c r="B35" s="64">
        <v>8.59</v>
      </c>
      <c r="C35" s="64">
        <v>24.34</v>
      </c>
      <c r="D35" s="64">
        <v>33.39</v>
      </c>
      <c r="E35" s="64">
        <v>6.02</v>
      </c>
      <c r="F35" s="64">
        <v>9.6199999999999992</v>
      </c>
      <c r="G35" s="64">
        <v>39.619999999999997</v>
      </c>
      <c r="H35" s="64">
        <v>14.59</v>
      </c>
      <c r="I35" s="64">
        <v>4.0199999999999996</v>
      </c>
      <c r="J35" s="64">
        <v>0.59</v>
      </c>
      <c r="K35" s="64">
        <v>142.56</v>
      </c>
      <c r="L35" s="64">
        <v>30.19</v>
      </c>
      <c r="M35" s="64">
        <v>70.59</v>
      </c>
      <c r="N35" s="64">
        <v>176.7</v>
      </c>
      <c r="O35" s="64">
        <v>0</v>
      </c>
      <c r="P35" s="64">
        <v>0.33</v>
      </c>
      <c r="Q35" s="64">
        <v>9.42</v>
      </c>
      <c r="R35" s="198"/>
      <c r="S35" s="198"/>
      <c r="T35" s="198"/>
      <c r="U35" s="198"/>
    </row>
    <row r="36" spans="1:21" s="12" customFormat="1" x14ac:dyDescent="0.25">
      <c r="A36" s="214" t="s">
        <v>2001</v>
      </c>
      <c r="B36" s="64">
        <v>8.98</v>
      </c>
      <c r="C36" s="64">
        <v>24.75</v>
      </c>
      <c r="D36" s="64">
        <v>33.58</v>
      </c>
      <c r="E36" s="64">
        <v>6.31</v>
      </c>
      <c r="F36" s="64">
        <v>11.26</v>
      </c>
      <c r="G36" s="64">
        <v>39.619999999999997</v>
      </c>
      <c r="H36" s="64">
        <v>14.59</v>
      </c>
      <c r="I36" s="64">
        <v>4.05</v>
      </c>
      <c r="J36" s="64">
        <v>0.88</v>
      </c>
      <c r="K36" s="64">
        <v>150.9</v>
      </c>
      <c r="L36" s="64">
        <v>30.74</v>
      </c>
      <c r="M36" s="64">
        <v>68.98</v>
      </c>
      <c r="N36" s="64">
        <v>223.7</v>
      </c>
      <c r="O36" s="64">
        <v>0</v>
      </c>
      <c r="P36" s="64">
        <v>0.39</v>
      </c>
      <c r="Q36" s="64">
        <v>9.43</v>
      </c>
      <c r="R36" s="198"/>
      <c r="S36" s="198"/>
      <c r="T36" s="198"/>
      <c r="U36" s="198"/>
    </row>
    <row r="37" spans="1:21" s="12" customFormat="1" x14ac:dyDescent="0.25">
      <c r="A37" s="214" t="s">
        <v>2002</v>
      </c>
      <c r="B37" s="64">
        <v>9.61</v>
      </c>
      <c r="C37" s="64">
        <v>23.48</v>
      </c>
      <c r="D37" s="64">
        <v>30.2</v>
      </c>
      <c r="E37" s="64">
        <v>6.23</v>
      </c>
      <c r="F37" s="64">
        <v>11.83</v>
      </c>
      <c r="G37" s="64">
        <v>39.619999999999997</v>
      </c>
      <c r="H37" s="64">
        <v>14.59</v>
      </c>
      <c r="I37" s="64">
        <v>4.07</v>
      </c>
      <c r="J37" s="64">
        <v>0.9</v>
      </c>
      <c r="K37" s="64">
        <v>162.56</v>
      </c>
      <c r="L37" s="64">
        <v>31.1</v>
      </c>
      <c r="M37" s="64">
        <v>68.05</v>
      </c>
      <c r="N37" s="64">
        <v>271.10000000000002</v>
      </c>
      <c r="O37" s="64">
        <v>0</v>
      </c>
      <c r="P37" s="64">
        <v>0.43</v>
      </c>
      <c r="Q37" s="64">
        <v>9.44</v>
      </c>
      <c r="R37" s="198"/>
      <c r="S37" s="198"/>
      <c r="T37" s="198"/>
      <c r="U37" s="198"/>
    </row>
    <row r="38" spans="1:21" s="12" customFormat="1" x14ac:dyDescent="0.25">
      <c r="A38" s="214" t="s">
        <v>2003</v>
      </c>
      <c r="B38" s="64">
        <v>7.37</v>
      </c>
      <c r="C38" s="64">
        <v>20.07</v>
      </c>
      <c r="D38" s="64">
        <v>27.09</v>
      </c>
      <c r="E38" s="64">
        <v>6.33</v>
      </c>
      <c r="F38" s="64">
        <v>14.66</v>
      </c>
      <c r="G38" s="64">
        <v>38.46</v>
      </c>
      <c r="H38" s="64">
        <v>13.56</v>
      </c>
      <c r="I38" s="64">
        <v>4.07</v>
      </c>
      <c r="J38" s="64">
        <v>0.75</v>
      </c>
      <c r="K38" s="64">
        <v>156.77000000000001</v>
      </c>
      <c r="L38" s="64">
        <v>31.83</v>
      </c>
      <c r="M38" s="64">
        <v>65.41</v>
      </c>
      <c r="N38" s="64">
        <v>322.39999999999998</v>
      </c>
      <c r="O38" s="64">
        <v>0</v>
      </c>
      <c r="P38" s="64">
        <v>0.38</v>
      </c>
      <c r="Q38" s="64">
        <v>9.44</v>
      </c>
      <c r="R38" s="198"/>
      <c r="S38" s="198"/>
      <c r="T38" s="198"/>
      <c r="U38" s="198"/>
    </row>
    <row r="39" spans="1:21" s="12" customFormat="1" x14ac:dyDescent="0.25">
      <c r="A39" s="214" t="s">
        <v>2004</v>
      </c>
      <c r="B39" s="64">
        <v>7.91</v>
      </c>
      <c r="C39" s="64">
        <v>19.170000000000002</v>
      </c>
      <c r="D39" s="64">
        <v>24.57</v>
      </c>
      <c r="E39" s="64">
        <v>6.27</v>
      </c>
      <c r="F39" s="64">
        <v>11.53</v>
      </c>
      <c r="G39" s="64">
        <v>35.06</v>
      </c>
      <c r="H39" s="64">
        <v>10.38</v>
      </c>
      <c r="I39" s="64">
        <v>4.12</v>
      </c>
      <c r="J39" s="64">
        <v>1.25</v>
      </c>
      <c r="K39" s="64">
        <v>155.75</v>
      </c>
      <c r="L39" s="64">
        <v>31.92</v>
      </c>
      <c r="M39" s="64">
        <v>65.16</v>
      </c>
      <c r="N39" s="64">
        <v>378.7</v>
      </c>
      <c r="O39" s="64">
        <v>0</v>
      </c>
      <c r="P39" s="64">
        <v>0.46</v>
      </c>
      <c r="Q39" s="64">
        <v>9.43</v>
      </c>
      <c r="R39" s="198"/>
      <c r="S39" s="198"/>
      <c r="T39" s="198"/>
      <c r="U39" s="198"/>
    </row>
    <row r="40" spans="1:21" s="12" customFormat="1" x14ac:dyDescent="0.25">
      <c r="A40" s="214" t="s">
        <v>2005</v>
      </c>
      <c r="B40" s="64">
        <v>8.77</v>
      </c>
      <c r="C40" s="64">
        <v>21.06</v>
      </c>
      <c r="D40" s="64">
        <v>26.84</v>
      </c>
      <c r="E40" s="64">
        <v>5.31</v>
      </c>
      <c r="F40" s="64">
        <v>8.52</v>
      </c>
      <c r="G40" s="64">
        <v>35.06</v>
      </c>
      <c r="H40" s="64">
        <v>10.38</v>
      </c>
      <c r="I40" s="64">
        <v>3.93</v>
      </c>
      <c r="J40" s="64">
        <v>1.3</v>
      </c>
      <c r="K40" s="64">
        <v>146.82</v>
      </c>
      <c r="L40" s="64">
        <v>32.49</v>
      </c>
      <c r="M40" s="64">
        <v>63.21</v>
      </c>
      <c r="N40" s="64">
        <v>433.3</v>
      </c>
      <c r="O40" s="64">
        <v>0</v>
      </c>
      <c r="P40" s="64">
        <v>0.49</v>
      </c>
      <c r="Q40" s="64">
        <v>9.42</v>
      </c>
      <c r="R40" s="198"/>
      <c r="S40" s="198"/>
      <c r="T40" s="198"/>
      <c r="U40" s="198"/>
    </row>
    <row r="41" spans="1:21" s="12" customFormat="1" x14ac:dyDescent="0.25">
      <c r="A41" s="214" t="s">
        <v>2006</v>
      </c>
      <c r="B41" s="64">
        <v>8.27</v>
      </c>
      <c r="C41" s="64">
        <v>20.48</v>
      </c>
      <c r="D41" s="64">
        <v>26.5</v>
      </c>
      <c r="E41" s="64">
        <v>5.15</v>
      </c>
      <c r="F41" s="64">
        <v>10.24</v>
      </c>
      <c r="G41" s="64">
        <v>35.06</v>
      </c>
      <c r="H41" s="64">
        <v>10.38</v>
      </c>
      <c r="I41" s="64">
        <v>4.1900000000000004</v>
      </c>
      <c r="J41" s="64">
        <v>0.82</v>
      </c>
      <c r="K41" s="64">
        <v>162.24</v>
      </c>
      <c r="L41" s="64">
        <v>33.130000000000003</v>
      </c>
      <c r="M41" s="64">
        <v>61.56</v>
      </c>
      <c r="N41" s="64">
        <v>486.7</v>
      </c>
      <c r="O41" s="64">
        <v>0</v>
      </c>
      <c r="P41" s="64">
        <v>0.43</v>
      </c>
      <c r="Q41" s="64">
        <v>9.41</v>
      </c>
      <c r="R41" s="198"/>
      <c r="S41" s="198"/>
      <c r="T41" s="198"/>
      <c r="U41" s="198"/>
    </row>
    <row r="42" spans="1:21" s="12" customFormat="1" x14ac:dyDescent="0.25">
      <c r="A42" s="214" t="s">
        <v>2007</v>
      </c>
      <c r="B42" s="64">
        <v>7.4</v>
      </c>
      <c r="C42" s="64">
        <v>19.04</v>
      </c>
      <c r="D42" s="64">
        <v>25.08</v>
      </c>
      <c r="E42" s="64">
        <v>5.0599999999999996</v>
      </c>
      <c r="F42" s="64">
        <v>11.97</v>
      </c>
      <c r="G42" s="64">
        <v>34.130000000000003</v>
      </c>
      <c r="H42" s="64">
        <v>10.77</v>
      </c>
      <c r="I42" s="64">
        <v>3.85</v>
      </c>
      <c r="J42" s="64">
        <v>0.51</v>
      </c>
      <c r="K42" s="64">
        <v>212.76</v>
      </c>
      <c r="L42" s="64">
        <v>33.99</v>
      </c>
      <c r="M42" s="64">
        <v>58.19</v>
      </c>
      <c r="N42" s="64">
        <v>533</v>
      </c>
      <c r="O42" s="64">
        <v>0</v>
      </c>
      <c r="P42" s="64">
        <v>0.4</v>
      </c>
      <c r="Q42" s="64">
        <v>9.41</v>
      </c>
      <c r="R42" s="198"/>
      <c r="S42" s="198"/>
      <c r="T42" s="198"/>
      <c r="U42" s="198"/>
    </row>
    <row r="43" spans="1:21" s="12" customFormat="1" x14ac:dyDescent="0.25">
      <c r="A43" s="214" t="s">
        <v>2008</v>
      </c>
      <c r="B43" s="64">
        <v>7.17</v>
      </c>
      <c r="C43" s="64">
        <v>17.920000000000002</v>
      </c>
      <c r="D43" s="64">
        <v>23.29</v>
      </c>
      <c r="E43" s="64">
        <v>4.91</v>
      </c>
      <c r="F43" s="64">
        <v>7.35</v>
      </c>
      <c r="G43" s="64">
        <v>31.43</v>
      </c>
      <c r="H43" s="64">
        <v>11.89</v>
      </c>
      <c r="I43" s="64">
        <v>4.1900000000000004</v>
      </c>
      <c r="J43" s="64">
        <v>1.5</v>
      </c>
      <c r="K43" s="64">
        <v>156.29</v>
      </c>
      <c r="L43" s="64">
        <v>33.75</v>
      </c>
      <c r="M43" s="64">
        <v>58.98</v>
      </c>
      <c r="N43" s="64">
        <v>585.4</v>
      </c>
      <c r="O43" s="64">
        <v>0</v>
      </c>
      <c r="P43" s="64">
        <v>0.46</v>
      </c>
      <c r="Q43" s="64">
        <v>9.3699999999999992</v>
      </c>
      <c r="R43" s="198"/>
      <c r="S43" s="198"/>
      <c r="T43" s="198"/>
      <c r="U43" s="198"/>
    </row>
    <row r="44" spans="1:21" s="12" customFormat="1" x14ac:dyDescent="0.25">
      <c r="A44" s="214" t="s">
        <v>2009</v>
      </c>
      <c r="B44" s="64">
        <v>7.35</v>
      </c>
      <c r="C44" s="64">
        <v>19.8</v>
      </c>
      <c r="D44" s="64">
        <v>26.61</v>
      </c>
      <c r="E44" s="64">
        <v>5.03</v>
      </c>
      <c r="F44" s="64">
        <v>8.36</v>
      </c>
      <c r="G44" s="64">
        <v>31.43</v>
      </c>
      <c r="H44" s="64">
        <v>11.89</v>
      </c>
      <c r="I44" s="64">
        <v>4</v>
      </c>
      <c r="J44" s="64">
        <v>0.51</v>
      </c>
      <c r="K44" s="64">
        <v>187.16</v>
      </c>
      <c r="L44" s="64">
        <v>34.590000000000003</v>
      </c>
      <c r="M44" s="64">
        <v>56.7</v>
      </c>
      <c r="N44" s="64">
        <v>619.79999999999995</v>
      </c>
      <c r="O44" s="64">
        <v>0</v>
      </c>
      <c r="P44" s="64">
        <v>0.44</v>
      </c>
      <c r="Q44" s="64">
        <v>9.35</v>
      </c>
      <c r="R44" s="198"/>
      <c r="S44" s="198"/>
      <c r="T44" s="198"/>
      <c r="U44" s="198"/>
    </row>
    <row r="45" spans="1:21" s="12" customFormat="1" x14ac:dyDescent="0.25">
      <c r="A45" s="214" t="s">
        <v>2010</v>
      </c>
      <c r="B45" s="64">
        <v>6.45</v>
      </c>
      <c r="C45" s="64">
        <v>18.309999999999999</v>
      </c>
      <c r="D45" s="64">
        <v>25.15</v>
      </c>
      <c r="E45" s="64">
        <v>5.09</v>
      </c>
      <c r="F45" s="64">
        <v>13.7</v>
      </c>
      <c r="G45" s="64">
        <v>31.43</v>
      </c>
      <c r="H45" s="64">
        <v>11.89</v>
      </c>
      <c r="I45" s="64">
        <v>4.0199999999999996</v>
      </c>
      <c r="J45" s="64">
        <v>0.69</v>
      </c>
      <c r="K45" s="64">
        <v>168.12</v>
      </c>
      <c r="L45" s="64">
        <v>35.22</v>
      </c>
      <c r="M45" s="64">
        <v>54.42</v>
      </c>
      <c r="N45" s="64">
        <v>662.5</v>
      </c>
      <c r="O45" s="64">
        <v>0</v>
      </c>
      <c r="P45" s="64">
        <v>0.41</v>
      </c>
      <c r="Q45" s="64">
        <v>9.32</v>
      </c>
      <c r="R45" s="198"/>
      <c r="S45" s="198"/>
      <c r="T45" s="198"/>
      <c r="U45" s="198"/>
    </row>
    <row r="46" spans="1:21" s="12" customFormat="1" x14ac:dyDescent="0.25">
      <c r="A46" s="214" t="s">
        <v>2011</v>
      </c>
      <c r="B46" s="64">
        <v>6.21</v>
      </c>
      <c r="C46" s="64">
        <v>17.32</v>
      </c>
      <c r="D46" s="64">
        <v>23.63</v>
      </c>
      <c r="E46" s="64">
        <v>4.99</v>
      </c>
      <c r="F46" s="64">
        <v>11.41</v>
      </c>
      <c r="G46" s="64">
        <v>30.21</v>
      </c>
      <c r="H46" s="64">
        <v>12.33</v>
      </c>
      <c r="I46" s="64">
        <v>4.0199999999999996</v>
      </c>
      <c r="J46" s="64">
        <v>1.05</v>
      </c>
      <c r="K46" s="64">
        <v>170.01</v>
      </c>
      <c r="L46" s="64">
        <v>35.24</v>
      </c>
      <c r="M46" s="64">
        <v>53.97</v>
      </c>
      <c r="N46" s="64">
        <v>703.1</v>
      </c>
      <c r="O46" s="64">
        <v>0</v>
      </c>
      <c r="P46" s="64">
        <v>0.43</v>
      </c>
      <c r="Q46" s="64">
        <v>9.2899999999999991</v>
      </c>
      <c r="R46" s="198"/>
      <c r="S46" s="198"/>
      <c r="T46" s="198"/>
      <c r="U46" s="198"/>
    </row>
    <row r="47" spans="1:21" s="12" customFormat="1" x14ac:dyDescent="0.25">
      <c r="A47" s="214" t="s">
        <v>2012</v>
      </c>
      <c r="B47" s="64">
        <v>6.35</v>
      </c>
      <c r="C47" s="64">
        <v>17.920000000000002</v>
      </c>
      <c r="D47" s="64">
        <v>24.55</v>
      </c>
      <c r="E47" s="64">
        <v>4.95</v>
      </c>
      <c r="F47" s="64">
        <v>7.79</v>
      </c>
      <c r="G47" s="64">
        <v>26.41</v>
      </c>
      <c r="H47" s="64">
        <v>13.61</v>
      </c>
      <c r="I47" s="64">
        <v>3.95</v>
      </c>
      <c r="J47" s="64">
        <v>0.9</v>
      </c>
      <c r="K47" s="64">
        <v>161.52000000000001</v>
      </c>
      <c r="L47" s="64">
        <v>35.54</v>
      </c>
      <c r="M47" s="64">
        <v>51.02</v>
      </c>
      <c r="N47" s="64">
        <v>742.4</v>
      </c>
      <c r="O47" s="64">
        <v>0</v>
      </c>
      <c r="P47" s="64">
        <v>0.44</v>
      </c>
      <c r="Q47" s="64">
        <v>9.26</v>
      </c>
      <c r="R47" s="198"/>
      <c r="S47" s="198"/>
      <c r="T47" s="198"/>
      <c r="U47" s="198"/>
    </row>
    <row r="48" spans="1:21" s="12" customFormat="1" x14ac:dyDescent="0.25">
      <c r="A48" s="214" t="s">
        <v>2013</v>
      </c>
      <c r="B48" s="64">
        <v>5.31</v>
      </c>
      <c r="C48" s="64">
        <v>16.940000000000001</v>
      </c>
      <c r="D48" s="64">
        <v>24.27</v>
      </c>
      <c r="E48" s="64">
        <v>4.92</v>
      </c>
      <c r="F48" s="64">
        <v>7.81</v>
      </c>
      <c r="G48" s="64">
        <v>26.41</v>
      </c>
      <c r="H48" s="64">
        <v>13.61</v>
      </c>
      <c r="I48" s="64">
        <v>4.12</v>
      </c>
      <c r="J48" s="64">
        <v>0.99</v>
      </c>
      <c r="K48" s="64">
        <v>165.29</v>
      </c>
      <c r="L48" s="64">
        <v>35.479999999999997</v>
      </c>
      <c r="M48" s="64">
        <v>51.38</v>
      </c>
      <c r="N48" s="64">
        <v>781.2</v>
      </c>
      <c r="O48" s="64">
        <v>0</v>
      </c>
      <c r="P48" s="64">
        <v>0.41</v>
      </c>
      <c r="Q48" s="64">
        <v>9.26</v>
      </c>
      <c r="R48" s="198"/>
      <c r="S48" s="198"/>
      <c r="T48" s="198"/>
      <c r="U48" s="198"/>
    </row>
    <row r="49" spans="1:21" s="12" customFormat="1" x14ac:dyDescent="0.25">
      <c r="A49" s="214" t="s">
        <v>2014</v>
      </c>
      <c r="B49" s="64">
        <v>5.0199999999999996</v>
      </c>
      <c r="C49" s="64">
        <v>16.52</v>
      </c>
      <c r="D49" s="64">
        <v>23.91</v>
      </c>
      <c r="E49" s="64">
        <v>5.0199999999999996</v>
      </c>
      <c r="F49" s="64">
        <v>11.94</v>
      </c>
      <c r="G49" s="64">
        <v>26.41</v>
      </c>
      <c r="H49" s="64">
        <v>13.61</v>
      </c>
      <c r="I49" s="64">
        <v>3.93</v>
      </c>
      <c r="J49" s="64">
        <v>1.34</v>
      </c>
      <c r="K49" s="64">
        <v>155.34</v>
      </c>
      <c r="L49" s="64">
        <v>35.57</v>
      </c>
      <c r="M49" s="64">
        <v>50.71</v>
      </c>
      <c r="N49" s="64">
        <v>818.5</v>
      </c>
      <c r="O49" s="64">
        <v>0</v>
      </c>
      <c r="P49" s="64">
        <v>0.37</v>
      </c>
      <c r="Q49" s="64">
        <v>9.25</v>
      </c>
      <c r="R49" s="198"/>
      <c r="S49" s="198"/>
      <c r="T49" s="198"/>
      <c r="U49" s="198"/>
    </row>
    <row r="50" spans="1:21" s="12" customFormat="1" x14ac:dyDescent="0.25">
      <c r="A50" s="214" t="s">
        <v>2015</v>
      </c>
      <c r="B50" s="64">
        <v>4.99</v>
      </c>
      <c r="C50" s="64">
        <v>17.690000000000001</v>
      </c>
      <c r="D50" s="64">
        <v>26.2</v>
      </c>
      <c r="E50" s="64">
        <v>4.76</v>
      </c>
      <c r="F50" s="64">
        <v>16.100000000000001</v>
      </c>
      <c r="G50" s="64">
        <v>24.6</v>
      </c>
      <c r="H50" s="64">
        <v>12.98</v>
      </c>
      <c r="I50" s="64">
        <v>4.0199999999999996</v>
      </c>
      <c r="J50" s="64">
        <v>1.46</v>
      </c>
      <c r="K50" s="64">
        <v>149.94</v>
      </c>
      <c r="L50" s="64">
        <v>35.270000000000003</v>
      </c>
      <c r="M50" s="64">
        <v>51.79</v>
      </c>
      <c r="N50" s="64">
        <v>842.4</v>
      </c>
      <c r="O50" s="64">
        <v>0</v>
      </c>
      <c r="P50" s="64">
        <v>0.36</v>
      </c>
      <c r="Q50" s="64">
        <v>9.24</v>
      </c>
      <c r="R50" s="198"/>
      <c r="S50" s="198"/>
      <c r="T50" s="198"/>
      <c r="U50" s="198"/>
    </row>
    <row r="51" spans="1:21" s="12" customFormat="1" x14ac:dyDescent="0.25">
      <c r="A51" s="214" t="s">
        <v>2016</v>
      </c>
      <c r="B51" s="64">
        <v>5.38</v>
      </c>
      <c r="C51" s="64">
        <v>19.14</v>
      </c>
      <c r="D51" s="64">
        <v>28.39</v>
      </c>
      <c r="E51" s="64">
        <v>4.9800000000000004</v>
      </c>
      <c r="F51" s="64">
        <v>18.600000000000001</v>
      </c>
      <c r="G51" s="64">
        <v>17.170000000000002</v>
      </c>
      <c r="H51" s="64">
        <v>11.13</v>
      </c>
      <c r="I51" s="64">
        <v>4.12</v>
      </c>
      <c r="J51" s="64">
        <v>0.51</v>
      </c>
      <c r="K51" s="64">
        <v>194.32</v>
      </c>
      <c r="L51" s="64">
        <v>36.53</v>
      </c>
      <c r="M51" s="64">
        <v>48.12</v>
      </c>
      <c r="N51" s="64">
        <v>855.2</v>
      </c>
      <c r="O51" s="64">
        <v>0</v>
      </c>
      <c r="P51" s="64">
        <v>0.37</v>
      </c>
      <c r="Q51" s="64">
        <v>9.23</v>
      </c>
      <c r="R51" s="198"/>
      <c r="S51" s="198"/>
      <c r="T51" s="198"/>
      <c r="U51" s="198"/>
    </row>
    <row r="52" spans="1:21" s="12" customFormat="1" x14ac:dyDescent="0.25">
      <c r="A52" s="214" t="s">
        <v>2017</v>
      </c>
      <c r="B52" s="64">
        <v>5.6</v>
      </c>
      <c r="C52" s="64">
        <v>18.36</v>
      </c>
      <c r="D52" s="64">
        <v>26.54</v>
      </c>
      <c r="E52" s="64">
        <v>5.32</v>
      </c>
      <c r="F52" s="64">
        <v>18.059999999999999</v>
      </c>
      <c r="G52" s="64">
        <v>17.170000000000002</v>
      </c>
      <c r="H52" s="64">
        <v>11.13</v>
      </c>
      <c r="I52" s="64">
        <v>3.86</v>
      </c>
      <c r="J52" s="64">
        <v>0.78</v>
      </c>
      <c r="K52" s="64">
        <v>165.58</v>
      </c>
      <c r="L52" s="64">
        <v>31.03</v>
      </c>
      <c r="M52" s="64">
        <v>46.93</v>
      </c>
      <c r="N52" s="64">
        <v>877.5</v>
      </c>
      <c r="O52" s="64">
        <v>0</v>
      </c>
      <c r="P52" s="64">
        <v>0.34</v>
      </c>
      <c r="Q52" s="64">
        <v>9.19</v>
      </c>
      <c r="R52" s="198"/>
      <c r="S52" s="198"/>
      <c r="T52" s="198"/>
      <c r="U52" s="198"/>
    </row>
    <row r="53" spans="1:21" s="12" customFormat="1" x14ac:dyDescent="0.25">
      <c r="A53" s="214" t="s">
        <v>2018</v>
      </c>
      <c r="B53" s="64">
        <v>5.0599999999999996</v>
      </c>
      <c r="C53" s="64">
        <v>17.68</v>
      </c>
      <c r="D53" s="64">
        <v>26.07</v>
      </c>
      <c r="E53" s="64">
        <v>5.27</v>
      </c>
      <c r="F53" s="64">
        <v>18.02</v>
      </c>
      <c r="G53" s="64">
        <v>17.170000000000002</v>
      </c>
      <c r="H53" s="64">
        <v>11.13</v>
      </c>
      <c r="I53" s="64">
        <v>3.78</v>
      </c>
      <c r="J53" s="64">
        <v>1.05</v>
      </c>
      <c r="K53" s="64">
        <v>159.03</v>
      </c>
      <c r="L53" s="64">
        <v>29.26</v>
      </c>
      <c r="M53" s="64">
        <v>48.48</v>
      </c>
      <c r="N53" s="64">
        <v>889.5</v>
      </c>
      <c r="O53" s="64">
        <v>0</v>
      </c>
      <c r="P53" s="64">
        <v>0.27</v>
      </c>
      <c r="Q53" s="64">
        <v>9.1999999999999993</v>
      </c>
      <c r="R53" s="198"/>
      <c r="S53" s="198"/>
      <c r="T53" s="198"/>
      <c r="U53" s="198"/>
    </row>
    <row r="54" spans="1:21" s="12" customFormat="1" x14ac:dyDescent="0.25">
      <c r="A54" s="214" t="s">
        <v>2019</v>
      </c>
      <c r="B54" s="64">
        <v>4.88</v>
      </c>
      <c r="C54" s="64">
        <v>16.690000000000001</v>
      </c>
      <c r="D54" s="64">
        <v>24.46</v>
      </c>
      <c r="E54" s="64">
        <v>5.53</v>
      </c>
      <c r="F54" s="64">
        <v>22.53</v>
      </c>
      <c r="G54" s="64">
        <v>17.170000000000002</v>
      </c>
      <c r="H54" s="64">
        <v>11.13</v>
      </c>
      <c r="I54" s="64">
        <v>3.89</v>
      </c>
      <c r="J54" s="64">
        <v>0.68</v>
      </c>
      <c r="K54" s="64">
        <v>130.12</v>
      </c>
      <c r="L54" s="64">
        <v>31.24</v>
      </c>
      <c r="M54" s="64">
        <v>48.12</v>
      </c>
      <c r="N54" s="64">
        <v>882.7</v>
      </c>
      <c r="O54" s="64">
        <v>0</v>
      </c>
      <c r="P54" s="64">
        <v>0.27</v>
      </c>
      <c r="Q54" s="64">
        <v>9.2100000000000009</v>
      </c>
      <c r="R54" s="198"/>
      <c r="S54" s="198"/>
      <c r="T54" s="198"/>
      <c r="U54" s="198"/>
    </row>
    <row r="55" spans="1:21" s="12" customFormat="1" x14ac:dyDescent="0.25">
      <c r="A55" s="214" t="s">
        <v>2020</v>
      </c>
      <c r="B55" s="64">
        <v>4.6500000000000004</v>
      </c>
      <c r="C55" s="64">
        <v>16.8</v>
      </c>
      <c r="D55" s="64">
        <v>25.01</v>
      </c>
      <c r="E55" s="64">
        <v>5.25</v>
      </c>
      <c r="F55" s="64">
        <v>17.41</v>
      </c>
      <c r="G55" s="64">
        <v>17.170000000000002</v>
      </c>
      <c r="H55" s="64">
        <v>11.13</v>
      </c>
      <c r="I55" s="64">
        <v>4.09</v>
      </c>
      <c r="J55" s="64">
        <v>1.1200000000000001</v>
      </c>
      <c r="K55" s="64">
        <v>142.96</v>
      </c>
      <c r="L55" s="64">
        <v>33.270000000000003</v>
      </c>
      <c r="M55" s="64">
        <v>48.82</v>
      </c>
      <c r="N55" s="64">
        <v>890.8</v>
      </c>
      <c r="O55" s="64">
        <v>0</v>
      </c>
      <c r="P55" s="64">
        <v>0.25</v>
      </c>
      <c r="Q55" s="64">
        <v>9.2100000000000009</v>
      </c>
      <c r="R55" s="198"/>
      <c r="S55" s="198"/>
      <c r="T55" s="198"/>
      <c r="U55" s="198"/>
    </row>
    <row r="56" spans="1:21" s="12" customFormat="1" x14ac:dyDescent="0.25">
      <c r="A56" s="214" t="s">
        <v>2021</v>
      </c>
      <c r="B56" s="64">
        <v>4.13</v>
      </c>
      <c r="C56" s="64">
        <v>15.36</v>
      </c>
      <c r="D56" s="64">
        <v>23.05</v>
      </c>
      <c r="E56" s="64">
        <v>5.16</v>
      </c>
      <c r="F56" s="64">
        <v>18.32</v>
      </c>
      <c r="G56" s="64">
        <v>17.170000000000002</v>
      </c>
      <c r="H56" s="64">
        <v>11.13</v>
      </c>
      <c r="I56" s="64">
        <v>4.03</v>
      </c>
      <c r="J56" s="64">
        <v>1.68</v>
      </c>
      <c r="K56" s="64">
        <v>147.07</v>
      </c>
      <c r="L56" s="64">
        <v>33.53</v>
      </c>
      <c r="M56" s="64">
        <v>51.42</v>
      </c>
      <c r="N56" s="64">
        <v>895.7</v>
      </c>
      <c r="O56" s="64">
        <v>0</v>
      </c>
      <c r="P56" s="64">
        <v>0.24</v>
      </c>
      <c r="Q56" s="64">
        <v>9.2100000000000009</v>
      </c>
      <c r="R56" s="198"/>
      <c r="S56" s="198"/>
      <c r="T56" s="198"/>
      <c r="U56" s="198"/>
    </row>
    <row r="57" spans="1:21" s="12" customFormat="1" x14ac:dyDescent="0.25">
      <c r="A57" s="214" t="s">
        <v>2022</v>
      </c>
      <c r="B57" s="64">
        <v>4.96</v>
      </c>
      <c r="C57" s="64">
        <v>16.73</v>
      </c>
      <c r="D57" s="64">
        <v>24.41</v>
      </c>
      <c r="E57" s="64">
        <v>5.61</v>
      </c>
      <c r="F57" s="64">
        <v>28.52</v>
      </c>
      <c r="G57" s="64">
        <v>17.170000000000002</v>
      </c>
      <c r="H57" s="64">
        <v>11.13</v>
      </c>
      <c r="I57" s="64">
        <v>3.97</v>
      </c>
      <c r="J57" s="64">
        <v>0.89</v>
      </c>
      <c r="K57" s="64">
        <v>129.08000000000001</v>
      </c>
      <c r="L57" s="64">
        <v>34.51</v>
      </c>
      <c r="M57" s="64">
        <v>45.76</v>
      </c>
      <c r="N57" s="64">
        <v>891.1</v>
      </c>
      <c r="O57" s="64">
        <v>0</v>
      </c>
      <c r="P57" s="64">
        <v>0.23</v>
      </c>
      <c r="Q57" s="64">
        <v>9.19</v>
      </c>
      <c r="R57" s="198"/>
      <c r="S57" s="198"/>
      <c r="T57" s="198"/>
      <c r="U57" s="198"/>
    </row>
    <row r="58" spans="1:21" s="12" customFormat="1" x14ac:dyDescent="0.25">
      <c r="A58" s="214" t="s">
        <v>2023</v>
      </c>
      <c r="B58" s="64">
        <v>3.97</v>
      </c>
      <c r="C58" s="64">
        <v>12.76</v>
      </c>
      <c r="D58" s="64">
        <v>18.329999999999998</v>
      </c>
      <c r="E58" s="64">
        <v>5.58</v>
      </c>
      <c r="F58" s="64">
        <v>31</v>
      </c>
      <c r="G58" s="64">
        <v>17.170000000000002</v>
      </c>
      <c r="H58" s="64">
        <v>11.13</v>
      </c>
      <c r="I58" s="64">
        <v>3.97</v>
      </c>
      <c r="J58" s="64">
        <v>0.83</v>
      </c>
      <c r="K58" s="64">
        <v>133.53</v>
      </c>
      <c r="L58" s="64">
        <v>34.74</v>
      </c>
      <c r="M58" s="64">
        <v>43.33</v>
      </c>
      <c r="N58" s="64">
        <v>879.3</v>
      </c>
      <c r="O58" s="64">
        <v>0</v>
      </c>
      <c r="P58" s="64">
        <v>0.21</v>
      </c>
      <c r="Q58" s="64">
        <v>9.1999999999999993</v>
      </c>
      <c r="R58" s="198"/>
      <c r="S58" s="198"/>
      <c r="T58" s="198"/>
      <c r="U58" s="198"/>
    </row>
    <row r="59" spans="1:21" s="12" customFormat="1" x14ac:dyDescent="0.25">
      <c r="A59" s="214" t="s">
        <v>2024</v>
      </c>
      <c r="B59" s="64">
        <v>8.34</v>
      </c>
      <c r="C59" s="64">
        <v>24.72</v>
      </c>
      <c r="D59" s="64">
        <v>34.520000000000003</v>
      </c>
      <c r="E59" s="64">
        <v>5.59</v>
      </c>
      <c r="F59" s="64">
        <v>28.56</v>
      </c>
      <c r="G59" s="64">
        <v>17.170000000000002</v>
      </c>
      <c r="H59" s="64">
        <v>11.13</v>
      </c>
      <c r="I59" s="64">
        <v>4.2</v>
      </c>
      <c r="J59" s="64">
        <v>0.4</v>
      </c>
      <c r="K59" s="64">
        <v>210.27</v>
      </c>
      <c r="L59" s="64">
        <v>33.549999999999997</v>
      </c>
      <c r="M59" s="64">
        <v>39.130000000000003</v>
      </c>
      <c r="N59" s="64">
        <v>858.2</v>
      </c>
      <c r="O59" s="64">
        <v>0</v>
      </c>
      <c r="P59" s="64">
        <v>0.47</v>
      </c>
      <c r="Q59" s="64">
        <v>9.19</v>
      </c>
      <c r="R59" s="198"/>
      <c r="S59" s="198"/>
      <c r="T59" s="198"/>
      <c r="U59" s="198"/>
    </row>
    <row r="60" spans="1:21" s="12" customFormat="1" x14ac:dyDescent="0.25">
      <c r="A60" s="214" t="s">
        <v>2025</v>
      </c>
      <c r="B60" s="64">
        <v>5.88</v>
      </c>
      <c r="C60" s="64">
        <v>17.579999999999998</v>
      </c>
      <c r="D60" s="64">
        <v>24.63</v>
      </c>
      <c r="E60" s="64">
        <v>5.97</v>
      </c>
      <c r="F60" s="64">
        <v>30.03</v>
      </c>
      <c r="G60" s="211" t="s">
        <v>40</v>
      </c>
      <c r="H60" s="211" t="s">
        <v>40</v>
      </c>
      <c r="I60" s="64">
        <v>4.0199999999999996</v>
      </c>
      <c r="J60" s="64">
        <v>0.47</v>
      </c>
      <c r="K60" s="64">
        <v>187.74</v>
      </c>
      <c r="L60" s="64">
        <v>27.94</v>
      </c>
      <c r="M60" s="64">
        <v>37.700000000000003</v>
      </c>
      <c r="N60" s="64">
        <v>795.7</v>
      </c>
      <c r="O60" s="64">
        <v>0</v>
      </c>
      <c r="P60" s="64">
        <v>0.28000000000000003</v>
      </c>
      <c r="Q60" s="64">
        <v>9.2100000000000009</v>
      </c>
      <c r="R60" s="198"/>
      <c r="S60" s="198"/>
      <c r="T60" s="198"/>
      <c r="U60" s="198"/>
    </row>
    <row r="61" spans="1:21" s="12" customFormat="1" x14ac:dyDescent="0.25">
      <c r="A61" s="214" t="s">
        <v>2026</v>
      </c>
      <c r="B61" s="64">
        <v>7.9</v>
      </c>
      <c r="C61" s="64">
        <v>23.63</v>
      </c>
      <c r="D61" s="64">
        <v>33.1</v>
      </c>
      <c r="E61" s="64">
        <v>5.91</v>
      </c>
      <c r="F61" s="64">
        <v>29.7</v>
      </c>
      <c r="G61" s="211" t="s">
        <v>40</v>
      </c>
      <c r="H61" s="211" t="s">
        <v>40</v>
      </c>
      <c r="I61" s="64">
        <v>3.99</v>
      </c>
      <c r="J61" s="64">
        <v>0.21</v>
      </c>
      <c r="K61" s="64">
        <v>181.42</v>
      </c>
      <c r="L61" s="64">
        <v>26.75</v>
      </c>
      <c r="M61" s="64">
        <v>35.71</v>
      </c>
      <c r="N61" s="64">
        <v>599.79999999999995</v>
      </c>
      <c r="O61" s="64">
        <v>0</v>
      </c>
      <c r="P61" s="64">
        <v>0.38</v>
      </c>
      <c r="Q61" s="64">
        <v>9.2200000000000006</v>
      </c>
      <c r="R61" s="198"/>
      <c r="S61" s="198"/>
      <c r="T61" s="198"/>
      <c r="U61" s="198"/>
    </row>
    <row r="62" spans="1:21" s="12" customFormat="1" x14ac:dyDescent="0.25">
      <c r="A62" s="214" t="s">
        <v>2027</v>
      </c>
      <c r="B62" s="64">
        <v>5.52</v>
      </c>
      <c r="C62" s="64">
        <v>16.48</v>
      </c>
      <c r="D62" s="64">
        <v>23.06</v>
      </c>
      <c r="E62" s="64">
        <v>5.89</v>
      </c>
      <c r="F62" s="64">
        <v>31.98</v>
      </c>
      <c r="G62" s="211" t="s">
        <v>40</v>
      </c>
      <c r="H62" s="211" t="s">
        <v>40</v>
      </c>
      <c r="I62" s="64">
        <v>3.92</v>
      </c>
      <c r="J62" s="64">
        <v>0.91</v>
      </c>
      <c r="K62" s="64">
        <v>105.26</v>
      </c>
      <c r="L62" s="64">
        <v>31.14</v>
      </c>
      <c r="M62" s="64">
        <v>39.89</v>
      </c>
      <c r="N62" s="64">
        <v>454.3</v>
      </c>
      <c r="O62" s="64">
        <v>0</v>
      </c>
      <c r="P62" s="64">
        <v>0.3</v>
      </c>
      <c r="Q62" s="64">
        <v>9.23</v>
      </c>
      <c r="R62" s="198"/>
      <c r="S62" s="198"/>
      <c r="T62" s="198"/>
      <c r="U62" s="198"/>
    </row>
    <row r="63" spans="1:21" s="12" customFormat="1" x14ac:dyDescent="0.25">
      <c r="A63" s="214" t="s">
        <v>2028</v>
      </c>
      <c r="B63" s="64">
        <v>4.46</v>
      </c>
      <c r="C63" s="64">
        <v>14.84</v>
      </c>
      <c r="D63" s="64">
        <v>21.55</v>
      </c>
      <c r="E63" s="64">
        <v>6.74</v>
      </c>
      <c r="F63" s="64">
        <v>32.369999999999997</v>
      </c>
      <c r="G63" s="211" t="s">
        <v>40</v>
      </c>
      <c r="H63" s="211" t="s">
        <v>40</v>
      </c>
      <c r="I63" s="64">
        <v>3.98</v>
      </c>
      <c r="J63" s="64">
        <v>0.55000000000000004</v>
      </c>
      <c r="K63" s="64">
        <v>125.57</v>
      </c>
      <c r="L63" s="64">
        <v>35.19</v>
      </c>
      <c r="M63" s="64">
        <v>39.75</v>
      </c>
      <c r="N63" s="64">
        <v>420.2</v>
      </c>
      <c r="O63" s="64">
        <v>0</v>
      </c>
      <c r="P63" s="64">
        <v>0.32</v>
      </c>
      <c r="Q63" s="64">
        <v>9.23</v>
      </c>
      <c r="R63" s="198"/>
      <c r="S63" s="198"/>
      <c r="T63" s="198"/>
      <c r="U63" s="198"/>
    </row>
    <row r="64" spans="1:21" s="12" customFormat="1" x14ac:dyDescent="0.25">
      <c r="A64" s="214" t="s">
        <v>2029</v>
      </c>
      <c r="B64" s="64">
        <v>5.17</v>
      </c>
      <c r="C64" s="64">
        <v>16.91</v>
      </c>
      <c r="D64" s="64">
        <v>24.42</v>
      </c>
      <c r="E64" s="64">
        <v>5.58</v>
      </c>
      <c r="F64" s="64">
        <v>30.44</v>
      </c>
      <c r="G64" s="64">
        <v>2.81</v>
      </c>
      <c r="H64" s="64">
        <v>0.82</v>
      </c>
      <c r="I64" s="64">
        <v>3.99</v>
      </c>
      <c r="J64" s="64">
        <v>0.74</v>
      </c>
      <c r="K64" s="64">
        <v>201.27</v>
      </c>
      <c r="L64" s="64">
        <v>36.15</v>
      </c>
      <c r="M64" s="64">
        <v>38.76</v>
      </c>
      <c r="N64" s="64">
        <v>372.4</v>
      </c>
      <c r="O64" s="64">
        <v>0</v>
      </c>
      <c r="P64" s="64">
        <v>0.36</v>
      </c>
      <c r="Q64" s="64">
        <v>9.2100000000000009</v>
      </c>
      <c r="R64" s="198"/>
      <c r="S64" s="198"/>
      <c r="T64" s="198"/>
      <c r="U64" s="198"/>
    </row>
    <row r="65" spans="1:21" s="12" customFormat="1" x14ac:dyDescent="0.25">
      <c r="A65" s="214" t="s">
        <v>2030</v>
      </c>
      <c r="B65" s="64">
        <v>6.54</v>
      </c>
      <c r="C65" s="64">
        <v>19.149999999999999</v>
      </c>
      <c r="D65" s="64">
        <v>26.61</v>
      </c>
      <c r="E65" s="64">
        <v>6.08</v>
      </c>
      <c r="F65" s="64">
        <v>33.29</v>
      </c>
      <c r="G65" s="64">
        <v>26.88</v>
      </c>
      <c r="H65" s="64">
        <v>10.58</v>
      </c>
      <c r="I65" s="64">
        <v>3.87</v>
      </c>
      <c r="J65" s="64">
        <v>0.3</v>
      </c>
      <c r="K65" s="64">
        <v>175.9</v>
      </c>
      <c r="L65" s="64">
        <v>36.450000000000003</v>
      </c>
      <c r="M65" s="64">
        <v>38.43</v>
      </c>
      <c r="N65" s="64">
        <v>344.5</v>
      </c>
      <c r="O65" s="64">
        <v>0</v>
      </c>
      <c r="P65" s="64">
        <v>0.44</v>
      </c>
      <c r="Q65" s="64">
        <v>9.2100000000000009</v>
      </c>
      <c r="R65" s="198"/>
      <c r="S65" s="198"/>
      <c r="T65" s="198"/>
      <c r="U65" s="198"/>
    </row>
    <row r="66" spans="1:21" s="12" customFormat="1" x14ac:dyDescent="0.25">
      <c r="A66" s="214" t="s">
        <v>2031</v>
      </c>
      <c r="B66" s="64">
        <v>4.12</v>
      </c>
      <c r="C66" s="64">
        <v>18.14</v>
      </c>
      <c r="D66" s="64">
        <v>28.39</v>
      </c>
      <c r="E66" s="64">
        <v>6.56</v>
      </c>
      <c r="F66" s="64">
        <v>33.96</v>
      </c>
      <c r="G66" s="64">
        <v>26.88</v>
      </c>
      <c r="H66" s="64">
        <v>10.58</v>
      </c>
      <c r="I66" s="64">
        <v>3.95</v>
      </c>
      <c r="J66" s="64">
        <v>0.94</v>
      </c>
      <c r="K66" s="64">
        <v>171</v>
      </c>
      <c r="L66" s="64">
        <v>35.380000000000003</v>
      </c>
      <c r="M66" s="64">
        <v>42.99</v>
      </c>
      <c r="N66" s="64">
        <v>244.2</v>
      </c>
      <c r="O66" s="64">
        <v>0</v>
      </c>
      <c r="P66" s="64">
        <v>0.36</v>
      </c>
      <c r="Q66" s="64">
        <v>9.2200000000000006</v>
      </c>
      <c r="R66" s="198"/>
      <c r="S66" s="198"/>
      <c r="T66" s="198"/>
      <c r="U66" s="198"/>
    </row>
    <row r="67" spans="1:21" s="12" customFormat="1" x14ac:dyDescent="0.25">
      <c r="A67" s="214" t="s">
        <v>2032</v>
      </c>
      <c r="B67" s="64">
        <v>4.1399999999999997</v>
      </c>
      <c r="C67" s="64">
        <v>18.61</v>
      </c>
      <c r="D67" s="64">
        <v>29.27</v>
      </c>
      <c r="E67" s="64">
        <v>6.63</v>
      </c>
      <c r="F67" s="64">
        <v>34.07</v>
      </c>
      <c r="G67" s="64">
        <v>26.88</v>
      </c>
      <c r="H67" s="64">
        <v>10.58</v>
      </c>
      <c r="I67" s="64">
        <v>4.03</v>
      </c>
      <c r="J67" s="64">
        <v>0.82</v>
      </c>
      <c r="K67" s="64">
        <v>151.03</v>
      </c>
      <c r="L67" s="64">
        <v>35.43</v>
      </c>
      <c r="M67" s="64">
        <v>44.53</v>
      </c>
      <c r="N67" s="64">
        <v>271.10000000000002</v>
      </c>
      <c r="O67" s="64">
        <v>0</v>
      </c>
      <c r="P67" s="64">
        <v>0.31</v>
      </c>
      <c r="Q67" s="64">
        <v>9.2200000000000006</v>
      </c>
      <c r="R67" s="198"/>
      <c r="S67" s="198"/>
      <c r="T67" s="198"/>
      <c r="U67" s="198"/>
    </row>
    <row r="68" spans="1:21" s="12" customFormat="1" x14ac:dyDescent="0.25">
      <c r="A68" s="214" t="s">
        <v>2033</v>
      </c>
      <c r="B68" s="64">
        <v>4.43</v>
      </c>
      <c r="C68" s="64">
        <v>18.59</v>
      </c>
      <c r="D68" s="64">
        <v>28.79</v>
      </c>
      <c r="E68" s="64">
        <v>6.54</v>
      </c>
      <c r="F68" s="64">
        <v>34.65</v>
      </c>
      <c r="G68" s="64">
        <v>27.09</v>
      </c>
      <c r="H68" s="64">
        <v>10.67</v>
      </c>
      <c r="I68" s="64">
        <v>3.9</v>
      </c>
      <c r="J68" s="64">
        <v>0.83</v>
      </c>
      <c r="K68" s="64">
        <v>169.05</v>
      </c>
      <c r="L68" s="64">
        <v>35.83</v>
      </c>
      <c r="M68" s="64">
        <v>44.45</v>
      </c>
      <c r="N68" s="64">
        <v>218.4</v>
      </c>
      <c r="O68" s="64">
        <v>0</v>
      </c>
      <c r="P68" s="64">
        <v>0.33</v>
      </c>
      <c r="Q68" s="64">
        <v>9.23</v>
      </c>
      <c r="R68" s="198"/>
      <c r="S68" s="198"/>
      <c r="T68" s="198"/>
      <c r="U68" s="198"/>
    </row>
    <row r="69" spans="1:21" s="12" customFormat="1" x14ac:dyDescent="0.25">
      <c r="A69" s="214" t="s">
        <v>2034</v>
      </c>
      <c r="B69" s="64">
        <v>3.81</v>
      </c>
      <c r="C69" s="64">
        <v>14.82</v>
      </c>
      <c r="D69" s="64">
        <v>22.52</v>
      </c>
      <c r="E69" s="64">
        <v>6.82</v>
      </c>
      <c r="F69" s="64">
        <v>37</v>
      </c>
      <c r="G69" s="64">
        <v>28.85</v>
      </c>
      <c r="H69" s="64">
        <v>11.75</v>
      </c>
      <c r="I69" s="64">
        <v>4.0199999999999996</v>
      </c>
      <c r="J69" s="64">
        <v>1.03</v>
      </c>
      <c r="K69" s="64">
        <v>160.41</v>
      </c>
      <c r="L69" s="64">
        <v>37.61</v>
      </c>
      <c r="M69" s="64">
        <v>40.78</v>
      </c>
      <c r="N69" s="64">
        <v>254.8</v>
      </c>
      <c r="O69" s="64">
        <v>0</v>
      </c>
      <c r="P69" s="64">
        <v>0.3</v>
      </c>
      <c r="Q69" s="64">
        <v>9.23</v>
      </c>
      <c r="R69" s="198"/>
      <c r="S69" s="198"/>
      <c r="T69" s="198"/>
      <c r="U69" s="198"/>
    </row>
    <row r="70" spans="1:21" s="12" customFormat="1" x14ac:dyDescent="0.25">
      <c r="A70" s="214" t="s">
        <v>2035</v>
      </c>
      <c r="B70" s="64">
        <v>4.0199999999999996</v>
      </c>
      <c r="C70" s="64">
        <v>15.99</v>
      </c>
      <c r="D70" s="64">
        <v>24.44</v>
      </c>
      <c r="E70" s="64">
        <v>6.19</v>
      </c>
      <c r="F70" s="64">
        <v>32.83</v>
      </c>
      <c r="G70" s="64">
        <v>28.85</v>
      </c>
      <c r="H70" s="64">
        <v>11.75</v>
      </c>
      <c r="I70" s="64">
        <v>4.03</v>
      </c>
      <c r="J70" s="64">
        <v>0.32</v>
      </c>
      <c r="K70" s="64">
        <v>173.74</v>
      </c>
      <c r="L70" s="64">
        <v>36.31</v>
      </c>
      <c r="M70" s="64">
        <v>38.72</v>
      </c>
      <c r="N70" s="64">
        <v>338.8</v>
      </c>
      <c r="O70" s="64">
        <v>0</v>
      </c>
      <c r="P70" s="64">
        <v>0.33</v>
      </c>
      <c r="Q70" s="64">
        <v>9.2200000000000006</v>
      </c>
      <c r="R70" s="198"/>
      <c r="S70" s="198"/>
      <c r="T70" s="198"/>
      <c r="U70" s="198"/>
    </row>
    <row r="71" spans="1:21" s="12" customFormat="1" x14ac:dyDescent="0.25">
      <c r="A71" s="214" t="s">
        <v>2036</v>
      </c>
      <c r="B71" s="64">
        <v>3.34</v>
      </c>
      <c r="C71" s="64">
        <v>12.58</v>
      </c>
      <c r="D71" s="64">
        <v>18.95</v>
      </c>
      <c r="E71" s="64">
        <v>5.98</v>
      </c>
      <c r="F71" s="64">
        <v>31.38</v>
      </c>
      <c r="G71" s="64">
        <v>28.85</v>
      </c>
      <c r="H71" s="64">
        <v>11.75</v>
      </c>
      <c r="I71" s="64">
        <v>4.04</v>
      </c>
      <c r="J71" s="64">
        <v>0.88</v>
      </c>
      <c r="K71" s="64">
        <v>154.47999999999999</v>
      </c>
      <c r="L71" s="64">
        <v>36.22</v>
      </c>
      <c r="M71" s="64">
        <v>38.86</v>
      </c>
      <c r="N71" s="64">
        <v>366.7</v>
      </c>
      <c r="O71" s="64">
        <v>0</v>
      </c>
      <c r="P71" s="64">
        <v>0.31</v>
      </c>
      <c r="Q71" s="64">
        <v>9.18</v>
      </c>
      <c r="R71" s="198"/>
      <c r="S71" s="198"/>
      <c r="T71" s="198"/>
      <c r="U71" s="198"/>
    </row>
    <row r="72" spans="1:21" s="12" customFormat="1" x14ac:dyDescent="0.25">
      <c r="A72" s="214" t="s">
        <v>2037</v>
      </c>
      <c r="B72" s="64">
        <v>3.77</v>
      </c>
      <c r="C72" s="64">
        <v>16.579999999999998</v>
      </c>
      <c r="D72" s="64">
        <v>25.94</v>
      </c>
      <c r="E72" s="64">
        <v>4.93</v>
      </c>
      <c r="F72" s="64">
        <v>24.95</v>
      </c>
      <c r="G72" s="64">
        <v>29.51</v>
      </c>
      <c r="H72" s="64">
        <v>11.8</v>
      </c>
      <c r="I72" s="64">
        <v>4.0999999999999996</v>
      </c>
      <c r="J72" s="64">
        <v>0.48</v>
      </c>
      <c r="K72" s="64">
        <v>199.72</v>
      </c>
      <c r="L72" s="64">
        <v>36.67</v>
      </c>
      <c r="M72" s="64">
        <v>38.01</v>
      </c>
      <c r="N72" s="64">
        <v>158.1</v>
      </c>
      <c r="O72" s="64">
        <v>0</v>
      </c>
      <c r="P72" s="64">
        <v>0.33</v>
      </c>
      <c r="Q72" s="64">
        <v>9.15</v>
      </c>
      <c r="R72" s="198"/>
      <c r="S72" s="198"/>
      <c r="T72" s="198"/>
      <c r="U72" s="198"/>
    </row>
    <row r="73" spans="1:21" s="12" customFormat="1" x14ac:dyDescent="0.25">
      <c r="A73" s="214" t="s">
        <v>2038</v>
      </c>
      <c r="B73" s="64">
        <v>4.45</v>
      </c>
      <c r="C73" s="64">
        <v>17.22</v>
      </c>
      <c r="D73" s="64">
        <v>26.13</v>
      </c>
      <c r="E73" s="64">
        <v>5.47</v>
      </c>
      <c r="F73" s="64">
        <v>31.47</v>
      </c>
      <c r="G73" s="64">
        <v>36.19</v>
      </c>
      <c r="H73" s="64">
        <v>12.33</v>
      </c>
      <c r="I73" s="64">
        <v>3.89</v>
      </c>
      <c r="J73" s="64">
        <v>0.91</v>
      </c>
      <c r="K73" s="64">
        <v>139.07</v>
      </c>
      <c r="L73" s="64">
        <v>36.700000000000003</v>
      </c>
      <c r="M73" s="64">
        <v>38.08</v>
      </c>
      <c r="N73" s="64">
        <v>265.7</v>
      </c>
      <c r="O73" s="64">
        <v>0</v>
      </c>
      <c r="P73" s="64">
        <v>0.28000000000000003</v>
      </c>
      <c r="Q73" s="64">
        <v>9.1300000000000008</v>
      </c>
      <c r="R73" s="198"/>
      <c r="S73" s="198"/>
      <c r="T73" s="198"/>
      <c r="U73" s="198"/>
    </row>
    <row r="74" spans="1:21" s="12" customFormat="1" x14ac:dyDescent="0.25">
      <c r="A74" s="214" t="s">
        <v>2039</v>
      </c>
      <c r="B74" s="64">
        <v>4.1500000000000004</v>
      </c>
      <c r="C74" s="64">
        <v>18.690000000000001</v>
      </c>
      <c r="D74" s="64">
        <v>29.41</v>
      </c>
      <c r="E74" s="64">
        <v>4.75</v>
      </c>
      <c r="F74" s="64">
        <v>23.82</v>
      </c>
      <c r="G74" s="64">
        <v>36.19</v>
      </c>
      <c r="H74" s="64">
        <v>12.33</v>
      </c>
      <c r="I74" s="64">
        <v>3.94</v>
      </c>
      <c r="J74" s="64">
        <v>0.89</v>
      </c>
      <c r="K74" s="64">
        <v>169.74</v>
      </c>
      <c r="L74" s="64">
        <v>37.090000000000003</v>
      </c>
      <c r="M74" s="64">
        <v>36.85</v>
      </c>
      <c r="N74" s="64">
        <v>153.19999999999999</v>
      </c>
      <c r="O74" s="64">
        <v>0</v>
      </c>
      <c r="P74" s="64">
        <v>0.27</v>
      </c>
      <c r="Q74" s="64">
        <v>9.11</v>
      </c>
      <c r="R74" s="198"/>
      <c r="S74" s="198"/>
      <c r="T74" s="198"/>
      <c r="U74" s="198"/>
    </row>
    <row r="75" spans="1:21" s="12" customFormat="1" x14ac:dyDescent="0.25">
      <c r="A75" s="214" t="s">
        <v>2040</v>
      </c>
      <c r="B75" s="64">
        <v>4.1399999999999997</v>
      </c>
      <c r="C75" s="64">
        <v>17.350000000000001</v>
      </c>
      <c r="D75" s="64">
        <v>26.84</v>
      </c>
      <c r="E75" s="64">
        <v>5.87</v>
      </c>
      <c r="F75" s="64">
        <v>29.95</v>
      </c>
      <c r="G75" s="64">
        <v>36.19</v>
      </c>
      <c r="H75" s="64">
        <v>12.33</v>
      </c>
      <c r="I75" s="64">
        <v>4.0199999999999996</v>
      </c>
      <c r="J75" s="64">
        <v>0.54</v>
      </c>
      <c r="K75" s="64">
        <v>167.65</v>
      </c>
      <c r="L75" s="64">
        <v>38.18</v>
      </c>
      <c r="M75" s="64">
        <v>34.64</v>
      </c>
      <c r="N75" s="64">
        <v>118.4</v>
      </c>
      <c r="O75" s="64">
        <v>0</v>
      </c>
      <c r="P75" s="64">
        <v>0.24</v>
      </c>
      <c r="Q75" s="64">
        <v>9.11</v>
      </c>
      <c r="R75" s="198"/>
      <c r="S75" s="198"/>
      <c r="T75" s="198"/>
      <c r="U75" s="198"/>
    </row>
    <row r="76" spans="1:21" s="12" customFormat="1" x14ac:dyDescent="0.25">
      <c r="A76" s="214" t="s">
        <v>2041</v>
      </c>
      <c r="B76" s="64">
        <v>6.54</v>
      </c>
      <c r="C76" s="64">
        <v>26.91</v>
      </c>
      <c r="D76" s="64">
        <v>41.45</v>
      </c>
      <c r="E76" s="64">
        <v>5.68</v>
      </c>
      <c r="F76" s="64">
        <v>23.85</v>
      </c>
      <c r="G76" s="64">
        <v>34.72</v>
      </c>
      <c r="H76" s="64">
        <v>12.07</v>
      </c>
      <c r="I76" s="64">
        <v>3.96</v>
      </c>
      <c r="J76" s="64">
        <v>0.27</v>
      </c>
      <c r="K76" s="64">
        <v>211.39</v>
      </c>
      <c r="L76" s="64">
        <v>38.090000000000003</v>
      </c>
      <c r="M76" s="64">
        <v>36.020000000000003</v>
      </c>
      <c r="N76" s="64">
        <v>108.3</v>
      </c>
      <c r="O76" s="64">
        <v>0</v>
      </c>
      <c r="P76" s="64">
        <v>0.48</v>
      </c>
      <c r="Q76" s="64">
        <v>9.14</v>
      </c>
      <c r="R76" s="198"/>
      <c r="S76" s="198"/>
      <c r="T76" s="198"/>
      <c r="U76" s="198"/>
    </row>
    <row r="77" spans="1:21" s="12" customFormat="1" x14ac:dyDescent="0.25">
      <c r="A77" s="214" t="s">
        <v>2042</v>
      </c>
      <c r="B77" s="64">
        <v>5.32</v>
      </c>
      <c r="C77" s="64">
        <v>21.2</v>
      </c>
      <c r="D77" s="64">
        <v>32.409999999999997</v>
      </c>
      <c r="E77" s="64">
        <v>5.74</v>
      </c>
      <c r="F77" s="64">
        <v>19.09</v>
      </c>
      <c r="G77" s="64">
        <v>22.08</v>
      </c>
      <c r="H77" s="64">
        <v>9.01</v>
      </c>
      <c r="I77" s="64">
        <v>3.87</v>
      </c>
      <c r="J77" s="64">
        <v>0.72</v>
      </c>
      <c r="K77" s="64">
        <v>166.38</v>
      </c>
      <c r="L77" s="64">
        <v>37.450000000000003</v>
      </c>
      <c r="M77" s="64">
        <v>36.26</v>
      </c>
      <c r="N77" s="64">
        <v>92</v>
      </c>
      <c r="O77" s="64">
        <v>0</v>
      </c>
      <c r="P77" s="64">
        <v>0.3</v>
      </c>
      <c r="Q77" s="64">
        <v>9.17</v>
      </c>
      <c r="R77" s="198"/>
      <c r="S77" s="198"/>
      <c r="T77" s="198"/>
      <c r="U77" s="198"/>
    </row>
    <row r="78" spans="1:21" s="12" customFormat="1" x14ac:dyDescent="0.25">
      <c r="A78" s="214" t="s">
        <v>2043</v>
      </c>
      <c r="B78" s="64">
        <v>4</v>
      </c>
      <c r="C78" s="64">
        <v>21.41</v>
      </c>
      <c r="D78" s="64">
        <v>34.83</v>
      </c>
      <c r="E78" s="64">
        <v>5.2</v>
      </c>
      <c r="F78" s="64">
        <v>17.91</v>
      </c>
      <c r="G78" s="64">
        <v>22.08</v>
      </c>
      <c r="H78" s="64">
        <v>9.01</v>
      </c>
      <c r="I78" s="64">
        <v>3.94</v>
      </c>
      <c r="J78" s="64">
        <v>1.01</v>
      </c>
      <c r="K78" s="64">
        <v>159.22999999999999</v>
      </c>
      <c r="L78" s="64">
        <v>37.43</v>
      </c>
      <c r="M78" s="64">
        <v>37.130000000000003</v>
      </c>
      <c r="N78" s="64">
        <v>80.3</v>
      </c>
      <c r="O78" s="64">
        <v>0</v>
      </c>
      <c r="P78" s="64">
        <v>0.27</v>
      </c>
      <c r="Q78" s="64">
        <v>9.18</v>
      </c>
      <c r="R78" s="198"/>
      <c r="S78" s="198"/>
      <c r="T78" s="198"/>
      <c r="U78" s="198"/>
    </row>
    <row r="79" spans="1:21" s="12" customFormat="1" x14ac:dyDescent="0.25">
      <c r="A79" s="214" t="s">
        <v>2044</v>
      </c>
      <c r="B79" s="64">
        <v>3.89</v>
      </c>
      <c r="C79" s="64">
        <v>21.67</v>
      </c>
      <c r="D79" s="64">
        <v>35.51</v>
      </c>
      <c r="E79" s="64">
        <v>4.83</v>
      </c>
      <c r="F79" s="64">
        <v>22.14</v>
      </c>
      <c r="G79" s="64">
        <v>22.08</v>
      </c>
      <c r="H79" s="64">
        <v>9.01</v>
      </c>
      <c r="I79" s="64">
        <v>4.1399999999999997</v>
      </c>
      <c r="J79" s="64">
        <v>1.04</v>
      </c>
      <c r="K79" s="64">
        <v>157.72999999999999</v>
      </c>
      <c r="L79" s="64">
        <v>36.979999999999997</v>
      </c>
      <c r="M79" s="64">
        <v>39.01</v>
      </c>
      <c r="N79" s="64">
        <v>69.900000000000006</v>
      </c>
      <c r="O79" s="64">
        <v>0</v>
      </c>
      <c r="P79" s="64">
        <v>0.28000000000000003</v>
      </c>
      <c r="Q79" s="64">
        <v>9.17</v>
      </c>
      <c r="R79" s="198"/>
      <c r="S79" s="198"/>
      <c r="T79" s="198"/>
      <c r="U79" s="198"/>
    </row>
    <row r="80" spans="1:21" s="12" customFormat="1" x14ac:dyDescent="0.25">
      <c r="A80" s="214" t="s">
        <v>2045</v>
      </c>
      <c r="B80" s="64">
        <v>3.85</v>
      </c>
      <c r="C80" s="64">
        <v>21.12</v>
      </c>
      <c r="D80" s="64">
        <v>34.520000000000003</v>
      </c>
      <c r="E80" s="64">
        <v>5.19</v>
      </c>
      <c r="F80" s="64">
        <v>23.04</v>
      </c>
      <c r="G80" s="64">
        <v>22.16</v>
      </c>
      <c r="H80" s="64">
        <v>9.07</v>
      </c>
      <c r="I80" s="64">
        <v>4.0599999999999996</v>
      </c>
      <c r="J80" s="64">
        <v>0.79</v>
      </c>
      <c r="K80" s="64">
        <v>173.4</v>
      </c>
      <c r="L80" s="64">
        <v>36.14</v>
      </c>
      <c r="M80" s="64">
        <v>39.33</v>
      </c>
      <c r="N80" s="64">
        <v>55.9</v>
      </c>
      <c r="O80" s="64">
        <v>0</v>
      </c>
      <c r="P80" s="64">
        <v>0.28000000000000003</v>
      </c>
      <c r="Q80" s="64">
        <v>9.18</v>
      </c>
      <c r="R80" s="198"/>
      <c r="S80" s="198"/>
      <c r="T80" s="198"/>
      <c r="U80" s="198"/>
    </row>
    <row r="81" spans="1:26" s="12" customFormat="1" x14ac:dyDescent="0.25">
      <c r="A81" s="214" t="s">
        <v>2046</v>
      </c>
      <c r="B81" s="64">
        <v>4.4800000000000004</v>
      </c>
      <c r="C81" s="64">
        <v>25.77</v>
      </c>
      <c r="D81" s="64">
        <v>42.45</v>
      </c>
      <c r="E81" s="64">
        <v>5.18</v>
      </c>
      <c r="F81" s="64">
        <v>19.690000000000001</v>
      </c>
      <c r="G81" s="64">
        <v>22.73</v>
      </c>
      <c r="H81" s="64">
        <v>9.83</v>
      </c>
      <c r="I81" s="64">
        <v>4.01</v>
      </c>
      <c r="J81" s="64">
        <v>0.7</v>
      </c>
      <c r="K81" s="64">
        <v>161.41</v>
      </c>
      <c r="L81" s="64">
        <v>36.82</v>
      </c>
      <c r="M81" s="64">
        <v>39.51</v>
      </c>
      <c r="N81" s="64">
        <v>42.8</v>
      </c>
      <c r="O81" s="64">
        <v>0</v>
      </c>
      <c r="P81" s="64">
        <v>0.3</v>
      </c>
      <c r="Q81" s="64">
        <v>9.18</v>
      </c>
      <c r="R81" s="198"/>
      <c r="S81" s="198"/>
      <c r="T81" s="198"/>
      <c r="U81" s="198"/>
    </row>
    <row r="82" spans="1:26" s="12" customFormat="1" x14ac:dyDescent="0.25">
      <c r="A82" s="214" t="s">
        <v>2047</v>
      </c>
      <c r="B82" s="64">
        <v>5.42</v>
      </c>
      <c r="C82" s="64">
        <v>32.700000000000003</v>
      </c>
      <c r="D82" s="64">
        <v>54.27</v>
      </c>
      <c r="E82" s="64">
        <v>5.35</v>
      </c>
      <c r="F82" s="64">
        <v>17.78</v>
      </c>
      <c r="G82" s="64">
        <v>22.73</v>
      </c>
      <c r="H82" s="64">
        <v>9.83</v>
      </c>
      <c r="I82" s="64">
        <v>3.93</v>
      </c>
      <c r="J82" s="64">
        <v>0.8</v>
      </c>
      <c r="K82" s="64">
        <v>153.4</v>
      </c>
      <c r="L82" s="64">
        <v>35.82</v>
      </c>
      <c r="M82" s="64">
        <v>40.020000000000003</v>
      </c>
      <c r="N82" s="64">
        <v>33.5</v>
      </c>
      <c r="O82" s="64">
        <v>0</v>
      </c>
      <c r="P82" s="64">
        <v>0.38</v>
      </c>
      <c r="Q82" s="64">
        <v>9.19</v>
      </c>
      <c r="R82" s="198"/>
      <c r="S82" s="198"/>
      <c r="T82" s="198"/>
      <c r="U82" s="198"/>
    </row>
    <row r="83" spans="1:26" s="12" customFormat="1" x14ac:dyDescent="0.25">
      <c r="A83" s="214" t="s">
        <v>2048</v>
      </c>
      <c r="B83" s="64">
        <v>9.94</v>
      </c>
      <c r="C83" s="64">
        <v>45.87</v>
      </c>
      <c r="D83" s="64">
        <v>72.540000000000006</v>
      </c>
      <c r="E83" s="64">
        <v>4.92</v>
      </c>
      <c r="F83" s="64">
        <v>13.45</v>
      </c>
      <c r="G83" s="64">
        <v>22.73</v>
      </c>
      <c r="H83" s="64">
        <v>9.83</v>
      </c>
      <c r="I83" s="64">
        <v>4.09</v>
      </c>
      <c r="J83" s="64">
        <v>0.68</v>
      </c>
      <c r="K83" s="64">
        <v>165.61</v>
      </c>
      <c r="L83" s="64">
        <v>35.630000000000003</v>
      </c>
      <c r="M83" s="64">
        <v>39.58</v>
      </c>
      <c r="N83" s="64">
        <v>29.8</v>
      </c>
      <c r="O83" s="64">
        <v>0</v>
      </c>
      <c r="P83" s="64">
        <v>0.41</v>
      </c>
      <c r="Q83" s="64">
        <v>9.1999999999999993</v>
      </c>
      <c r="R83" s="198"/>
      <c r="S83" s="198"/>
      <c r="T83" s="198"/>
      <c r="U83" s="198"/>
    </row>
    <row r="84" spans="1:26" s="12" customFormat="1" x14ac:dyDescent="0.25">
      <c r="A84" s="214" t="s">
        <v>2049</v>
      </c>
      <c r="B84" s="64">
        <v>6.58</v>
      </c>
      <c r="C84" s="64">
        <v>41.22</v>
      </c>
      <c r="D84" s="64">
        <v>68.8</v>
      </c>
      <c r="E84" s="64">
        <v>4.68</v>
      </c>
      <c r="F84" s="64">
        <v>14.63</v>
      </c>
      <c r="G84" s="64">
        <v>23.78</v>
      </c>
      <c r="H84" s="64">
        <v>9.75</v>
      </c>
      <c r="I84" s="64">
        <v>4.1100000000000003</v>
      </c>
      <c r="J84" s="64">
        <v>0.68</v>
      </c>
      <c r="K84" s="64">
        <v>167.77</v>
      </c>
      <c r="L84" s="64">
        <v>35.49</v>
      </c>
      <c r="M84" s="64">
        <v>39.840000000000003</v>
      </c>
      <c r="N84" s="64">
        <v>29.3</v>
      </c>
      <c r="O84" s="64">
        <v>0</v>
      </c>
      <c r="P84" s="64">
        <v>0.44</v>
      </c>
      <c r="Q84" s="64">
        <v>9.2100000000000009</v>
      </c>
      <c r="R84" s="198"/>
      <c r="S84" s="198"/>
      <c r="T84" s="198"/>
      <c r="U84" s="198"/>
    </row>
    <row r="85" spans="1:26" s="12" customFormat="1" x14ac:dyDescent="0.25">
      <c r="A85" s="214" t="s">
        <v>2050</v>
      </c>
      <c r="B85" s="64">
        <v>10.220000000000001</v>
      </c>
      <c r="C85" s="64">
        <v>46.99</v>
      </c>
      <c r="D85" s="64">
        <v>74.260000000000005</v>
      </c>
      <c r="E85" s="64">
        <v>4.76</v>
      </c>
      <c r="F85" s="64">
        <v>11.82</v>
      </c>
      <c r="G85" s="64">
        <v>36.130000000000003</v>
      </c>
      <c r="H85" s="64">
        <v>8.8000000000000007</v>
      </c>
      <c r="I85" s="64">
        <v>3.84</v>
      </c>
      <c r="J85" s="64">
        <v>0.75</v>
      </c>
      <c r="K85" s="64">
        <v>145.9</v>
      </c>
      <c r="L85" s="64">
        <v>35.65</v>
      </c>
      <c r="M85" s="64">
        <v>41.7</v>
      </c>
      <c r="N85" s="64">
        <v>29.4</v>
      </c>
      <c r="O85" s="64">
        <v>0</v>
      </c>
      <c r="P85" s="64">
        <v>0.51</v>
      </c>
      <c r="Q85" s="64">
        <v>9.2200000000000006</v>
      </c>
      <c r="R85" s="198"/>
      <c r="S85" s="198"/>
      <c r="T85" s="198"/>
      <c r="U85" s="198"/>
    </row>
    <row r="86" spans="1:26" s="12" customFormat="1" x14ac:dyDescent="0.25">
      <c r="A86" s="214" t="s">
        <v>2051</v>
      </c>
      <c r="B86" s="64">
        <v>7.62</v>
      </c>
      <c r="C86" s="64">
        <v>44.98</v>
      </c>
      <c r="D86" s="64">
        <v>74.41</v>
      </c>
      <c r="E86" s="64">
        <v>5.27</v>
      </c>
      <c r="F86" s="64">
        <v>13.1</v>
      </c>
      <c r="G86" s="64">
        <v>36.130000000000003</v>
      </c>
      <c r="H86" s="64">
        <v>8.8000000000000007</v>
      </c>
      <c r="I86" s="64">
        <v>3.99</v>
      </c>
      <c r="J86" s="64">
        <v>0.5</v>
      </c>
      <c r="K86" s="64">
        <v>162.25</v>
      </c>
      <c r="L86" s="64">
        <v>35.409999999999997</v>
      </c>
      <c r="M86" s="64">
        <v>42.84</v>
      </c>
      <c r="N86" s="64">
        <v>29.4</v>
      </c>
      <c r="O86" s="64">
        <v>0</v>
      </c>
      <c r="P86" s="64">
        <v>0.69</v>
      </c>
      <c r="Q86" s="64">
        <v>9.24</v>
      </c>
      <c r="R86" s="198"/>
      <c r="S86" s="198"/>
      <c r="T86" s="198"/>
      <c r="U86" s="198"/>
    </row>
    <row r="87" spans="1:26" s="12" customFormat="1" x14ac:dyDescent="0.25">
      <c r="A87" s="214" t="s">
        <v>2052</v>
      </c>
      <c r="B87" s="64">
        <v>9.32</v>
      </c>
      <c r="C87" s="64">
        <v>42.88</v>
      </c>
      <c r="D87" s="64">
        <v>67.77</v>
      </c>
      <c r="E87" s="64">
        <v>5.34</v>
      </c>
      <c r="F87" s="64">
        <v>14.04</v>
      </c>
      <c r="G87" s="64">
        <v>36.130000000000003</v>
      </c>
      <c r="H87" s="64">
        <v>8.8000000000000007</v>
      </c>
      <c r="I87" s="64">
        <v>3.98</v>
      </c>
      <c r="J87" s="64">
        <v>0.64</v>
      </c>
      <c r="K87" s="64">
        <v>152.81</v>
      </c>
      <c r="L87" s="64">
        <v>34.81</v>
      </c>
      <c r="M87" s="64">
        <v>42.69</v>
      </c>
      <c r="N87" s="64">
        <v>29.1</v>
      </c>
      <c r="O87" s="64">
        <v>0</v>
      </c>
      <c r="P87" s="64">
        <v>0.55000000000000004</v>
      </c>
      <c r="Q87" s="64">
        <v>9.2799999999999994</v>
      </c>
      <c r="R87" s="198"/>
      <c r="S87" s="198"/>
      <c r="T87" s="198"/>
      <c r="U87" s="198"/>
    </row>
    <row r="88" spans="1:26" s="12" customFormat="1" x14ac:dyDescent="0.25">
      <c r="A88" s="214" t="s">
        <v>2053</v>
      </c>
      <c r="B88" s="64">
        <v>10.63</v>
      </c>
      <c r="C88" s="64">
        <v>50.49</v>
      </c>
      <c r="D88" s="64">
        <v>80.319999999999993</v>
      </c>
      <c r="E88" s="64">
        <v>5.51</v>
      </c>
      <c r="F88" s="64">
        <v>10.41</v>
      </c>
      <c r="G88" s="64">
        <v>36.89</v>
      </c>
      <c r="H88" s="64">
        <v>9.23</v>
      </c>
      <c r="I88" s="64">
        <v>3.95</v>
      </c>
      <c r="J88" s="64">
        <v>0.75</v>
      </c>
      <c r="K88" s="64">
        <v>151.51</v>
      </c>
      <c r="L88" s="64">
        <v>34.78</v>
      </c>
      <c r="M88" s="64">
        <v>42.5</v>
      </c>
      <c r="N88" s="64">
        <v>29.1</v>
      </c>
      <c r="O88" s="64">
        <v>0</v>
      </c>
      <c r="P88" s="64">
        <v>0.71</v>
      </c>
      <c r="Q88" s="64">
        <v>9.32</v>
      </c>
      <c r="R88" s="198"/>
      <c r="S88" s="198"/>
      <c r="T88" s="198"/>
      <c r="U88" s="198"/>
    </row>
    <row r="89" spans="1:26" s="12" customFormat="1" x14ac:dyDescent="0.25">
      <c r="A89" s="214" t="s">
        <v>2054</v>
      </c>
      <c r="B89" s="64">
        <v>13.98</v>
      </c>
      <c r="C89" s="64">
        <v>54.81</v>
      </c>
      <c r="D89" s="64">
        <v>83.46</v>
      </c>
      <c r="E89" s="64">
        <v>5.14</v>
      </c>
      <c r="F89" s="64">
        <v>9.9600000000000009</v>
      </c>
      <c r="G89" s="64">
        <v>45.94</v>
      </c>
      <c r="H89" s="64">
        <v>14.35</v>
      </c>
      <c r="I89" s="64">
        <v>4.0599999999999996</v>
      </c>
      <c r="J89" s="64">
        <v>0.7</v>
      </c>
      <c r="K89" s="64">
        <v>158.94999999999999</v>
      </c>
      <c r="L89" s="64">
        <v>34.69</v>
      </c>
      <c r="M89" s="64">
        <v>41.91</v>
      </c>
      <c r="N89" s="64">
        <v>29.2</v>
      </c>
      <c r="O89" s="64">
        <v>0</v>
      </c>
      <c r="P89" s="64">
        <v>0.68</v>
      </c>
      <c r="Q89" s="64">
        <v>9.36</v>
      </c>
      <c r="R89" s="198"/>
      <c r="S89" s="198"/>
      <c r="T89" s="198"/>
      <c r="U89" s="198"/>
    </row>
    <row r="90" spans="1:26" s="12" customFormat="1" x14ac:dyDescent="0.25">
      <c r="A90" s="214" t="s">
        <v>2055</v>
      </c>
      <c r="B90" s="64">
        <v>11.86</v>
      </c>
      <c r="C90" s="64">
        <v>44.96</v>
      </c>
      <c r="D90" s="64">
        <v>67.84</v>
      </c>
      <c r="E90" s="64">
        <v>5.15</v>
      </c>
      <c r="F90" s="64">
        <v>10.27</v>
      </c>
      <c r="G90" s="64">
        <v>45.94</v>
      </c>
      <c r="H90" s="64">
        <v>14.35</v>
      </c>
      <c r="I90" s="64">
        <v>3.98</v>
      </c>
      <c r="J90" s="64">
        <v>0.73</v>
      </c>
      <c r="K90" s="64">
        <v>165.23</v>
      </c>
      <c r="L90" s="64">
        <v>35.299999999999997</v>
      </c>
      <c r="M90" s="64">
        <v>42.4</v>
      </c>
      <c r="N90" s="64">
        <v>29.1</v>
      </c>
      <c r="O90" s="64">
        <v>0</v>
      </c>
      <c r="P90" s="64">
        <v>0.64</v>
      </c>
      <c r="Q90" s="64">
        <v>9.3800000000000008</v>
      </c>
      <c r="R90" s="198"/>
      <c r="S90" s="198"/>
      <c r="T90" s="198"/>
      <c r="U90" s="198"/>
    </row>
    <row r="91" spans="1:26" s="12" customFormat="1" x14ac:dyDescent="0.25">
      <c r="A91" s="214" t="s">
        <v>2056</v>
      </c>
      <c r="B91" s="64">
        <v>8.06</v>
      </c>
      <c r="C91" s="64">
        <v>32.200000000000003</v>
      </c>
      <c r="D91" s="64">
        <v>49.26</v>
      </c>
      <c r="E91" s="64">
        <v>4.9400000000000004</v>
      </c>
      <c r="F91" s="64">
        <v>10.45</v>
      </c>
      <c r="G91" s="64">
        <v>45.94</v>
      </c>
      <c r="H91" s="64">
        <v>14.35</v>
      </c>
      <c r="I91" s="64">
        <v>3.96</v>
      </c>
      <c r="J91" s="64">
        <v>0.75</v>
      </c>
      <c r="K91" s="64">
        <v>164.51</v>
      </c>
      <c r="L91" s="64">
        <v>34.49</v>
      </c>
      <c r="M91" s="64">
        <v>42.3</v>
      </c>
      <c r="N91" s="64">
        <v>29.1</v>
      </c>
      <c r="O91" s="64">
        <v>0</v>
      </c>
      <c r="P91" s="64">
        <v>0.51</v>
      </c>
      <c r="Q91" s="64">
        <v>9.4</v>
      </c>
      <c r="R91" s="198"/>
      <c r="S91" s="198"/>
      <c r="T91" s="198"/>
      <c r="U91" s="198"/>
    </row>
    <row r="92" spans="1:26" s="12" customFormat="1" x14ac:dyDescent="0.25">
      <c r="A92" s="214" t="s">
        <v>2057</v>
      </c>
      <c r="B92" s="64">
        <v>8.93</v>
      </c>
      <c r="C92" s="64">
        <v>35.770000000000003</v>
      </c>
      <c r="D92" s="64">
        <v>54.76</v>
      </c>
      <c r="E92" s="64">
        <v>5.17</v>
      </c>
      <c r="F92" s="64">
        <v>12.28</v>
      </c>
      <c r="G92" s="64">
        <v>45.67</v>
      </c>
      <c r="H92" s="64">
        <v>14.38</v>
      </c>
      <c r="I92" s="64">
        <v>4.07</v>
      </c>
      <c r="J92" s="64">
        <v>0.53</v>
      </c>
      <c r="K92" s="64">
        <v>158.12</v>
      </c>
      <c r="L92" s="64">
        <v>34.409999999999997</v>
      </c>
      <c r="M92" s="64">
        <v>41.57</v>
      </c>
      <c r="N92" s="64">
        <v>29.1</v>
      </c>
      <c r="O92" s="64">
        <v>0</v>
      </c>
      <c r="P92" s="64">
        <v>0.51</v>
      </c>
      <c r="Q92" s="64">
        <v>9.41</v>
      </c>
      <c r="R92" s="198"/>
      <c r="S92" s="198"/>
      <c r="T92" s="198"/>
      <c r="U92" s="198"/>
    </row>
    <row r="93" spans="1:26" s="12" customFormat="1" x14ac:dyDescent="0.25">
      <c r="A93" s="214" t="s">
        <v>2058</v>
      </c>
      <c r="B93" s="64">
        <v>13.56</v>
      </c>
      <c r="C93" s="64">
        <v>39.46</v>
      </c>
      <c r="D93" s="64">
        <v>54.71</v>
      </c>
      <c r="E93" s="64">
        <v>4.6399999999999997</v>
      </c>
      <c r="F93" s="64">
        <v>7.06</v>
      </c>
      <c r="G93" s="64">
        <v>42.91</v>
      </c>
      <c r="H93" s="64">
        <v>14.78</v>
      </c>
      <c r="I93" s="64">
        <v>3.92</v>
      </c>
      <c r="J93" s="64">
        <v>0.87</v>
      </c>
      <c r="K93" s="64">
        <v>158.83000000000001</v>
      </c>
      <c r="L93" s="64">
        <v>34.31</v>
      </c>
      <c r="M93" s="64">
        <v>41.47</v>
      </c>
      <c r="N93" s="64">
        <v>29</v>
      </c>
      <c r="O93" s="64">
        <v>0</v>
      </c>
      <c r="P93" s="64">
        <v>0.45</v>
      </c>
      <c r="Q93" s="64">
        <v>9.42</v>
      </c>
      <c r="R93" s="198"/>
      <c r="S93" s="198"/>
      <c r="T93" s="198"/>
      <c r="U93" s="198"/>
    </row>
    <row r="94" spans="1:26" s="12" customFormat="1" x14ac:dyDescent="0.25">
      <c r="A94" s="214" t="s">
        <v>2059</v>
      </c>
      <c r="B94" s="64">
        <v>9.17</v>
      </c>
      <c r="C94" s="64">
        <v>32.28</v>
      </c>
      <c r="D94" s="64">
        <v>47.71</v>
      </c>
      <c r="E94" s="64">
        <v>5.04</v>
      </c>
      <c r="F94" s="64">
        <v>7.52</v>
      </c>
      <c r="G94" s="64">
        <v>42.91</v>
      </c>
      <c r="H94" s="64">
        <v>14.78</v>
      </c>
      <c r="I94" s="64">
        <v>4.09</v>
      </c>
      <c r="J94" s="64">
        <v>0.77</v>
      </c>
      <c r="K94" s="64">
        <v>162.79</v>
      </c>
      <c r="L94" s="64">
        <v>34.89</v>
      </c>
      <c r="M94" s="64">
        <v>42.04</v>
      </c>
      <c r="N94" s="64">
        <v>29.2</v>
      </c>
      <c r="O94" s="64">
        <v>0</v>
      </c>
      <c r="P94" s="64">
        <v>0.45</v>
      </c>
      <c r="Q94" s="64">
        <v>9.43</v>
      </c>
      <c r="R94" s="198"/>
      <c r="S94" s="198"/>
      <c r="T94" s="198"/>
      <c r="U94" s="198"/>
    </row>
    <row r="95" spans="1:26" s="12" customFormat="1" x14ac:dyDescent="0.25">
      <c r="A95" s="214" t="s">
        <v>2060</v>
      </c>
      <c r="B95" s="64">
        <v>7.88</v>
      </c>
      <c r="C95" s="64">
        <v>34.450000000000003</v>
      </c>
      <c r="D95" s="64">
        <v>53.84</v>
      </c>
      <c r="E95" s="64">
        <v>5.01</v>
      </c>
      <c r="F95" s="64">
        <v>10.02</v>
      </c>
      <c r="G95" s="64">
        <v>42.91</v>
      </c>
      <c r="H95" s="64">
        <v>14.78</v>
      </c>
      <c r="I95" s="64">
        <v>4.1500000000000004</v>
      </c>
      <c r="J95" s="64">
        <v>0.31</v>
      </c>
      <c r="K95" s="64">
        <v>132.62</v>
      </c>
      <c r="L95" s="64">
        <v>34.6</v>
      </c>
      <c r="M95" s="64">
        <v>43.08</v>
      </c>
      <c r="N95" s="64">
        <v>29.5</v>
      </c>
      <c r="O95" s="64">
        <v>0</v>
      </c>
      <c r="P95" s="64">
        <v>0.4</v>
      </c>
      <c r="Q95" s="64">
        <v>9.44</v>
      </c>
      <c r="R95" s="198"/>
      <c r="S95" s="198"/>
      <c r="T95" s="198"/>
      <c r="U95" s="198"/>
    </row>
    <row r="96" spans="1:26" s="12" customFormat="1" x14ac:dyDescent="0.25">
      <c r="A96" s="214" t="s">
        <v>2061</v>
      </c>
      <c r="B96" s="64">
        <v>7.81</v>
      </c>
      <c r="C96" s="64">
        <v>36.5</v>
      </c>
      <c r="D96" s="64">
        <v>57.88</v>
      </c>
      <c r="E96" s="64">
        <v>4.87</v>
      </c>
      <c r="F96" s="64">
        <v>10.130000000000001</v>
      </c>
      <c r="G96" s="64">
        <v>42.28</v>
      </c>
      <c r="H96" s="64">
        <v>14.56</v>
      </c>
      <c r="I96" s="64">
        <v>4.03</v>
      </c>
      <c r="J96" s="64">
        <v>0.28999999999999998</v>
      </c>
      <c r="K96" s="64">
        <v>171.55</v>
      </c>
      <c r="L96" s="64">
        <v>34.24</v>
      </c>
      <c r="M96" s="64">
        <v>44.67</v>
      </c>
      <c r="N96" s="64">
        <v>29.4</v>
      </c>
      <c r="O96" s="64">
        <v>0</v>
      </c>
      <c r="P96" s="64">
        <v>0.43</v>
      </c>
      <c r="Q96" s="64">
        <v>9.4499999999999993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2062</v>
      </c>
      <c r="B97" s="64">
        <v>12.85</v>
      </c>
      <c r="C97" s="64">
        <v>42.05</v>
      </c>
      <c r="D97" s="64">
        <v>60.77</v>
      </c>
      <c r="E97" s="64">
        <v>4.55</v>
      </c>
      <c r="F97" s="64">
        <v>8.0500000000000007</v>
      </c>
      <c r="G97" s="64">
        <v>35.840000000000003</v>
      </c>
      <c r="H97" s="64">
        <v>11.95</v>
      </c>
      <c r="I97" s="64">
        <v>4.09</v>
      </c>
      <c r="J97" s="64">
        <v>0.5</v>
      </c>
      <c r="K97" s="64">
        <v>91.14</v>
      </c>
      <c r="L97" s="64">
        <v>34.22</v>
      </c>
      <c r="M97" s="64">
        <v>44.94</v>
      </c>
      <c r="N97" s="64">
        <v>29.2</v>
      </c>
      <c r="O97" s="64">
        <v>0</v>
      </c>
      <c r="P97" s="64">
        <v>0.38</v>
      </c>
      <c r="Q97" s="64">
        <v>9.43</v>
      </c>
      <c r="R97" s="198"/>
      <c r="S97" s="198"/>
      <c r="T97" s="198"/>
      <c r="U97" s="198"/>
    </row>
    <row r="98" spans="1:33" s="12" customFormat="1" x14ac:dyDescent="0.25">
      <c r="A98" s="214" t="s">
        <v>2063</v>
      </c>
      <c r="B98" s="64">
        <v>21.78</v>
      </c>
      <c r="C98" s="64">
        <v>38.19</v>
      </c>
      <c r="D98" s="64">
        <v>39.67</v>
      </c>
      <c r="E98" s="64">
        <v>4.51</v>
      </c>
      <c r="F98" s="64">
        <v>5.66</v>
      </c>
      <c r="G98" s="64">
        <v>35.840000000000003</v>
      </c>
      <c r="H98" s="64">
        <v>11.95</v>
      </c>
      <c r="I98" s="64">
        <v>3.97</v>
      </c>
      <c r="J98" s="64">
        <v>0.49</v>
      </c>
      <c r="K98" s="64">
        <v>277.18</v>
      </c>
      <c r="L98" s="64">
        <v>33.4</v>
      </c>
      <c r="M98" s="64">
        <v>49.67</v>
      </c>
      <c r="N98" s="64">
        <v>31.3</v>
      </c>
      <c r="O98" s="64">
        <v>0</v>
      </c>
      <c r="P98" s="64">
        <v>0.46</v>
      </c>
      <c r="Q98" s="64">
        <v>9.44</v>
      </c>
      <c r="R98" s="198"/>
      <c r="S98" s="198"/>
      <c r="T98" s="198"/>
      <c r="U98" s="198"/>
    </row>
    <row r="99" spans="1:33" s="12" customFormat="1" x14ac:dyDescent="0.25">
      <c r="A99" s="214" t="s">
        <v>2064</v>
      </c>
      <c r="B99" s="64">
        <v>11.45</v>
      </c>
      <c r="C99" s="64">
        <v>27.12</v>
      </c>
      <c r="D99" s="64">
        <v>34.33</v>
      </c>
      <c r="E99" s="64">
        <v>4.1900000000000004</v>
      </c>
      <c r="F99" s="64">
        <v>5.41</v>
      </c>
      <c r="G99" s="64">
        <v>35.840000000000003</v>
      </c>
      <c r="H99" s="64">
        <v>11.95</v>
      </c>
      <c r="I99" s="64">
        <v>3.97</v>
      </c>
      <c r="J99" s="64">
        <v>0.63</v>
      </c>
      <c r="K99" s="64">
        <v>256.75</v>
      </c>
      <c r="L99" s="64">
        <v>31.81</v>
      </c>
      <c r="M99" s="64">
        <v>57.4</v>
      </c>
      <c r="N99" s="64">
        <v>31.3</v>
      </c>
      <c r="O99" s="64">
        <v>0</v>
      </c>
      <c r="P99" s="64">
        <v>0.44</v>
      </c>
      <c r="Q99" s="64">
        <v>9.5</v>
      </c>
      <c r="R99" s="198"/>
      <c r="S99" s="198"/>
      <c r="T99" s="198"/>
      <c r="U99" s="198"/>
    </row>
    <row r="100" spans="1:33" s="12" customFormat="1" x14ac:dyDescent="0.25">
      <c r="A100" s="214" t="s">
        <v>2065</v>
      </c>
      <c r="B100" s="64">
        <v>10.82</v>
      </c>
      <c r="C100" s="64">
        <v>25.55</v>
      </c>
      <c r="D100" s="64">
        <v>32.28</v>
      </c>
      <c r="E100" s="64">
        <v>4.3099999999999996</v>
      </c>
      <c r="F100" s="64">
        <v>8.4</v>
      </c>
      <c r="G100" s="64">
        <v>36.74</v>
      </c>
      <c r="H100" s="64">
        <v>12.01</v>
      </c>
      <c r="I100" s="64">
        <v>3.97</v>
      </c>
      <c r="J100" s="64">
        <v>0.28000000000000003</v>
      </c>
      <c r="K100" s="64">
        <v>228.29</v>
      </c>
      <c r="L100" s="64">
        <v>31.3</v>
      </c>
      <c r="M100" s="64">
        <v>59.69</v>
      </c>
      <c r="N100" s="64">
        <v>30.2</v>
      </c>
      <c r="O100" s="64">
        <v>0</v>
      </c>
      <c r="P100" s="64">
        <v>0.41</v>
      </c>
      <c r="Q100" s="64">
        <v>9.5399999999999991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2066</v>
      </c>
      <c r="B101" s="64">
        <v>10.65</v>
      </c>
      <c r="C101" s="64">
        <v>24.48</v>
      </c>
      <c r="D101" s="64">
        <v>30.51</v>
      </c>
      <c r="E101" s="64">
        <v>4.04</v>
      </c>
      <c r="F101" s="64">
        <v>8.31</v>
      </c>
      <c r="G101" s="64">
        <v>47.4</v>
      </c>
      <c r="H101" s="64">
        <v>12.72</v>
      </c>
      <c r="I101" s="64">
        <v>4.03</v>
      </c>
      <c r="J101" s="64">
        <v>0.16</v>
      </c>
      <c r="K101" s="64">
        <v>156.83000000000001</v>
      </c>
      <c r="L101" s="64">
        <v>30.91</v>
      </c>
      <c r="M101" s="64">
        <v>61.93</v>
      </c>
      <c r="N101" s="64">
        <v>29.9</v>
      </c>
      <c r="O101" s="64">
        <v>0</v>
      </c>
      <c r="P101" s="64">
        <v>0.4</v>
      </c>
      <c r="Q101" s="64">
        <v>9.52</v>
      </c>
      <c r="R101" s="198"/>
      <c r="S101" s="198"/>
      <c r="T101" s="198"/>
      <c r="U101" s="198"/>
    </row>
    <row r="102" spans="1:33" s="12" customFormat="1" x14ac:dyDescent="0.25">
      <c r="A102" s="214" t="s">
        <v>2067</v>
      </c>
      <c r="B102" s="64">
        <v>9.5</v>
      </c>
      <c r="C102" s="64">
        <v>22.97</v>
      </c>
      <c r="D102" s="64">
        <v>29.38</v>
      </c>
      <c r="E102" s="64">
        <v>3.87</v>
      </c>
      <c r="F102" s="64">
        <v>6.89</v>
      </c>
      <c r="G102" s="64">
        <v>47.4</v>
      </c>
      <c r="H102" s="64">
        <v>12.72</v>
      </c>
      <c r="I102" s="64">
        <v>4.07</v>
      </c>
      <c r="J102" s="64">
        <v>0.3</v>
      </c>
      <c r="K102" s="64">
        <v>122.83</v>
      </c>
      <c r="L102" s="64">
        <v>30.86</v>
      </c>
      <c r="M102" s="64">
        <v>61.57</v>
      </c>
      <c r="N102" s="64">
        <v>29.3</v>
      </c>
      <c r="O102" s="64">
        <v>0</v>
      </c>
      <c r="P102" s="64">
        <v>0.4</v>
      </c>
      <c r="Q102" s="64">
        <v>9.5</v>
      </c>
      <c r="R102" s="198"/>
      <c r="S102" s="198"/>
      <c r="T102" s="198"/>
      <c r="U102" s="198"/>
    </row>
    <row r="103" spans="1:33" s="12" customFormat="1" x14ac:dyDescent="0.25">
      <c r="A103" s="214" t="s">
        <v>2068</v>
      </c>
      <c r="B103" s="64">
        <v>8.73</v>
      </c>
      <c r="C103" s="64">
        <v>23.25</v>
      </c>
      <c r="D103" s="64">
        <v>31.11</v>
      </c>
      <c r="E103" s="64">
        <v>4.58</v>
      </c>
      <c r="F103" s="64">
        <v>12.14</v>
      </c>
      <c r="G103" s="64">
        <v>47.4</v>
      </c>
      <c r="H103" s="64">
        <v>12.72</v>
      </c>
      <c r="I103" s="64">
        <v>4.03</v>
      </c>
      <c r="J103" s="64">
        <v>0.31</v>
      </c>
      <c r="K103" s="64">
        <v>121.4</v>
      </c>
      <c r="L103" s="64">
        <v>30.98</v>
      </c>
      <c r="M103" s="64">
        <v>60.53</v>
      </c>
      <c r="N103" s="64">
        <v>29.2</v>
      </c>
      <c r="O103" s="64">
        <v>0</v>
      </c>
      <c r="P103" s="64">
        <v>0.33</v>
      </c>
      <c r="Q103" s="64">
        <v>9.49</v>
      </c>
      <c r="R103" s="198"/>
      <c r="S103" s="198"/>
      <c r="T103" s="198"/>
      <c r="U103" s="198"/>
    </row>
    <row r="104" spans="1:33" s="12" customFormat="1" x14ac:dyDescent="0.25">
      <c r="A104" s="214" t="s">
        <v>2069</v>
      </c>
      <c r="B104" s="64">
        <v>6.42</v>
      </c>
      <c r="C104" s="64">
        <v>17.7</v>
      </c>
      <c r="D104" s="64">
        <v>24.01</v>
      </c>
      <c r="E104" s="64">
        <v>5.32</v>
      </c>
      <c r="F104" s="64">
        <v>17.18</v>
      </c>
      <c r="G104" s="64">
        <v>46.2</v>
      </c>
      <c r="H104" s="64">
        <v>12.61</v>
      </c>
      <c r="I104" s="64">
        <v>3.81</v>
      </c>
      <c r="J104" s="64">
        <v>0.22</v>
      </c>
      <c r="K104" s="64">
        <v>213.09</v>
      </c>
      <c r="L104" s="64">
        <v>31.15</v>
      </c>
      <c r="M104" s="64">
        <v>59.52</v>
      </c>
      <c r="N104" s="64">
        <v>29.1</v>
      </c>
      <c r="O104" s="64">
        <v>0</v>
      </c>
      <c r="P104" s="64">
        <v>0.28000000000000003</v>
      </c>
      <c r="Q104" s="64">
        <v>9.4700000000000006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3.34</v>
      </c>
      <c r="C106" s="67">
        <f>MIN(C9:C104)</f>
        <v>12.58</v>
      </c>
      <c r="D106" s="67">
        <f t="shared" ref="D106:Q106" si="0">MIN(D9:D104)</f>
        <v>18.329999999999998</v>
      </c>
      <c r="E106" s="67">
        <f t="shared" si="0"/>
        <v>3.87</v>
      </c>
      <c r="F106" s="67">
        <f t="shared" si="0"/>
        <v>5.41</v>
      </c>
      <c r="G106" s="67">
        <f t="shared" si="0"/>
        <v>2.81</v>
      </c>
      <c r="H106" s="67">
        <f t="shared" si="0"/>
        <v>0.82</v>
      </c>
      <c r="I106" s="67">
        <f t="shared" si="0"/>
        <v>3.78</v>
      </c>
      <c r="J106" s="67">
        <f t="shared" si="0"/>
        <v>0.12</v>
      </c>
      <c r="K106" s="67">
        <f t="shared" si="0"/>
        <v>91.14</v>
      </c>
      <c r="L106" s="67">
        <f t="shared" si="0"/>
        <v>26.75</v>
      </c>
      <c r="M106" s="67">
        <f t="shared" si="0"/>
        <v>34.64</v>
      </c>
      <c r="N106" s="67">
        <f t="shared" si="0"/>
        <v>29</v>
      </c>
      <c r="O106" s="67">
        <f t="shared" si="0"/>
        <v>0</v>
      </c>
      <c r="P106" s="67">
        <f t="shared" si="0"/>
        <v>0.21</v>
      </c>
      <c r="Q106" s="67">
        <f t="shared" si="0"/>
        <v>9.11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21.78</v>
      </c>
      <c r="C107" s="66">
        <f t="shared" ref="C107:Q107" si="1">MAX(C9:C104)</f>
        <v>54.81</v>
      </c>
      <c r="D107" s="66">
        <f t="shared" si="1"/>
        <v>83.46</v>
      </c>
      <c r="E107" s="66">
        <f t="shared" si="1"/>
        <v>9.8699999999999992</v>
      </c>
      <c r="F107" s="66">
        <f t="shared" si="1"/>
        <v>37</v>
      </c>
      <c r="G107" s="66">
        <f t="shared" si="1"/>
        <v>68.31</v>
      </c>
      <c r="H107" s="66">
        <f t="shared" si="1"/>
        <v>23.58</v>
      </c>
      <c r="I107" s="66">
        <f t="shared" si="1"/>
        <v>4.22</v>
      </c>
      <c r="J107" s="66">
        <f t="shared" si="1"/>
        <v>1.68</v>
      </c>
      <c r="K107" s="66">
        <f t="shared" si="1"/>
        <v>277.18</v>
      </c>
      <c r="L107" s="66">
        <f t="shared" si="1"/>
        <v>38.18</v>
      </c>
      <c r="M107" s="66">
        <f t="shared" si="1"/>
        <v>79.16</v>
      </c>
      <c r="N107" s="66">
        <f t="shared" si="1"/>
        <v>895.7</v>
      </c>
      <c r="O107" s="66">
        <f t="shared" si="1"/>
        <v>0</v>
      </c>
      <c r="P107" s="66">
        <f t="shared" si="1"/>
        <v>1.17</v>
      </c>
      <c r="Q107" s="66">
        <f t="shared" si="1"/>
        <v>9.6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7.4498958333333301</v>
      </c>
      <c r="C108" s="67">
        <f t="shared" ref="C108:Q108" si="2">AVERAGE(C9:C104)</f>
        <v>25.166041666666668</v>
      </c>
      <c r="D108" s="67">
        <f t="shared" si="2"/>
        <v>36.733020833333356</v>
      </c>
      <c r="E108" s="67">
        <f t="shared" si="2"/>
        <v>5.7854166666666673</v>
      </c>
      <c r="F108" s="67">
        <f t="shared" si="2"/>
        <v>15.628645833333342</v>
      </c>
      <c r="G108" s="67">
        <f t="shared" si="2"/>
        <v>38.121739130434797</v>
      </c>
      <c r="H108" s="67">
        <f t="shared" si="2"/>
        <v>13.949565217391307</v>
      </c>
      <c r="I108" s="67">
        <f t="shared" si="2"/>
        <v>4.0073958333333319</v>
      </c>
      <c r="J108" s="67">
        <f t="shared" si="2"/>
        <v>0.76468749999999985</v>
      </c>
      <c r="K108" s="67">
        <f t="shared" si="2"/>
        <v>151.92499999999995</v>
      </c>
      <c r="L108" s="67">
        <f t="shared" si="2"/>
        <v>32.939583333333324</v>
      </c>
      <c r="M108" s="67">
        <f t="shared" si="2"/>
        <v>54.620416666666664</v>
      </c>
      <c r="N108" s="67">
        <f t="shared" si="2"/>
        <v>249.92083333333335</v>
      </c>
      <c r="O108" s="67">
        <f t="shared" si="2"/>
        <v>0</v>
      </c>
      <c r="P108" s="67">
        <f t="shared" si="2"/>
        <v>0.45614583333333308</v>
      </c>
      <c r="Q108" s="67">
        <f t="shared" si="2"/>
        <v>9.3504166666666659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2.8608811652472981</v>
      </c>
      <c r="C109" s="67">
        <f t="shared" ref="C109:Q109" si="3">STDEV(C9:C104)</f>
        <v>9.5531729068262496</v>
      </c>
      <c r="D109" s="67">
        <f t="shared" si="3"/>
        <v>15.793266394577337</v>
      </c>
      <c r="E109" s="67">
        <f t="shared" si="3"/>
        <v>1.0399776482078471</v>
      </c>
      <c r="F109" s="67">
        <f t="shared" si="3"/>
        <v>8.8536156895648297</v>
      </c>
      <c r="G109" s="67">
        <f t="shared" si="3"/>
        <v>14.811873067082875</v>
      </c>
      <c r="H109" s="67">
        <f t="shared" si="3"/>
        <v>4.4265395690244738</v>
      </c>
      <c r="I109" s="67">
        <f t="shared" si="3"/>
        <v>9.805739234235461E-2</v>
      </c>
      <c r="J109" s="67">
        <f t="shared" si="3"/>
        <v>0.34933004489044239</v>
      </c>
      <c r="K109" s="67">
        <f t="shared" si="3"/>
        <v>38.837146515593794</v>
      </c>
      <c r="L109" s="67">
        <f t="shared" si="3"/>
        <v>2.973659774779279</v>
      </c>
      <c r="M109" s="67">
        <f t="shared" si="3"/>
        <v>14.660046450466153</v>
      </c>
      <c r="N109" s="67">
        <f t="shared" si="3"/>
        <v>301.86100074691643</v>
      </c>
      <c r="O109" s="67">
        <f t="shared" si="3"/>
        <v>0</v>
      </c>
      <c r="P109" s="67">
        <f t="shared" si="3"/>
        <v>0.20295381788225286</v>
      </c>
      <c r="Q109" s="67">
        <f t="shared" si="3"/>
        <v>0.1420816419614305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2070</v>
      </c>
      <c r="B9" s="64">
        <v>7.41</v>
      </c>
      <c r="C9" s="64">
        <v>19.25</v>
      </c>
      <c r="D9" s="64">
        <v>25.47</v>
      </c>
      <c r="E9" s="64">
        <v>5.66</v>
      </c>
      <c r="F9" s="64">
        <v>11.42</v>
      </c>
      <c r="G9" s="64">
        <v>33.840000000000003</v>
      </c>
      <c r="H9" s="64">
        <v>11.27</v>
      </c>
      <c r="I9" s="64">
        <v>3.89</v>
      </c>
      <c r="J9" s="64">
        <v>0.39</v>
      </c>
      <c r="K9" s="64">
        <v>132.99</v>
      </c>
      <c r="L9" s="64">
        <v>31.27</v>
      </c>
      <c r="M9" s="64">
        <v>57.67</v>
      </c>
      <c r="N9" s="64">
        <v>29.1</v>
      </c>
      <c r="O9" s="64">
        <v>0</v>
      </c>
      <c r="P9" s="64">
        <v>0.31</v>
      </c>
      <c r="Q9" s="64">
        <v>9.44</v>
      </c>
      <c r="R9" s="198"/>
      <c r="S9" s="198"/>
      <c r="T9" s="198"/>
      <c r="U9" s="198"/>
    </row>
    <row r="10" spans="1:21" s="12" customFormat="1" x14ac:dyDescent="0.25">
      <c r="A10" s="214" t="s">
        <v>2071</v>
      </c>
      <c r="B10" s="64">
        <v>6.98</v>
      </c>
      <c r="C10" s="64">
        <v>17.71</v>
      </c>
      <c r="D10" s="64">
        <v>23.18</v>
      </c>
      <c r="E10" s="64">
        <v>5.21</v>
      </c>
      <c r="F10" s="64">
        <v>12.11</v>
      </c>
      <c r="G10" s="64">
        <v>33.840000000000003</v>
      </c>
      <c r="H10" s="64">
        <v>11.27</v>
      </c>
      <c r="I10" s="64">
        <v>3.99</v>
      </c>
      <c r="J10" s="64">
        <v>0.42</v>
      </c>
      <c r="K10" s="64">
        <v>110.46</v>
      </c>
      <c r="L10" s="64">
        <v>30.87</v>
      </c>
      <c r="M10" s="64">
        <v>58.54</v>
      </c>
      <c r="N10" s="64">
        <v>29.9</v>
      </c>
      <c r="O10" s="64">
        <v>0</v>
      </c>
      <c r="P10" s="64">
        <v>0.31</v>
      </c>
      <c r="Q10" s="64">
        <v>9.4</v>
      </c>
      <c r="R10" s="198"/>
      <c r="S10" s="198"/>
      <c r="T10" s="198"/>
      <c r="U10" s="198"/>
    </row>
    <row r="11" spans="1:21" s="12" customFormat="1" x14ac:dyDescent="0.25">
      <c r="A11" s="214" t="s">
        <v>2072</v>
      </c>
      <c r="B11" s="64">
        <v>6.69</v>
      </c>
      <c r="C11" s="64">
        <v>16.600000000000001</v>
      </c>
      <c r="D11" s="64">
        <v>21.51</v>
      </c>
      <c r="E11" s="64">
        <v>5.07</v>
      </c>
      <c r="F11" s="64">
        <v>12.87</v>
      </c>
      <c r="G11" s="64">
        <v>33.840000000000003</v>
      </c>
      <c r="H11" s="64">
        <v>11.27</v>
      </c>
      <c r="I11" s="64">
        <v>4.03</v>
      </c>
      <c r="J11" s="64">
        <v>0.48</v>
      </c>
      <c r="K11" s="64">
        <v>115.47</v>
      </c>
      <c r="L11" s="64">
        <v>30.76</v>
      </c>
      <c r="M11" s="64">
        <v>59.16</v>
      </c>
      <c r="N11" s="64">
        <v>29.5</v>
      </c>
      <c r="O11" s="64">
        <v>0</v>
      </c>
      <c r="P11" s="64">
        <v>0.3</v>
      </c>
      <c r="Q11" s="64">
        <v>9.3699999999999992</v>
      </c>
      <c r="R11" s="198"/>
      <c r="S11" s="198"/>
      <c r="T11" s="198"/>
      <c r="U11" s="198"/>
    </row>
    <row r="12" spans="1:21" s="12" customFormat="1" x14ac:dyDescent="0.25">
      <c r="A12" s="214" t="s">
        <v>2073</v>
      </c>
      <c r="B12" s="64">
        <v>5.67</v>
      </c>
      <c r="C12" s="64">
        <v>15.04</v>
      </c>
      <c r="D12" s="64">
        <v>20.079999999999998</v>
      </c>
      <c r="E12" s="64">
        <v>5.51</v>
      </c>
      <c r="F12" s="64">
        <v>15.72</v>
      </c>
      <c r="G12" s="64">
        <v>33.31</v>
      </c>
      <c r="H12" s="64">
        <v>11.05</v>
      </c>
      <c r="I12" s="64">
        <v>3.99</v>
      </c>
      <c r="J12" s="64">
        <v>0.22</v>
      </c>
      <c r="K12" s="64">
        <v>176.49</v>
      </c>
      <c r="L12" s="64">
        <v>30.89</v>
      </c>
      <c r="M12" s="64">
        <v>58.76</v>
      </c>
      <c r="N12" s="64">
        <v>29.1</v>
      </c>
      <c r="O12" s="64">
        <v>0</v>
      </c>
      <c r="P12" s="64">
        <v>0.23</v>
      </c>
      <c r="Q12" s="64">
        <v>9.35</v>
      </c>
      <c r="R12" s="198"/>
      <c r="S12" s="198"/>
      <c r="T12" s="198"/>
      <c r="U12" s="198"/>
    </row>
    <row r="13" spans="1:21" s="12" customFormat="1" x14ac:dyDescent="0.25">
      <c r="A13" s="214" t="s">
        <v>2074</v>
      </c>
      <c r="B13" s="64">
        <v>5.14</v>
      </c>
      <c r="C13" s="64">
        <v>15.46</v>
      </c>
      <c r="D13" s="64">
        <v>21.69</v>
      </c>
      <c r="E13" s="64">
        <v>5.46</v>
      </c>
      <c r="F13" s="64">
        <v>16.010000000000002</v>
      </c>
      <c r="G13" s="64">
        <v>27.87</v>
      </c>
      <c r="H13" s="64">
        <v>8.4600000000000009</v>
      </c>
      <c r="I13" s="64">
        <v>4.1500000000000004</v>
      </c>
      <c r="J13" s="64">
        <v>0.19</v>
      </c>
      <c r="K13" s="64">
        <v>193.66</v>
      </c>
      <c r="L13" s="64">
        <v>31.15</v>
      </c>
      <c r="M13" s="64">
        <v>57.93</v>
      </c>
      <c r="N13" s="64">
        <v>29.1</v>
      </c>
      <c r="O13" s="64">
        <v>0</v>
      </c>
      <c r="P13" s="64">
        <v>0.22</v>
      </c>
      <c r="Q13" s="64">
        <v>9.33</v>
      </c>
      <c r="R13" s="198"/>
      <c r="S13" s="198"/>
      <c r="T13" s="198"/>
      <c r="U13" s="198"/>
    </row>
    <row r="14" spans="1:21" s="12" customFormat="1" x14ac:dyDescent="0.25">
      <c r="A14" s="214" t="s">
        <v>2075</v>
      </c>
      <c r="B14" s="64">
        <v>4.92</v>
      </c>
      <c r="C14" s="64">
        <v>15.08</v>
      </c>
      <c r="D14" s="64">
        <v>21.32</v>
      </c>
      <c r="E14" s="64">
        <v>5.3</v>
      </c>
      <c r="F14" s="64">
        <v>14.42</v>
      </c>
      <c r="G14" s="64">
        <v>27.87</v>
      </c>
      <c r="H14" s="64">
        <v>8.4600000000000009</v>
      </c>
      <c r="I14" s="64">
        <v>3.9</v>
      </c>
      <c r="J14" s="64">
        <v>0.69</v>
      </c>
      <c r="K14" s="64">
        <v>113.17</v>
      </c>
      <c r="L14" s="64">
        <v>31.22</v>
      </c>
      <c r="M14" s="64">
        <v>59.76</v>
      </c>
      <c r="N14" s="64">
        <v>29.1</v>
      </c>
      <c r="O14" s="64">
        <v>0</v>
      </c>
      <c r="P14" s="64">
        <v>0.21</v>
      </c>
      <c r="Q14" s="64">
        <v>9.32</v>
      </c>
      <c r="R14" s="198"/>
      <c r="S14" s="198"/>
      <c r="T14" s="198"/>
      <c r="U14" s="198"/>
    </row>
    <row r="15" spans="1:21" s="12" customFormat="1" x14ac:dyDescent="0.25">
      <c r="A15" s="214" t="s">
        <v>2076</v>
      </c>
      <c r="B15" s="64">
        <v>5.32</v>
      </c>
      <c r="C15" s="64">
        <v>14.85</v>
      </c>
      <c r="D15" s="64">
        <v>20.239999999999998</v>
      </c>
      <c r="E15" s="64">
        <v>5.38</v>
      </c>
      <c r="F15" s="64">
        <v>8.17</v>
      </c>
      <c r="G15" s="64">
        <v>27.87</v>
      </c>
      <c r="H15" s="64">
        <v>8.4600000000000009</v>
      </c>
      <c r="I15" s="64">
        <v>4</v>
      </c>
      <c r="J15" s="64">
        <v>0.95</v>
      </c>
      <c r="K15" s="64">
        <v>108.45</v>
      </c>
      <c r="L15" s="64">
        <v>31.14</v>
      </c>
      <c r="M15" s="64">
        <v>58.97</v>
      </c>
      <c r="N15" s="64">
        <v>29.4</v>
      </c>
      <c r="O15" s="64">
        <v>0</v>
      </c>
      <c r="P15" s="64">
        <v>0.3</v>
      </c>
      <c r="Q15" s="64">
        <v>9.31</v>
      </c>
      <c r="R15" s="198"/>
      <c r="S15" s="198"/>
      <c r="T15" s="198"/>
      <c r="U15" s="198"/>
    </row>
    <row r="16" spans="1:21" s="12" customFormat="1" x14ac:dyDescent="0.25">
      <c r="A16" s="214" t="s">
        <v>2077</v>
      </c>
      <c r="B16" s="64">
        <v>4.9400000000000004</v>
      </c>
      <c r="C16" s="64">
        <v>14.25</v>
      </c>
      <c r="D16" s="64">
        <v>19.7</v>
      </c>
      <c r="E16" s="64">
        <v>5.39</v>
      </c>
      <c r="F16" s="64">
        <v>14.58</v>
      </c>
      <c r="G16" s="64">
        <v>27.38</v>
      </c>
      <c r="H16" s="64">
        <v>8.27</v>
      </c>
      <c r="I16" s="64">
        <v>3.91</v>
      </c>
      <c r="J16" s="64">
        <v>0.79</v>
      </c>
      <c r="K16" s="64">
        <v>102.88</v>
      </c>
      <c r="L16" s="64">
        <v>31.1</v>
      </c>
      <c r="M16" s="64">
        <v>58.72</v>
      </c>
      <c r="N16" s="64">
        <v>29.5</v>
      </c>
      <c r="O16" s="64">
        <v>0</v>
      </c>
      <c r="P16" s="64">
        <v>0.19</v>
      </c>
      <c r="Q16" s="64">
        <v>9.3000000000000007</v>
      </c>
      <c r="R16" s="198"/>
      <c r="S16" s="198"/>
      <c r="T16" s="198"/>
      <c r="U16" s="198"/>
    </row>
    <row r="17" spans="1:21" s="12" customFormat="1" x14ac:dyDescent="0.25">
      <c r="A17" s="214" t="s">
        <v>2078</v>
      </c>
      <c r="B17" s="64">
        <v>4.4000000000000004</v>
      </c>
      <c r="C17" s="64">
        <v>13.3</v>
      </c>
      <c r="D17" s="64">
        <v>18.7</v>
      </c>
      <c r="E17" s="64">
        <v>5.37</v>
      </c>
      <c r="F17" s="64">
        <v>15.41</v>
      </c>
      <c r="G17" s="64">
        <v>21.53</v>
      </c>
      <c r="H17" s="64">
        <v>6.05</v>
      </c>
      <c r="I17" s="64">
        <v>3.99</v>
      </c>
      <c r="J17" s="64">
        <v>1.0900000000000001</v>
      </c>
      <c r="K17" s="64">
        <v>113.55</v>
      </c>
      <c r="L17" s="64">
        <v>31.2</v>
      </c>
      <c r="M17" s="64">
        <v>58.78</v>
      </c>
      <c r="N17" s="64">
        <v>29</v>
      </c>
      <c r="O17" s="64">
        <v>0</v>
      </c>
      <c r="P17" s="64">
        <v>0.16</v>
      </c>
      <c r="Q17" s="64">
        <v>9.3000000000000007</v>
      </c>
      <c r="R17" s="198"/>
      <c r="S17" s="198"/>
      <c r="T17" s="198"/>
      <c r="U17" s="198"/>
    </row>
    <row r="18" spans="1:21" s="12" customFormat="1" x14ac:dyDescent="0.25">
      <c r="A18" s="214" t="s">
        <v>2079</v>
      </c>
      <c r="B18" s="64">
        <v>4.5599999999999996</v>
      </c>
      <c r="C18" s="64">
        <v>13.75</v>
      </c>
      <c r="D18" s="64">
        <v>19.32</v>
      </c>
      <c r="E18" s="64">
        <v>5.34</v>
      </c>
      <c r="F18" s="64">
        <v>6.74</v>
      </c>
      <c r="G18" s="64">
        <v>21.53</v>
      </c>
      <c r="H18" s="64">
        <v>6.05</v>
      </c>
      <c r="I18" s="64">
        <v>4</v>
      </c>
      <c r="J18" s="64">
        <v>1.52</v>
      </c>
      <c r="K18" s="64">
        <v>107.2</v>
      </c>
      <c r="L18" s="64">
        <v>31.31</v>
      </c>
      <c r="M18" s="64">
        <v>57.69</v>
      </c>
      <c r="N18" s="64">
        <v>28.9</v>
      </c>
      <c r="O18" s="64">
        <v>0</v>
      </c>
      <c r="P18" s="64">
        <v>0.23</v>
      </c>
      <c r="Q18" s="64">
        <v>9.2799999999999994</v>
      </c>
      <c r="R18" s="198"/>
      <c r="S18" s="198"/>
      <c r="T18" s="198"/>
      <c r="U18" s="198"/>
    </row>
    <row r="19" spans="1:21" s="12" customFormat="1" x14ac:dyDescent="0.25">
      <c r="A19" s="214" t="s">
        <v>2080</v>
      </c>
      <c r="B19" s="64">
        <v>4.8899999999999997</v>
      </c>
      <c r="C19" s="64">
        <v>14.96</v>
      </c>
      <c r="D19" s="64">
        <v>21.12</v>
      </c>
      <c r="E19" s="64">
        <v>5.0599999999999996</v>
      </c>
      <c r="F19" s="64">
        <v>5.88</v>
      </c>
      <c r="G19" s="64">
        <v>21.53</v>
      </c>
      <c r="H19" s="64">
        <v>6.05</v>
      </c>
      <c r="I19" s="64">
        <v>3.92</v>
      </c>
      <c r="J19" s="64">
        <v>0.91</v>
      </c>
      <c r="K19" s="64">
        <v>87.69</v>
      </c>
      <c r="L19" s="64">
        <v>31.29</v>
      </c>
      <c r="M19" s="64">
        <v>56.94</v>
      </c>
      <c r="N19" s="64">
        <v>29.3</v>
      </c>
      <c r="O19" s="64">
        <v>0</v>
      </c>
      <c r="P19" s="64">
        <v>0.25</v>
      </c>
      <c r="Q19" s="64">
        <v>9.26</v>
      </c>
      <c r="R19" s="198"/>
      <c r="S19" s="198"/>
      <c r="T19" s="198"/>
      <c r="U19" s="198"/>
    </row>
    <row r="20" spans="1:21" s="12" customFormat="1" x14ac:dyDescent="0.25">
      <c r="A20" s="214" t="s">
        <v>2081</v>
      </c>
      <c r="B20" s="64">
        <v>4.6900000000000004</v>
      </c>
      <c r="C20" s="64">
        <v>16.350000000000001</v>
      </c>
      <c r="D20" s="64">
        <v>24.08</v>
      </c>
      <c r="E20" s="64">
        <v>5.13</v>
      </c>
      <c r="F20" s="64">
        <v>8.01</v>
      </c>
      <c r="G20" s="64">
        <v>21.21</v>
      </c>
      <c r="H20" s="64">
        <v>6.05</v>
      </c>
      <c r="I20" s="64">
        <v>3.9</v>
      </c>
      <c r="J20" s="64">
        <v>0.93</v>
      </c>
      <c r="K20" s="64">
        <v>94.57</v>
      </c>
      <c r="L20" s="64">
        <v>31.05</v>
      </c>
      <c r="M20" s="64">
        <v>56.5</v>
      </c>
      <c r="N20" s="64">
        <v>29.5</v>
      </c>
      <c r="O20" s="64">
        <v>0</v>
      </c>
      <c r="P20" s="64">
        <v>0.2</v>
      </c>
      <c r="Q20" s="64">
        <v>9.26</v>
      </c>
      <c r="R20" s="198"/>
      <c r="S20" s="198"/>
      <c r="T20" s="198"/>
      <c r="U20" s="198"/>
    </row>
    <row r="21" spans="1:21" s="12" customFormat="1" x14ac:dyDescent="0.25">
      <c r="A21" s="214" t="s">
        <v>2082</v>
      </c>
      <c r="B21" s="64">
        <v>4.51</v>
      </c>
      <c r="C21" s="64">
        <v>15.6</v>
      </c>
      <c r="D21" s="64">
        <v>22.93</v>
      </c>
      <c r="E21" s="64">
        <v>5.42</v>
      </c>
      <c r="F21" s="64">
        <v>9.4499999999999993</v>
      </c>
      <c r="G21" s="64">
        <v>17.350000000000001</v>
      </c>
      <c r="H21" s="64">
        <v>5.98</v>
      </c>
      <c r="I21" s="64">
        <v>3.96</v>
      </c>
      <c r="J21" s="64">
        <v>1.01</v>
      </c>
      <c r="K21" s="64">
        <v>98.45</v>
      </c>
      <c r="L21" s="64">
        <v>30.87</v>
      </c>
      <c r="M21" s="64">
        <v>57.05</v>
      </c>
      <c r="N21" s="64">
        <v>29.4</v>
      </c>
      <c r="O21" s="64">
        <v>0</v>
      </c>
      <c r="P21" s="64">
        <v>0.18</v>
      </c>
      <c r="Q21" s="64">
        <v>9.25</v>
      </c>
      <c r="R21" s="198"/>
      <c r="S21" s="198"/>
      <c r="T21" s="198"/>
      <c r="U21" s="198"/>
    </row>
    <row r="22" spans="1:21" s="12" customFormat="1" x14ac:dyDescent="0.25">
      <c r="A22" s="214" t="s">
        <v>2083</v>
      </c>
      <c r="B22" s="64">
        <v>4.6399999999999997</v>
      </c>
      <c r="C22" s="64">
        <v>14.75</v>
      </c>
      <c r="D22" s="64">
        <v>21.12</v>
      </c>
      <c r="E22" s="64">
        <v>5.16</v>
      </c>
      <c r="F22" s="64">
        <v>7.67</v>
      </c>
      <c r="G22" s="64">
        <v>17.350000000000001</v>
      </c>
      <c r="H22" s="64">
        <v>5.98</v>
      </c>
      <c r="I22" s="64">
        <v>3.97</v>
      </c>
      <c r="J22" s="64">
        <v>0.41</v>
      </c>
      <c r="K22" s="64">
        <v>130.47999999999999</v>
      </c>
      <c r="L22" s="64">
        <v>30.68</v>
      </c>
      <c r="M22" s="64">
        <v>58.52</v>
      </c>
      <c r="N22" s="64">
        <v>29.5</v>
      </c>
      <c r="O22" s="64">
        <v>0</v>
      </c>
      <c r="P22" s="64">
        <v>0.2</v>
      </c>
      <c r="Q22" s="64">
        <v>9.24</v>
      </c>
      <c r="R22" s="198"/>
      <c r="S22" s="198"/>
      <c r="T22" s="198"/>
      <c r="U22" s="198"/>
    </row>
    <row r="23" spans="1:21" s="12" customFormat="1" x14ac:dyDescent="0.25">
      <c r="A23" s="214" t="s">
        <v>2084</v>
      </c>
      <c r="B23" s="64">
        <v>4.3899999999999997</v>
      </c>
      <c r="C23" s="64">
        <v>14.3</v>
      </c>
      <c r="D23" s="64">
        <v>20.63</v>
      </c>
      <c r="E23" s="64">
        <v>5.25</v>
      </c>
      <c r="F23" s="64">
        <v>8.9600000000000009</v>
      </c>
      <c r="G23" s="64">
        <v>17.350000000000001</v>
      </c>
      <c r="H23" s="64">
        <v>5.98</v>
      </c>
      <c r="I23" s="64">
        <v>4.1399999999999997</v>
      </c>
      <c r="J23" s="64">
        <v>0.57999999999999996</v>
      </c>
      <c r="K23" s="64">
        <v>187.41</v>
      </c>
      <c r="L23" s="64">
        <v>30.31</v>
      </c>
      <c r="M23" s="64">
        <v>62.49</v>
      </c>
      <c r="N23" s="64">
        <v>29.5</v>
      </c>
      <c r="O23" s="64">
        <v>0</v>
      </c>
      <c r="P23" s="64">
        <v>0.17</v>
      </c>
      <c r="Q23" s="64">
        <v>9.24</v>
      </c>
      <c r="R23" s="198"/>
      <c r="S23" s="198"/>
      <c r="T23" s="198"/>
      <c r="U23" s="198"/>
    </row>
    <row r="24" spans="1:21" s="12" customFormat="1" x14ac:dyDescent="0.25">
      <c r="A24" s="214" t="s">
        <v>2085</v>
      </c>
      <c r="B24" s="64">
        <v>5.75</v>
      </c>
      <c r="C24" s="64">
        <v>16.34</v>
      </c>
      <c r="D24" s="64">
        <v>22.45</v>
      </c>
      <c r="E24" s="64">
        <v>5.27</v>
      </c>
      <c r="F24" s="64">
        <v>6.55</v>
      </c>
      <c r="G24" s="64">
        <v>17.170000000000002</v>
      </c>
      <c r="H24" s="64">
        <v>5.95</v>
      </c>
      <c r="I24" s="64">
        <v>3.87</v>
      </c>
      <c r="J24" s="64">
        <v>1.21</v>
      </c>
      <c r="K24" s="64">
        <v>230.62</v>
      </c>
      <c r="L24" s="64">
        <v>29.94</v>
      </c>
      <c r="M24" s="64">
        <v>66.78</v>
      </c>
      <c r="N24" s="64">
        <v>29.6</v>
      </c>
      <c r="O24" s="64">
        <v>0</v>
      </c>
      <c r="P24" s="64">
        <v>0.18</v>
      </c>
      <c r="Q24" s="64">
        <v>9.24</v>
      </c>
      <c r="R24" s="198"/>
      <c r="S24" s="198"/>
      <c r="T24" s="198"/>
      <c r="U24" s="198"/>
    </row>
    <row r="25" spans="1:21" s="12" customFormat="1" x14ac:dyDescent="0.25">
      <c r="A25" s="214" t="s">
        <v>2086</v>
      </c>
      <c r="B25" s="64">
        <v>7.79</v>
      </c>
      <c r="C25" s="64">
        <v>24.63</v>
      </c>
      <c r="D25" s="64">
        <v>35.17</v>
      </c>
      <c r="E25" s="64">
        <v>5.62</v>
      </c>
      <c r="F25" s="64">
        <v>7.57</v>
      </c>
      <c r="G25" s="64">
        <v>15.03</v>
      </c>
      <c r="H25" s="64">
        <v>5.59</v>
      </c>
      <c r="I25" s="64">
        <v>4.0199999999999996</v>
      </c>
      <c r="J25" s="64">
        <v>0.72</v>
      </c>
      <c r="K25" s="64">
        <v>231.17</v>
      </c>
      <c r="L25" s="64">
        <v>29.75</v>
      </c>
      <c r="M25" s="64">
        <v>63.63</v>
      </c>
      <c r="N25" s="64">
        <v>29.4</v>
      </c>
      <c r="O25" s="64">
        <v>0</v>
      </c>
      <c r="P25" s="64">
        <v>0.32</v>
      </c>
      <c r="Q25" s="64">
        <v>9.23</v>
      </c>
      <c r="R25" s="198"/>
      <c r="S25" s="198"/>
      <c r="T25" s="198"/>
      <c r="U25" s="198"/>
    </row>
    <row r="26" spans="1:21" s="12" customFormat="1" x14ac:dyDescent="0.25">
      <c r="A26" s="214" t="s">
        <v>2087</v>
      </c>
      <c r="B26" s="64">
        <v>13.23</v>
      </c>
      <c r="C26" s="64">
        <v>35.39</v>
      </c>
      <c r="D26" s="64">
        <v>47.43</v>
      </c>
      <c r="E26" s="64">
        <v>6.98</v>
      </c>
      <c r="F26" s="64">
        <v>8.73</v>
      </c>
      <c r="G26" s="64">
        <v>15.03</v>
      </c>
      <c r="H26" s="64">
        <v>5.59</v>
      </c>
      <c r="I26" s="64">
        <v>4.0599999999999996</v>
      </c>
      <c r="J26" s="64">
        <v>0.26</v>
      </c>
      <c r="K26" s="64">
        <v>231.92</v>
      </c>
      <c r="L26" s="64">
        <v>29.43</v>
      </c>
      <c r="M26" s="64">
        <v>65.680000000000007</v>
      </c>
      <c r="N26" s="64">
        <v>29.6</v>
      </c>
      <c r="O26" s="64">
        <v>0</v>
      </c>
      <c r="P26" s="64">
        <v>0.5</v>
      </c>
      <c r="Q26" s="64">
        <v>9.24</v>
      </c>
      <c r="R26" s="198"/>
      <c r="S26" s="198"/>
      <c r="T26" s="198"/>
      <c r="U26" s="198"/>
    </row>
    <row r="27" spans="1:21" s="12" customFormat="1" x14ac:dyDescent="0.25">
      <c r="A27" s="214" t="s">
        <v>2088</v>
      </c>
      <c r="B27" s="64">
        <v>9.0299999999999994</v>
      </c>
      <c r="C27" s="64">
        <v>29.12</v>
      </c>
      <c r="D27" s="64">
        <v>41.86</v>
      </c>
      <c r="E27" s="64">
        <v>8.31</v>
      </c>
      <c r="F27" s="64">
        <v>7.4</v>
      </c>
      <c r="G27" s="64">
        <v>15.03</v>
      </c>
      <c r="H27" s="64">
        <v>5.59</v>
      </c>
      <c r="I27" s="64">
        <v>4.05</v>
      </c>
      <c r="J27" s="64">
        <v>0.46</v>
      </c>
      <c r="K27" s="64">
        <v>228.08</v>
      </c>
      <c r="L27" s="64">
        <v>29.12</v>
      </c>
      <c r="M27" s="64">
        <v>69.19</v>
      </c>
      <c r="N27" s="64">
        <v>29.5</v>
      </c>
      <c r="O27" s="64">
        <v>0</v>
      </c>
      <c r="P27" s="64">
        <v>0.48</v>
      </c>
      <c r="Q27" s="64">
        <v>9.26</v>
      </c>
      <c r="R27" s="198"/>
      <c r="S27" s="198"/>
      <c r="T27" s="198"/>
      <c r="U27" s="198"/>
    </row>
    <row r="28" spans="1:21" s="12" customFormat="1" x14ac:dyDescent="0.25">
      <c r="A28" s="214" t="s">
        <v>2089</v>
      </c>
      <c r="B28" s="64">
        <v>13.39</v>
      </c>
      <c r="C28" s="64">
        <v>33.659999999999997</v>
      </c>
      <c r="D28" s="64">
        <v>43.86</v>
      </c>
      <c r="E28" s="64">
        <v>9.4600000000000009</v>
      </c>
      <c r="F28" s="64">
        <v>8.17</v>
      </c>
      <c r="G28" s="64">
        <v>17.2</v>
      </c>
      <c r="H28" s="64">
        <v>6.06</v>
      </c>
      <c r="I28" s="64">
        <v>4.01</v>
      </c>
      <c r="J28" s="64">
        <v>0.27</v>
      </c>
      <c r="K28" s="64">
        <v>288.18</v>
      </c>
      <c r="L28" s="64">
        <v>29.04</v>
      </c>
      <c r="M28" s="64">
        <v>67.569999999999993</v>
      </c>
      <c r="N28" s="64">
        <v>28.9</v>
      </c>
      <c r="O28" s="64">
        <v>0</v>
      </c>
      <c r="P28" s="64">
        <v>0.41</v>
      </c>
      <c r="Q28" s="64">
        <v>9.2799999999999994</v>
      </c>
      <c r="R28" s="198"/>
      <c r="S28" s="198"/>
      <c r="T28" s="198"/>
      <c r="U28" s="198"/>
    </row>
    <row r="29" spans="1:21" s="12" customFormat="1" x14ac:dyDescent="0.25">
      <c r="A29" s="214" t="s">
        <v>2090</v>
      </c>
      <c r="B29" s="64">
        <v>8.5399999999999991</v>
      </c>
      <c r="C29" s="64">
        <v>20.46</v>
      </c>
      <c r="D29" s="64">
        <v>26.05</v>
      </c>
      <c r="E29" s="64">
        <v>9.18</v>
      </c>
      <c r="F29" s="64">
        <v>5.96</v>
      </c>
      <c r="G29" s="64">
        <v>42.93</v>
      </c>
      <c r="H29" s="64">
        <v>11.71</v>
      </c>
      <c r="I29" s="64">
        <v>4.01</v>
      </c>
      <c r="J29" s="64">
        <v>1.32</v>
      </c>
      <c r="K29" s="64">
        <v>232.69</v>
      </c>
      <c r="L29" s="64">
        <v>29.06</v>
      </c>
      <c r="M29" s="64">
        <v>66.17</v>
      </c>
      <c r="N29" s="64">
        <v>29.8</v>
      </c>
      <c r="O29" s="64">
        <v>0</v>
      </c>
      <c r="P29" s="64">
        <v>0.28999999999999998</v>
      </c>
      <c r="Q29" s="64">
        <v>9.3000000000000007</v>
      </c>
      <c r="R29" s="198"/>
      <c r="S29" s="198"/>
      <c r="T29" s="198"/>
      <c r="U29" s="198"/>
    </row>
    <row r="30" spans="1:21" s="12" customFormat="1" x14ac:dyDescent="0.25">
      <c r="A30" s="214" t="s">
        <v>2091</v>
      </c>
      <c r="B30" s="64">
        <v>11.41</v>
      </c>
      <c r="C30" s="64">
        <v>28.15</v>
      </c>
      <c r="D30" s="64">
        <v>36.369999999999997</v>
      </c>
      <c r="E30" s="64">
        <v>10.25</v>
      </c>
      <c r="F30" s="64">
        <v>6.85</v>
      </c>
      <c r="G30" s="64">
        <v>42.93</v>
      </c>
      <c r="H30" s="64">
        <v>11.71</v>
      </c>
      <c r="I30" s="64">
        <v>4.04</v>
      </c>
      <c r="J30" s="64">
        <v>0.79</v>
      </c>
      <c r="K30" s="64">
        <v>234.74</v>
      </c>
      <c r="L30" s="64">
        <v>28.87</v>
      </c>
      <c r="M30" s="64">
        <v>67.81</v>
      </c>
      <c r="N30" s="64">
        <v>34.4</v>
      </c>
      <c r="O30" s="64">
        <v>0</v>
      </c>
      <c r="P30" s="64">
        <v>0.36</v>
      </c>
      <c r="Q30" s="64">
        <v>9.33</v>
      </c>
      <c r="R30" s="198"/>
      <c r="S30" s="198"/>
      <c r="T30" s="198"/>
      <c r="U30" s="198"/>
    </row>
    <row r="31" spans="1:21" s="12" customFormat="1" x14ac:dyDescent="0.25">
      <c r="A31" s="214" t="s">
        <v>2092</v>
      </c>
      <c r="B31" s="64">
        <v>18.18</v>
      </c>
      <c r="C31" s="64">
        <v>45.35</v>
      </c>
      <c r="D31" s="64">
        <v>58.89</v>
      </c>
      <c r="E31" s="64">
        <v>14.88</v>
      </c>
      <c r="F31" s="64">
        <v>6.67</v>
      </c>
      <c r="G31" s="64">
        <v>42.93</v>
      </c>
      <c r="H31" s="64">
        <v>11.71</v>
      </c>
      <c r="I31" s="64">
        <v>4.0599999999999996</v>
      </c>
      <c r="J31" s="64">
        <v>0.19</v>
      </c>
      <c r="K31" s="64">
        <v>256.89999999999998</v>
      </c>
      <c r="L31" s="64">
        <v>28.8</v>
      </c>
      <c r="M31" s="64">
        <v>68.540000000000006</v>
      </c>
      <c r="N31" s="64">
        <v>44.3</v>
      </c>
      <c r="O31" s="64">
        <v>0</v>
      </c>
      <c r="P31" s="64">
        <v>0.57999999999999996</v>
      </c>
      <c r="Q31" s="64">
        <v>9.35</v>
      </c>
      <c r="R31" s="198"/>
      <c r="S31" s="198"/>
      <c r="T31" s="198"/>
      <c r="U31" s="198"/>
    </row>
    <row r="32" spans="1:21" s="12" customFormat="1" x14ac:dyDescent="0.25">
      <c r="A32" s="214" t="s">
        <v>2093</v>
      </c>
      <c r="B32" s="64">
        <v>12.17</v>
      </c>
      <c r="C32" s="64">
        <v>38.54</v>
      </c>
      <c r="D32" s="64">
        <v>55.1</v>
      </c>
      <c r="E32" s="64">
        <v>24</v>
      </c>
      <c r="F32" s="64">
        <v>6.69</v>
      </c>
      <c r="G32" s="64">
        <v>44.89</v>
      </c>
      <c r="H32" s="64">
        <v>11.65</v>
      </c>
      <c r="I32" s="64">
        <v>4.2</v>
      </c>
      <c r="J32" s="64">
        <v>0.31</v>
      </c>
      <c r="K32" s="64">
        <v>102.15</v>
      </c>
      <c r="L32" s="64">
        <v>28.82</v>
      </c>
      <c r="M32" s="64">
        <v>67.87</v>
      </c>
      <c r="N32" s="64">
        <v>59.6</v>
      </c>
      <c r="O32" s="64">
        <v>0</v>
      </c>
      <c r="P32" s="64">
        <v>0.59</v>
      </c>
      <c r="Q32" s="64">
        <v>9.3800000000000008</v>
      </c>
      <c r="R32" s="198"/>
      <c r="S32" s="198"/>
      <c r="T32" s="198"/>
      <c r="U32" s="198"/>
    </row>
    <row r="33" spans="1:21" s="12" customFormat="1" x14ac:dyDescent="0.25">
      <c r="A33" s="214" t="s">
        <v>2094</v>
      </c>
      <c r="B33" s="64">
        <v>18.34</v>
      </c>
      <c r="C33" s="64">
        <v>33.880000000000003</v>
      </c>
      <c r="D33" s="64">
        <v>36.770000000000003</v>
      </c>
      <c r="E33" s="64">
        <v>14.56</v>
      </c>
      <c r="F33" s="64">
        <v>4.66</v>
      </c>
      <c r="G33" s="64">
        <v>65</v>
      </c>
      <c r="H33" s="64">
        <v>10.94</v>
      </c>
      <c r="I33" s="64">
        <v>3.92</v>
      </c>
      <c r="J33" s="64">
        <v>0.15</v>
      </c>
      <c r="K33" s="64">
        <v>106.75</v>
      </c>
      <c r="L33" s="64">
        <v>28.93</v>
      </c>
      <c r="M33" s="64">
        <v>66.319999999999993</v>
      </c>
      <c r="N33" s="64">
        <v>86.8</v>
      </c>
      <c r="O33" s="64">
        <v>0</v>
      </c>
      <c r="P33" s="64">
        <v>0.42</v>
      </c>
      <c r="Q33" s="64">
        <v>9.39</v>
      </c>
      <c r="R33" s="198"/>
      <c r="S33" s="198"/>
      <c r="T33" s="198"/>
      <c r="U33" s="198"/>
    </row>
    <row r="34" spans="1:21" s="12" customFormat="1" x14ac:dyDescent="0.25">
      <c r="A34" s="214" t="s">
        <v>2095</v>
      </c>
      <c r="B34" s="64">
        <v>22.54</v>
      </c>
      <c r="C34" s="64">
        <v>51.73</v>
      </c>
      <c r="D34" s="64">
        <v>64.41</v>
      </c>
      <c r="E34" s="64">
        <v>20.03</v>
      </c>
      <c r="F34" s="64">
        <v>5.41</v>
      </c>
      <c r="G34" s="64">
        <v>65</v>
      </c>
      <c r="H34" s="64">
        <v>10.94</v>
      </c>
      <c r="I34" s="64">
        <v>4.0599999999999996</v>
      </c>
      <c r="J34" s="64">
        <v>0.16</v>
      </c>
      <c r="K34" s="64">
        <v>205.7</v>
      </c>
      <c r="L34" s="64">
        <v>29.66</v>
      </c>
      <c r="M34" s="64">
        <v>64.28</v>
      </c>
      <c r="N34" s="64">
        <v>130.69999999999999</v>
      </c>
      <c r="O34" s="64">
        <v>0</v>
      </c>
      <c r="P34" s="64">
        <v>0.72</v>
      </c>
      <c r="Q34" s="64">
        <v>9.43</v>
      </c>
      <c r="R34" s="198"/>
      <c r="S34" s="198"/>
      <c r="T34" s="198"/>
      <c r="U34" s="198"/>
    </row>
    <row r="35" spans="1:21" s="12" customFormat="1" x14ac:dyDescent="0.25">
      <c r="A35" s="214" t="s">
        <v>2096</v>
      </c>
      <c r="B35" s="64">
        <v>14.49</v>
      </c>
      <c r="C35" s="64">
        <v>35.28</v>
      </c>
      <c r="D35" s="64">
        <v>45.29</v>
      </c>
      <c r="E35" s="64">
        <v>25.65</v>
      </c>
      <c r="F35" s="64">
        <v>7</v>
      </c>
      <c r="G35" s="64">
        <v>65</v>
      </c>
      <c r="H35" s="64">
        <v>10.94</v>
      </c>
      <c r="I35" s="64">
        <v>3.9</v>
      </c>
      <c r="J35" s="64">
        <v>0.49</v>
      </c>
      <c r="K35" s="64">
        <v>108.93</v>
      </c>
      <c r="L35" s="64">
        <v>30.13</v>
      </c>
      <c r="M35" s="64">
        <v>63.09</v>
      </c>
      <c r="N35" s="64">
        <v>154.30000000000001</v>
      </c>
      <c r="O35" s="64">
        <v>0</v>
      </c>
      <c r="P35" s="64">
        <v>0.56000000000000005</v>
      </c>
      <c r="Q35" s="64">
        <v>9.49</v>
      </c>
      <c r="R35" s="198"/>
      <c r="S35" s="198"/>
      <c r="T35" s="198"/>
      <c r="U35" s="198"/>
    </row>
    <row r="36" spans="1:21" s="12" customFormat="1" x14ac:dyDescent="0.25">
      <c r="A36" s="214" t="s">
        <v>2097</v>
      </c>
      <c r="B36" s="64">
        <v>12.27</v>
      </c>
      <c r="C36" s="64">
        <v>30.51</v>
      </c>
      <c r="D36" s="64">
        <v>39.549999999999997</v>
      </c>
      <c r="E36" s="64">
        <v>14.25</v>
      </c>
      <c r="F36" s="64">
        <v>5.76</v>
      </c>
      <c r="G36" s="64">
        <v>66.02</v>
      </c>
      <c r="H36" s="64">
        <v>11.47</v>
      </c>
      <c r="I36" s="64">
        <v>3.94</v>
      </c>
      <c r="J36" s="64">
        <v>0.27</v>
      </c>
      <c r="K36" s="64">
        <v>154.83000000000001</v>
      </c>
      <c r="L36" s="64">
        <v>30.9</v>
      </c>
      <c r="M36" s="64">
        <v>60.22</v>
      </c>
      <c r="N36" s="64">
        <v>221</v>
      </c>
      <c r="O36" s="64">
        <v>0</v>
      </c>
      <c r="P36" s="64">
        <v>0.53</v>
      </c>
      <c r="Q36" s="64">
        <v>9.51</v>
      </c>
      <c r="R36" s="198"/>
      <c r="S36" s="198"/>
      <c r="T36" s="198"/>
      <c r="U36" s="198"/>
    </row>
    <row r="37" spans="1:21" s="12" customFormat="1" x14ac:dyDescent="0.25">
      <c r="A37" s="214" t="s">
        <v>2098</v>
      </c>
      <c r="B37" s="64">
        <v>12.4</v>
      </c>
      <c r="C37" s="64">
        <v>32.47</v>
      </c>
      <c r="D37" s="64">
        <v>43.11</v>
      </c>
      <c r="E37" s="64">
        <v>19.03</v>
      </c>
      <c r="F37" s="64">
        <v>8.81</v>
      </c>
      <c r="G37" s="64">
        <v>76.45</v>
      </c>
      <c r="H37" s="64">
        <v>17.84</v>
      </c>
      <c r="I37" s="64">
        <v>3.79</v>
      </c>
      <c r="J37" s="64">
        <v>0.32</v>
      </c>
      <c r="K37" s="64">
        <v>104.26</v>
      </c>
      <c r="L37" s="64">
        <v>31.92</v>
      </c>
      <c r="M37" s="64">
        <v>57.83</v>
      </c>
      <c r="N37" s="64">
        <v>294.60000000000002</v>
      </c>
      <c r="O37" s="64">
        <v>0</v>
      </c>
      <c r="P37" s="64">
        <v>0.56999999999999995</v>
      </c>
      <c r="Q37" s="64">
        <v>9.5299999999999994</v>
      </c>
      <c r="R37" s="198"/>
      <c r="S37" s="198"/>
      <c r="T37" s="198"/>
      <c r="U37" s="198"/>
    </row>
    <row r="38" spans="1:21" s="12" customFormat="1" x14ac:dyDescent="0.25">
      <c r="A38" s="214" t="s">
        <v>2099</v>
      </c>
      <c r="B38" s="64">
        <v>11.68</v>
      </c>
      <c r="C38" s="64">
        <v>26.5</v>
      </c>
      <c r="D38" s="64">
        <v>32.81</v>
      </c>
      <c r="E38" s="64">
        <v>15.13</v>
      </c>
      <c r="F38" s="64">
        <v>4.3899999999999997</v>
      </c>
      <c r="G38" s="64">
        <v>76.45</v>
      </c>
      <c r="H38" s="64">
        <v>17.84</v>
      </c>
      <c r="I38" s="64">
        <v>3.92</v>
      </c>
      <c r="J38" s="64">
        <v>0.93</v>
      </c>
      <c r="K38" s="64">
        <v>157.38999999999999</v>
      </c>
      <c r="L38" s="64">
        <v>31.88</v>
      </c>
      <c r="M38" s="64">
        <v>60.16</v>
      </c>
      <c r="N38" s="64">
        <v>343.6</v>
      </c>
      <c r="O38" s="64">
        <v>0</v>
      </c>
      <c r="P38" s="64">
        <v>0.48</v>
      </c>
      <c r="Q38" s="64">
        <v>9.52</v>
      </c>
      <c r="R38" s="198"/>
      <c r="S38" s="198"/>
      <c r="T38" s="198"/>
      <c r="U38" s="198"/>
    </row>
    <row r="39" spans="1:21" s="12" customFormat="1" x14ac:dyDescent="0.25">
      <c r="A39" s="214" t="s">
        <v>2100</v>
      </c>
      <c r="B39" s="64">
        <v>11.69</v>
      </c>
      <c r="C39" s="64">
        <v>23.93</v>
      </c>
      <c r="D39" s="64">
        <v>27.85</v>
      </c>
      <c r="E39" s="64">
        <v>9.86</v>
      </c>
      <c r="F39" s="64">
        <v>4.28</v>
      </c>
      <c r="G39" s="64">
        <v>76.45</v>
      </c>
      <c r="H39" s="64">
        <v>17.84</v>
      </c>
      <c r="I39" s="64">
        <v>3.9</v>
      </c>
      <c r="J39" s="64">
        <v>1</v>
      </c>
      <c r="K39" s="64">
        <v>162.54</v>
      </c>
      <c r="L39" s="64">
        <v>31.94</v>
      </c>
      <c r="M39" s="64">
        <v>61.03</v>
      </c>
      <c r="N39" s="64">
        <v>376.4</v>
      </c>
      <c r="O39" s="64">
        <v>0</v>
      </c>
      <c r="P39" s="64">
        <v>0.45</v>
      </c>
      <c r="Q39" s="64">
        <v>9.52</v>
      </c>
      <c r="R39" s="198"/>
      <c r="S39" s="198"/>
      <c r="T39" s="198"/>
      <c r="U39" s="198"/>
    </row>
    <row r="40" spans="1:21" s="12" customFormat="1" x14ac:dyDescent="0.25">
      <c r="A40" s="214" t="s">
        <v>2101</v>
      </c>
      <c r="B40" s="64">
        <v>10.99</v>
      </c>
      <c r="C40" s="64">
        <v>22.85</v>
      </c>
      <c r="D40" s="64">
        <v>26.86</v>
      </c>
      <c r="E40" s="64">
        <v>6.94</v>
      </c>
      <c r="F40" s="64">
        <v>5.01</v>
      </c>
      <c r="G40" s="64">
        <v>74.72</v>
      </c>
      <c r="H40" s="64">
        <v>17.690000000000001</v>
      </c>
      <c r="I40" s="64">
        <v>3.99</v>
      </c>
      <c r="J40" s="64">
        <v>0.82</v>
      </c>
      <c r="K40" s="64">
        <v>155.49</v>
      </c>
      <c r="L40" s="64">
        <v>32.29</v>
      </c>
      <c r="M40" s="64">
        <v>60.96</v>
      </c>
      <c r="N40" s="64">
        <v>289.10000000000002</v>
      </c>
      <c r="O40" s="64">
        <v>0</v>
      </c>
      <c r="P40" s="64">
        <v>0.42</v>
      </c>
      <c r="Q40" s="64">
        <v>9.5</v>
      </c>
      <c r="R40" s="198"/>
      <c r="S40" s="198"/>
      <c r="T40" s="198"/>
      <c r="U40" s="198"/>
    </row>
    <row r="41" spans="1:21" s="12" customFormat="1" x14ac:dyDescent="0.25">
      <c r="A41" s="214" t="s">
        <v>2102</v>
      </c>
      <c r="B41" s="64">
        <v>10.65</v>
      </c>
      <c r="C41" s="64">
        <v>21.46</v>
      </c>
      <c r="D41" s="64">
        <v>24.72</v>
      </c>
      <c r="E41" s="64">
        <v>6.8</v>
      </c>
      <c r="F41" s="64">
        <v>3.64</v>
      </c>
      <c r="G41" s="64">
        <v>57.04</v>
      </c>
      <c r="H41" s="64">
        <v>15.94</v>
      </c>
      <c r="I41" s="64">
        <v>4.01</v>
      </c>
      <c r="J41" s="64">
        <v>1.34</v>
      </c>
      <c r="K41" s="64">
        <v>155.09</v>
      </c>
      <c r="L41" s="64">
        <v>32.17</v>
      </c>
      <c r="M41" s="64">
        <v>61.94</v>
      </c>
      <c r="N41" s="64">
        <v>377.6</v>
      </c>
      <c r="O41" s="64">
        <v>0</v>
      </c>
      <c r="P41" s="64">
        <v>0.43</v>
      </c>
      <c r="Q41" s="64">
        <v>9.4700000000000006</v>
      </c>
      <c r="R41" s="198"/>
      <c r="S41" s="198"/>
      <c r="T41" s="198"/>
      <c r="U41" s="198"/>
    </row>
    <row r="42" spans="1:21" s="12" customFormat="1" x14ac:dyDescent="0.25">
      <c r="A42" s="214" t="s">
        <v>2103</v>
      </c>
      <c r="B42" s="64">
        <v>10.199999999999999</v>
      </c>
      <c r="C42" s="64">
        <v>21.38</v>
      </c>
      <c r="D42" s="64">
        <v>25.27</v>
      </c>
      <c r="E42" s="64">
        <v>6.23</v>
      </c>
      <c r="F42" s="64">
        <v>4.0599999999999996</v>
      </c>
      <c r="G42" s="64">
        <v>57.04</v>
      </c>
      <c r="H42" s="64">
        <v>15.94</v>
      </c>
      <c r="I42" s="64">
        <v>4.08</v>
      </c>
      <c r="J42" s="64">
        <v>1.22</v>
      </c>
      <c r="K42" s="64">
        <v>164.4</v>
      </c>
      <c r="L42" s="64">
        <v>32.79</v>
      </c>
      <c r="M42" s="64">
        <v>60.19</v>
      </c>
      <c r="N42" s="64">
        <v>499.3</v>
      </c>
      <c r="O42" s="64">
        <v>0</v>
      </c>
      <c r="P42" s="64">
        <v>0.43</v>
      </c>
      <c r="Q42" s="64">
        <v>9.4499999999999993</v>
      </c>
      <c r="R42" s="198"/>
      <c r="S42" s="198"/>
      <c r="T42" s="198"/>
      <c r="U42" s="198"/>
    </row>
    <row r="43" spans="1:21" s="12" customFormat="1" x14ac:dyDescent="0.25">
      <c r="A43" s="214" t="s">
        <v>2104</v>
      </c>
      <c r="B43" s="64">
        <v>9.01</v>
      </c>
      <c r="C43" s="64">
        <v>20.54</v>
      </c>
      <c r="D43" s="64">
        <v>25.5</v>
      </c>
      <c r="E43" s="64">
        <v>6.37</v>
      </c>
      <c r="F43" s="64">
        <v>10.46</v>
      </c>
      <c r="G43" s="64">
        <v>57.04</v>
      </c>
      <c r="H43" s="64">
        <v>15.94</v>
      </c>
      <c r="I43" s="64">
        <v>3.84</v>
      </c>
      <c r="J43" s="64">
        <v>1.29</v>
      </c>
      <c r="K43" s="64">
        <v>158.19999999999999</v>
      </c>
      <c r="L43" s="64">
        <v>33.36</v>
      </c>
      <c r="M43" s="64">
        <v>58.59</v>
      </c>
      <c r="N43" s="64">
        <v>569.79999999999995</v>
      </c>
      <c r="O43" s="64">
        <v>0</v>
      </c>
      <c r="P43" s="64">
        <v>0.34</v>
      </c>
      <c r="Q43" s="64">
        <v>9.4499999999999993</v>
      </c>
      <c r="R43" s="198"/>
      <c r="S43" s="198"/>
      <c r="T43" s="198"/>
      <c r="U43" s="198"/>
    </row>
    <row r="44" spans="1:21" s="12" customFormat="1" x14ac:dyDescent="0.25">
      <c r="A44" s="214" t="s">
        <v>2105</v>
      </c>
      <c r="B44" s="64">
        <v>8.67</v>
      </c>
      <c r="C44" s="64">
        <v>21.74</v>
      </c>
      <c r="D44" s="64">
        <v>28.31</v>
      </c>
      <c r="E44" s="64">
        <v>7</v>
      </c>
      <c r="F44" s="64">
        <v>11.24</v>
      </c>
      <c r="G44" s="64">
        <v>55.58</v>
      </c>
      <c r="H44" s="64">
        <v>15.92</v>
      </c>
      <c r="I44" s="64">
        <v>3.94</v>
      </c>
      <c r="J44" s="64">
        <v>1.23</v>
      </c>
      <c r="K44" s="64">
        <v>156.51</v>
      </c>
      <c r="L44" s="64">
        <v>33.979999999999997</v>
      </c>
      <c r="M44" s="64">
        <v>56.85</v>
      </c>
      <c r="N44" s="64">
        <v>575.20000000000005</v>
      </c>
      <c r="O44" s="64">
        <v>0</v>
      </c>
      <c r="P44" s="64">
        <v>0.34</v>
      </c>
      <c r="Q44" s="64">
        <v>9.43</v>
      </c>
      <c r="R44" s="198"/>
      <c r="S44" s="198"/>
      <c r="T44" s="198"/>
      <c r="U44" s="198"/>
    </row>
    <row r="45" spans="1:21" s="12" customFormat="1" x14ac:dyDescent="0.25">
      <c r="A45" s="214" t="s">
        <v>2106</v>
      </c>
      <c r="B45" s="64">
        <v>7.92</v>
      </c>
      <c r="C45" s="64">
        <v>20.239999999999998</v>
      </c>
      <c r="D45" s="64">
        <v>26.59</v>
      </c>
      <c r="E45" s="64">
        <v>7.05</v>
      </c>
      <c r="F45" s="64">
        <v>12.28</v>
      </c>
      <c r="G45" s="64">
        <v>38.340000000000003</v>
      </c>
      <c r="H45" s="64">
        <v>15.72</v>
      </c>
      <c r="I45" s="64">
        <v>4.17</v>
      </c>
      <c r="J45" s="64">
        <v>0.92</v>
      </c>
      <c r="K45" s="64">
        <v>166.59</v>
      </c>
      <c r="L45" s="64">
        <v>34.04</v>
      </c>
      <c r="M45" s="64">
        <v>54.31</v>
      </c>
      <c r="N45" s="64">
        <v>655.4</v>
      </c>
      <c r="O45" s="64">
        <v>0</v>
      </c>
      <c r="P45" s="64">
        <v>0.35</v>
      </c>
      <c r="Q45" s="64">
        <v>9.4</v>
      </c>
      <c r="R45" s="198"/>
      <c r="S45" s="198"/>
      <c r="T45" s="198"/>
      <c r="U45" s="198"/>
    </row>
    <row r="46" spans="1:21" s="12" customFormat="1" x14ac:dyDescent="0.25">
      <c r="A46" s="214" t="s">
        <v>2107</v>
      </c>
      <c r="B46" s="64">
        <v>7.44</v>
      </c>
      <c r="C46" s="64">
        <v>18.690000000000001</v>
      </c>
      <c r="D46" s="64">
        <v>24.35</v>
      </c>
      <c r="E46" s="64">
        <v>6.62</v>
      </c>
      <c r="F46" s="64">
        <v>11.99</v>
      </c>
      <c r="G46" s="64">
        <v>38.340000000000003</v>
      </c>
      <c r="H46" s="64">
        <v>15.72</v>
      </c>
      <c r="I46" s="64">
        <v>4.0199999999999996</v>
      </c>
      <c r="J46" s="64">
        <v>0.95</v>
      </c>
      <c r="K46" s="64">
        <v>172.05</v>
      </c>
      <c r="L46" s="64">
        <v>32.39</v>
      </c>
      <c r="M46" s="64">
        <v>52.35</v>
      </c>
      <c r="N46" s="64">
        <v>684.2</v>
      </c>
      <c r="O46" s="64">
        <v>0</v>
      </c>
      <c r="P46" s="64">
        <v>0.36</v>
      </c>
      <c r="Q46" s="64">
        <v>9.3699999999999992</v>
      </c>
      <c r="R46" s="198"/>
      <c r="S46" s="198"/>
      <c r="T46" s="198"/>
      <c r="U46" s="198"/>
    </row>
    <row r="47" spans="1:21" s="12" customFormat="1" x14ac:dyDescent="0.25">
      <c r="A47" s="214" t="s">
        <v>2108</v>
      </c>
      <c r="B47" s="64">
        <v>6.82</v>
      </c>
      <c r="C47" s="64">
        <v>17.7</v>
      </c>
      <c r="D47" s="64">
        <v>23.4</v>
      </c>
      <c r="E47" s="64">
        <v>6.38</v>
      </c>
      <c r="F47" s="64">
        <v>14.08</v>
      </c>
      <c r="G47" s="64">
        <v>38.340000000000003</v>
      </c>
      <c r="H47" s="64">
        <v>15.72</v>
      </c>
      <c r="I47" s="64">
        <v>3.92</v>
      </c>
      <c r="J47" s="64">
        <v>1.1599999999999999</v>
      </c>
      <c r="K47" s="64">
        <v>158.06</v>
      </c>
      <c r="L47" s="64">
        <v>31.19</v>
      </c>
      <c r="M47" s="64">
        <v>51.57</v>
      </c>
      <c r="N47" s="64">
        <v>731.6</v>
      </c>
      <c r="O47" s="64">
        <v>0</v>
      </c>
      <c r="P47" s="64">
        <v>0.33</v>
      </c>
      <c r="Q47" s="64">
        <v>9.33</v>
      </c>
      <c r="R47" s="198"/>
      <c r="S47" s="198"/>
      <c r="T47" s="198"/>
      <c r="U47" s="198"/>
    </row>
    <row r="48" spans="1:21" s="12" customFormat="1" x14ac:dyDescent="0.25">
      <c r="A48" s="214" t="s">
        <v>2109</v>
      </c>
      <c r="B48" s="64">
        <v>6.58</v>
      </c>
      <c r="C48" s="64">
        <v>17.850000000000001</v>
      </c>
      <c r="D48" s="64">
        <v>24.07</v>
      </c>
      <c r="E48" s="64">
        <v>6.39</v>
      </c>
      <c r="F48" s="64">
        <v>13.86</v>
      </c>
      <c r="G48" s="64">
        <v>37.200000000000003</v>
      </c>
      <c r="H48" s="64">
        <v>25.41</v>
      </c>
      <c r="I48" s="64">
        <v>4.08</v>
      </c>
      <c r="J48" s="64">
        <v>0.73</v>
      </c>
      <c r="K48" s="64">
        <v>175.13</v>
      </c>
      <c r="L48" s="64">
        <v>34.47</v>
      </c>
      <c r="M48" s="64">
        <v>48.31</v>
      </c>
      <c r="N48" s="64">
        <v>755.7</v>
      </c>
      <c r="O48" s="64">
        <v>0</v>
      </c>
      <c r="P48" s="64">
        <v>0.34</v>
      </c>
      <c r="Q48" s="64">
        <v>9.32</v>
      </c>
      <c r="R48" s="198"/>
      <c r="S48" s="198"/>
      <c r="T48" s="198"/>
      <c r="U48" s="198"/>
    </row>
    <row r="49" spans="1:21" s="12" customFormat="1" x14ac:dyDescent="0.25">
      <c r="A49" s="214" t="s">
        <v>2110</v>
      </c>
      <c r="B49" s="64">
        <v>5.79</v>
      </c>
      <c r="C49" s="64">
        <v>16.41</v>
      </c>
      <c r="D49" s="64">
        <v>22.52</v>
      </c>
      <c r="E49" s="64">
        <v>6.24</v>
      </c>
      <c r="F49" s="64">
        <v>11.43</v>
      </c>
      <c r="G49" s="64">
        <v>25.58</v>
      </c>
      <c r="H49" s="64">
        <v>140.33000000000001</v>
      </c>
      <c r="I49" s="64">
        <v>4.07</v>
      </c>
      <c r="J49" s="64">
        <v>0.82</v>
      </c>
      <c r="K49" s="64">
        <v>187.92</v>
      </c>
      <c r="L49" s="64">
        <v>34.46</v>
      </c>
      <c r="M49" s="64">
        <v>48.22</v>
      </c>
      <c r="N49" s="64">
        <v>787.5</v>
      </c>
      <c r="O49" s="64">
        <v>0</v>
      </c>
      <c r="P49" s="64">
        <v>0.33</v>
      </c>
      <c r="Q49" s="64">
        <v>9.2899999999999991</v>
      </c>
      <c r="R49" s="198"/>
      <c r="S49" s="198"/>
      <c r="T49" s="198"/>
      <c r="U49" s="198"/>
    </row>
    <row r="50" spans="1:21" s="12" customFormat="1" x14ac:dyDescent="0.25">
      <c r="A50" s="214" t="s">
        <v>2111</v>
      </c>
      <c r="B50" s="64">
        <v>5.31</v>
      </c>
      <c r="C50" s="64">
        <v>16.13</v>
      </c>
      <c r="D50" s="64">
        <v>22.73</v>
      </c>
      <c r="E50" s="64">
        <v>5.6</v>
      </c>
      <c r="F50" s="64">
        <v>8.25</v>
      </c>
      <c r="G50" s="64">
        <v>25.58</v>
      </c>
      <c r="H50" s="64">
        <v>140.33000000000001</v>
      </c>
      <c r="I50" s="64">
        <v>4.16</v>
      </c>
      <c r="J50" s="64">
        <v>1.42</v>
      </c>
      <c r="K50" s="64">
        <v>156.74</v>
      </c>
      <c r="L50" s="64">
        <v>35.07</v>
      </c>
      <c r="M50" s="64">
        <v>48.55</v>
      </c>
      <c r="N50" s="64">
        <v>785.2</v>
      </c>
      <c r="O50" s="64">
        <v>0</v>
      </c>
      <c r="P50" s="64">
        <v>0.34</v>
      </c>
      <c r="Q50" s="64">
        <v>9.25</v>
      </c>
      <c r="R50" s="198"/>
      <c r="S50" s="198"/>
      <c r="T50" s="198"/>
      <c r="U50" s="198"/>
    </row>
    <row r="51" spans="1:21" s="12" customFormat="1" x14ac:dyDescent="0.25">
      <c r="A51" s="214" t="s">
        <v>2112</v>
      </c>
      <c r="B51" s="64">
        <v>4.76</v>
      </c>
      <c r="C51" s="64">
        <v>17.690000000000001</v>
      </c>
      <c r="D51" s="64">
        <v>26.55</v>
      </c>
      <c r="E51" s="64">
        <v>5.45</v>
      </c>
      <c r="F51" s="64">
        <v>12.9</v>
      </c>
      <c r="G51" s="64">
        <v>2.67</v>
      </c>
      <c r="H51" s="64">
        <v>11.04</v>
      </c>
      <c r="I51" s="64">
        <v>4.07</v>
      </c>
      <c r="J51" s="64">
        <v>1.19</v>
      </c>
      <c r="K51" s="64">
        <v>164.7</v>
      </c>
      <c r="L51" s="64">
        <v>34.86</v>
      </c>
      <c r="M51" s="64">
        <v>50.21</v>
      </c>
      <c r="N51" s="64">
        <v>843.5</v>
      </c>
      <c r="O51" s="64">
        <v>0</v>
      </c>
      <c r="P51" s="64">
        <v>0.31</v>
      </c>
      <c r="Q51" s="64">
        <v>9.2200000000000006</v>
      </c>
      <c r="R51" s="198"/>
      <c r="S51" s="198"/>
      <c r="T51" s="198"/>
      <c r="U51" s="198"/>
    </row>
    <row r="52" spans="1:21" s="12" customFormat="1" x14ac:dyDescent="0.25">
      <c r="A52" s="214" t="s">
        <v>2113</v>
      </c>
      <c r="B52" s="64">
        <v>4.5999999999999996</v>
      </c>
      <c r="C52" s="64">
        <v>18.260000000000002</v>
      </c>
      <c r="D52" s="64">
        <v>27.89</v>
      </c>
      <c r="E52" s="64">
        <v>5.57</v>
      </c>
      <c r="F52" s="64">
        <v>15.85</v>
      </c>
      <c r="G52" s="26" t="s">
        <v>40</v>
      </c>
      <c r="H52" s="26" t="s">
        <v>40</v>
      </c>
      <c r="I52" s="64">
        <v>4.04</v>
      </c>
      <c r="J52" s="64">
        <v>1.29</v>
      </c>
      <c r="K52" s="64">
        <v>152.78</v>
      </c>
      <c r="L52" s="64">
        <v>33.479999999999997</v>
      </c>
      <c r="M52" s="64">
        <v>48.98</v>
      </c>
      <c r="N52" s="64">
        <v>849.7</v>
      </c>
      <c r="O52" s="64">
        <v>0</v>
      </c>
      <c r="P52" s="64">
        <v>0.3</v>
      </c>
      <c r="Q52" s="64">
        <v>9.1999999999999993</v>
      </c>
      <c r="R52" s="198"/>
      <c r="S52" s="198"/>
      <c r="T52" s="198"/>
      <c r="U52" s="198"/>
    </row>
    <row r="53" spans="1:21" s="12" customFormat="1" x14ac:dyDescent="0.25">
      <c r="A53" s="214" t="s">
        <v>2114</v>
      </c>
      <c r="B53" s="64">
        <v>4.3</v>
      </c>
      <c r="C53" s="64">
        <v>17.32</v>
      </c>
      <c r="D53" s="64">
        <v>26.54</v>
      </c>
      <c r="E53" s="64">
        <v>5.66</v>
      </c>
      <c r="F53" s="64">
        <v>12.32</v>
      </c>
      <c r="G53" s="26" t="s">
        <v>40</v>
      </c>
      <c r="H53" s="26" t="s">
        <v>40</v>
      </c>
      <c r="I53" s="64">
        <v>4</v>
      </c>
      <c r="J53" s="64">
        <v>0.68</v>
      </c>
      <c r="K53" s="64">
        <v>184.64</v>
      </c>
      <c r="L53" s="64">
        <v>31.16</v>
      </c>
      <c r="M53" s="64">
        <v>46.22</v>
      </c>
      <c r="N53" s="64">
        <v>864.5</v>
      </c>
      <c r="O53" s="64">
        <v>0</v>
      </c>
      <c r="P53" s="64">
        <v>0.28000000000000003</v>
      </c>
      <c r="Q53" s="64">
        <v>9.18</v>
      </c>
      <c r="R53" s="198"/>
      <c r="S53" s="198"/>
      <c r="T53" s="198"/>
      <c r="U53" s="198"/>
    </row>
    <row r="54" spans="1:21" s="12" customFormat="1" x14ac:dyDescent="0.25">
      <c r="A54" s="214" t="s">
        <v>2115</v>
      </c>
      <c r="B54" s="64">
        <v>4.6500000000000004</v>
      </c>
      <c r="C54" s="64">
        <v>19.010000000000002</v>
      </c>
      <c r="D54" s="64">
        <v>29.25</v>
      </c>
      <c r="E54" s="64">
        <v>5.67</v>
      </c>
      <c r="F54" s="64">
        <v>18.079999999999998</v>
      </c>
      <c r="G54" s="26" t="s">
        <v>40</v>
      </c>
      <c r="H54" s="26" t="s">
        <v>40</v>
      </c>
      <c r="I54" s="64">
        <v>3.98</v>
      </c>
      <c r="J54" s="64">
        <v>1.07</v>
      </c>
      <c r="K54" s="64">
        <v>154.43</v>
      </c>
      <c r="L54" s="64">
        <v>29.77</v>
      </c>
      <c r="M54" s="64">
        <v>45.87</v>
      </c>
      <c r="N54" s="64">
        <v>877.2</v>
      </c>
      <c r="O54" s="64">
        <v>0</v>
      </c>
      <c r="P54" s="64">
        <v>0.28000000000000003</v>
      </c>
      <c r="Q54" s="64">
        <v>9.19</v>
      </c>
      <c r="R54" s="198"/>
      <c r="S54" s="198"/>
      <c r="T54" s="198"/>
      <c r="U54" s="198"/>
    </row>
    <row r="55" spans="1:21" s="12" customFormat="1" x14ac:dyDescent="0.25">
      <c r="A55" s="214" t="s">
        <v>2116</v>
      </c>
      <c r="B55" s="64">
        <v>3.96</v>
      </c>
      <c r="C55" s="64">
        <v>17.190000000000001</v>
      </c>
      <c r="D55" s="64">
        <v>26.82</v>
      </c>
      <c r="E55" s="64">
        <v>4.9800000000000004</v>
      </c>
      <c r="F55" s="64">
        <v>18.84</v>
      </c>
      <c r="G55" s="64">
        <v>38.9</v>
      </c>
      <c r="H55" s="64">
        <v>105.14</v>
      </c>
      <c r="I55" s="64">
        <v>3.96</v>
      </c>
      <c r="J55" s="64">
        <v>0.77</v>
      </c>
      <c r="K55" s="64">
        <v>157.19999999999999</v>
      </c>
      <c r="L55" s="64">
        <v>28.05</v>
      </c>
      <c r="M55" s="64">
        <v>43.72</v>
      </c>
      <c r="N55" s="64">
        <v>889.7</v>
      </c>
      <c r="O55" s="64">
        <v>0</v>
      </c>
      <c r="P55" s="64">
        <v>0.26</v>
      </c>
      <c r="Q55" s="64">
        <v>9.19</v>
      </c>
      <c r="R55" s="198"/>
      <c r="S55" s="198"/>
      <c r="T55" s="198"/>
      <c r="U55" s="198"/>
    </row>
    <row r="56" spans="1:21" s="12" customFormat="1" x14ac:dyDescent="0.25">
      <c r="A56" s="214" t="s">
        <v>2117</v>
      </c>
      <c r="B56" s="64">
        <v>4.88</v>
      </c>
      <c r="C56" s="64">
        <v>17.899999999999999</v>
      </c>
      <c r="D56" s="64">
        <v>26.76</v>
      </c>
      <c r="E56" s="64">
        <v>5.53</v>
      </c>
      <c r="F56" s="64">
        <v>20.18</v>
      </c>
      <c r="G56" s="64">
        <v>38.9</v>
      </c>
      <c r="H56" s="64">
        <v>112.65</v>
      </c>
      <c r="I56" s="64">
        <v>4.05</v>
      </c>
      <c r="J56" s="64">
        <v>0.84</v>
      </c>
      <c r="K56" s="64">
        <v>172.39</v>
      </c>
      <c r="L56" s="64">
        <v>28.92</v>
      </c>
      <c r="M56" s="64">
        <v>40.94</v>
      </c>
      <c r="N56" s="64">
        <v>873.1</v>
      </c>
      <c r="O56" s="64">
        <v>0</v>
      </c>
      <c r="P56" s="64">
        <v>0.28999999999999998</v>
      </c>
      <c r="Q56" s="64">
        <v>9.19</v>
      </c>
      <c r="R56" s="198"/>
      <c r="S56" s="198"/>
      <c r="T56" s="198"/>
      <c r="U56" s="198"/>
    </row>
    <row r="57" spans="1:21" s="12" customFormat="1" x14ac:dyDescent="0.25">
      <c r="A57" s="214" t="s">
        <v>2118</v>
      </c>
      <c r="B57" s="64">
        <v>4.1100000000000003</v>
      </c>
      <c r="C57" s="64">
        <v>16.68</v>
      </c>
      <c r="D57" s="64">
        <v>25.62</v>
      </c>
      <c r="E57" s="64">
        <v>5.14</v>
      </c>
      <c r="F57" s="64">
        <v>18.27</v>
      </c>
      <c r="G57" s="64">
        <v>38.9</v>
      </c>
      <c r="H57" s="64">
        <v>112.65</v>
      </c>
      <c r="I57" s="64">
        <v>3.99</v>
      </c>
      <c r="J57" s="64">
        <v>0.96</v>
      </c>
      <c r="K57" s="64">
        <v>164.26</v>
      </c>
      <c r="L57" s="64">
        <v>30</v>
      </c>
      <c r="M57" s="64">
        <v>38.96</v>
      </c>
      <c r="N57" s="64">
        <v>890.3</v>
      </c>
      <c r="O57" s="64">
        <v>0</v>
      </c>
      <c r="P57" s="64">
        <v>0.26</v>
      </c>
      <c r="Q57" s="64">
        <v>9.18</v>
      </c>
      <c r="R57" s="198"/>
      <c r="S57" s="198"/>
      <c r="T57" s="198"/>
      <c r="U57" s="198"/>
    </row>
    <row r="58" spans="1:21" s="12" customFormat="1" x14ac:dyDescent="0.25">
      <c r="A58" s="214" t="s">
        <v>2119</v>
      </c>
      <c r="B58" s="64">
        <v>4.26</v>
      </c>
      <c r="C58" s="64">
        <v>15.94</v>
      </c>
      <c r="D58" s="64">
        <v>23.97</v>
      </c>
      <c r="E58" s="64">
        <v>5.16</v>
      </c>
      <c r="F58" s="64">
        <v>29.9</v>
      </c>
      <c r="G58" s="64">
        <v>38.9</v>
      </c>
      <c r="H58" s="64">
        <v>112.65</v>
      </c>
      <c r="I58" s="64">
        <v>3.92</v>
      </c>
      <c r="J58" s="64">
        <v>0.51</v>
      </c>
      <c r="K58" s="64">
        <v>131.66999999999999</v>
      </c>
      <c r="L58" s="64">
        <v>-47.83</v>
      </c>
      <c r="M58" s="64">
        <v>-19.54</v>
      </c>
      <c r="N58" s="64">
        <v>866.3</v>
      </c>
      <c r="O58" s="64">
        <v>0</v>
      </c>
      <c r="P58" s="64">
        <v>0.22</v>
      </c>
      <c r="Q58" s="64">
        <v>9.18</v>
      </c>
      <c r="R58" s="198"/>
      <c r="S58" s="198"/>
      <c r="T58" s="198"/>
      <c r="U58" s="198"/>
    </row>
    <row r="59" spans="1:21" s="12" customFormat="1" x14ac:dyDescent="0.25">
      <c r="A59" s="214" t="s">
        <v>2120</v>
      </c>
      <c r="B59" s="64">
        <v>4.3499999999999996</v>
      </c>
      <c r="C59" s="64">
        <v>17.37</v>
      </c>
      <c r="D59" s="64">
        <v>26.56</v>
      </c>
      <c r="E59" s="64">
        <v>5.44</v>
      </c>
      <c r="F59" s="64">
        <v>24.59</v>
      </c>
      <c r="G59" s="64">
        <v>33.92</v>
      </c>
      <c r="H59" s="64">
        <v>12.25</v>
      </c>
      <c r="I59" s="64">
        <v>4.03</v>
      </c>
      <c r="J59" s="64">
        <v>1.18</v>
      </c>
      <c r="K59" s="64">
        <v>121.99</v>
      </c>
      <c r="L59" s="64">
        <v>-54.98</v>
      </c>
      <c r="M59" s="64">
        <v>-24.98</v>
      </c>
      <c r="N59" s="64">
        <v>852.9</v>
      </c>
      <c r="O59" s="64">
        <v>0</v>
      </c>
      <c r="P59" s="64">
        <v>0.24</v>
      </c>
      <c r="Q59" s="64">
        <v>9.18</v>
      </c>
      <c r="R59" s="198"/>
      <c r="S59" s="198"/>
      <c r="T59" s="198"/>
      <c r="U59" s="198"/>
    </row>
    <row r="60" spans="1:21" s="12" customFormat="1" x14ac:dyDescent="0.25">
      <c r="A60" s="214" t="s">
        <v>2121</v>
      </c>
      <c r="B60" s="64">
        <v>5.19</v>
      </c>
      <c r="C60" s="64">
        <v>19.940000000000001</v>
      </c>
      <c r="D60" s="64">
        <v>30.19</v>
      </c>
      <c r="E60" s="64">
        <v>5.48</v>
      </c>
      <c r="F60" s="64">
        <v>19.190000000000001</v>
      </c>
      <c r="G60" s="64">
        <v>33.92</v>
      </c>
      <c r="H60" s="64">
        <v>12.25</v>
      </c>
      <c r="I60" s="64">
        <v>3.95</v>
      </c>
      <c r="J60" s="64">
        <v>1.95</v>
      </c>
      <c r="K60" s="64">
        <v>155.31</v>
      </c>
      <c r="L60" s="64">
        <v>-31.26</v>
      </c>
      <c r="M60" s="64">
        <v>-5.55</v>
      </c>
      <c r="N60" s="64">
        <v>817.9</v>
      </c>
      <c r="O60" s="64">
        <v>0</v>
      </c>
      <c r="P60" s="64">
        <v>0.28000000000000003</v>
      </c>
      <c r="Q60" s="64">
        <v>9.18</v>
      </c>
      <c r="R60" s="198"/>
      <c r="S60" s="198"/>
      <c r="T60" s="198"/>
      <c r="U60" s="198"/>
    </row>
    <row r="61" spans="1:21" s="12" customFormat="1" x14ac:dyDescent="0.25">
      <c r="A61" s="214" t="s">
        <v>2122</v>
      </c>
      <c r="B61" s="64">
        <v>4.09</v>
      </c>
      <c r="C61" s="64">
        <v>15.44</v>
      </c>
      <c r="D61" s="64">
        <v>23.26</v>
      </c>
      <c r="E61" s="64">
        <v>5.3</v>
      </c>
      <c r="F61" s="64">
        <v>18.329999999999998</v>
      </c>
      <c r="G61" s="64">
        <v>33.92</v>
      </c>
      <c r="H61" s="64">
        <v>12.25</v>
      </c>
      <c r="I61" s="64">
        <v>3.94</v>
      </c>
      <c r="J61" s="64">
        <v>1.28</v>
      </c>
      <c r="K61" s="64">
        <v>150.6</v>
      </c>
      <c r="L61" s="64">
        <v>15.45</v>
      </c>
      <c r="M61" s="64">
        <v>28.73</v>
      </c>
      <c r="N61" s="64">
        <v>676.8</v>
      </c>
      <c r="O61" s="64">
        <v>0</v>
      </c>
      <c r="P61" s="64">
        <v>0.3</v>
      </c>
      <c r="Q61" s="64">
        <v>9.18</v>
      </c>
      <c r="R61" s="198"/>
      <c r="S61" s="198"/>
      <c r="T61" s="198"/>
      <c r="U61" s="198"/>
    </row>
    <row r="62" spans="1:21" s="12" customFormat="1" x14ac:dyDescent="0.25">
      <c r="A62" s="214" t="s">
        <v>2123</v>
      </c>
      <c r="B62" s="64">
        <v>4.62</v>
      </c>
      <c r="C62" s="64">
        <v>17.18</v>
      </c>
      <c r="D62" s="64">
        <v>25.79</v>
      </c>
      <c r="E62" s="64">
        <v>5.46</v>
      </c>
      <c r="F62" s="64">
        <v>21.89</v>
      </c>
      <c r="G62" s="64">
        <v>33.92</v>
      </c>
      <c r="H62" s="64">
        <v>12.25</v>
      </c>
      <c r="I62" s="64">
        <v>4.17</v>
      </c>
      <c r="J62" s="64">
        <v>0.49</v>
      </c>
      <c r="K62" s="64">
        <v>137.61000000000001</v>
      </c>
      <c r="L62" s="64">
        <v>37.950000000000003</v>
      </c>
      <c r="M62" s="64">
        <v>41.65</v>
      </c>
      <c r="N62" s="64">
        <v>425.1</v>
      </c>
      <c r="O62" s="64">
        <v>0</v>
      </c>
      <c r="P62" s="64">
        <v>0.32</v>
      </c>
      <c r="Q62" s="64">
        <v>9.19</v>
      </c>
      <c r="R62" s="198"/>
      <c r="S62" s="198"/>
      <c r="T62" s="198"/>
      <c r="U62" s="198"/>
    </row>
    <row r="63" spans="1:21" s="12" customFormat="1" x14ac:dyDescent="0.25">
      <c r="A63" s="214" t="s">
        <v>2124</v>
      </c>
      <c r="B63" s="64">
        <v>7.52</v>
      </c>
      <c r="C63" s="64">
        <v>23.45</v>
      </c>
      <c r="D63" s="64">
        <v>33.35</v>
      </c>
      <c r="E63" s="64">
        <v>5.69</v>
      </c>
      <c r="F63" s="64">
        <v>28.65</v>
      </c>
      <c r="G63" s="64">
        <v>29.34</v>
      </c>
      <c r="H63" s="64">
        <v>20.11</v>
      </c>
      <c r="I63" s="64">
        <v>3.85</v>
      </c>
      <c r="J63" s="64">
        <v>0.64</v>
      </c>
      <c r="K63" s="64">
        <v>128.22</v>
      </c>
      <c r="L63" s="64">
        <v>37.11</v>
      </c>
      <c r="M63" s="64">
        <v>40.549999999999997</v>
      </c>
      <c r="N63" s="64">
        <v>490.1</v>
      </c>
      <c r="O63" s="64">
        <v>0</v>
      </c>
      <c r="P63" s="64">
        <v>0.42</v>
      </c>
      <c r="Q63" s="6" t="s">
        <v>42</v>
      </c>
      <c r="R63" s="198"/>
      <c r="S63" s="198"/>
      <c r="T63" s="198"/>
      <c r="U63" s="198"/>
    </row>
    <row r="64" spans="1:21" s="12" customFormat="1" x14ac:dyDescent="0.25">
      <c r="A64" s="214" t="s">
        <v>2125</v>
      </c>
      <c r="B64" s="4" t="s">
        <v>32</v>
      </c>
      <c r="C64" s="4" t="s">
        <v>32</v>
      </c>
      <c r="D64" s="4" t="s">
        <v>32</v>
      </c>
      <c r="E64" s="4" t="s">
        <v>32</v>
      </c>
      <c r="F64" s="4" t="s">
        <v>32</v>
      </c>
      <c r="G64" s="4" t="s">
        <v>32</v>
      </c>
      <c r="H64" s="4" t="s">
        <v>32</v>
      </c>
      <c r="I64" s="4" t="s">
        <v>32</v>
      </c>
      <c r="J64" s="4" t="s">
        <v>32</v>
      </c>
      <c r="K64" s="4" t="s">
        <v>32</v>
      </c>
      <c r="L64" s="4" t="s">
        <v>32</v>
      </c>
      <c r="M64" s="4" t="s">
        <v>32</v>
      </c>
      <c r="N64" s="4" t="s">
        <v>32</v>
      </c>
      <c r="O64" s="4" t="s">
        <v>32</v>
      </c>
      <c r="P64" s="4" t="s">
        <v>32</v>
      </c>
      <c r="Q64" s="4" t="s">
        <v>32</v>
      </c>
      <c r="R64" s="198"/>
      <c r="S64" s="198"/>
      <c r="T64" s="198"/>
      <c r="U64" s="198"/>
    </row>
    <row r="65" spans="1:21" s="12" customFormat="1" x14ac:dyDescent="0.25">
      <c r="A65" s="214" t="s">
        <v>2126</v>
      </c>
      <c r="B65" s="4" t="s">
        <v>32</v>
      </c>
      <c r="C65" s="4" t="s">
        <v>32</v>
      </c>
      <c r="D65" s="4" t="s">
        <v>32</v>
      </c>
      <c r="E65" s="4" t="s">
        <v>32</v>
      </c>
      <c r="F65" s="4" t="s">
        <v>32</v>
      </c>
      <c r="G65" s="4" t="s">
        <v>32</v>
      </c>
      <c r="H65" s="4" t="s">
        <v>32</v>
      </c>
      <c r="I65" s="4" t="s">
        <v>32</v>
      </c>
      <c r="J65" s="4" t="s">
        <v>32</v>
      </c>
      <c r="K65" s="4" t="s">
        <v>32</v>
      </c>
      <c r="L65" s="4" t="s">
        <v>32</v>
      </c>
      <c r="M65" s="4" t="s">
        <v>32</v>
      </c>
      <c r="N65" s="4" t="s">
        <v>32</v>
      </c>
      <c r="O65" s="4" t="s">
        <v>32</v>
      </c>
      <c r="P65" s="4" t="s">
        <v>32</v>
      </c>
      <c r="Q65" s="4" t="s">
        <v>32</v>
      </c>
      <c r="R65" s="198"/>
      <c r="S65" s="198"/>
      <c r="T65" s="198"/>
      <c r="U65" s="198"/>
    </row>
    <row r="66" spans="1:21" s="12" customFormat="1" x14ac:dyDescent="0.25">
      <c r="A66" s="214" t="s">
        <v>2127</v>
      </c>
      <c r="B66" s="4" t="s">
        <v>32</v>
      </c>
      <c r="C66" s="4" t="s">
        <v>32</v>
      </c>
      <c r="D66" s="4" t="s">
        <v>32</v>
      </c>
      <c r="E66" s="4" t="s">
        <v>32</v>
      </c>
      <c r="F66" s="4" t="s">
        <v>32</v>
      </c>
      <c r="G66" s="4" t="s">
        <v>32</v>
      </c>
      <c r="H66" s="4" t="s">
        <v>32</v>
      </c>
      <c r="I66" s="4" t="s">
        <v>32</v>
      </c>
      <c r="J66" s="4" t="s">
        <v>32</v>
      </c>
      <c r="K66" s="4" t="s">
        <v>32</v>
      </c>
      <c r="L66" s="4" t="s">
        <v>32</v>
      </c>
      <c r="M66" s="4" t="s">
        <v>32</v>
      </c>
      <c r="N66" s="4" t="s">
        <v>32</v>
      </c>
      <c r="O66" s="4" t="s">
        <v>32</v>
      </c>
      <c r="P66" s="4" t="s">
        <v>32</v>
      </c>
      <c r="Q66" s="4" t="s">
        <v>32</v>
      </c>
      <c r="R66" s="198"/>
      <c r="S66" s="198"/>
      <c r="T66" s="198"/>
      <c r="U66" s="198"/>
    </row>
    <row r="67" spans="1:21" s="12" customFormat="1" x14ac:dyDescent="0.25">
      <c r="A67" s="214" t="s">
        <v>2128</v>
      </c>
      <c r="B67" s="64">
        <v>9.0399999999999991</v>
      </c>
      <c r="C67" s="64">
        <v>27.55</v>
      </c>
      <c r="D67" s="64">
        <v>38.86</v>
      </c>
      <c r="E67" s="64">
        <v>6.13</v>
      </c>
      <c r="F67" s="64">
        <v>29.66</v>
      </c>
      <c r="G67" s="64">
        <v>41.56</v>
      </c>
      <c r="H67" s="64">
        <v>21.81</v>
      </c>
      <c r="I67" s="64">
        <v>4.18</v>
      </c>
      <c r="J67" s="64">
        <v>0.54</v>
      </c>
      <c r="K67" s="64">
        <v>241.18</v>
      </c>
      <c r="L67" s="64">
        <v>43.68</v>
      </c>
      <c r="M67" s="64">
        <v>33.51</v>
      </c>
      <c r="N67" s="64">
        <v>272</v>
      </c>
      <c r="O67" s="64">
        <v>0</v>
      </c>
      <c r="P67" s="64">
        <v>0.54</v>
      </c>
      <c r="Q67" s="7" t="s">
        <v>49</v>
      </c>
      <c r="R67" s="198"/>
      <c r="S67" s="198"/>
      <c r="T67" s="198"/>
      <c r="U67" s="198"/>
    </row>
    <row r="68" spans="1:21" s="12" customFormat="1" x14ac:dyDescent="0.25">
      <c r="A68" s="214" t="s">
        <v>2129</v>
      </c>
      <c r="B68" s="64">
        <v>6.51</v>
      </c>
      <c r="C68" s="64">
        <v>22.27</v>
      </c>
      <c r="D68" s="64">
        <v>32.630000000000003</v>
      </c>
      <c r="E68" s="64">
        <v>6.13</v>
      </c>
      <c r="F68" s="64">
        <v>26.03</v>
      </c>
      <c r="G68" s="64">
        <v>41.56</v>
      </c>
      <c r="H68" s="64">
        <v>21.81</v>
      </c>
      <c r="I68" s="64">
        <v>3.97</v>
      </c>
      <c r="J68" s="64">
        <v>0.46</v>
      </c>
      <c r="K68" s="64">
        <v>226.48</v>
      </c>
      <c r="L68" s="64">
        <v>44.43</v>
      </c>
      <c r="M68" s="64">
        <v>33.409999999999997</v>
      </c>
      <c r="N68" s="64">
        <v>240.6</v>
      </c>
      <c r="O68" s="64">
        <v>0</v>
      </c>
      <c r="P68" s="64">
        <v>0.43</v>
      </c>
      <c r="Q68" s="64">
        <v>9.2100000000000009</v>
      </c>
      <c r="R68" s="198"/>
      <c r="S68" s="198"/>
      <c r="T68" s="198"/>
      <c r="U68" s="198"/>
    </row>
    <row r="69" spans="1:21" s="12" customFormat="1" x14ac:dyDescent="0.25">
      <c r="A69" s="214" t="s">
        <v>2130</v>
      </c>
      <c r="B69" s="64">
        <v>8.9600000000000009</v>
      </c>
      <c r="C69" s="64">
        <v>29.86</v>
      </c>
      <c r="D69" s="64">
        <v>43.41</v>
      </c>
      <c r="E69" s="64">
        <v>5.92</v>
      </c>
      <c r="F69" s="64">
        <v>27.9</v>
      </c>
      <c r="G69" s="64">
        <v>41.56</v>
      </c>
      <c r="H69" s="64">
        <v>21.81</v>
      </c>
      <c r="I69" s="64">
        <v>3.99</v>
      </c>
      <c r="J69" s="64">
        <v>0.41</v>
      </c>
      <c r="K69" s="64">
        <v>224.65</v>
      </c>
      <c r="L69" s="64">
        <v>44.27</v>
      </c>
      <c r="M69" s="64">
        <v>32.82</v>
      </c>
      <c r="N69" s="64">
        <v>252.3</v>
      </c>
      <c r="O69" s="64">
        <v>0</v>
      </c>
      <c r="P69" s="64">
        <v>0.44</v>
      </c>
      <c r="Q69" s="64">
        <v>9.2200000000000006</v>
      </c>
      <c r="R69" s="198"/>
      <c r="S69" s="198"/>
      <c r="T69" s="198"/>
      <c r="U69" s="198"/>
    </row>
    <row r="70" spans="1:21" s="12" customFormat="1" x14ac:dyDescent="0.25">
      <c r="A70" s="214" t="s">
        <v>2131</v>
      </c>
      <c r="B70" s="64">
        <v>4.82</v>
      </c>
      <c r="C70" s="64">
        <v>19.91</v>
      </c>
      <c r="D70" s="64">
        <v>30.72</v>
      </c>
      <c r="E70" s="64">
        <v>6.1</v>
      </c>
      <c r="F70" s="64">
        <v>21.95</v>
      </c>
      <c r="G70" s="64">
        <v>41.56</v>
      </c>
      <c r="H70" s="64">
        <v>21.81</v>
      </c>
      <c r="I70" s="64">
        <v>3.84</v>
      </c>
      <c r="J70" s="64">
        <v>0.63</v>
      </c>
      <c r="K70" s="64">
        <v>175.74</v>
      </c>
      <c r="L70" s="64">
        <v>44.39</v>
      </c>
      <c r="M70" s="64">
        <v>33.39</v>
      </c>
      <c r="N70" s="64">
        <v>346.3</v>
      </c>
      <c r="O70" s="64">
        <v>0</v>
      </c>
      <c r="P70" s="64">
        <v>0.42</v>
      </c>
      <c r="Q70" s="64">
        <v>9.2100000000000009</v>
      </c>
      <c r="R70" s="198"/>
      <c r="S70" s="198"/>
      <c r="T70" s="198"/>
      <c r="U70" s="198"/>
    </row>
    <row r="71" spans="1:21" s="12" customFormat="1" x14ac:dyDescent="0.25">
      <c r="A71" s="214" t="s">
        <v>2132</v>
      </c>
      <c r="B71" s="64">
        <v>4.78</v>
      </c>
      <c r="C71" s="64">
        <v>21.27</v>
      </c>
      <c r="D71" s="64">
        <v>33.369999999999997</v>
      </c>
      <c r="E71" s="64">
        <v>5.79</v>
      </c>
      <c r="F71" s="64">
        <v>31.26</v>
      </c>
      <c r="G71" s="64">
        <v>27.52</v>
      </c>
      <c r="H71" s="64">
        <v>16.809999999999999</v>
      </c>
      <c r="I71" s="64">
        <v>3.89</v>
      </c>
      <c r="J71" s="64">
        <v>0.43</v>
      </c>
      <c r="K71" s="64">
        <v>132.86000000000001</v>
      </c>
      <c r="L71" s="64">
        <v>41.56</v>
      </c>
      <c r="M71" s="64">
        <v>34.61</v>
      </c>
      <c r="N71" s="64">
        <v>368.7</v>
      </c>
      <c r="O71" s="64">
        <v>0</v>
      </c>
      <c r="P71" s="64">
        <v>0.38</v>
      </c>
      <c r="Q71" s="64">
        <v>9.2200000000000006</v>
      </c>
      <c r="R71" s="198"/>
      <c r="S71" s="198"/>
      <c r="T71" s="198"/>
      <c r="U71" s="198"/>
    </row>
    <row r="72" spans="1:21" s="12" customFormat="1" x14ac:dyDescent="0.25">
      <c r="A72" s="214" t="s">
        <v>2133</v>
      </c>
      <c r="B72" s="64">
        <v>3.8</v>
      </c>
      <c r="C72" s="64">
        <v>15.71</v>
      </c>
      <c r="D72" s="64">
        <v>24.23</v>
      </c>
      <c r="E72" s="64">
        <v>5.55</v>
      </c>
      <c r="F72" s="64">
        <v>30.72</v>
      </c>
      <c r="G72" s="64">
        <v>27.52</v>
      </c>
      <c r="H72" s="64">
        <v>16.46</v>
      </c>
      <c r="I72" s="64">
        <v>3.97</v>
      </c>
      <c r="J72" s="64">
        <v>1.08</v>
      </c>
      <c r="K72" s="64">
        <v>105.25</v>
      </c>
      <c r="L72" s="64">
        <v>40.659999999999997</v>
      </c>
      <c r="M72" s="64">
        <v>34.630000000000003</v>
      </c>
      <c r="N72" s="64">
        <v>230.4</v>
      </c>
      <c r="O72" s="64">
        <v>0</v>
      </c>
      <c r="P72" s="64">
        <v>0.33</v>
      </c>
      <c r="Q72" s="64">
        <v>9.2100000000000009</v>
      </c>
      <c r="R72" s="198"/>
      <c r="S72" s="198"/>
      <c r="T72" s="198"/>
      <c r="U72" s="198"/>
    </row>
    <row r="73" spans="1:21" s="12" customFormat="1" x14ac:dyDescent="0.25">
      <c r="A73" s="214" t="s">
        <v>2134</v>
      </c>
      <c r="B73" s="64">
        <v>4.2699999999999996</v>
      </c>
      <c r="C73" s="64">
        <v>16.71</v>
      </c>
      <c r="D73" s="64">
        <v>25.44</v>
      </c>
      <c r="E73" s="64">
        <v>5.61</v>
      </c>
      <c r="F73" s="64">
        <v>17.079999999999998</v>
      </c>
      <c r="G73" s="64">
        <v>27.52</v>
      </c>
      <c r="H73" s="64">
        <v>16.46</v>
      </c>
      <c r="I73" s="64">
        <v>3.94</v>
      </c>
      <c r="J73" s="64">
        <v>1.63</v>
      </c>
      <c r="K73" s="64">
        <v>99.5</v>
      </c>
      <c r="L73" s="64">
        <v>41.09</v>
      </c>
      <c r="M73" s="64">
        <v>36.79</v>
      </c>
      <c r="N73" s="64">
        <v>152.69999999999999</v>
      </c>
      <c r="O73" s="64">
        <v>0</v>
      </c>
      <c r="P73" s="64">
        <v>0.33</v>
      </c>
      <c r="Q73" s="64">
        <v>9.23</v>
      </c>
      <c r="R73" s="198"/>
      <c r="S73" s="198"/>
      <c r="T73" s="198"/>
      <c r="U73" s="198"/>
    </row>
    <row r="74" spans="1:21" s="12" customFormat="1" x14ac:dyDescent="0.25">
      <c r="A74" s="214" t="s">
        <v>2135</v>
      </c>
      <c r="B74" s="64">
        <v>4.2300000000000004</v>
      </c>
      <c r="C74" s="64">
        <v>17.239999999999998</v>
      </c>
      <c r="D74" s="64">
        <v>26.51</v>
      </c>
      <c r="E74" s="64">
        <v>4.32</v>
      </c>
      <c r="F74" s="64">
        <v>19.850000000000001</v>
      </c>
      <c r="G74" s="64">
        <v>27.52</v>
      </c>
      <c r="H74" s="64">
        <v>16.46</v>
      </c>
      <c r="I74" s="64">
        <v>4.16</v>
      </c>
      <c r="J74" s="64">
        <v>2</v>
      </c>
      <c r="K74" s="64">
        <v>106.81</v>
      </c>
      <c r="L74" s="64">
        <v>38.880000000000003</v>
      </c>
      <c r="M74" s="64">
        <v>39.92</v>
      </c>
      <c r="N74" s="64">
        <v>80.7</v>
      </c>
      <c r="O74" s="64">
        <v>0</v>
      </c>
      <c r="P74" s="64">
        <v>0.33</v>
      </c>
      <c r="Q74" s="64">
        <v>9.2100000000000009</v>
      </c>
      <c r="R74" s="198"/>
      <c r="S74" s="198"/>
      <c r="T74" s="198"/>
      <c r="U74" s="198"/>
    </row>
    <row r="75" spans="1:21" s="12" customFormat="1" x14ac:dyDescent="0.25">
      <c r="A75" s="214" t="s">
        <v>2136</v>
      </c>
      <c r="B75" s="64">
        <v>5.18</v>
      </c>
      <c r="C75" s="64">
        <v>17.27</v>
      </c>
      <c r="D75" s="64">
        <v>25.09</v>
      </c>
      <c r="E75" s="64">
        <v>3.7</v>
      </c>
      <c r="F75" s="64">
        <v>15.68</v>
      </c>
      <c r="G75" s="64">
        <v>40.83</v>
      </c>
      <c r="H75" s="64">
        <v>4.32</v>
      </c>
      <c r="I75" s="64">
        <v>3.97</v>
      </c>
      <c r="J75" s="64">
        <v>1.19</v>
      </c>
      <c r="K75" s="64">
        <v>106.62</v>
      </c>
      <c r="L75" s="64">
        <v>38.08</v>
      </c>
      <c r="M75" s="64">
        <v>42.31</v>
      </c>
      <c r="N75" s="64">
        <v>62.6</v>
      </c>
      <c r="O75" s="64">
        <v>0</v>
      </c>
      <c r="P75" s="64">
        <v>0.3</v>
      </c>
      <c r="Q75" s="64">
        <v>9.18</v>
      </c>
      <c r="R75" s="198"/>
      <c r="S75" s="198"/>
      <c r="T75" s="198"/>
      <c r="U75" s="198"/>
    </row>
    <row r="76" spans="1:21" s="12" customFormat="1" x14ac:dyDescent="0.25">
      <c r="A76" s="214" t="s">
        <v>2137</v>
      </c>
      <c r="B76" s="64">
        <v>5.91</v>
      </c>
      <c r="C76" s="64">
        <v>21.11</v>
      </c>
      <c r="D76" s="64">
        <v>31.33</v>
      </c>
      <c r="E76" s="64">
        <v>4.29</v>
      </c>
      <c r="F76" s="64">
        <v>14.33</v>
      </c>
      <c r="G76" s="64">
        <v>40.83</v>
      </c>
      <c r="H76" s="64">
        <v>3.29</v>
      </c>
      <c r="I76" s="64">
        <v>4.04</v>
      </c>
      <c r="J76" s="64">
        <v>0.31</v>
      </c>
      <c r="K76" s="64">
        <v>240.72</v>
      </c>
      <c r="L76" s="64">
        <v>37.01</v>
      </c>
      <c r="M76" s="64">
        <v>45.31</v>
      </c>
      <c r="N76" s="64">
        <v>53.5</v>
      </c>
      <c r="O76" s="64">
        <v>0</v>
      </c>
      <c r="P76" s="64">
        <v>0.4</v>
      </c>
      <c r="Q76" s="64">
        <v>9.17</v>
      </c>
      <c r="R76" s="198"/>
      <c r="S76" s="198"/>
      <c r="T76" s="198"/>
      <c r="U76" s="198"/>
    </row>
    <row r="77" spans="1:21" s="12" customFormat="1" x14ac:dyDescent="0.25">
      <c r="A77" s="214" t="s">
        <v>2138</v>
      </c>
      <c r="B77" s="64">
        <v>9.14</v>
      </c>
      <c r="C77" s="64">
        <v>25.97</v>
      </c>
      <c r="D77" s="64">
        <v>35.67</v>
      </c>
      <c r="E77" s="64">
        <v>4.54</v>
      </c>
      <c r="F77" s="64">
        <v>11.05</v>
      </c>
      <c r="G77" s="64">
        <v>40.83</v>
      </c>
      <c r="H77" s="64">
        <v>3.29</v>
      </c>
      <c r="I77" s="64">
        <v>4.1900000000000004</v>
      </c>
      <c r="J77" s="64">
        <v>0.68</v>
      </c>
      <c r="K77" s="64">
        <v>219.32</v>
      </c>
      <c r="L77" s="64">
        <v>37.89</v>
      </c>
      <c r="M77" s="64">
        <v>41.45</v>
      </c>
      <c r="N77" s="64">
        <v>60.4</v>
      </c>
      <c r="O77" s="64">
        <v>0</v>
      </c>
      <c r="P77" s="64">
        <v>0.44</v>
      </c>
      <c r="Q77" s="64">
        <v>9.19</v>
      </c>
      <c r="R77" s="198"/>
      <c r="S77" s="198"/>
      <c r="T77" s="198"/>
      <c r="U77" s="198"/>
    </row>
    <row r="78" spans="1:21" s="12" customFormat="1" x14ac:dyDescent="0.25">
      <c r="A78" s="214" t="s">
        <v>2139</v>
      </c>
      <c r="B78" s="64">
        <v>5.0199999999999996</v>
      </c>
      <c r="C78" s="64">
        <v>22.54</v>
      </c>
      <c r="D78" s="64">
        <v>35.44</v>
      </c>
      <c r="E78" s="64">
        <v>4.6900000000000004</v>
      </c>
      <c r="F78" s="64">
        <v>16.97</v>
      </c>
      <c r="G78" s="64">
        <v>40.83</v>
      </c>
      <c r="H78" s="64">
        <v>3.29</v>
      </c>
      <c r="I78" s="64">
        <v>3.99</v>
      </c>
      <c r="J78" s="64">
        <v>0.52</v>
      </c>
      <c r="K78" s="64">
        <v>190.97</v>
      </c>
      <c r="L78" s="64">
        <v>37.049999999999997</v>
      </c>
      <c r="M78" s="64">
        <v>49.03</v>
      </c>
      <c r="N78" s="64">
        <v>62.7</v>
      </c>
      <c r="O78" s="64">
        <v>0</v>
      </c>
      <c r="P78" s="64">
        <v>0.41</v>
      </c>
      <c r="Q78" s="64">
        <v>9.23</v>
      </c>
      <c r="R78" s="198"/>
      <c r="S78" s="198"/>
      <c r="T78" s="198"/>
      <c r="U78" s="198"/>
    </row>
    <row r="79" spans="1:21" s="12" customFormat="1" x14ac:dyDescent="0.25">
      <c r="A79" s="214" t="s">
        <v>2140</v>
      </c>
      <c r="B79" s="64">
        <v>6.62</v>
      </c>
      <c r="C79" s="64">
        <v>30.95</v>
      </c>
      <c r="D79" s="64">
        <v>49.07</v>
      </c>
      <c r="E79" s="64">
        <v>4.5599999999999996</v>
      </c>
      <c r="F79" s="64">
        <v>18.25</v>
      </c>
      <c r="G79" s="64">
        <v>39.21</v>
      </c>
      <c r="H79" s="64">
        <v>14.43</v>
      </c>
      <c r="I79" s="64">
        <v>4.0599999999999996</v>
      </c>
      <c r="J79" s="64">
        <v>0.23</v>
      </c>
      <c r="K79" s="64">
        <v>205.72</v>
      </c>
      <c r="L79" s="64">
        <v>37.24</v>
      </c>
      <c r="M79" s="64">
        <v>50.52</v>
      </c>
      <c r="N79" s="64">
        <v>51.4</v>
      </c>
      <c r="O79" s="64">
        <v>0</v>
      </c>
      <c r="P79" s="64">
        <v>0.65</v>
      </c>
      <c r="Q79" s="64">
        <v>9.24</v>
      </c>
      <c r="R79" s="198"/>
      <c r="S79" s="198"/>
      <c r="T79" s="198"/>
      <c r="U79" s="198"/>
    </row>
    <row r="80" spans="1:21" s="12" customFormat="1" x14ac:dyDescent="0.25">
      <c r="A80" s="214" t="s">
        <v>2141</v>
      </c>
      <c r="B80" s="64">
        <v>5.22</v>
      </c>
      <c r="C80" s="64">
        <v>29.19</v>
      </c>
      <c r="D80" s="64">
        <v>47.86</v>
      </c>
      <c r="E80" s="64">
        <v>5.63</v>
      </c>
      <c r="F80" s="64">
        <v>19.57</v>
      </c>
      <c r="G80" s="64">
        <v>39.21</v>
      </c>
      <c r="H80" s="64">
        <v>15.22</v>
      </c>
      <c r="I80" s="64">
        <v>3.99</v>
      </c>
      <c r="J80" s="64">
        <v>0.39</v>
      </c>
      <c r="K80" s="64">
        <v>190.43</v>
      </c>
      <c r="L80" s="64">
        <v>37.56</v>
      </c>
      <c r="M80" s="64">
        <v>48.91</v>
      </c>
      <c r="N80" s="64">
        <v>45.4</v>
      </c>
      <c r="O80" s="64">
        <v>0</v>
      </c>
      <c r="P80" s="64">
        <v>0.54</v>
      </c>
      <c r="Q80" s="64">
        <v>9.25</v>
      </c>
      <c r="R80" s="198"/>
      <c r="S80" s="198"/>
      <c r="T80" s="198"/>
      <c r="U80" s="198"/>
    </row>
    <row r="81" spans="1:26" s="12" customFormat="1" x14ac:dyDescent="0.25">
      <c r="A81" s="214" t="s">
        <v>2142</v>
      </c>
      <c r="B81" s="64">
        <v>5.23</v>
      </c>
      <c r="C81" s="64">
        <v>26.64</v>
      </c>
      <c r="D81" s="64">
        <v>42.96</v>
      </c>
      <c r="E81" s="64">
        <v>5.63</v>
      </c>
      <c r="F81" s="64">
        <v>21.3</v>
      </c>
      <c r="G81" s="64">
        <v>39.21</v>
      </c>
      <c r="H81" s="64">
        <v>15.22</v>
      </c>
      <c r="I81" s="64">
        <v>3.91</v>
      </c>
      <c r="J81" s="64">
        <v>0.37</v>
      </c>
      <c r="K81" s="64">
        <v>186.93</v>
      </c>
      <c r="L81" s="64">
        <v>36.76</v>
      </c>
      <c r="M81" s="64">
        <v>54.61</v>
      </c>
      <c r="N81" s="64">
        <v>43.3</v>
      </c>
      <c r="O81" s="64">
        <v>0</v>
      </c>
      <c r="P81" s="64">
        <v>0.48</v>
      </c>
      <c r="Q81" s="64">
        <v>9.27</v>
      </c>
      <c r="R81" s="198"/>
      <c r="S81" s="198"/>
      <c r="T81" s="198"/>
      <c r="U81" s="198"/>
    </row>
    <row r="82" spans="1:26" s="12" customFormat="1" x14ac:dyDescent="0.25">
      <c r="A82" s="214" t="s">
        <v>2143</v>
      </c>
      <c r="B82" s="64">
        <v>6.93</v>
      </c>
      <c r="C82" s="64">
        <v>29.06</v>
      </c>
      <c r="D82" s="64">
        <v>44.99</v>
      </c>
      <c r="E82" s="64">
        <v>5.64</v>
      </c>
      <c r="F82" s="64">
        <v>18.149999999999999</v>
      </c>
      <c r="G82" s="64">
        <v>39.21</v>
      </c>
      <c r="H82" s="64">
        <v>15.22</v>
      </c>
      <c r="I82" s="64">
        <v>3.94</v>
      </c>
      <c r="J82" s="64">
        <v>0.3</v>
      </c>
      <c r="K82" s="64">
        <v>203</v>
      </c>
      <c r="L82" s="64">
        <v>36.630000000000003</v>
      </c>
      <c r="M82" s="64">
        <v>55.58</v>
      </c>
      <c r="N82" s="64">
        <v>41.3</v>
      </c>
      <c r="O82" s="64">
        <v>0</v>
      </c>
      <c r="P82" s="64">
        <v>0.62</v>
      </c>
      <c r="Q82" s="64">
        <v>9.2799999999999994</v>
      </c>
      <c r="R82" s="198"/>
      <c r="S82" s="198"/>
      <c r="T82" s="198"/>
      <c r="U82" s="198"/>
    </row>
    <row r="83" spans="1:26" s="12" customFormat="1" x14ac:dyDescent="0.25">
      <c r="A83" s="214" t="s">
        <v>2144</v>
      </c>
      <c r="B83" s="64">
        <v>4.62</v>
      </c>
      <c r="C83" s="64">
        <v>19.32</v>
      </c>
      <c r="D83" s="64">
        <v>29.88</v>
      </c>
      <c r="E83" s="64">
        <v>5.37</v>
      </c>
      <c r="F83" s="64">
        <v>20.85</v>
      </c>
      <c r="G83" s="64">
        <v>47.44</v>
      </c>
      <c r="H83" s="64">
        <v>15.13</v>
      </c>
      <c r="I83" s="64">
        <v>3.98</v>
      </c>
      <c r="J83" s="64">
        <v>0.18</v>
      </c>
      <c r="K83" s="64">
        <v>207.33</v>
      </c>
      <c r="L83" s="64">
        <v>36.49</v>
      </c>
      <c r="M83" s="64">
        <v>54.72</v>
      </c>
      <c r="N83" s="64">
        <v>41.2</v>
      </c>
      <c r="O83" s="64">
        <v>0</v>
      </c>
      <c r="P83" s="64">
        <v>0.54</v>
      </c>
      <c r="Q83" s="64">
        <v>9.3000000000000007</v>
      </c>
      <c r="R83" s="198"/>
      <c r="S83" s="198"/>
      <c r="T83" s="198"/>
      <c r="U83" s="198"/>
    </row>
    <row r="84" spans="1:26" s="12" customFormat="1" x14ac:dyDescent="0.25">
      <c r="A84" s="214" t="s">
        <v>2145</v>
      </c>
      <c r="B84" s="64">
        <v>10.25</v>
      </c>
      <c r="C84" s="64">
        <v>34.94</v>
      </c>
      <c r="D84" s="64">
        <v>51.14</v>
      </c>
      <c r="E84" s="64">
        <v>6.07</v>
      </c>
      <c r="F84" s="64">
        <v>17.04</v>
      </c>
      <c r="G84" s="64">
        <v>48.03</v>
      </c>
      <c r="H84" s="64">
        <v>15.12</v>
      </c>
      <c r="I84" s="64">
        <v>3.93</v>
      </c>
      <c r="J84" s="64">
        <v>0.23</v>
      </c>
      <c r="K84" s="64">
        <v>188.63</v>
      </c>
      <c r="L84" s="64">
        <v>36.14</v>
      </c>
      <c r="M84" s="64">
        <v>54.35</v>
      </c>
      <c r="N84" s="64">
        <v>41.1</v>
      </c>
      <c r="O84" s="64">
        <v>0</v>
      </c>
      <c r="P84" s="64">
        <v>0.89</v>
      </c>
      <c r="Q84" s="64">
        <v>9.31</v>
      </c>
      <c r="R84" s="198"/>
      <c r="S84" s="198"/>
      <c r="T84" s="198"/>
      <c r="U84" s="198"/>
    </row>
    <row r="85" spans="1:26" s="12" customFormat="1" x14ac:dyDescent="0.25">
      <c r="A85" s="214" t="s">
        <v>2146</v>
      </c>
      <c r="B85" s="64">
        <v>5.59</v>
      </c>
      <c r="C85" s="64">
        <v>27.94</v>
      </c>
      <c r="D85" s="64">
        <v>44.89</v>
      </c>
      <c r="E85" s="64">
        <v>6.87</v>
      </c>
      <c r="F85" s="64">
        <v>13.9</v>
      </c>
      <c r="G85" s="64">
        <v>48.03</v>
      </c>
      <c r="H85" s="64">
        <v>15.12</v>
      </c>
      <c r="I85" s="64">
        <v>4.0999999999999996</v>
      </c>
      <c r="J85" s="64">
        <v>0.25</v>
      </c>
      <c r="K85" s="64">
        <v>211.42</v>
      </c>
      <c r="L85" s="64">
        <v>36.32</v>
      </c>
      <c r="M85" s="64">
        <v>51.34</v>
      </c>
      <c r="N85" s="64">
        <v>40.799999999999997</v>
      </c>
      <c r="O85" s="64">
        <v>0</v>
      </c>
      <c r="P85" s="64">
        <v>0.81</v>
      </c>
      <c r="Q85" s="64">
        <v>9.32</v>
      </c>
      <c r="R85" s="198"/>
      <c r="S85" s="198"/>
      <c r="T85" s="198"/>
      <c r="U85" s="198"/>
    </row>
    <row r="86" spans="1:26" s="12" customFormat="1" x14ac:dyDescent="0.25">
      <c r="A86" s="214" t="s">
        <v>2147</v>
      </c>
      <c r="B86" s="64">
        <v>10.98</v>
      </c>
      <c r="C86" s="64">
        <v>37.049999999999997</v>
      </c>
      <c r="D86" s="64">
        <v>54.06</v>
      </c>
      <c r="E86" s="64">
        <v>7.01</v>
      </c>
      <c r="F86" s="64">
        <v>12.94</v>
      </c>
      <c r="G86" s="64">
        <v>48.03</v>
      </c>
      <c r="H86" s="64">
        <v>15.12</v>
      </c>
      <c r="I86" s="64">
        <v>4.0599999999999996</v>
      </c>
      <c r="J86" s="64">
        <v>0.18</v>
      </c>
      <c r="K86" s="64">
        <v>207.99</v>
      </c>
      <c r="L86" s="64">
        <v>36.06</v>
      </c>
      <c r="M86" s="64">
        <v>52.91</v>
      </c>
      <c r="N86" s="64">
        <v>41.4</v>
      </c>
      <c r="O86" s="64">
        <v>0</v>
      </c>
      <c r="P86" s="64">
        <v>1.28</v>
      </c>
      <c r="Q86" s="64">
        <v>9.31</v>
      </c>
      <c r="R86" s="198"/>
      <c r="S86" s="198"/>
      <c r="T86" s="198"/>
      <c r="U86" s="198"/>
    </row>
    <row r="87" spans="1:26" s="12" customFormat="1" x14ac:dyDescent="0.25">
      <c r="A87" s="214" t="s">
        <v>2148</v>
      </c>
      <c r="B87" s="64">
        <v>13.91</v>
      </c>
      <c r="C87" s="64">
        <v>43.28</v>
      </c>
      <c r="D87" s="64">
        <v>61.49</v>
      </c>
      <c r="E87" s="64">
        <v>8.61</v>
      </c>
      <c r="F87" s="64">
        <v>11.87</v>
      </c>
      <c r="G87" s="64">
        <v>45.56</v>
      </c>
      <c r="H87" s="64">
        <v>12.66</v>
      </c>
      <c r="I87" s="64">
        <v>4.28</v>
      </c>
      <c r="J87" s="64">
        <v>0.17</v>
      </c>
      <c r="K87" s="64">
        <v>211.69</v>
      </c>
      <c r="L87" s="64">
        <v>36.11</v>
      </c>
      <c r="M87" s="64">
        <v>50.74</v>
      </c>
      <c r="N87" s="64">
        <v>41.1</v>
      </c>
      <c r="O87" s="64">
        <v>0</v>
      </c>
      <c r="P87" s="64">
        <v>2.08</v>
      </c>
      <c r="Q87" s="64">
        <v>9.34</v>
      </c>
      <c r="R87" s="198"/>
      <c r="S87" s="198"/>
      <c r="T87" s="198"/>
      <c r="U87" s="198"/>
    </row>
    <row r="88" spans="1:26" s="12" customFormat="1" x14ac:dyDescent="0.25">
      <c r="A88" s="214" t="s">
        <v>2149</v>
      </c>
      <c r="B88" s="64">
        <v>12.69</v>
      </c>
      <c r="C88" s="64">
        <v>33</v>
      </c>
      <c r="D88" s="64">
        <v>43.69</v>
      </c>
      <c r="E88" s="64">
        <v>7.66</v>
      </c>
      <c r="F88" s="64">
        <v>6.01</v>
      </c>
      <c r="G88" s="64">
        <v>45.39</v>
      </c>
      <c r="H88" s="64">
        <v>12.48</v>
      </c>
      <c r="I88" s="64">
        <v>3.97</v>
      </c>
      <c r="J88" s="64">
        <v>0.94</v>
      </c>
      <c r="K88" s="64">
        <v>214.66</v>
      </c>
      <c r="L88" s="64">
        <v>36</v>
      </c>
      <c r="M88" s="64">
        <v>52.38</v>
      </c>
      <c r="N88" s="64">
        <v>41.6</v>
      </c>
      <c r="O88" s="64">
        <v>0</v>
      </c>
      <c r="P88" s="64">
        <v>1.35</v>
      </c>
      <c r="Q88" s="64">
        <v>9.36</v>
      </c>
      <c r="R88" s="198"/>
      <c r="S88" s="198"/>
      <c r="T88" s="198"/>
      <c r="U88" s="198"/>
    </row>
    <row r="89" spans="1:26" s="12" customFormat="1" x14ac:dyDescent="0.25">
      <c r="A89" s="214" t="s">
        <v>2150</v>
      </c>
      <c r="B89" s="64">
        <v>12.02</v>
      </c>
      <c r="C89" s="64">
        <v>27.99</v>
      </c>
      <c r="D89" s="64">
        <v>35.130000000000003</v>
      </c>
      <c r="E89" s="64">
        <v>6.42</v>
      </c>
      <c r="F89" s="64">
        <v>5.96</v>
      </c>
      <c r="G89" s="64">
        <v>45.39</v>
      </c>
      <c r="H89" s="64">
        <v>12.48</v>
      </c>
      <c r="I89" s="64">
        <v>4.05</v>
      </c>
      <c r="J89" s="64">
        <v>1.08</v>
      </c>
      <c r="K89" s="64">
        <v>214.39</v>
      </c>
      <c r="L89" s="64">
        <v>35.520000000000003</v>
      </c>
      <c r="M89" s="64">
        <v>54.23</v>
      </c>
      <c r="N89" s="64">
        <v>41.2</v>
      </c>
      <c r="O89" s="64">
        <v>0</v>
      </c>
      <c r="P89" s="64">
        <v>0.9</v>
      </c>
      <c r="Q89" s="64">
        <v>9.41</v>
      </c>
      <c r="R89" s="198"/>
      <c r="S89" s="198"/>
      <c r="T89" s="198"/>
      <c r="U89" s="198"/>
    </row>
    <row r="90" spans="1:26" s="12" customFormat="1" x14ac:dyDescent="0.25">
      <c r="A90" s="214" t="s">
        <v>2151</v>
      </c>
      <c r="B90" s="64">
        <v>12.1</v>
      </c>
      <c r="C90" s="64">
        <v>33.340000000000003</v>
      </c>
      <c r="D90" s="64">
        <v>45.24</v>
      </c>
      <c r="E90" s="64">
        <v>5.72</v>
      </c>
      <c r="F90" s="64">
        <v>11.02</v>
      </c>
      <c r="G90" s="64">
        <v>45.39</v>
      </c>
      <c r="H90" s="64">
        <v>12.48</v>
      </c>
      <c r="I90" s="64">
        <v>4.03</v>
      </c>
      <c r="J90" s="64">
        <v>0.93</v>
      </c>
      <c r="K90" s="64">
        <v>214.83</v>
      </c>
      <c r="L90" s="64">
        <v>35.46</v>
      </c>
      <c r="M90" s="64">
        <v>53.37</v>
      </c>
      <c r="N90" s="64">
        <v>40.5</v>
      </c>
      <c r="O90" s="64">
        <v>0</v>
      </c>
      <c r="P90" s="64">
        <v>0.98</v>
      </c>
      <c r="Q90" s="64">
        <v>9.4600000000000009</v>
      </c>
      <c r="R90" s="198"/>
      <c r="S90" s="198"/>
      <c r="T90" s="198"/>
      <c r="U90" s="198"/>
    </row>
    <row r="91" spans="1:26" s="12" customFormat="1" x14ac:dyDescent="0.25">
      <c r="A91" s="214" t="s">
        <v>2152</v>
      </c>
      <c r="B91" s="64">
        <v>15.72</v>
      </c>
      <c r="C91" s="64">
        <v>35.26</v>
      </c>
      <c r="D91" s="64">
        <v>43.36</v>
      </c>
      <c r="E91" s="64">
        <v>6.39</v>
      </c>
      <c r="F91" s="64">
        <v>9.7200000000000006</v>
      </c>
      <c r="G91" s="64">
        <v>48.31</v>
      </c>
      <c r="H91" s="64">
        <v>20.91</v>
      </c>
      <c r="I91" s="64">
        <v>3.97</v>
      </c>
      <c r="J91" s="64">
        <v>0.62</v>
      </c>
      <c r="K91" s="64">
        <v>216.91</v>
      </c>
      <c r="L91" s="64">
        <v>35.5</v>
      </c>
      <c r="M91" s="64">
        <v>52.21</v>
      </c>
      <c r="N91" s="64">
        <v>40.1</v>
      </c>
      <c r="O91" s="64">
        <v>0</v>
      </c>
      <c r="P91" s="64">
        <v>0.91</v>
      </c>
      <c r="Q91" s="64">
        <v>9.48</v>
      </c>
      <c r="R91" s="198"/>
      <c r="S91" s="198"/>
      <c r="T91" s="198"/>
      <c r="U91" s="198"/>
    </row>
    <row r="92" spans="1:26" s="12" customFormat="1" x14ac:dyDescent="0.25">
      <c r="A92" s="214" t="s">
        <v>2153</v>
      </c>
      <c r="B92" s="64">
        <v>17.04</v>
      </c>
      <c r="C92" s="64">
        <v>35.130000000000003</v>
      </c>
      <c r="D92" s="64">
        <v>41.07</v>
      </c>
      <c r="E92" s="64">
        <v>5.79</v>
      </c>
      <c r="F92" s="64">
        <v>12.02</v>
      </c>
      <c r="G92" s="64">
        <v>48.55</v>
      </c>
      <c r="H92" s="64">
        <v>21.52</v>
      </c>
      <c r="I92" s="64">
        <v>4</v>
      </c>
      <c r="J92" s="64">
        <v>0.81</v>
      </c>
      <c r="K92" s="64">
        <v>217.89</v>
      </c>
      <c r="L92" s="64">
        <v>35.56</v>
      </c>
      <c r="M92" s="64">
        <v>52.56</v>
      </c>
      <c r="N92" s="64">
        <v>39.700000000000003</v>
      </c>
      <c r="O92" s="64">
        <v>0</v>
      </c>
      <c r="P92" s="64">
        <v>0.89</v>
      </c>
      <c r="Q92" s="64">
        <v>9.5</v>
      </c>
      <c r="R92" s="198"/>
      <c r="S92" s="198"/>
      <c r="T92" s="198"/>
      <c r="U92" s="198"/>
    </row>
    <row r="93" spans="1:26" s="12" customFormat="1" x14ac:dyDescent="0.25">
      <c r="A93" s="214" t="s">
        <v>2154</v>
      </c>
      <c r="B93" s="64">
        <v>16.989999999999998</v>
      </c>
      <c r="C93" s="64">
        <v>39.86</v>
      </c>
      <c r="D93" s="64">
        <v>50.22</v>
      </c>
      <c r="E93" s="64">
        <v>6</v>
      </c>
      <c r="F93" s="64">
        <v>13.46</v>
      </c>
      <c r="G93" s="64">
        <v>48.55</v>
      </c>
      <c r="H93" s="64">
        <v>21.52</v>
      </c>
      <c r="I93" s="64">
        <v>4.0199999999999996</v>
      </c>
      <c r="J93" s="64">
        <v>0.51</v>
      </c>
      <c r="K93" s="64">
        <v>220.36</v>
      </c>
      <c r="L93" s="64">
        <v>35.64</v>
      </c>
      <c r="M93" s="64">
        <v>52.45</v>
      </c>
      <c r="N93" s="64">
        <v>39.700000000000003</v>
      </c>
      <c r="O93" s="64">
        <v>0</v>
      </c>
      <c r="P93" s="64">
        <v>1.02</v>
      </c>
      <c r="Q93" s="64">
        <v>9.52</v>
      </c>
      <c r="R93" s="198"/>
      <c r="S93" s="198"/>
      <c r="T93" s="198"/>
      <c r="U93" s="198"/>
    </row>
    <row r="94" spans="1:26" s="12" customFormat="1" x14ac:dyDescent="0.25">
      <c r="A94" s="214" t="s">
        <v>2155</v>
      </c>
      <c r="B94" s="64">
        <v>17.72</v>
      </c>
      <c r="C94" s="64">
        <v>44.91</v>
      </c>
      <c r="D94" s="64">
        <v>58.77</v>
      </c>
      <c r="E94" s="64">
        <v>6.68</v>
      </c>
      <c r="F94" s="64">
        <v>15</v>
      </c>
      <c r="G94" s="64">
        <v>48.55</v>
      </c>
      <c r="H94" s="64">
        <v>21.52</v>
      </c>
      <c r="I94" s="64">
        <v>4.17</v>
      </c>
      <c r="J94" s="64">
        <v>0.43</v>
      </c>
      <c r="K94" s="64">
        <v>217.24</v>
      </c>
      <c r="L94" s="64">
        <v>35.630000000000003</v>
      </c>
      <c r="M94" s="64">
        <v>53.29</v>
      </c>
      <c r="N94" s="64">
        <v>39.700000000000003</v>
      </c>
      <c r="O94" s="64">
        <v>0</v>
      </c>
      <c r="P94" s="64">
        <v>1.1100000000000001</v>
      </c>
      <c r="Q94" s="64">
        <v>9.5500000000000007</v>
      </c>
      <c r="R94" s="198"/>
      <c r="S94" s="198"/>
      <c r="T94" s="198"/>
      <c r="U94" s="198"/>
    </row>
    <row r="95" spans="1:26" s="12" customFormat="1" x14ac:dyDescent="0.25">
      <c r="A95" s="214" t="s">
        <v>2156</v>
      </c>
      <c r="B95" s="64">
        <v>28.55</v>
      </c>
      <c r="C95" s="64">
        <v>59.37</v>
      </c>
      <c r="D95" s="64">
        <v>69.819999999999993</v>
      </c>
      <c r="E95" s="64">
        <v>6.52</v>
      </c>
      <c r="F95" s="64">
        <v>13.35</v>
      </c>
      <c r="G95" s="64">
        <v>50</v>
      </c>
      <c r="H95" s="64">
        <v>15.07</v>
      </c>
      <c r="I95" s="64">
        <v>4.12</v>
      </c>
      <c r="J95" s="64">
        <v>0.22</v>
      </c>
      <c r="K95" s="64">
        <v>216.76</v>
      </c>
      <c r="L95" s="64">
        <v>35.659999999999997</v>
      </c>
      <c r="M95" s="64">
        <v>52.74</v>
      </c>
      <c r="N95" s="64">
        <v>39.6</v>
      </c>
      <c r="O95" s="64">
        <v>0</v>
      </c>
      <c r="P95" s="64">
        <v>1.04</v>
      </c>
      <c r="Q95" s="64">
        <v>9.58</v>
      </c>
      <c r="R95" s="198"/>
      <c r="S95" s="198"/>
      <c r="T95" s="198"/>
      <c r="U95" s="198"/>
    </row>
    <row r="96" spans="1:26" s="12" customFormat="1" x14ac:dyDescent="0.25">
      <c r="A96" s="214" t="s">
        <v>2157</v>
      </c>
      <c r="B96" s="64">
        <v>20.04</v>
      </c>
      <c r="C96" s="64">
        <v>48.66</v>
      </c>
      <c r="D96" s="64">
        <v>62.38</v>
      </c>
      <c r="E96" s="64">
        <v>7</v>
      </c>
      <c r="F96" s="64">
        <v>13.66</v>
      </c>
      <c r="G96" s="64">
        <v>50.1</v>
      </c>
      <c r="H96" s="64">
        <v>14.61</v>
      </c>
      <c r="I96" s="64">
        <v>3.95</v>
      </c>
      <c r="J96" s="64">
        <v>0.32</v>
      </c>
      <c r="K96" s="64">
        <v>220.05</v>
      </c>
      <c r="L96" s="64">
        <v>35.630000000000003</v>
      </c>
      <c r="M96" s="64">
        <v>52.56</v>
      </c>
      <c r="N96" s="64">
        <v>39.6</v>
      </c>
      <c r="O96" s="64">
        <v>0</v>
      </c>
      <c r="P96" s="64">
        <v>0.96</v>
      </c>
      <c r="Q96" s="64">
        <v>9.6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2158</v>
      </c>
      <c r="B97" s="64">
        <v>20.76</v>
      </c>
      <c r="C97" s="64">
        <v>44.76</v>
      </c>
      <c r="D97" s="64">
        <v>53.81</v>
      </c>
      <c r="E97" s="64">
        <v>6.28</v>
      </c>
      <c r="F97" s="64">
        <v>16.02</v>
      </c>
      <c r="G97" s="64">
        <v>50.1</v>
      </c>
      <c r="H97" s="64">
        <v>14.61</v>
      </c>
      <c r="I97" s="64">
        <v>3.97</v>
      </c>
      <c r="J97" s="64">
        <v>0.61</v>
      </c>
      <c r="K97" s="64">
        <v>219.01</v>
      </c>
      <c r="L97" s="64">
        <v>35.71</v>
      </c>
      <c r="M97" s="64">
        <v>52.47</v>
      </c>
      <c r="N97" s="64">
        <v>39.5</v>
      </c>
      <c r="O97" s="64">
        <v>0</v>
      </c>
      <c r="P97" s="64">
        <v>0.86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4" t="s">
        <v>2159</v>
      </c>
      <c r="B98" s="64">
        <v>11.44</v>
      </c>
      <c r="C98" s="64">
        <v>41.63</v>
      </c>
      <c r="D98" s="64">
        <v>62.12</v>
      </c>
      <c r="E98" s="64">
        <v>8.35</v>
      </c>
      <c r="F98" s="64">
        <v>12.47</v>
      </c>
      <c r="G98" s="64">
        <v>50.1</v>
      </c>
      <c r="H98" s="64">
        <v>14.61</v>
      </c>
      <c r="I98" s="64">
        <v>3.92</v>
      </c>
      <c r="J98" s="64">
        <v>0.22</v>
      </c>
      <c r="K98" s="64">
        <v>184.77</v>
      </c>
      <c r="L98" s="64">
        <v>35.74</v>
      </c>
      <c r="M98" s="64">
        <v>51.2</v>
      </c>
      <c r="N98" s="64">
        <v>39.700000000000003</v>
      </c>
      <c r="O98" s="64">
        <v>0</v>
      </c>
      <c r="P98" s="64">
        <v>0.75</v>
      </c>
      <c r="Q98" s="64">
        <v>9.6</v>
      </c>
      <c r="R98" s="198"/>
      <c r="S98" s="198"/>
      <c r="T98" s="198"/>
      <c r="U98" s="198"/>
    </row>
    <row r="99" spans="1:33" s="12" customFormat="1" x14ac:dyDescent="0.25">
      <c r="A99" s="214" t="s">
        <v>2160</v>
      </c>
      <c r="B99" s="64">
        <v>21.36</v>
      </c>
      <c r="C99" s="64">
        <v>58.67</v>
      </c>
      <c r="D99" s="64">
        <v>79.510000000000005</v>
      </c>
      <c r="E99" s="64">
        <v>11.94</v>
      </c>
      <c r="F99" s="64">
        <v>8.9499999999999993</v>
      </c>
      <c r="G99" s="64">
        <v>51.41</v>
      </c>
      <c r="H99" s="64">
        <v>15.27</v>
      </c>
      <c r="I99" s="64">
        <v>4.01</v>
      </c>
      <c r="J99" s="64">
        <v>0.12</v>
      </c>
      <c r="K99" s="64">
        <v>217</v>
      </c>
      <c r="L99" s="64">
        <v>35.61</v>
      </c>
      <c r="M99" s="64">
        <v>52.26</v>
      </c>
      <c r="N99" s="64">
        <v>39.799999999999997</v>
      </c>
      <c r="O99" s="64">
        <v>0</v>
      </c>
      <c r="P99" s="64">
        <v>0.93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4" t="s">
        <v>2161</v>
      </c>
      <c r="B100" s="64">
        <v>13.6</v>
      </c>
      <c r="C100" s="64">
        <v>47.43</v>
      </c>
      <c r="D100" s="64">
        <v>69.91</v>
      </c>
      <c r="E100" s="64">
        <v>16.93</v>
      </c>
      <c r="F100" s="64">
        <v>9.2200000000000006</v>
      </c>
      <c r="G100" s="64">
        <v>51.5</v>
      </c>
      <c r="H100" s="64">
        <v>15.31</v>
      </c>
      <c r="I100" s="64">
        <v>3.81</v>
      </c>
      <c r="J100" s="64">
        <v>0.16</v>
      </c>
      <c r="K100" s="64">
        <v>104.29</v>
      </c>
      <c r="L100" s="64">
        <v>35.770000000000003</v>
      </c>
      <c r="M100" s="64">
        <v>51.45</v>
      </c>
      <c r="N100" s="64">
        <v>39.6</v>
      </c>
      <c r="O100" s="64">
        <v>0</v>
      </c>
      <c r="P100" s="64">
        <v>0.94</v>
      </c>
      <c r="Q100" s="64">
        <v>9.59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2162</v>
      </c>
      <c r="B101" s="64">
        <v>8.68</v>
      </c>
      <c r="C101" s="64">
        <v>45.69</v>
      </c>
      <c r="D101" s="64">
        <v>74.12</v>
      </c>
      <c r="E101" s="64">
        <v>17.66</v>
      </c>
      <c r="F101" s="64">
        <v>8.94</v>
      </c>
      <c r="G101" s="64">
        <v>51.5</v>
      </c>
      <c r="H101" s="64">
        <v>15.31</v>
      </c>
      <c r="I101" s="64">
        <v>4.07</v>
      </c>
      <c r="J101" s="64">
        <v>0.28999999999999998</v>
      </c>
      <c r="K101" s="64">
        <v>156.11000000000001</v>
      </c>
      <c r="L101" s="64">
        <v>35.909999999999997</v>
      </c>
      <c r="M101" s="64">
        <v>52.23</v>
      </c>
      <c r="N101" s="64">
        <v>39.5</v>
      </c>
      <c r="O101" s="64">
        <v>0</v>
      </c>
      <c r="P101" s="64">
        <v>0.69</v>
      </c>
      <c r="Q101" s="64">
        <v>9.59</v>
      </c>
      <c r="R101" s="198"/>
      <c r="S101" s="198"/>
      <c r="T101" s="198"/>
      <c r="U101" s="198"/>
    </row>
    <row r="102" spans="1:33" s="12" customFormat="1" x14ac:dyDescent="0.25">
      <c r="A102" s="214" t="s">
        <v>2163</v>
      </c>
      <c r="B102" s="64">
        <v>6.23</v>
      </c>
      <c r="C102" s="64">
        <v>31.83</v>
      </c>
      <c r="D102" s="64">
        <v>51.35</v>
      </c>
      <c r="E102" s="64">
        <v>11.5</v>
      </c>
      <c r="F102" s="64">
        <v>10.32</v>
      </c>
      <c r="G102" s="64">
        <v>51.5</v>
      </c>
      <c r="H102" s="64">
        <v>15.31</v>
      </c>
      <c r="I102" s="64">
        <v>4.0599999999999996</v>
      </c>
      <c r="J102" s="64">
        <v>0.37</v>
      </c>
      <c r="K102" s="64">
        <v>190.47</v>
      </c>
      <c r="L102" s="64">
        <v>35.380000000000003</v>
      </c>
      <c r="M102" s="64">
        <v>59.22</v>
      </c>
      <c r="N102" s="64">
        <v>40.4</v>
      </c>
      <c r="O102" s="64">
        <v>0</v>
      </c>
      <c r="P102" s="64">
        <v>0.57999999999999996</v>
      </c>
      <c r="Q102" s="64">
        <v>9.6</v>
      </c>
      <c r="R102" s="198"/>
      <c r="S102" s="198"/>
      <c r="T102" s="198"/>
      <c r="U102" s="198"/>
    </row>
    <row r="103" spans="1:33" s="12" customFormat="1" x14ac:dyDescent="0.25">
      <c r="A103" s="214" t="s">
        <v>2164</v>
      </c>
      <c r="B103" s="64">
        <v>6.76</v>
      </c>
      <c r="C103" s="64">
        <v>25.24</v>
      </c>
      <c r="D103" s="64">
        <v>37.950000000000003</v>
      </c>
      <c r="E103" s="64">
        <v>8.23</v>
      </c>
      <c r="F103" s="64">
        <v>12.05</v>
      </c>
      <c r="G103" s="64">
        <v>60.54</v>
      </c>
      <c r="H103" s="64">
        <v>31.34</v>
      </c>
      <c r="I103" s="64">
        <v>4.1500000000000004</v>
      </c>
      <c r="J103" s="64">
        <v>0.34</v>
      </c>
      <c r="K103" s="64">
        <v>155.4</v>
      </c>
      <c r="L103" s="64">
        <v>34.72</v>
      </c>
      <c r="M103" s="64">
        <v>61.53</v>
      </c>
      <c r="N103" s="64">
        <v>40.1</v>
      </c>
      <c r="O103" s="64">
        <v>0</v>
      </c>
      <c r="P103" s="64">
        <v>0.55000000000000004</v>
      </c>
      <c r="Q103" s="64">
        <v>9.6</v>
      </c>
      <c r="R103" s="198"/>
      <c r="S103" s="198"/>
      <c r="T103" s="198"/>
      <c r="U103" s="198"/>
    </row>
    <row r="104" spans="1:33" s="12" customFormat="1" x14ac:dyDescent="0.25">
      <c r="A104" s="214" t="s">
        <v>2165</v>
      </c>
      <c r="B104" s="64">
        <v>7.87</v>
      </c>
      <c r="C104" s="64">
        <v>26.37</v>
      </c>
      <c r="D104" s="64">
        <v>38.39</v>
      </c>
      <c r="E104" s="64">
        <v>8.25</v>
      </c>
      <c r="F104" s="64">
        <v>9.59</v>
      </c>
      <c r="G104" s="64">
        <v>61.19</v>
      </c>
      <c r="H104" s="64">
        <v>32.69</v>
      </c>
      <c r="I104" s="64">
        <v>4.16</v>
      </c>
      <c r="J104" s="64">
        <v>0.48</v>
      </c>
      <c r="K104" s="64">
        <v>122.96</v>
      </c>
      <c r="L104" s="64">
        <v>34.97</v>
      </c>
      <c r="M104" s="64">
        <v>58.36</v>
      </c>
      <c r="N104" s="64">
        <v>39.6</v>
      </c>
      <c r="O104" s="64">
        <v>0</v>
      </c>
      <c r="P104" s="64">
        <v>0.61</v>
      </c>
      <c r="Q104" s="64">
        <v>9.56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3.8</v>
      </c>
      <c r="C106" s="67">
        <f>MIN(C9:C104)</f>
        <v>13.3</v>
      </c>
      <c r="D106" s="67">
        <f t="shared" ref="D106:Q106" si="0">MIN(D9:D104)</f>
        <v>18.7</v>
      </c>
      <c r="E106" s="67">
        <f t="shared" si="0"/>
        <v>3.7</v>
      </c>
      <c r="F106" s="67">
        <f t="shared" si="0"/>
        <v>3.64</v>
      </c>
      <c r="G106" s="67">
        <f t="shared" si="0"/>
        <v>2.67</v>
      </c>
      <c r="H106" s="67">
        <f t="shared" si="0"/>
        <v>3.29</v>
      </c>
      <c r="I106" s="67">
        <f t="shared" si="0"/>
        <v>3.79</v>
      </c>
      <c r="J106" s="67">
        <f t="shared" si="0"/>
        <v>0.12</v>
      </c>
      <c r="K106" s="67">
        <f t="shared" si="0"/>
        <v>87.69</v>
      </c>
      <c r="L106" s="67">
        <f t="shared" si="0"/>
        <v>-54.98</v>
      </c>
      <c r="M106" s="67">
        <f t="shared" si="0"/>
        <v>-24.98</v>
      </c>
      <c r="N106" s="67">
        <f t="shared" si="0"/>
        <v>28.9</v>
      </c>
      <c r="O106" s="67">
        <f t="shared" si="0"/>
        <v>0</v>
      </c>
      <c r="P106" s="67">
        <f t="shared" si="0"/>
        <v>0.16</v>
      </c>
      <c r="Q106" s="67">
        <f t="shared" si="0"/>
        <v>9.17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28.55</v>
      </c>
      <c r="C107" s="66">
        <f t="shared" ref="C107:Q107" si="1">MAX(C9:C104)</f>
        <v>59.37</v>
      </c>
      <c r="D107" s="66">
        <f t="shared" si="1"/>
        <v>79.510000000000005</v>
      </c>
      <c r="E107" s="66">
        <f t="shared" si="1"/>
        <v>25.65</v>
      </c>
      <c r="F107" s="66">
        <f t="shared" si="1"/>
        <v>31.26</v>
      </c>
      <c r="G107" s="66">
        <f t="shared" si="1"/>
        <v>76.45</v>
      </c>
      <c r="H107" s="66">
        <f t="shared" si="1"/>
        <v>140.33000000000001</v>
      </c>
      <c r="I107" s="66">
        <f t="shared" si="1"/>
        <v>4.28</v>
      </c>
      <c r="J107" s="66">
        <f t="shared" si="1"/>
        <v>2</v>
      </c>
      <c r="K107" s="66">
        <f t="shared" si="1"/>
        <v>288.18</v>
      </c>
      <c r="L107" s="66">
        <f t="shared" si="1"/>
        <v>44.43</v>
      </c>
      <c r="M107" s="66">
        <f t="shared" si="1"/>
        <v>69.19</v>
      </c>
      <c r="N107" s="66">
        <f t="shared" si="1"/>
        <v>890.3</v>
      </c>
      <c r="O107" s="66">
        <f t="shared" si="1"/>
        <v>0</v>
      </c>
      <c r="P107" s="66">
        <f t="shared" si="1"/>
        <v>2.08</v>
      </c>
      <c r="Q107" s="66">
        <f t="shared" si="1"/>
        <v>9.61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8.8526881720430097</v>
      </c>
      <c r="C108" s="67">
        <f t="shared" ref="C108:Q108" si="2">AVERAGE(C9:C104)</f>
        <v>25.81150537634409</v>
      </c>
      <c r="D108" s="67">
        <f t="shared" si="2"/>
        <v>35.815161290322564</v>
      </c>
      <c r="E108" s="67">
        <f t="shared" si="2"/>
        <v>7.5247311827956995</v>
      </c>
      <c r="F108" s="67">
        <f t="shared" si="2"/>
        <v>13.351827956989245</v>
      </c>
      <c r="G108" s="67">
        <f t="shared" si="2"/>
        <v>40.521222222222221</v>
      </c>
      <c r="H108" s="67">
        <f t="shared" si="2"/>
        <v>20.664666666666658</v>
      </c>
      <c r="I108" s="67">
        <f t="shared" si="2"/>
        <v>4.0056989247311847</v>
      </c>
      <c r="J108" s="67">
        <f t="shared" si="2"/>
        <v>0.69688172043010743</v>
      </c>
      <c r="K108" s="67">
        <f t="shared" si="2"/>
        <v>170.7321505376344</v>
      </c>
      <c r="L108" s="67">
        <f t="shared" si="2"/>
        <v>31.235483870967737</v>
      </c>
      <c r="M108" s="67">
        <f t="shared" si="2"/>
        <v>50.931397849462357</v>
      </c>
      <c r="N108" s="67">
        <f t="shared" si="2"/>
        <v>242.36344086021501</v>
      </c>
      <c r="O108" s="67">
        <f t="shared" si="2"/>
        <v>0</v>
      </c>
      <c r="P108" s="67">
        <f t="shared" si="2"/>
        <v>0.49870967741935474</v>
      </c>
      <c r="Q108" s="67">
        <f t="shared" si="2"/>
        <v>9.3438461538461564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5.0778881565043648</v>
      </c>
      <c r="C109" s="67">
        <f t="shared" ref="C109:Q109" si="3">STDEV(C9:C104)</f>
        <v>10.870555758185439</v>
      </c>
      <c r="D109" s="67">
        <f t="shared" si="3"/>
        <v>14.385376150263621</v>
      </c>
      <c r="E109" s="67">
        <f t="shared" si="3"/>
        <v>4.1852358489975732</v>
      </c>
      <c r="F109" s="67">
        <f t="shared" si="3"/>
        <v>6.6485532826839977</v>
      </c>
      <c r="G109" s="67">
        <f t="shared" si="3"/>
        <v>15.235116504112588</v>
      </c>
      <c r="H109" s="67">
        <f t="shared" si="3"/>
        <v>27.700918542349612</v>
      </c>
      <c r="I109" s="67">
        <f t="shared" si="3"/>
        <v>9.502171204362081E-2</v>
      </c>
      <c r="J109" s="67">
        <f t="shared" si="3"/>
        <v>0.42986847962012925</v>
      </c>
      <c r="K109" s="67">
        <f t="shared" si="3"/>
        <v>46.428303770190652</v>
      </c>
      <c r="L109" s="67">
        <f t="shared" si="3"/>
        <v>14.680769772802082</v>
      </c>
      <c r="M109" s="67">
        <f t="shared" si="3"/>
        <v>15.520495397138703</v>
      </c>
      <c r="N109" s="67">
        <f t="shared" si="3"/>
        <v>300.23045054009771</v>
      </c>
      <c r="O109" s="67">
        <f t="shared" si="3"/>
        <v>0</v>
      </c>
      <c r="P109" s="67">
        <f t="shared" si="3"/>
        <v>0.31307807682419808</v>
      </c>
      <c r="Q109" s="67">
        <f t="shared" si="3"/>
        <v>0.13562013313966509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</f>
        <v>96</v>
      </c>
      <c r="C110" s="66">
        <f t="shared" ref="C110:P110" si="4">COUNT(C9:C104)+3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COUNT(G9:G104)+6</f>
        <v>96</v>
      </c>
      <c r="H110" s="66">
        <f>COUNT(H9:H104)+6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COUNT(Q9:Q104)+5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5" sqref="I1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2167</v>
      </c>
      <c r="B9" s="64">
        <v>5.39</v>
      </c>
      <c r="C9" s="64">
        <v>26.97</v>
      </c>
      <c r="D9" s="64">
        <v>43.35</v>
      </c>
      <c r="E9" s="64">
        <v>8.1</v>
      </c>
      <c r="F9" s="64">
        <v>11.92</v>
      </c>
      <c r="G9" s="64">
        <v>61.19</v>
      </c>
      <c r="H9" s="64">
        <v>32.69</v>
      </c>
      <c r="I9" s="64">
        <v>3.97</v>
      </c>
      <c r="J9" s="64">
        <v>0.3</v>
      </c>
      <c r="K9" s="64">
        <v>107.48</v>
      </c>
      <c r="L9" s="64">
        <v>35.29</v>
      </c>
      <c r="M9" s="64">
        <v>54.99</v>
      </c>
      <c r="N9" s="64">
        <v>39.700000000000003</v>
      </c>
      <c r="O9" s="64">
        <v>0</v>
      </c>
      <c r="P9" s="64">
        <v>0.52</v>
      </c>
      <c r="Q9" s="64">
        <v>9.57</v>
      </c>
      <c r="R9" s="198"/>
      <c r="S9" s="198"/>
      <c r="T9" s="198"/>
      <c r="U9" s="198"/>
    </row>
    <row r="10" spans="1:21" s="12" customFormat="1" x14ac:dyDescent="0.25">
      <c r="A10" s="214" t="s">
        <v>2168</v>
      </c>
      <c r="B10" s="64">
        <v>6.3</v>
      </c>
      <c r="C10" s="64">
        <v>26.78</v>
      </c>
      <c r="D10" s="64">
        <v>41.59</v>
      </c>
      <c r="E10" s="64">
        <v>8.73</v>
      </c>
      <c r="F10" s="64">
        <v>6.93</v>
      </c>
      <c r="G10" s="64">
        <v>61.19</v>
      </c>
      <c r="H10" s="64">
        <v>32.69</v>
      </c>
      <c r="I10" s="64">
        <v>4.1500000000000004</v>
      </c>
      <c r="J10" s="64">
        <v>0.75</v>
      </c>
      <c r="K10" s="64">
        <v>104.38</v>
      </c>
      <c r="L10" s="64">
        <v>35.49</v>
      </c>
      <c r="M10" s="64">
        <v>54.09</v>
      </c>
      <c r="N10" s="64">
        <v>39.5</v>
      </c>
      <c r="O10" s="64">
        <v>0</v>
      </c>
      <c r="P10" s="64">
        <v>0.72</v>
      </c>
      <c r="Q10" s="64">
        <v>9.56</v>
      </c>
      <c r="R10" s="198"/>
      <c r="S10" s="198"/>
      <c r="T10" s="198"/>
      <c r="U10" s="198"/>
    </row>
    <row r="11" spans="1:21" s="12" customFormat="1" x14ac:dyDescent="0.25">
      <c r="A11" s="214" t="s">
        <v>2169</v>
      </c>
      <c r="B11" s="64">
        <v>5.5</v>
      </c>
      <c r="C11" s="64">
        <v>32.6</v>
      </c>
      <c r="D11" s="64">
        <v>53.96</v>
      </c>
      <c r="E11" s="64">
        <v>11.8</v>
      </c>
      <c r="F11" s="64">
        <v>7.57</v>
      </c>
      <c r="G11" s="64">
        <v>52.56</v>
      </c>
      <c r="H11" s="64">
        <v>16.010000000000002</v>
      </c>
      <c r="I11" s="64">
        <v>4.05</v>
      </c>
      <c r="J11" s="64">
        <v>0.32</v>
      </c>
      <c r="K11" s="64">
        <v>110.23</v>
      </c>
      <c r="L11" s="64">
        <v>35.549999999999997</v>
      </c>
      <c r="M11" s="64">
        <v>53.3</v>
      </c>
      <c r="N11" s="64">
        <v>40</v>
      </c>
      <c r="O11" s="64">
        <v>0</v>
      </c>
      <c r="P11" s="64">
        <v>0.65</v>
      </c>
      <c r="Q11" s="64">
        <v>9.5399999999999991</v>
      </c>
      <c r="R11" s="198"/>
      <c r="S11" s="198"/>
      <c r="T11" s="198"/>
      <c r="U11" s="198"/>
    </row>
    <row r="12" spans="1:21" s="12" customFormat="1" x14ac:dyDescent="0.25">
      <c r="A12" s="214" t="s">
        <v>2170</v>
      </c>
      <c r="B12" s="64">
        <v>5.59</v>
      </c>
      <c r="C12" s="64">
        <v>38.03</v>
      </c>
      <c r="D12" s="64">
        <v>64.209999999999994</v>
      </c>
      <c r="E12" s="64">
        <v>19.72</v>
      </c>
      <c r="F12" s="64">
        <v>7.6</v>
      </c>
      <c r="G12" s="64">
        <v>51.94</v>
      </c>
      <c r="H12" s="64">
        <v>14.82</v>
      </c>
      <c r="I12" s="64">
        <v>3.99</v>
      </c>
      <c r="J12" s="64">
        <v>0.5</v>
      </c>
      <c r="K12" s="64">
        <v>98.21</v>
      </c>
      <c r="L12" s="64">
        <v>35.58</v>
      </c>
      <c r="M12" s="64">
        <v>53.76</v>
      </c>
      <c r="N12" s="64">
        <v>39.9</v>
      </c>
      <c r="O12" s="64">
        <v>0</v>
      </c>
      <c r="P12" s="64">
        <v>0.65</v>
      </c>
      <c r="Q12" s="64">
        <v>9.5299999999999994</v>
      </c>
      <c r="R12" s="198"/>
      <c r="S12" s="198"/>
      <c r="T12" s="198"/>
      <c r="U12" s="198"/>
    </row>
    <row r="13" spans="1:21" s="12" customFormat="1" x14ac:dyDescent="0.25">
      <c r="A13" s="214" t="s">
        <v>2171</v>
      </c>
      <c r="B13" s="64">
        <v>4.84</v>
      </c>
      <c r="C13" s="64">
        <v>37.46</v>
      </c>
      <c r="D13" s="64">
        <v>64.260000000000005</v>
      </c>
      <c r="E13" s="64">
        <v>23.74</v>
      </c>
      <c r="F13" s="64">
        <v>9.17</v>
      </c>
      <c r="G13" s="64">
        <v>51.94</v>
      </c>
      <c r="H13" s="64">
        <v>14.82</v>
      </c>
      <c r="I13" s="64">
        <v>4</v>
      </c>
      <c r="J13" s="64">
        <v>0.24</v>
      </c>
      <c r="K13" s="64">
        <v>111.71</v>
      </c>
      <c r="L13" s="64">
        <v>35.49</v>
      </c>
      <c r="M13" s="64">
        <v>53.45</v>
      </c>
      <c r="N13" s="64">
        <v>40.1</v>
      </c>
      <c r="O13" s="64">
        <v>0</v>
      </c>
      <c r="P13" s="64">
        <v>0.53</v>
      </c>
      <c r="Q13" s="64">
        <v>9.52</v>
      </c>
      <c r="R13" s="198"/>
      <c r="S13" s="198"/>
      <c r="T13" s="198"/>
      <c r="U13" s="198"/>
    </row>
    <row r="14" spans="1:21" s="12" customFormat="1" x14ac:dyDescent="0.25">
      <c r="A14" s="214" t="s">
        <v>2172</v>
      </c>
      <c r="B14" s="64">
        <v>6.48</v>
      </c>
      <c r="C14" s="64">
        <v>33.67</v>
      </c>
      <c r="D14" s="64">
        <v>54.5</v>
      </c>
      <c r="E14" s="64">
        <v>23.73</v>
      </c>
      <c r="F14" s="64">
        <v>12.36</v>
      </c>
      <c r="G14" s="64">
        <v>51.94</v>
      </c>
      <c r="H14" s="64">
        <v>14.82</v>
      </c>
      <c r="I14" s="64">
        <v>4.1399999999999997</v>
      </c>
      <c r="J14" s="64">
        <v>0.11</v>
      </c>
      <c r="K14" s="64">
        <v>169.14</v>
      </c>
      <c r="L14" s="64">
        <v>35.4</v>
      </c>
      <c r="M14" s="64">
        <v>53.67</v>
      </c>
      <c r="N14" s="64">
        <v>40.299999999999997</v>
      </c>
      <c r="O14" s="64">
        <v>0</v>
      </c>
      <c r="P14" s="64">
        <v>0.51</v>
      </c>
      <c r="Q14" s="64">
        <v>9.5</v>
      </c>
      <c r="R14" s="198"/>
      <c r="S14" s="198"/>
      <c r="T14" s="198"/>
      <c r="U14" s="198"/>
    </row>
    <row r="15" spans="1:21" s="12" customFormat="1" x14ac:dyDescent="0.25">
      <c r="A15" s="214" t="s">
        <v>2173</v>
      </c>
      <c r="B15" s="64">
        <v>7.75</v>
      </c>
      <c r="C15" s="64">
        <v>33.69</v>
      </c>
      <c r="D15" s="64">
        <v>52.58</v>
      </c>
      <c r="E15" s="64">
        <v>17.899999999999999</v>
      </c>
      <c r="F15" s="64">
        <v>8.92</v>
      </c>
      <c r="G15" s="64">
        <v>64.95</v>
      </c>
      <c r="H15" s="64">
        <v>12.08</v>
      </c>
      <c r="I15" s="64">
        <v>4.07</v>
      </c>
      <c r="J15" s="64">
        <v>0.13</v>
      </c>
      <c r="K15" s="64">
        <v>199.94</v>
      </c>
      <c r="L15" s="64">
        <v>34.299999999999997</v>
      </c>
      <c r="M15" s="64">
        <v>59.66</v>
      </c>
      <c r="N15" s="64">
        <v>40.700000000000003</v>
      </c>
      <c r="O15" s="64">
        <v>0</v>
      </c>
      <c r="P15" s="64">
        <v>0.59</v>
      </c>
      <c r="Q15" s="64">
        <v>9.4700000000000006</v>
      </c>
      <c r="R15" s="198"/>
      <c r="S15" s="198"/>
      <c r="T15" s="198"/>
      <c r="U15" s="198"/>
    </row>
    <row r="16" spans="1:21" s="12" customFormat="1" x14ac:dyDescent="0.25">
      <c r="A16" s="214" t="s">
        <v>2174</v>
      </c>
      <c r="B16" s="64">
        <v>7.31</v>
      </c>
      <c r="C16" s="64">
        <v>34.25</v>
      </c>
      <c r="D16" s="64">
        <v>54.33</v>
      </c>
      <c r="E16" s="64">
        <v>16.09</v>
      </c>
      <c r="F16" s="64">
        <v>8.33</v>
      </c>
      <c r="G16" s="64">
        <v>65.88</v>
      </c>
      <c r="H16" s="64">
        <v>11.88</v>
      </c>
      <c r="I16" s="64">
        <v>3.96</v>
      </c>
      <c r="J16" s="64">
        <v>0.08</v>
      </c>
      <c r="K16" s="64">
        <v>144.76</v>
      </c>
      <c r="L16" s="64">
        <v>34.54</v>
      </c>
      <c r="M16" s="64">
        <v>59.3</v>
      </c>
      <c r="N16" s="64">
        <v>40.4</v>
      </c>
      <c r="O16" s="64">
        <v>0</v>
      </c>
      <c r="P16" s="64">
        <v>0.52</v>
      </c>
      <c r="Q16" s="64">
        <v>9.4600000000000009</v>
      </c>
      <c r="R16" s="198"/>
      <c r="S16" s="198"/>
      <c r="T16" s="198"/>
      <c r="U16" s="198"/>
    </row>
    <row r="17" spans="1:21" s="12" customFormat="1" x14ac:dyDescent="0.25">
      <c r="A17" s="214" t="s">
        <v>2175</v>
      </c>
      <c r="B17" s="64">
        <v>9.8699999999999992</v>
      </c>
      <c r="C17" s="64">
        <v>36.979999999999997</v>
      </c>
      <c r="D17" s="64">
        <v>55.63</v>
      </c>
      <c r="E17" s="64">
        <v>16.87</v>
      </c>
      <c r="F17" s="64">
        <v>9.2799999999999994</v>
      </c>
      <c r="G17" s="64">
        <v>65.88</v>
      </c>
      <c r="H17" s="64">
        <v>11.88</v>
      </c>
      <c r="I17" s="64">
        <v>4.0199999999999996</v>
      </c>
      <c r="J17" s="64">
        <v>0.16</v>
      </c>
      <c r="K17" s="64">
        <v>210.58</v>
      </c>
      <c r="L17" s="64">
        <v>34.659999999999997</v>
      </c>
      <c r="M17" s="64">
        <v>59.37</v>
      </c>
      <c r="N17" s="64">
        <v>40.299999999999997</v>
      </c>
      <c r="O17" s="64">
        <v>0</v>
      </c>
      <c r="P17" s="64">
        <v>0.54</v>
      </c>
      <c r="Q17" s="64">
        <v>9.4700000000000006</v>
      </c>
      <c r="R17" s="198"/>
      <c r="S17" s="198"/>
      <c r="T17" s="198"/>
      <c r="U17" s="198"/>
    </row>
    <row r="18" spans="1:21" s="12" customFormat="1" x14ac:dyDescent="0.25">
      <c r="A18" s="214" t="s">
        <v>2176</v>
      </c>
      <c r="B18" s="64">
        <v>5.03</v>
      </c>
      <c r="C18" s="64">
        <v>27.92</v>
      </c>
      <c r="D18" s="64">
        <v>45.72</v>
      </c>
      <c r="E18" s="64">
        <v>15.23</v>
      </c>
      <c r="F18" s="64">
        <v>9.64</v>
      </c>
      <c r="G18" s="64">
        <v>65.88</v>
      </c>
      <c r="H18" s="64">
        <v>11.88</v>
      </c>
      <c r="I18" s="64">
        <v>3.97</v>
      </c>
      <c r="J18" s="64">
        <v>0.73</v>
      </c>
      <c r="K18" s="64">
        <v>152.74</v>
      </c>
      <c r="L18" s="64">
        <v>34.659999999999997</v>
      </c>
      <c r="M18" s="64">
        <v>61.34</v>
      </c>
      <c r="N18" s="64">
        <v>40.5</v>
      </c>
      <c r="O18" s="64">
        <v>0</v>
      </c>
      <c r="P18" s="64">
        <v>0.57999999999999996</v>
      </c>
      <c r="Q18" s="64">
        <v>9.4600000000000009</v>
      </c>
      <c r="R18" s="198"/>
      <c r="S18" s="198"/>
      <c r="T18" s="198"/>
      <c r="U18" s="198"/>
    </row>
    <row r="19" spans="1:21" s="12" customFormat="1" x14ac:dyDescent="0.25">
      <c r="A19" s="214" t="s">
        <v>2177</v>
      </c>
      <c r="B19" s="64">
        <v>4.53</v>
      </c>
      <c r="C19" s="64">
        <v>21.8</v>
      </c>
      <c r="D19" s="64">
        <v>34.770000000000003</v>
      </c>
      <c r="E19" s="64">
        <v>11.85</v>
      </c>
      <c r="F19" s="64">
        <v>11.18</v>
      </c>
      <c r="G19" s="64">
        <v>65.58</v>
      </c>
      <c r="H19" s="64">
        <v>22.78</v>
      </c>
      <c r="I19" s="64">
        <v>4.0199999999999996</v>
      </c>
      <c r="J19" s="64">
        <v>0.12</v>
      </c>
      <c r="K19" s="64">
        <v>208.05</v>
      </c>
      <c r="L19" s="64">
        <v>33.22</v>
      </c>
      <c r="M19" s="64">
        <v>61.89</v>
      </c>
      <c r="N19" s="64">
        <v>40.5</v>
      </c>
      <c r="O19" s="64">
        <v>0</v>
      </c>
      <c r="P19" s="64">
        <v>0.62</v>
      </c>
      <c r="Q19" s="64">
        <v>9.44</v>
      </c>
      <c r="R19" s="198"/>
      <c r="S19" s="198"/>
      <c r="T19" s="198"/>
      <c r="U19" s="198"/>
    </row>
    <row r="20" spans="1:21" s="12" customFormat="1" x14ac:dyDescent="0.25">
      <c r="A20" s="214" t="s">
        <v>2178</v>
      </c>
      <c r="B20" s="64">
        <v>3.97</v>
      </c>
      <c r="C20" s="64">
        <v>20.309999999999999</v>
      </c>
      <c r="D20" s="64">
        <v>32.770000000000003</v>
      </c>
      <c r="E20" s="64">
        <v>10.63</v>
      </c>
      <c r="F20" s="64">
        <v>10.53</v>
      </c>
      <c r="G20" s="64">
        <v>65.56</v>
      </c>
      <c r="H20" s="64">
        <v>23.7</v>
      </c>
      <c r="I20" s="64">
        <v>4.1100000000000003</v>
      </c>
      <c r="J20" s="64">
        <v>0.33</v>
      </c>
      <c r="K20" s="64">
        <v>181.09</v>
      </c>
      <c r="L20" s="64">
        <v>33.950000000000003</v>
      </c>
      <c r="M20" s="64">
        <v>63.27</v>
      </c>
      <c r="N20" s="64">
        <v>40.4</v>
      </c>
      <c r="O20" s="64">
        <v>0</v>
      </c>
      <c r="P20" s="64">
        <v>0.64</v>
      </c>
      <c r="Q20" s="64">
        <v>9.43</v>
      </c>
      <c r="R20" s="198"/>
      <c r="S20" s="198"/>
      <c r="T20" s="198"/>
      <c r="U20" s="198"/>
    </row>
    <row r="21" spans="1:21" s="12" customFormat="1" x14ac:dyDescent="0.25">
      <c r="A21" s="214" t="s">
        <v>2179</v>
      </c>
      <c r="B21" s="64">
        <v>4.13</v>
      </c>
      <c r="C21" s="64">
        <v>19.04</v>
      </c>
      <c r="D21" s="64">
        <v>30.1</v>
      </c>
      <c r="E21" s="64">
        <v>9.68</v>
      </c>
      <c r="F21" s="64">
        <v>11.48</v>
      </c>
      <c r="G21" s="64">
        <v>65.56</v>
      </c>
      <c r="H21" s="64">
        <v>23.7</v>
      </c>
      <c r="I21" s="64">
        <v>4.0199999999999996</v>
      </c>
      <c r="J21" s="64">
        <v>0.34</v>
      </c>
      <c r="K21" s="64">
        <v>186.4</v>
      </c>
      <c r="L21" s="64">
        <v>33.54</v>
      </c>
      <c r="M21" s="64">
        <v>63.64</v>
      </c>
      <c r="N21" s="64">
        <v>40.6</v>
      </c>
      <c r="O21" s="64">
        <v>0</v>
      </c>
      <c r="P21" s="64">
        <v>0.66</v>
      </c>
      <c r="Q21" s="64">
        <v>9.42</v>
      </c>
      <c r="R21" s="198"/>
      <c r="S21" s="198"/>
      <c r="T21" s="198"/>
      <c r="U21" s="198"/>
    </row>
    <row r="22" spans="1:21" s="12" customFormat="1" x14ac:dyDescent="0.25">
      <c r="A22" s="214" t="s">
        <v>2180</v>
      </c>
      <c r="B22" s="64">
        <v>4.62</v>
      </c>
      <c r="C22" s="64">
        <v>18.559999999999999</v>
      </c>
      <c r="D22" s="64">
        <v>28.44</v>
      </c>
      <c r="E22" s="64">
        <v>9.4600000000000009</v>
      </c>
      <c r="F22" s="64">
        <v>11.03</v>
      </c>
      <c r="G22" s="64">
        <v>65.56</v>
      </c>
      <c r="H22" s="64">
        <v>23.7</v>
      </c>
      <c r="I22" s="64">
        <v>4.0999999999999996</v>
      </c>
      <c r="J22" s="64">
        <v>0.53</v>
      </c>
      <c r="K22" s="64">
        <v>163.78</v>
      </c>
      <c r="L22" s="64">
        <v>30.74</v>
      </c>
      <c r="M22" s="64">
        <v>62.32</v>
      </c>
      <c r="N22" s="64">
        <v>40.799999999999997</v>
      </c>
      <c r="O22" s="64">
        <v>0</v>
      </c>
      <c r="P22" s="64">
        <v>0.62</v>
      </c>
      <c r="Q22" s="64">
        <v>9.4</v>
      </c>
      <c r="R22" s="198"/>
      <c r="S22" s="198"/>
      <c r="T22" s="198"/>
      <c r="U22" s="198"/>
    </row>
    <row r="23" spans="1:21" s="12" customFormat="1" x14ac:dyDescent="0.25">
      <c r="A23" s="214" t="s">
        <v>2181</v>
      </c>
      <c r="B23" s="64">
        <v>5.27</v>
      </c>
      <c r="C23" s="64">
        <v>18.350000000000001</v>
      </c>
      <c r="D23" s="64">
        <v>27.02</v>
      </c>
      <c r="E23" s="64">
        <v>8.57</v>
      </c>
      <c r="F23" s="64">
        <v>9.59</v>
      </c>
      <c r="G23" s="64">
        <v>55.19</v>
      </c>
      <c r="H23" s="64">
        <v>50.27</v>
      </c>
      <c r="I23" s="64">
        <v>3.99</v>
      </c>
      <c r="J23" s="64">
        <v>0.72</v>
      </c>
      <c r="K23" s="64">
        <v>161.12</v>
      </c>
      <c r="L23" s="64">
        <v>33.47</v>
      </c>
      <c r="M23" s="64">
        <v>66.63</v>
      </c>
      <c r="N23" s="64">
        <v>40.1</v>
      </c>
      <c r="O23" s="64">
        <v>0</v>
      </c>
      <c r="P23" s="64">
        <v>0.64</v>
      </c>
      <c r="Q23" s="64">
        <v>9.4</v>
      </c>
      <c r="R23" s="198"/>
      <c r="S23" s="198"/>
      <c r="T23" s="198"/>
      <c r="U23" s="198"/>
    </row>
    <row r="24" spans="1:21" s="12" customFormat="1" x14ac:dyDescent="0.25">
      <c r="A24" s="214" t="s">
        <v>2182</v>
      </c>
      <c r="B24" s="64">
        <v>6.37</v>
      </c>
      <c r="C24" s="64">
        <v>17.670000000000002</v>
      </c>
      <c r="D24" s="64">
        <v>24.06</v>
      </c>
      <c r="E24" s="64">
        <v>8.42</v>
      </c>
      <c r="F24" s="64">
        <v>8.52</v>
      </c>
      <c r="G24" s="64">
        <v>54.45</v>
      </c>
      <c r="H24" s="64">
        <v>52.16</v>
      </c>
      <c r="I24" s="64">
        <v>4.01</v>
      </c>
      <c r="J24" s="64">
        <v>1.18</v>
      </c>
      <c r="K24" s="64">
        <v>147.61000000000001</v>
      </c>
      <c r="L24" s="64">
        <v>31.46</v>
      </c>
      <c r="M24" s="64">
        <v>64.349999999999994</v>
      </c>
      <c r="N24" s="64">
        <v>40.4</v>
      </c>
      <c r="O24" s="64">
        <v>0</v>
      </c>
      <c r="P24" s="64">
        <v>0.64</v>
      </c>
      <c r="Q24" s="64">
        <v>9.3800000000000008</v>
      </c>
      <c r="R24" s="198"/>
      <c r="S24" s="198"/>
      <c r="T24" s="198"/>
      <c r="U24" s="198"/>
    </row>
    <row r="25" spans="1:21" s="12" customFormat="1" x14ac:dyDescent="0.25">
      <c r="A25" s="214" t="s">
        <v>2183</v>
      </c>
      <c r="B25" s="64">
        <v>7.46</v>
      </c>
      <c r="C25" s="64">
        <v>17.059999999999999</v>
      </c>
      <c r="D25" s="64">
        <v>21.21</v>
      </c>
      <c r="E25" s="64">
        <v>7.34</v>
      </c>
      <c r="F25" s="64">
        <v>5.58</v>
      </c>
      <c r="G25" s="64">
        <v>54.45</v>
      </c>
      <c r="H25" s="64">
        <v>52.16</v>
      </c>
      <c r="I25" s="64">
        <v>3.94</v>
      </c>
      <c r="J25" s="64">
        <v>1.31</v>
      </c>
      <c r="K25" s="64">
        <v>141.19999999999999</v>
      </c>
      <c r="L25" s="64">
        <v>33.340000000000003</v>
      </c>
      <c r="M25" s="64">
        <v>67.66</v>
      </c>
      <c r="N25" s="64">
        <v>40.6</v>
      </c>
      <c r="O25" s="64">
        <v>0</v>
      </c>
      <c r="P25" s="64">
        <v>0.66</v>
      </c>
      <c r="Q25" s="64">
        <v>9.3800000000000008</v>
      </c>
      <c r="R25" s="198"/>
      <c r="S25" s="198"/>
      <c r="T25" s="198"/>
      <c r="U25" s="198"/>
    </row>
    <row r="26" spans="1:21" s="12" customFormat="1" x14ac:dyDescent="0.25">
      <c r="A26" s="214" t="s">
        <v>2184</v>
      </c>
      <c r="B26" s="64">
        <v>7.31</v>
      </c>
      <c r="C26" s="64">
        <v>17.47</v>
      </c>
      <c r="D26" s="64">
        <v>22.22</v>
      </c>
      <c r="E26" s="64">
        <v>7.05</v>
      </c>
      <c r="F26" s="64">
        <v>5.61</v>
      </c>
      <c r="G26" s="64">
        <v>54.45</v>
      </c>
      <c r="H26" s="64">
        <v>52.16</v>
      </c>
      <c r="I26" s="64">
        <v>3.97</v>
      </c>
      <c r="J26" s="64">
        <v>1.4</v>
      </c>
      <c r="K26" s="64">
        <v>143.25</v>
      </c>
      <c r="L26" s="64">
        <v>32.21</v>
      </c>
      <c r="M26" s="64">
        <v>67.81</v>
      </c>
      <c r="N26" s="64">
        <v>40.6</v>
      </c>
      <c r="O26" s="64">
        <v>0</v>
      </c>
      <c r="P26" s="64">
        <v>0.61</v>
      </c>
      <c r="Q26" s="64">
        <v>9.3699999999999992</v>
      </c>
      <c r="R26" s="198"/>
      <c r="S26" s="198"/>
      <c r="T26" s="198"/>
      <c r="U26" s="198"/>
    </row>
    <row r="27" spans="1:21" s="12" customFormat="1" x14ac:dyDescent="0.25">
      <c r="A27" s="214" t="s">
        <v>2185</v>
      </c>
      <c r="B27" s="64">
        <v>7.01</v>
      </c>
      <c r="C27" s="64">
        <v>17.23</v>
      </c>
      <c r="D27" s="64">
        <v>22.21</v>
      </c>
      <c r="E27" s="64">
        <v>6.37</v>
      </c>
      <c r="F27" s="64">
        <v>6.23</v>
      </c>
      <c r="G27" s="64">
        <v>43.48</v>
      </c>
      <c r="H27" s="64">
        <v>28.42</v>
      </c>
      <c r="I27" s="64">
        <v>3.98</v>
      </c>
      <c r="J27" s="64">
        <v>0.84</v>
      </c>
      <c r="K27" s="64">
        <v>148.30000000000001</v>
      </c>
      <c r="L27" s="64">
        <v>33.270000000000003</v>
      </c>
      <c r="M27" s="64">
        <v>67.52</v>
      </c>
      <c r="N27" s="64">
        <v>40.200000000000003</v>
      </c>
      <c r="O27" s="64">
        <v>0</v>
      </c>
      <c r="P27" s="64">
        <v>0.6</v>
      </c>
      <c r="Q27" s="64">
        <v>9.36</v>
      </c>
      <c r="R27" s="198"/>
      <c r="S27" s="198"/>
      <c r="T27" s="198"/>
      <c r="U27" s="198"/>
    </row>
    <row r="28" spans="1:21" s="12" customFormat="1" x14ac:dyDescent="0.25">
      <c r="A28" s="214" t="s">
        <v>2186</v>
      </c>
      <c r="B28" s="64">
        <v>6.93</v>
      </c>
      <c r="C28" s="64">
        <v>22.01</v>
      </c>
      <c r="D28" s="64">
        <v>31.49</v>
      </c>
      <c r="E28" s="64">
        <v>6.39</v>
      </c>
      <c r="F28" s="64">
        <v>8.35</v>
      </c>
      <c r="G28" s="64">
        <v>42.7</v>
      </c>
      <c r="H28" s="64">
        <v>26.72</v>
      </c>
      <c r="I28" s="64">
        <v>4.1100000000000003</v>
      </c>
      <c r="J28" s="64">
        <v>0.17</v>
      </c>
      <c r="K28" s="64">
        <v>188.83</v>
      </c>
      <c r="L28" s="64">
        <v>33.47</v>
      </c>
      <c r="M28" s="64">
        <v>66.62</v>
      </c>
      <c r="N28" s="64">
        <v>40.6</v>
      </c>
      <c r="O28" s="64">
        <v>0</v>
      </c>
      <c r="P28" s="64">
        <v>0.46</v>
      </c>
      <c r="Q28" s="64">
        <v>9.36</v>
      </c>
      <c r="R28" s="198"/>
      <c r="S28" s="198"/>
      <c r="T28" s="198"/>
      <c r="U28" s="198"/>
    </row>
    <row r="29" spans="1:21" s="12" customFormat="1" x14ac:dyDescent="0.25">
      <c r="A29" s="214" t="s">
        <v>2187</v>
      </c>
      <c r="B29" s="64">
        <v>5.9</v>
      </c>
      <c r="C29" s="64">
        <v>23.55</v>
      </c>
      <c r="D29" s="64">
        <v>36.03</v>
      </c>
      <c r="E29" s="64">
        <v>6.37</v>
      </c>
      <c r="F29" s="64">
        <v>8.93</v>
      </c>
      <c r="G29" s="64">
        <v>42.7</v>
      </c>
      <c r="H29" s="64">
        <v>26.72</v>
      </c>
      <c r="I29" s="64">
        <v>4.1399999999999997</v>
      </c>
      <c r="J29" s="64">
        <v>0.28999999999999998</v>
      </c>
      <c r="K29" s="64">
        <v>165.73</v>
      </c>
      <c r="L29" s="64">
        <v>33.49</v>
      </c>
      <c r="M29" s="64">
        <v>66.91</v>
      </c>
      <c r="N29" s="64">
        <v>41.1</v>
      </c>
      <c r="O29" s="64">
        <v>0</v>
      </c>
      <c r="P29" s="64">
        <v>0.43</v>
      </c>
      <c r="Q29" s="64">
        <v>9.3699999999999992</v>
      </c>
      <c r="R29" s="198"/>
      <c r="S29" s="198"/>
      <c r="T29" s="198"/>
      <c r="U29" s="198"/>
    </row>
    <row r="30" spans="1:21" s="12" customFormat="1" x14ac:dyDescent="0.25">
      <c r="A30" s="214" t="s">
        <v>2188</v>
      </c>
      <c r="B30" s="64">
        <v>6.15</v>
      </c>
      <c r="C30" s="64">
        <v>21.75</v>
      </c>
      <c r="D30" s="64">
        <v>32.19</v>
      </c>
      <c r="E30" s="64">
        <v>6.55</v>
      </c>
      <c r="F30" s="64">
        <v>7.73</v>
      </c>
      <c r="G30" s="64">
        <v>42.7</v>
      </c>
      <c r="H30" s="64">
        <v>26.72</v>
      </c>
      <c r="I30" s="64">
        <v>3.99</v>
      </c>
      <c r="J30" s="64">
        <v>0.48</v>
      </c>
      <c r="K30" s="64">
        <v>154.91999999999999</v>
      </c>
      <c r="L30" s="64">
        <v>33.5</v>
      </c>
      <c r="M30" s="64">
        <v>67.349999999999994</v>
      </c>
      <c r="N30" s="64">
        <v>45.6</v>
      </c>
      <c r="O30" s="64">
        <v>0</v>
      </c>
      <c r="P30" s="64">
        <v>0.48</v>
      </c>
      <c r="Q30" s="64">
        <v>9.36</v>
      </c>
      <c r="R30" s="198"/>
      <c r="S30" s="198"/>
      <c r="T30" s="198"/>
      <c r="U30" s="198"/>
    </row>
    <row r="31" spans="1:21" s="12" customFormat="1" x14ac:dyDescent="0.25">
      <c r="A31" s="214" t="s">
        <v>2189</v>
      </c>
      <c r="B31" s="64">
        <v>4.91</v>
      </c>
      <c r="C31" s="64">
        <v>21.46</v>
      </c>
      <c r="D31" s="64">
        <v>33.549999999999997</v>
      </c>
      <c r="E31" s="64">
        <v>6.39</v>
      </c>
      <c r="F31" s="64">
        <v>10.71</v>
      </c>
      <c r="G31" s="64">
        <v>39.99</v>
      </c>
      <c r="H31" s="64">
        <v>19.600000000000001</v>
      </c>
      <c r="I31" s="64">
        <v>4</v>
      </c>
      <c r="J31" s="64">
        <v>0.23</v>
      </c>
      <c r="K31" s="64">
        <v>154.34</v>
      </c>
      <c r="L31" s="64">
        <v>33.67</v>
      </c>
      <c r="M31" s="64">
        <v>67.2</v>
      </c>
      <c r="N31" s="64">
        <v>61.6</v>
      </c>
      <c r="O31" s="64">
        <v>0</v>
      </c>
      <c r="P31" s="64">
        <v>0.4</v>
      </c>
      <c r="Q31" s="64">
        <v>9.36</v>
      </c>
      <c r="R31" s="198"/>
      <c r="S31" s="198"/>
      <c r="T31" s="198"/>
      <c r="U31" s="198"/>
    </row>
    <row r="32" spans="1:21" s="12" customFormat="1" x14ac:dyDescent="0.25">
      <c r="A32" s="214" t="s">
        <v>2190</v>
      </c>
      <c r="B32" s="64">
        <v>6.31</v>
      </c>
      <c r="C32" s="64">
        <v>23.02</v>
      </c>
      <c r="D32" s="64">
        <v>34.369999999999997</v>
      </c>
      <c r="E32" s="64">
        <v>6.33</v>
      </c>
      <c r="F32" s="64">
        <v>8.57</v>
      </c>
      <c r="G32" s="64">
        <v>39.799999999999997</v>
      </c>
      <c r="H32" s="64">
        <v>19.09</v>
      </c>
      <c r="I32" s="64">
        <v>3.92</v>
      </c>
      <c r="J32" s="64">
        <v>0.12</v>
      </c>
      <c r="K32" s="64">
        <v>160.13</v>
      </c>
      <c r="L32" s="64">
        <v>34.08</v>
      </c>
      <c r="M32" s="64">
        <v>66.5</v>
      </c>
      <c r="N32" s="64">
        <v>94.8</v>
      </c>
      <c r="O32" s="64">
        <v>0</v>
      </c>
      <c r="P32" s="64">
        <v>0.46</v>
      </c>
      <c r="Q32" s="64">
        <v>9.35</v>
      </c>
      <c r="R32" s="198"/>
      <c r="S32" s="198"/>
      <c r="T32" s="198"/>
      <c r="U32" s="198"/>
    </row>
    <row r="33" spans="1:21" s="12" customFormat="1" x14ac:dyDescent="0.25">
      <c r="A33" s="214" t="s">
        <v>2191</v>
      </c>
      <c r="B33" s="64">
        <v>9.15</v>
      </c>
      <c r="C33" s="64">
        <v>28.76</v>
      </c>
      <c r="D33" s="64">
        <v>41</v>
      </c>
      <c r="E33" s="64">
        <v>6.26</v>
      </c>
      <c r="F33" s="64">
        <v>8.94</v>
      </c>
      <c r="G33" s="64">
        <v>39.799999999999997</v>
      </c>
      <c r="H33" s="64">
        <v>19.09</v>
      </c>
      <c r="I33" s="64">
        <v>4.1399999999999997</v>
      </c>
      <c r="J33" s="64">
        <v>0.2</v>
      </c>
      <c r="K33" s="64">
        <v>115.27</v>
      </c>
      <c r="L33" s="64">
        <v>32.07</v>
      </c>
      <c r="M33" s="64">
        <v>61.13</v>
      </c>
      <c r="N33" s="64">
        <v>116.9</v>
      </c>
      <c r="O33" s="64">
        <v>0</v>
      </c>
      <c r="P33" s="64">
        <v>0.43</v>
      </c>
      <c r="Q33" s="64">
        <v>9.35</v>
      </c>
      <c r="R33" s="198"/>
      <c r="S33" s="198"/>
      <c r="T33" s="198"/>
      <c r="U33" s="198"/>
    </row>
    <row r="34" spans="1:21" s="12" customFormat="1" x14ac:dyDescent="0.25">
      <c r="A34" s="214" t="s">
        <v>2192</v>
      </c>
      <c r="B34" s="64">
        <v>8.18</v>
      </c>
      <c r="C34" s="64">
        <v>24.75</v>
      </c>
      <c r="D34" s="64">
        <v>34.82</v>
      </c>
      <c r="E34" s="64">
        <v>6.13</v>
      </c>
      <c r="F34" s="64">
        <v>7.04</v>
      </c>
      <c r="G34" s="64">
        <v>39.799999999999997</v>
      </c>
      <c r="H34" s="64">
        <v>19.09</v>
      </c>
      <c r="I34" s="64">
        <v>4.0199999999999996</v>
      </c>
      <c r="J34" s="64">
        <v>0.5</v>
      </c>
      <c r="K34" s="64">
        <v>154.53</v>
      </c>
      <c r="L34" s="64">
        <v>34.74</v>
      </c>
      <c r="M34" s="64">
        <v>62.56</v>
      </c>
      <c r="N34" s="64">
        <v>185.4</v>
      </c>
      <c r="O34" s="64">
        <v>0</v>
      </c>
      <c r="P34" s="64">
        <v>0.49</v>
      </c>
      <c r="Q34" s="64">
        <v>9.34</v>
      </c>
      <c r="R34" s="198"/>
      <c r="S34" s="198"/>
      <c r="T34" s="198"/>
      <c r="U34" s="198"/>
    </row>
    <row r="35" spans="1:21" s="12" customFormat="1" x14ac:dyDescent="0.25">
      <c r="A35" s="214" t="s">
        <v>2193</v>
      </c>
      <c r="B35" s="64">
        <v>9.24</v>
      </c>
      <c r="C35" s="64">
        <v>24.08</v>
      </c>
      <c r="D35" s="64">
        <v>31.91</v>
      </c>
      <c r="E35" s="64">
        <v>6.23</v>
      </c>
      <c r="F35" s="64">
        <v>8.0299999999999994</v>
      </c>
      <c r="G35" s="64">
        <v>36.840000000000003</v>
      </c>
      <c r="H35" s="64">
        <v>15.6</v>
      </c>
      <c r="I35" s="64">
        <v>4.1399999999999997</v>
      </c>
      <c r="J35" s="64">
        <v>0.82</v>
      </c>
      <c r="K35" s="64">
        <v>163.02000000000001</v>
      </c>
      <c r="L35" s="64">
        <v>32.159999999999997</v>
      </c>
      <c r="M35" s="64">
        <v>58.96</v>
      </c>
      <c r="N35" s="64">
        <v>221.3</v>
      </c>
      <c r="O35" s="64">
        <v>0</v>
      </c>
      <c r="P35" s="64">
        <v>0.46</v>
      </c>
      <c r="Q35" s="64">
        <v>9.35</v>
      </c>
      <c r="R35" s="198"/>
      <c r="S35" s="198"/>
      <c r="T35" s="198"/>
      <c r="U35" s="198"/>
    </row>
    <row r="36" spans="1:21" s="12" customFormat="1" x14ac:dyDescent="0.25">
      <c r="A36" s="214" t="s">
        <v>2194</v>
      </c>
      <c r="B36" s="64">
        <v>7.84</v>
      </c>
      <c r="C36" s="64">
        <v>21.5</v>
      </c>
      <c r="D36" s="64">
        <v>29.13</v>
      </c>
      <c r="E36" s="64">
        <v>6.19</v>
      </c>
      <c r="F36" s="64">
        <v>11.97</v>
      </c>
      <c r="G36" s="64">
        <v>36.630000000000003</v>
      </c>
      <c r="H36" s="64">
        <v>15.35</v>
      </c>
      <c r="I36" s="64">
        <v>4.05</v>
      </c>
      <c r="J36" s="64">
        <v>0.54</v>
      </c>
      <c r="K36" s="64">
        <v>164.18</v>
      </c>
      <c r="L36" s="64">
        <v>32.549999999999997</v>
      </c>
      <c r="M36" s="64">
        <v>59.11</v>
      </c>
      <c r="N36" s="64">
        <v>213.8</v>
      </c>
      <c r="O36" s="64">
        <v>0</v>
      </c>
      <c r="P36" s="64">
        <v>0.38</v>
      </c>
      <c r="Q36" s="64">
        <v>9.3699999999999992</v>
      </c>
      <c r="R36" s="198"/>
      <c r="S36" s="198"/>
      <c r="T36" s="198"/>
      <c r="U36" s="198"/>
    </row>
    <row r="37" spans="1:21" s="12" customFormat="1" x14ac:dyDescent="0.25">
      <c r="A37" s="214" t="s">
        <v>2195</v>
      </c>
      <c r="B37" s="64">
        <v>6.48</v>
      </c>
      <c r="C37" s="64">
        <v>18.28</v>
      </c>
      <c r="D37" s="64">
        <v>25.04</v>
      </c>
      <c r="E37" s="64">
        <v>6.12</v>
      </c>
      <c r="F37" s="64">
        <v>11.48</v>
      </c>
      <c r="G37" s="64">
        <v>36.630000000000003</v>
      </c>
      <c r="H37" s="64">
        <v>15.35</v>
      </c>
      <c r="I37" s="64">
        <v>3.92</v>
      </c>
      <c r="J37" s="64">
        <v>0.54</v>
      </c>
      <c r="K37" s="64">
        <v>163.95</v>
      </c>
      <c r="L37" s="64">
        <v>31.98</v>
      </c>
      <c r="M37" s="64">
        <v>59.11</v>
      </c>
      <c r="N37" s="64">
        <v>279.2</v>
      </c>
      <c r="O37" s="64">
        <v>0</v>
      </c>
      <c r="P37" s="64">
        <v>0.36</v>
      </c>
      <c r="Q37" s="64">
        <v>9.39</v>
      </c>
      <c r="R37" s="198"/>
      <c r="S37" s="198"/>
      <c r="T37" s="198"/>
      <c r="U37" s="198"/>
    </row>
    <row r="38" spans="1:21" s="12" customFormat="1" x14ac:dyDescent="0.25">
      <c r="A38" s="214" t="s">
        <v>2196</v>
      </c>
      <c r="B38" s="64">
        <v>7.11</v>
      </c>
      <c r="C38" s="64">
        <v>19.86</v>
      </c>
      <c r="D38" s="64">
        <v>27.1</v>
      </c>
      <c r="E38" s="64">
        <v>6.24</v>
      </c>
      <c r="F38" s="64">
        <v>12.85</v>
      </c>
      <c r="G38" s="64">
        <v>36.630000000000003</v>
      </c>
      <c r="H38" s="64">
        <v>15.35</v>
      </c>
      <c r="I38" s="64">
        <v>4</v>
      </c>
      <c r="J38" s="64">
        <v>0.5</v>
      </c>
      <c r="K38" s="64">
        <v>179.73</v>
      </c>
      <c r="L38" s="64">
        <v>8.6300000000000008</v>
      </c>
      <c r="M38" s="64">
        <v>59.11</v>
      </c>
      <c r="N38" s="64">
        <v>337.1</v>
      </c>
      <c r="O38" s="64">
        <v>0</v>
      </c>
      <c r="P38" s="64">
        <v>0.38</v>
      </c>
      <c r="Q38" s="64">
        <v>9.3699999999999992</v>
      </c>
      <c r="R38" s="198"/>
      <c r="S38" s="198"/>
      <c r="T38" s="198"/>
      <c r="U38" s="198"/>
    </row>
    <row r="39" spans="1:21" s="12" customFormat="1" x14ac:dyDescent="0.25">
      <c r="A39" s="214" t="s">
        <v>2197</v>
      </c>
      <c r="B39" s="64">
        <v>7.2</v>
      </c>
      <c r="C39" s="64">
        <v>18.79</v>
      </c>
      <c r="D39" s="64">
        <v>24.92</v>
      </c>
      <c r="E39" s="64">
        <v>5.96</v>
      </c>
      <c r="F39" s="64">
        <v>12.78</v>
      </c>
      <c r="G39" s="64">
        <v>29.95</v>
      </c>
      <c r="H39" s="64">
        <v>661.97</v>
      </c>
      <c r="I39" s="64">
        <v>4.01</v>
      </c>
      <c r="J39" s="64">
        <v>0.44</v>
      </c>
      <c r="K39" s="64">
        <v>203.71</v>
      </c>
      <c r="L39" s="64">
        <v>8.6300000000000008</v>
      </c>
      <c r="M39" s="64">
        <v>59.11</v>
      </c>
      <c r="N39" s="64">
        <v>490.7</v>
      </c>
      <c r="O39" s="64">
        <v>0</v>
      </c>
      <c r="P39" s="64">
        <v>0.41</v>
      </c>
      <c r="Q39" s="64">
        <v>9.35</v>
      </c>
      <c r="R39" s="198"/>
      <c r="S39" s="198"/>
      <c r="T39" s="198"/>
      <c r="U39" s="198"/>
    </row>
    <row r="40" spans="1:21" s="12" customFormat="1" x14ac:dyDescent="0.25">
      <c r="A40" s="214" t="s">
        <v>2198</v>
      </c>
      <c r="B40" s="64">
        <v>7.29</v>
      </c>
      <c r="C40" s="64">
        <v>19.72</v>
      </c>
      <c r="D40" s="64">
        <v>26.56</v>
      </c>
      <c r="E40" s="64">
        <v>6.29</v>
      </c>
      <c r="F40" s="64">
        <v>11.55</v>
      </c>
      <c r="G40" s="64">
        <v>29.48</v>
      </c>
      <c r="H40" s="64">
        <v>733.82</v>
      </c>
      <c r="I40" s="64">
        <v>4.09</v>
      </c>
      <c r="J40" s="64">
        <v>0.42</v>
      </c>
      <c r="K40" s="64">
        <v>208.98</v>
      </c>
      <c r="L40" s="64">
        <v>8.6300000000000008</v>
      </c>
      <c r="M40" s="64">
        <v>59.11</v>
      </c>
      <c r="N40" s="64">
        <v>392.3</v>
      </c>
      <c r="O40" s="64">
        <v>0</v>
      </c>
      <c r="P40" s="64">
        <v>0.47</v>
      </c>
      <c r="Q40" s="64">
        <v>9.32</v>
      </c>
      <c r="R40" s="198"/>
      <c r="S40" s="198"/>
      <c r="T40" s="198"/>
      <c r="U40" s="198"/>
    </row>
    <row r="41" spans="1:21" s="12" customFormat="1" x14ac:dyDescent="0.25">
      <c r="A41" s="214" t="s">
        <v>2199</v>
      </c>
      <c r="B41" s="64">
        <v>6.41</v>
      </c>
      <c r="C41" s="64">
        <v>18.39</v>
      </c>
      <c r="D41" s="64">
        <v>25.35</v>
      </c>
      <c r="E41" s="64">
        <v>7.22</v>
      </c>
      <c r="F41" s="64">
        <v>14.14</v>
      </c>
      <c r="G41" s="64">
        <v>29.48</v>
      </c>
      <c r="H41" s="64">
        <v>733.82</v>
      </c>
      <c r="I41" s="64">
        <v>3.84</v>
      </c>
      <c r="J41" s="64">
        <v>0.5</v>
      </c>
      <c r="K41" s="64">
        <v>182.44</v>
      </c>
      <c r="L41" s="64">
        <v>8.6300000000000008</v>
      </c>
      <c r="M41" s="64">
        <v>59.11</v>
      </c>
      <c r="N41" s="64">
        <v>305</v>
      </c>
      <c r="O41" s="64">
        <v>0</v>
      </c>
      <c r="P41" s="64">
        <v>0.38</v>
      </c>
      <c r="Q41" s="64">
        <v>9.2899999999999991</v>
      </c>
      <c r="R41" s="198"/>
      <c r="S41" s="198"/>
      <c r="T41" s="198"/>
      <c r="U41" s="198"/>
    </row>
    <row r="42" spans="1:21" s="12" customFormat="1" x14ac:dyDescent="0.25">
      <c r="A42" s="214" t="s">
        <v>2200</v>
      </c>
      <c r="B42" s="64">
        <v>5.31</v>
      </c>
      <c r="C42" s="64">
        <v>16.47</v>
      </c>
      <c r="D42" s="64">
        <v>23.37</v>
      </c>
      <c r="E42" s="64">
        <v>7.41</v>
      </c>
      <c r="F42" s="64">
        <v>13.66</v>
      </c>
      <c r="G42" s="64">
        <v>29.48</v>
      </c>
      <c r="H42" s="64">
        <v>733.82</v>
      </c>
      <c r="I42" s="64">
        <v>3.99</v>
      </c>
      <c r="J42" s="64">
        <v>0.44</v>
      </c>
      <c r="K42" s="64">
        <v>198.29</v>
      </c>
      <c r="L42" s="64">
        <v>8.6300000000000008</v>
      </c>
      <c r="M42" s="64">
        <v>59.11</v>
      </c>
      <c r="N42" s="64">
        <v>451.9</v>
      </c>
      <c r="O42" s="64">
        <v>0</v>
      </c>
      <c r="P42" s="64">
        <v>0.4</v>
      </c>
      <c r="Q42" s="64">
        <v>9.2899999999999991</v>
      </c>
      <c r="R42" s="198"/>
      <c r="S42" s="198"/>
      <c r="T42" s="198"/>
      <c r="U42" s="198"/>
    </row>
    <row r="43" spans="1:21" s="12" customFormat="1" x14ac:dyDescent="0.25">
      <c r="A43" s="214" t="s">
        <v>2201</v>
      </c>
      <c r="B43" s="64">
        <v>5.49</v>
      </c>
      <c r="C43" s="64">
        <v>16.940000000000001</v>
      </c>
      <c r="D43" s="64">
        <v>23.99</v>
      </c>
      <c r="E43" s="64">
        <v>7.32</v>
      </c>
      <c r="F43" s="64">
        <v>9.6</v>
      </c>
      <c r="G43" s="64">
        <v>28.13</v>
      </c>
      <c r="H43" s="64">
        <v>48.92</v>
      </c>
      <c r="I43" s="64">
        <v>3.95</v>
      </c>
      <c r="J43" s="64">
        <v>0.56000000000000005</v>
      </c>
      <c r="K43" s="64">
        <v>186.81</v>
      </c>
      <c r="L43" s="64">
        <v>8.6300000000000008</v>
      </c>
      <c r="M43" s="64">
        <v>59.11</v>
      </c>
      <c r="N43" s="64">
        <v>619.9</v>
      </c>
      <c r="O43" s="64">
        <v>0</v>
      </c>
      <c r="P43" s="64">
        <v>0.43</v>
      </c>
      <c r="Q43" s="64">
        <v>9.26</v>
      </c>
      <c r="R43" s="198"/>
      <c r="S43" s="198"/>
      <c r="T43" s="198"/>
      <c r="U43" s="198"/>
    </row>
    <row r="44" spans="1:21" s="12" customFormat="1" x14ac:dyDescent="0.25">
      <c r="A44" s="214" t="s">
        <v>2202</v>
      </c>
      <c r="B44" s="64">
        <v>5.14</v>
      </c>
      <c r="C44" s="64">
        <v>16.100000000000001</v>
      </c>
      <c r="D44" s="64">
        <v>22.93</v>
      </c>
      <c r="E44" s="64">
        <v>6.98</v>
      </c>
      <c r="F44" s="64">
        <v>10.74</v>
      </c>
      <c r="G44" s="64">
        <v>28.04</v>
      </c>
      <c r="H44" s="6" t="s">
        <v>42</v>
      </c>
      <c r="I44" s="64">
        <v>4.1500000000000004</v>
      </c>
      <c r="J44" s="64">
        <v>0.53</v>
      </c>
      <c r="K44" s="64">
        <v>204.64</v>
      </c>
      <c r="L44" s="64">
        <v>8.6300000000000008</v>
      </c>
      <c r="M44" s="64">
        <v>59.11</v>
      </c>
      <c r="N44" s="64">
        <v>643</v>
      </c>
      <c r="O44" s="64">
        <v>0</v>
      </c>
      <c r="P44" s="64">
        <v>0.41</v>
      </c>
      <c r="Q44" s="64">
        <v>9.24</v>
      </c>
      <c r="R44" s="198"/>
      <c r="S44" s="198"/>
      <c r="T44" s="198"/>
      <c r="U44" s="198"/>
    </row>
    <row r="45" spans="1:21" s="12" customFormat="1" x14ac:dyDescent="0.25">
      <c r="A45" s="214" t="s">
        <v>2203</v>
      </c>
      <c r="B45" s="64">
        <v>4.84</v>
      </c>
      <c r="C45" s="64">
        <v>16.010000000000002</v>
      </c>
      <c r="D45" s="64">
        <v>23.22</v>
      </c>
      <c r="E45" s="64">
        <v>6.63</v>
      </c>
      <c r="F45" s="64">
        <v>6</v>
      </c>
      <c r="G45" s="64">
        <v>28.04</v>
      </c>
      <c r="H45" s="6" t="s">
        <v>42</v>
      </c>
      <c r="I45" s="64">
        <v>3.91</v>
      </c>
      <c r="J45" s="64">
        <v>0.46</v>
      </c>
      <c r="K45" s="64">
        <v>211.11</v>
      </c>
      <c r="L45" s="64">
        <v>8.6300000000000008</v>
      </c>
      <c r="M45" s="64">
        <v>59.11</v>
      </c>
      <c r="N45" s="64">
        <v>694.4</v>
      </c>
      <c r="O45" s="64">
        <v>0</v>
      </c>
      <c r="P45" s="64">
        <v>0.41</v>
      </c>
      <c r="Q45" s="64">
        <v>9.2100000000000009</v>
      </c>
      <c r="R45" s="198"/>
      <c r="S45" s="198"/>
      <c r="T45" s="198"/>
      <c r="U45" s="198"/>
    </row>
    <row r="46" spans="1:21" s="12" customFormat="1" x14ac:dyDescent="0.25">
      <c r="A46" s="214" t="s">
        <v>2204</v>
      </c>
      <c r="B46" s="64">
        <v>4.49</v>
      </c>
      <c r="C46" s="64">
        <v>16.440000000000001</v>
      </c>
      <c r="D46" s="64">
        <v>24.56</v>
      </c>
      <c r="E46" s="64">
        <v>6.64</v>
      </c>
      <c r="F46" s="64">
        <v>6.55</v>
      </c>
      <c r="G46" s="64">
        <v>28.04</v>
      </c>
      <c r="H46" s="6" t="s">
        <v>42</v>
      </c>
      <c r="I46" s="64">
        <v>4.08</v>
      </c>
      <c r="J46" s="64">
        <v>0.63</v>
      </c>
      <c r="K46" s="64">
        <v>200.35</v>
      </c>
      <c r="L46" s="64">
        <v>8.6300000000000008</v>
      </c>
      <c r="M46" s="64">
        <v>59.11</v>
      </c>
      <c r="N46" s="64">
        <v>729.6</v>
      </c>
      <c r="O46" s="64">
        <v>0</v>
      </c>
      <c r="P46" s="64">
        <v>0.41</v>
      </c>
      <c r="Q46" s="64">
        <v>9.2100000000000009</v>
      </c>
      <c r="R46" s="198"/>
      <c r="S46" s="198"/>
      <c r="T46" s="198"/>
      <c r="U46" s="198"/>
    </row>
    <row r="47" spans="1:21" s="12" customFormat="1" x14ac:dyDescent="0.25">
      <c r="A47" s="214" t="s">
        <v>2205</v>
      </c>
      <c r="B47" s="64">
        <v>5.0199999999999996</v>
      </c>
      <c r="C47" s="64">
        <v>17.03</v>
      </c>
      <c r="D47" s="64">
        <v>24.9</v>
      </c>
      <c r="E47" s="64">
        <v>6.82</v>
      </c>
      <c r="F47" s="64">
        <v>13.05</v>
      </c>
      <c r="G47" s="64">
        <v>25.78</v>
      </c>
      <c r="H47" s="64">
        <v>364.56</v>
      </c>
      <c r="I47" s="64">
        <v>4.03</v>
      </c>
      <c r="J47" s="64">
        <v>0.52</v>
      </c>
      <c r="K47" s="64">
        <v>196.07</v>
      </c>
      <c r="L47" s="64">
        <v>8.6300000000000008</v>
      </c>
      <c r="M47" s="64">
        <v>59.11</v>
      </c>
      <c r="N47" s="64">
        <v>778.4</v>
      </c>
      <c r="O47" s="64">
        <v>0</v>
      </c>
      <c r="P47" s="64">
        <v>0.37</v>
      </c>
      <c r="Q47" s="64">
        <v>9.2100000000000009</v>
      </c>
      <c r="R47" s="198"/>
      <c r="S47" s="198"/>
      <c r="T47" s="198"/>
      <c r="U47" s="198"/>
    </row>
    <row r="48" spans="1:21" s="12" customFormat="1" x14ac:dyDescent="0.25">
      <c r="A48" s="214" t="s">
        <v>2206</v>
      </c>
      <c r="B48" s="64">
        <v>4.7300000000000004</v>
      </c>
      <c r="C48" s="64">
        <v>16.18</v>
      </c>
      <c r="D48" s="64">
        <v>23.7</v>
      </c>
      <c r="E48" s="64">
        <v>6.32</v>
      </c>
      <c r="F48" s="64">
        <v>7.22</v>
      </c>
      <c r="G48" s="64">
        <v>25.62</v>
      </c>
      <c r="H48" s="64">
        <v>390.6</v>
      </c>
      <c r="I48" s="64">
        <v>3.9</v>
      </c>
      <c r="J48" s="64">
        <v>0.57999999999999996</v>
      </c>
      <c r="K48" s="64">
        <v>200.72</v>
      </c>
      <c r="L48" s="64">
        <v>8.6300000000000008</v>
      </c>
      <c r="M48" s="64">
        <v>59.11</v>
      </c>
      <c r="N48" s="64">
        <v>798.6</v>
      </c>
      <c r="O48" s="64">
        <v>0</v>
      </c>
      <c r="P48" s="64">
        <v>0.42</v>
      </c>
      <c r="Q48" s="64">
        <v>9.1999999999999993</v>
      </c>
      <c r="R48" s="198"/>
      <c r="S48" s="198"/>
      <c r="T48" s="198"/>
      <c r="U48" s="198"/>
    </row>
    <row r="49" spans="1:21" s="12" customFormat="1" x14ac:dyDescent="0.25">
      <c r="A49" s="214" t="s">
        <v>2207</v>
      </c>
      <c r="B49" s="64">
        <v>4.6399999999999997</v>
      </c>
      <c r="C49" s="64">
        <v>17.27</v>
      </c>
      <c r="D49" s="64">
        <v>25.93</v>
      </c>
      <c r="E49" s="64">
        <v>6.64</v>
      </c>
      <c r="F49" s="64">
        <v>11.29</v>
      </c>
      <c r="G49" s="64">
        <v>25.62</v>
      </c>
      <c r="H49" s="64">
        <v>390.6</v>
      </c>
      <c r="I49" s="64">
        <v>4.0999999999999996</v>
      </c>
      <c r="J49" s="64">
        <v>0.62</v>
      </c>
      <c r="K49" s="64">
        <v>196</v>
      </c>
      <c r="L49" s="64">
        <v>8.6300000000000008</v>
      </c>
      <c r="M49" s="64">
        <v>59.11</v>
      </c>
      <c r="N49" s="64">
        <v>794.8</v>
      </c>
      <c r="O49" s="64">
        <v>0</v>
      </c>
      <c r="P49" s="64">
        <v>0.36</v>
      </c>
      <c r="Q49" s="64">
        <v>9.2200000000000006</v>
      </c>
      <c r="R49" s="198"/>
      <c r="S49" s="198"/>
      <c r="T49" s="198"/>
      <c r="U49" s="198"/>
    </row>
    <row r="50" spans="1:21" s="12" customFormat="1" x14ac:dyDescent="0.25">
      <c r="A50" s="214" t="s">
        <v>2208</v>
      </c>
      <c r="B50" s="64">
        <v>6.01</v>
      </c>
      <c r="C50" s="64">
        <v>19.440000000000001</v>
      </c>
      <c r="D50" s="64">
        <v>27.98</v>
      </c>
      <c r="E50" s="64">
        <v>6.62</v>
      </c>
      <c r="F50" s="64">
        <v>18.09</v>
      </c>
      <c r="G50" s="64">
        <v>25.62</v>
      </c>
      <c r="H50" s="64">
        <v>390.6</v>
      </c>
      <c r="I50" s="64">
        <v>4.2</v>
      </c>
      <c r="J50" s="64">
        <v>0.36</v>
      </c>
      <c r="K50" s="64">
        <v>184.92</v>
      </c>
      <c r="L50" s="64">
        <v>8.6300000000000008</v>
      </c>
      <c r="M50" s="64">
        <v>59.11</v>
      </c>
      <c r="N50" s="64">
        <v>814.7</v>
      </c>
      <c r="O50" s="64">
        <v>0</v>
      </c>
      <c r="P50" s="64">
        <v>0.38</v>
      </c>
      <c r="Q50" s="64">
        <v>9.2100000000000009</v>
      </c>
      <c r="R50" s="198"/>
      <c r="S50" s="198"/>
      <c r="T50" s="198"/>
      <c r="U50" s="198"/>
    </row>
    <row r="51" spans="1:21" s="12" customFormat="1" x14ac:dyDescent="0.25">
      <c r="A51" s="214" t="s">
        <v>2209</v>
      </c>
      <c r="B51" s="64">
        <v>5.54</v>
      </c>
      <c r="C51" s="64">
        <v>17.28</v>
      </c>
      <c r="D51" s="64">
        <v>24.58</v>
      </c>
      <c r="E51" s="64">
        <v>6.97</v>
      </c>
      <c r="F51" s="64">
        <v>10.55</v>
      </c>
      <c r="G51" s="64">
        <v>25.9</v>
      </c>
      <c r="H51" s="64">
        <v>73.28</v>
      </c>
      <c r="I51" s="64">
        <v>3.98</v>
      </c>
      <c r="J51" s="64">
        <v>0.6</v>
      </c>
      <c r="K51" s="64">
        <v>201.38</v>
      </c>
      <c r="L51" s="64">
        <v>8.6300000000000008</v>
      </c>
      <c r="M51" s="64">
        <v>59.11</v>
      </c>
      <c r="N51" s="64">
        <v>818.3</v>
      </c>
      <c r="O51" s="64">
        <v>0</v>
      </c>
      <c r="P51" s="64">
        <v>0.38</v>
      </c>
      <c r="Q51" s="64">
        <v>9.2200000000000006</v>
      </c>
      <c r="R51" s="198"/>
      <c r="S51" s="198"/>
      <c r="T51" s="198"/>
      <c r="U51" s="198"/>
    </row>
    <row r="52" spans="1:21" s="12" customFormat="1" x14ac:dyDescent="0.25">
      <c r="A52" s="214" t="s">
        <v>2210</v>
      </c>
      <c r="B52" s="64">
        <v>6.77</v>
      </c>
      <c r="C52" s="64">
        <v>19.399999999999999</v>
      </c>
      <c r="D52" s="64">
        <v>26.73</v>
      </c>
      <c r="E52" s="64">
        <v>6.61</v>
      </c>
      <c r="F52" s="64">
        <v>11</v>
      </c>
      <c r="G52" s="64">
        <v>25.91</v>
      </c>
      <c r="H52" s="64">
        <v>50.61</v>
      </c>
      <c r="I52" s="64">
        <v>3.95</v>
      </c>
      <c r="J52" s="64">
        <v>0.55000000000000004</v>
      </c>
      <c r="K52" s="64">
        <v>202.55</v>
      </c>
      <c r="L52" s="64">
        <v>8.6300000000000008</v>
      </c>
      <c r="M52" s="64">
        <v>59.11</v>
      </c>
      <c r="N52" s="64">
        <v>821.1</v>
      </c>
      <c r="O52" s="64">
        <v>0</v>
      </c>
      <c r="P52" s="64">
        <v>0.4</v>
      </c>
      <c r="Q52" s="64">
        <v>9.2200000000000006</v>
      </c>
      <c r="R52" s="198"/>
      <c r="S52" s="198"/>
      <c r="T52" s="198"/>
      <c r="U52" s="198"/>
    </row>
    <row r="53" spans="1:21" s="12" customFormat="1" x14ac:dyDescent="0.25">
      <c r="A53" s="214" t="s">
        <v>2211</v>
      </c>
      <c r="B53" s="64">
        <v>8.52</v>
      </c>
      <c r="C53" s="64">
        <v>19.739999999999998</v>
      </c>
      <c r="D53" s="64">
        <v>24.71</v>
      </c>
      <c r="E53" s="64">
        <v>7.77</v>
      </c>
      <c r="F53" s="64">
        <v>21.2</v>
      </c>
      <c r="G53" s="64">
        <v>25.91</v>
      </c>
      <c r="H53" s="64">
        <v>50.61</v>
      </c>
      <c r="I53" s="64">
        <v>4.04</v>
      </c>
      <c r="J53" s="64">
        <v>0.54</v>
      </c>
      <c r="K53" s="64">
        <v>209.19</v>
      </c>
      <c r="L53" s="64">
        <v>8.6300000000000008</v>
      </c>
      <c r="M53" s="64">
        <v>59.11</v>
      </c>
      <c r="N53" s="64">
        <v>824</v>
      </c>
      <c r="O53" s="64">
        <v>0</v>
      </c>
      <c r="P53" s="64">
        <v>0.39</v>
      </c>
      <c r="Q53" s="64">
        <v>9.24</v>
      </c>
      <c r="R53" s="198"/>
      <c r="S53" s="198"/>
      <c r="T53" s="198"/>
      <c r="U53" s="198"/>
    </row>
    <row r="54" spans="1:21" s="12" customFormat="1" x14ac:dyDescent="0.25">
      <c r="A54" s="214" t="s">
        <v>2212</v>
      </c>
      <c r="B54" s="64">
        <v>9.76</v>
      </c>
      <c r="C54" s="64">
        <v>22.88</v>
      </c>
      <c r="D54" s="64">
        <v>28.8</v>
      </c>
      <c r="E54" s="64">
        <v>7.36</v>
      </c>
      <c r="F54" s="64">
        <v>20.75</v>
      </c>
      <c r="G54" s="64">
        <v>25.91</v>
      </c>
      <c r="H54" s="64">
        <v>50.61</v>
      </c>
      <c r="I54" s="64">
        <v>4.08</v>
      </c>
      <c r="J54" s="64">
        <v>0.73</v>
      </c>
      <c r="K54" s="64">
        <v>202.8</v>
      </c>
      <c r="L54" s="64">
        <v>8.6300000000000008</v>
      </c>
      <c r="M54" s="64">
        <v>59.11</v>
      </c>
      <c r="N54" s="64">
        <v>823.3</v>
      </c>
      <c r="O54" s="64">
        <v>0</v>
      </c>
      <c r="P54" s="64">
        <v>0.39</v>
      </c>
      <c r="Q54" s="64">
        <v>9.25</v>
      </c>
      <c r="R54" s="198"/>
      <c r="S54" s="198"/>
      <c r="T54" s="198"/>
      <c r="U54" s="198"/>
    </row>
    <row r="55" spans="1:21" s="12" customFormat="1" x14ac:dyDescent="0.25">
      <c r="A55" s="214" t="s">
        <v>2213</v>
      </c>
      <c r="B55" s="64">
        <v>9.93</v>
      </c>
      <c r="C55" s="64">
        <v>25.27</v>
      </c>
      <c r="D55" s="64">
        <v>33.130000000000003</v>
      </c>
      <c r="E55" s="64">
        <v>8.19</v>
      </c>
      <c r="F55" s="64">
        <v>22.76</v>
      </c>
      <c r="G55" s="64">
        <v>24.36</v>
      </c>
      <c r="H55" s="64">
        <v>4.87</v>
      </c>
      <c r="I55" s="64">
        <v>3.85</v>
      </c>
      <c r="J55" s="64">
        <v>0.51</v>
      </c>
      <c r="K55" s="64">
        <v>175.32</v>
      </c>
      <c r="L55" s="64">
        <v>8.6300000000000008</v>
      </c>
      <c r="M55" s="64">
        <v>59.11</v>
      </c>
      <c r="N55" s="64">
        <v>822.5</v>
      </c>
      <c r="O55" s="64">
        <v>0</v>
      </c>
      <c r="P55" s="64">
        <v>0.4</v>
      </c>
      <c r="Q55" s="64">
        <v>9.25</v>
      </c>
      <c r="R55" s="198"/>
      <c r="S55" s="198"/>
      <c r="T55" s="198"/>
      <c r="U55" s="198"/>
    </row>
    <row r="56" spans="1:21" s="12" customFormat="1" x14ac:dyDescent="0.25">
      <c r="A56" s="214" t="s">
        <v>2214</v>
      </c>
      <c r="B56" s="64">
        <v>6.04</v>
      </c>
      <c r="C56" s="64">
        <v>18.27</v>
      </c>
      <c r="D56" s="64">
        <v>25.7</v>
      </c>
      <c r="E56" s="64">
        <v>7.59</v>
      </c>
      <c r="F56" s="64">
        <v>23.48</v>
      </c>
      <c r="G56" s="64">
        <v>24.25</v>
      </c>
      <c r="H56" s="64">
        <v>1.01</v>
      </c>
      <c r="I56" s="64">
        <v>4.12</v>
      </c>
      <c r="J56" s="64">
        <v>0.57999999999999996</v>
      </c>
      <c r="K56" s="64">
        <v>128.82</v>
      </c>
      <c r="L56" s="64">
        <v>8.6300000000000008</v>
      </c>
      <c r="M56" s="64">
        <v>59.11</v>
      </c>
      <c r="N56" s="64">
        <v>810.6</v>
      </c>
      <c r="O56" s="64">
        <v>0</v>
      </c>
      <c r="P56" s="64">
        <v>0.32</v>
      </c>
      <c r="Q56" s="64">
        <v>9.25</v>
      </c>
      <c r="R56" s="198"/>
      <c r="S56" s="198"/>
      <c r="T56" s="198"/>
      <c r="U56" s="198"/>
    </row>
    <row r="57" spans="1:21" s="12" customFormat="1" x14ac:dyDescent="0.25">
      <c r="A57" s="214" t="s">
        <v>2215</v>
      </c>
      <c r="B57" s="64">
        <v>6.97</v>
      </c>
      <c r="C57" s="64">
        <v>21.41</v>
      </c>
      <c r="D57" s="64">
        <v>30.29</v>
      </c>
      <c r="E57" s="64">
        <v>9.0299999999999994</v>
      </c>
      <c r="F57" s="64">
        <v>26.1</v>
      </c>
      <c r="G57" s="64">
        <v>24.25</v>
      </c>
      <c r="H57" s="64">
        <v>1.01</v>
      </c>
      <c r="I57" s="64">
        <v>3.97</v>
      </c>
      <c r="J57" s="64">
        <v>0.45</v>
      </c>
      <c r="K57" s="64">
        <v>193.29</v>
      </c>
      <c r="L57" s="64">
        <v>8.6300000000000008</v>
      </c>
      <c r="M57" s="64">
        <v>59.11</v>
      </c>
      <c r="N57" s="64">
        <v>583.5</v>
      </c>
      <c r="O57" s="64">
        <v>0</v>
      </c>
      <c r="P57" s="64">
        <v>0.48</v>
      </c>
      <c r="Q57" s="64">
        <v>9.26</v>
      </c>
      <c r="R57" s="198"/>
      <c r="S57" s="198"/>
      <c r="T57" s="198"/>
      <c r="U57" s="198"/>
    </row>
    <row r="58" spans="1:21" s="12" customFormat="1" x14ac:dyDescent="0.25">
      <c r="A58" s="214" t="s">
        <v>2216</v>
      </c>
      <c r="B58" s="64">
        <v>5.67</v>
      </c>
      <c r="C58" s="64">
        <v>20.79</v>
      </c>
      <c r="D58" s="64">
        <v>31.09</v>
      </c>
      <c r="E58" s="64">
        <v>9.23</v>
      </c>
      <c r="F58" s="64">
        <v>27.49</v>
      </c>
      <c r="G58" s="64">
        <v>24.25</v>
      </c>
      <c r="H58" s="64">
        <v>1.01</v>
      </c>
      <c r="I58" s="64">
        <v>3.96</v>
      </c>
      <c r="J58" s="64">
        <v>0.43</v>
      </c>
      <c r="K58" s="64">
        <v>203.7</v>
      </c>
      <c r="L58" s="64">
        <v>8.6300000000000008</v>
      </c>
      <c r="M58" s="64">
        <v>59.11</v>
      </c>
      <c r="N58" s="64">
        <v>723.6</v>
      </c>
      <c r="O58" s="64">
        <v>0</v>
      </c>
      <c r="P58" s="64">
        <v>0.48</v>
      </c>
      <c r="Q58" s="64">
        <v>9.25</v>
      </c>
      <c r="R58" s="198"/>
      <c r="S58" s="198"/>
      <c r="T58" s="198"/>
      <c r="U58" s="198"/>
    </row>
    <row r="59" spans="1:21" s="12" customFormat="1" x14ac:dyDescent="0.25">
      <c r="A59" s="214" t="s">
        <v>2217</v>
      </c>
      <c r="B59" s="64">
        <v>6.41</v>
      </c>
      <c r="C59" s="64">
        <v>23.04</v>
      </c>
      <c r="D59" s="64">
        <v>34.26</v>
      </c>
      <c r="E59" s="64">
        <v>9.3000000000000007</v>
      </c>
      <c r="F59" s="64">
        <v>30.1</v>
      </c>
      <c r="G59" s="64">
        <v>25.83</v>
      </c>
      <c r="H59" s="64">
        <v>0.11</v>
      </c>
      <c r="I59" s="64">
        <v>4.05</v>
      </c>
      <c r="J59" s="64">
        <v>0.28000000000000003</v>
      </c>
      <c r="K59" s="64">
        <v>191.6</v>
      </c>
      <c r="L59" s="64">
        <v>8.6300000000000008</v>
      </c>
      <c r="M59" s="64">
        <v>59.11</v>
      </c>
      <c r="N59" s="64">
        <v>823.6</v>
      </c>
      <c r="O59" s="64">
        <v>0</v>
      </c>
      <c r="P59" s="64">
        <v>0.45</v>
      </c>
      <c r="Q59" s="64">
        <v>9.24</v>
      </c>
      <c r="R59" s="198"/>
      <c r="S59" s="198"/>
      <c r="T59" s="198"/>
      <c r="U59" s="198"/>
    </row>
    <row r="60" spans="1:21" s="12" customFormat="1" x14ac:dyDescent="0.25">
      <c r="A60" s="214" t="s">
        <v>2218</v>
      </c>
      <c r="B60" s="64">
        <v>5.33</v>
      </c>
      <c r="C60" s="64">
        <v>18.63</v>
      </c>
      <c r="D60" s="64">
        <v>27.47</v>
      </c>
      <c r="E60" s="64">
        <v>9.31</v>
      </c>
      <c r="F60" s="64">
        <v>23.11</v>
      </c>
      <c r="G60" s="64">
        <v>25.95</v>
      </c>
      <c r="H60" s="64">
        <v>0.04</v>
      </c>
      <c r="I60" s="64">
        <v>4.1900000000000004</v>
      </c>
      <c r="J60" s="64">
        <v>0.42</v>
      </c>
      <c r="K60" s="64">
        <v>154.43</v>
      </c>
      <c r="L60" s="64">
        <v>8.6300000000000008</v>
      </c>
      <c r="M60" s="64">
        <v>59.11</v>
      </c>
      <c r="N60" s="64">
        <v>568</v>
      </c>
      <c r="O60" s="64">
        <v>0</v>
      </c>
      <c r="P60" s="64">
        <v>0.4</v>
      </c>
      <c r="Q60" s="64">
        <v>9.23</v>
      </c>
      <c r="R60" s="198"/>
      <c r="S60" s="198"/>
      <c r="T60" s="198"/>
      <c r="U60" s="198"/>
    </row>
    <row r="61" spans="1:21" s="12" customFormat="1" x14ac:dyDescent="0.25">
      <c r="A61" s="214" t="s">
        <v>2219</v>
      </c>
      <c r="B61" s="64">
        <v>6.23</v>
      </c>
      <c r="C61" s="64">
        <v>19.34</v>
      </c>
      <c r="D61" s="64">
        <v>27.46</v>
      </c>
      <c r="E61" s="64">
        <v>8.6300000000000008</v>
      </c>
      <c r="F61" s="64">
        <v>24.63</v>
      </c>
      <c r="G61" s="64">
        <v>25.95</v>
      </c>
      <c r="H61" s="64">
        <v>0.04</v>
      </c>
      <c r="I61" s="64">
        <v>4.1100000000000003</v>
      </c>
      <c r="J61" s="64">
        <v>0.28999999999999998</v>
      </c>
      <c r="K61" s="64">
        <v>157.76</v>
      </c>
      <c r="L61" s="64">
        <v>8.6300000000000008</v>
      </c>
      <c r="M61" s="64">
        <v>59.11</v>
      </c>
      <c r="N61" s="64">
        <v>566</v>
      </c>
      <c r="O61" s="64">
        <v>0</v>
      </c>
      <c r="P61" s="64">
        <v>0.39</v>
      </c>
      <c r="Q61" s="64">
        <v>9.2200000000000006</v>
      </c>
      <c r="R61" s="198"/>
      <c r="S61" s="198"/>
      <c r="T61" s="198"/>
      <c r="U61" s="198"/>
    </row>
    <row r="62" spans="1:21" s="12" customFormat="1" x14ac:dyDescent="0.25">
      <c r="A62" s="214" t="s">
        <v>2220</v>
      </c>
      <c r="B62" s="64">
        <v>5.7</v>
      </c>
      <c r="C62" s="64">
        <v>17.66</v>
      </c>
      <c r="D62" s="64">
        <v>25.06</v>
      </c>
      <c r="E62" s="64">
        <v>8.1199999999999992</v>
      </c>
      <c r="F62" s="64">
        <v>21.7</v>
      </c>
      <c r="G62" s="64">
        <v>25.95</v>
      </c>
      <c r="H62" s="64">
        <v>0.04</v>
      </c>
      <c r="I62" s="64">
        <v>4.12</v>
      </c>
      <c r="J62" s="64">
        <v>1.08</v>
      </c>
      <c r="K62" s="64">
        <v>110.22</v>
      </c>
      <c r="L62" s="64">
        <v>8.6300000000000008</v>
      </c>
      <c r="M62" s="64">
        <v>59.11</v>
      </c>
      <c r="N62" s="64">
        <v>588.9</v>
      </c>
      <c r="O62" s="64">
        <v>0</v>
      </c>
      <c r="P62" s="64">
        <v>0.36</v>
      </c>
      <c r="Q62" s="64">
        <v>9.2200000000000006</v>
      </c>
      <c r="R62" s="198"/>
      <c r="S62" s="198"/>
      <c r="T62" s="198"/>
      <c r="U62" s="198"/>
    </row>
    <row r="63" spans="1:21" s="12" customFormat="1" x14ac:dyDescent="0.25">
      <c r="A63" s="214" t="s">
        <v>2221</v>
      </c>
      <c r="B63" s="64">
        <v>5.87</v>
      </c>
      <c r="C63" s="64">
        <v>19.37</v>
      </c>
      <c r="D63" s="64">
        <v>28.05</v>
      </c>
      <c r="E63" s="64">
        <v>6.93</v>
      </c>
      <c r="F63" s="64">
        <v>23.73</v>
      </c>
      <c r="G63" s="64">
        <v>25.66</v>
      </c>
      <c r="H63" s="64">
        <v>141.9</v>
      </c>
      <c r="I63" s="64">
        <v>4.0199999999999996</v>
      </c>
      <c r="J63" s="64">
        <v>0.56999999999999995</v>
      </c>
      <c r="K63" s="64">
        <v>127.7</v>
      </c>
      <c r="L63" s="64">
        <v>8.6300000000000008</v>
      </c>
      <c r="M63" s="64">
        <v>59.11</v>
      </c>
      <c r="N63" s="64">
        <v>455.8</v>
      </c>
      <c r="O63" s="64">
        <v>0</v>
      </c>
      <c r="P63" s="64">
        <v>0.32</v>
      </c>
      <c r="Q63" s="64">
        <v>9.2200000000000006</v>
      </c>
      <c r="R63" s="198"/>
      <c r="S63" s="198"/>
      <c r="T63" s="198"/>
      <c r="U63" s="198"/>
    </row>
    <row r="64" spans="1:21" s="12" customFormat="1" x14ac:dyDescent="0.25">
      <c r="A64" s="214" t="s">
        <v>2222</v>
      </c>
      <c r="B64" s="64">
        <v>4.91</v>
      </c>
      <c r="C64" s="64">
        <v>17.399999999999999</v>
      </c>
      <c r="D64" s="64">
        <v>25.78</v>
      </c>
      <c r="E64" s="64">
        <v>7.48</v>
      </c>
      <c r="F64" s="64">
        <v>19.71</v>
      </c>
      <c r="G64" s="64">
        <v>25.64</v>
      </c>
      <c r="H64" s="64">
        <v>152.03</v>
      </c>
      <c r="I64" s="64">
        <v>4.05</v>
      </c>
      <c r="J64" s="64">
        <v>0.69</v>
      </c>
      <c r="K64" s="64">
        <v>169.56</v>
      </c>
      <c r="L64" s="64">
        <v>8.6300000000000008</v>
      </c>
      <c r="M64" s="64">
        <v>59.11</v>
      </c>
      <c r="N64" s="64">
        <v>303.60000000000002</v>
      </c>
      <c r="O64" s="64">
        <v>0</v>
      </c>
      <c r="P64" s="64">
        <v>0.38</v>
      </c>
      <c r="Q64" s="64">
        <v>9.2200000000000006</v>
      </c>
      <c r="R64" s="198"/>
      <c r="S64" s="198"/>
      <c r="T64" s="198"/>
      <c r="U64" s="198"/>
    </row>
    <row r="65" spans="1:21" s="12" customFormat="1" x14ac:dyDescent="0.25">
      <c r="A65" s="214" t="s">
        <v>2223</v>
      </c>
      <c r="B65" s="64">
        <v>7.33</v>
      </c>
      <c r="C65" s="64">
        <v>20.18</v>
      </c>
      <c r="D65" s="64">
        <v>27.38</v>
      </c>
      <c r="E65" s="64">
        <v>6.92</v>
      </c>
      <c r="F65" s="64">
        <v>18.62</v>
      </c>
      <c r="G65" s="64">
        <v>25.64</v>
      </c>
      <c r="H65" s="64">
        <v>152.03</v>
      </c>
      <c r="I65" s="64">
        <v>4.0599999999999996</v>
      </c>
      <c r="J65" s="64">
        <v>1.2</v>
      </c>
      <c r="K65" s="64">
        <v>202</v>
      </c>
      <c r="L65" s="64">
        <v>8.6300000000000008</v>
      </c>
      <c r="M65" s="64">
        <v>59.11</v>
      </c>
      <c r="N65" s="64">
        <v>526.6</v>
      </c>
      <c r="O65" s="64">
        <v>0</v>
      </c>
      <c r="P65" s="64">
        <v>0.42</v>
      </c>
      <c r="Q65" s="64">
        <v>9.2100000000000009</v>
      </c>
      <c r="R65" s="198"/>
      <c r="S65" s="198"/>
      <c r="T65" s="198"/>
      <c r="U65" s="198"/>
    </row>
    <row r="66" spans="1:21" s="12" customFormat="1" x14ac:dyDescent="0.25">
      <c r="A66" s="214" t="s">
        <v>2224</v>
      </c>
      <c r="B66" s="64">
        <v>7.39</v>
      </c>
      <c r="C66" s="64">
        <v>23.49</v>
      </c>
      <c r="D66" s="64">
        <v>33.630000000000003</v>
      </c>
      <c r="E66" s="64">
        <v>7.72</v>
      </c>
      <c r="F66" s="64">
        <v>25.65</v>
      </c>
      <c r="G66" s="64">
        <v>25.64</v>
      </c>
      <c r="H66" s="64">
        <v>152.03</v>
      </c>
      <c r="I66" s="64">
        <v>3.97</v>
      </c>
      <c r="J66" s="64">
        <v>0.47</v>
      </c>
      <c r="K66" s="64">
        <v>156.06</v>
      </c>
      <c r="L66" s="64">
        <v>8.6300000000000008</v>
      </c>
      <c r="M66" s="64">
        <v>59.11</v>
      </c>
      <c r="N66" s="64">
        <v>286.39999999999998</v>
      </c>
      <c r="O66" s="64">
        <v>0</v>
      </c>
      <c r="P66" s="64">
        <v>0.36</v>
      </c>
      <c r="Q66" s="64">
        <v>9.19</v>
      </c>
      <c r="R66" s="198"/>
      <c r="S66" s="198"/>
      <c r="T66" s="198"/>
      <c r="U66" s="198"/>
    </row>
    <row r="67" spans="1:21" s="12" customFormat="1" x14ac:dyDescent="0.25">
      <c r="A67" s="214" t="s">
        <v>2225</v>
      </c>
      <c r="B67" s="64">
        <v>7.29</v>
      </c>
      <c r="C67" s="64">
        <v>20.75</v>
      </c>
      <c r="D67" s="64">
        <v>28.53</v>
      </c>
      <c r="E67" s="64">
        <v>7.39</v>
      </c>
      <c r="F67" s="64">
        <v>26.78</v>
      </c>
      <c r="G67" s="64">
        <v>26.92</v>
      </c>
      <c r="H67" s="64">
        <v>10.14</v>
      </c>
      <c r="I67" s="64">
        <v>4</v>
      </c>
      <c r="J67" s="64">
        <v>0.47</v>
      </c>
      <c r="K67" s="64">
        <v>134.34</v>
      </c>
      <c r="L67" s="64">
        <v>8.6300000000000008</v>
      </c>
      <c r="M67" s="64">
        <v>59.11</v>
      </c>
      <c r="N67" s="64">
        <v>358.6</v>
      </c>
      <c r="O67" s="64">
        <v>0</v>
      </c>
      <c r="P67" s="64">
        <v>0.32</v>
      </c>
      <c r="Q67" s="64">
        <v>9.1999999999999993</v>
      </c>
      <c r="R67" s="198"/>
      <c r="S67" s="198"/>
      <c r="T67" s="198"/>
      <c r="U67" s="198"/>
    </row>
    <row r="68" spans="1:21" s="12" customFormat="1" x14ac:dyDescent="0.25">
      <c r="A68" s="214" t="s">
        <v>2226</v>
      </c>
      <c r="B68" s="64">
        <v>5.51</v>
      </c>
      <c r="C68" s="64">
        <v>19.399999999999999</v>
      </c>
      <c r="D68" s="64">
        <v>28.66</v>
      </c>
      <c r="E68" s="64">
        <v>7.45</v>
      </c>
      <c r="F68" s="64">
        <v>23.27</v>
      </c>
      <c r="G68" s="64">
        <v>27.01</v>
      </c>
      <c r="H68" s="6" t="s">
        <v>42</v>
      </c>
      <c r="I68" s="64">
        <v>4.0199999999999996</v>
      </c>
      <c r="J68" s="64">
        <v>0.99</v>
      </c>
      <c r="K68" s="64">
        <v>121.73</v>
      </c>
      <c r="L68" s="64">
        <v>8.6300000000000008</v>
      </c>
      <c r="M68" s="64">
        <v>59.11</v>
      </c>
      <c r="N68" s="64">
        <v>243.9</v>
      </c>
      <c r="O68" s="64">
        <v>0</v>
      </c>
      <c r="P68" s="64">
        <v>0.28999999999999998</v>
      </c>
      <c r="Q68" s="64">
        <v>9.1999999999999993</v>
      </c>
      <c r="R68" s="198"/>
      <c r="S68" s="198"/>
      <c r="T68" s="198"/>
      <c r="U68" s="198"/>
    </row>
    <row r="69" spans="1:21" s="12" customFormat="1" x14ac:dyDescent="0.25">
      <c r="A69" s="214" t="s">
        <v>2227</v>
      </c>
      <c r="B69" s="64">
        <v>5.2</v>
      </c>
      <c r="C69" s="64">
        <v>17.649999999999999</v>
      </c>
      <c r="D69" s="64">
        <v>25.79</v>
      </c>
      <c r="E69" s="64">
        <v>7.43</v>
      </c>
      <c r="F69" s="64">
        <v>19.93</v>
      </c>
      <c r="G69" s="64">
        <v>27.01</v>
      </c>
      <c r="H69" s="6" t="s">
        <v>42</v>
      </c>
      <c r="I69" s="64">
        <v>4.0199999999999996</v>
      </c>
      <c r="J69" s="64">
        <v>0.49</v>
      </c>
      <c r="K69" s="64">
        <v>137.68</v>
      </c>
      <c r="L69" s="64">
        <v>8.6300000000000008</v>
      </c>
      <c r="M69" s="64">
        <v>59.11</v>
      </c>
      <c r="N69" s="64">
        <v>207.5</v>
      </c>
      <c r="O69" s="64">
        <v>0</v>
      </c>
      <c r="P69" s="64">
        <v>0.31</v>
      </c>
      <c r="Q69" s="64">
        <v>9.1999999999999993</v>
      </c>
      <c r="R69" s="198"/>
      <c r="S69" s="198"/>
      <c r="T69" s="198"/>
      <c r="U69" s="198"/>
    </row>
    <row r="70" spans="1:21" s="12" customFormat="1" x14ac:dyDescent="0.25">
      <c r="A70" s="214" t="s">
        <v>2228</v>
      </c>
      <c r="B70" s="64">
        <v>5.0999999999999996</v>
      </c>
      <c r="C70" s="64">
        <v>18.75</v>
      </c>
      <c r="D70" s="64">
        <v>28.06</v>
      </c>
      <c r="E70" s="64">
        <v>7.92</v>
      </c>
      <c r="F70" s="64">
        <v>28.73</v>
      </c>
      <c r="G70" s="64">
        <v>27.01</v>
      </c>
      <c r="H70" s="6" t="s">
        <v>42</v>
      </c>
      <c r="I70" s="64">
        <v>3.8</v>
      </c>
      <c r="J70" s="64">
        <v>0.76</v>
      </c>
      <c r="K70" s="64">
        <v>107.77</v>
      </c>
      <c r="L70" s="64">
        <v>8.6300000000000008</v>
      </c>
      <c r="M70" s="64">
        <v>59.11</v>
      </c>
      <c r="N70" s="64">
        <v>379.1</v>
      </c>
      <c r="O70" s="64">
        <v>0</v>
      </c>
      <c r="P70" s="64">
        <v>0.24</v>
      </c>
      <c r="Q70" s="64">
        <v>9.2100000000000009</v>
      </c>
      <c r="R70" s="198"/>
      <c r="S70" s="198"/>
      <c r="T70" s="198"/>
      <c r="U70" s="198"/>
    </row>
    <row r="71" spans="1:21" s="12" customFormat="1" x14ac:dyDescent="0.25">
      <c r="A71" s="214" t="s">
        <v>2229</v>
      </c>
      <c r="B71" s="64">
        <v>6.03</v>
      </c>
      <c r="C71" s="64">
        <v>19.149999999999999</v>
      </c>
      <c r="D71" s="64">
        <v>27.4</v>
      </c>
      <c r="E71" s="64">
        <v>7.54</v>
      </c>
      <c r="F71" s="64">
        <v>27.73</v>
      </c>
      <c r="G71" s="64">
        <v>25.27</v>
      </c>
      <c r="H71" s="64">
        <v>740.52</v>
      </c>
      <c r="I71" s="64">
        <v>4.03</v>
      </c>
      <c r="J71" s="64">
        <v>0.59</v>
      </c>
      <c r="K71" s="64">
        <v>121.44</v>
      </c>
      <c r="L71" s="64">
        <v>8.6300000000000008</v>
      </c>
      <c r="M71" s="64">
        <v>59.11</v>
      </c>
      <c r="N71" s="64">
        <v>411.6</v>
      </c>
      <c r="O71" s="64">
        <v>0</v>
      </c>
      <c r="P71" s="64">
        <v>0.27</v>
      </c>
      <c r="Q71" s="64">
        <v>9.2200000000000006</v>
      </c>
      <c r="R71" s="198"/>
      <c r="S71" s="198"/>
      <c r="T71" s="198"/>
      <c r="U71" s="198"/>
    </row>
    <row r="72" spans="1:21" s="12" customFormat="1" x14ac:dyDescent="0.25">
      <c r="A72" s="214" t="s">
        <v>2230</v>
      </c>
      <c r="B72" s="64">
        <v>3.99</v>
      </c>
      <c r="C72" s="64">
        <v>14.74</v>
      </c>
      <c r="D72" s="64">
        <v>22.09</v>
      </c>
      <c r="E72" s="64">
        <v>6.38</v>
      </c>
      <c r="F72" s="64">
        <v>22.12</v>
      </c>
      <c r="G72" s="64">
        <v>25.15</v>
      </c>
      <c r="H72" s="64">
        <v>793.41</v>
      </c>
      <c r="I72" s="64">
        <v>4.0199999999999996</v>
      </c>
      <c r="J72" s="64">
        <v>0.86</v>
      </c>
      <c r="K72" s="64">
        <v>155.01</v>
      </c>
      <c r="L72" s="64">
        <v>8.6300000000000008</v>
      </c>
      <c r="M72" s="64">
        <v>59.11</v>
      </c>
      <c r="N72" s="64">
        <v>192</v>
      </c>
      <c r="O72" s="64">
        <v>0</v>
      </c>
      <c r="P72" s="64">
        <v>0.28000000000000003</v>
      </c>
      <c r="Q72" s="64">
        <v>9.2200000000000006</v>
      </c>
      <c r="R72" s="198"/>
      <c r="S72" s="198"/>
      <c r="T72" s="198"/>
      <c r="U72" s="198"/>
    </row>
    <row r="73" spans="1:21" s="12" customFormat="1" x14ac:dyDescent="0.25">
      <c r="A73" s="214" t="s">
        <v>2231</v>
      </c>
      <c r="B73" s="64">
        <v>7.46</v>
      </c>
      <c r="C73" s="64">
        <v>22.22</v>
      </c>
      <c r="D73" s="64">
        <v>31.07</v>
      </c>
      <c r="E73" s="64">
        <v>7.48</v>
      </c>
      <c r="F73" s="64">
        <v>26.18</v>
      </c>
      <c r="G73" s="64">
        <v>25.15</v>
      </c>
      <c r="H73" s="64">
        <v>793.41</v>
      </c>
      <c r="I73" s="64">
        <v>4.09</v>
      </c>
      <c r="J73" s="64">
        <v>0.84</v>
      </c>
      <c r="K73" s="64">
        <v>114.7</v>
      </c>
      <c r="L73" s="64">
        <v>8.6300000000000008</v>
      </c>
      <c r="M73" s="64">
        <v>59.11</v>
      </c>
      <c r="N73" s="64">
        <v>251</v>
      </c>
      <c r="O73" s="64">
        <v>0</v>
      </c>
      <c r="P73" s="64">
        <v>0.31</v>
      </c>
      <c r="Q73" s="64">
        <v>9.23</v>
      </c>
      <c r="R73" s="198"/>
      <c r="S73" s="198"/>
      <c r="T73" s="198"/>
      <c r="U73" s="198"/>
    </row>
    <row r="74" spans="1:21" s="12" customFormat="1" x14ac:dyDescent="0.25">
      <c r="A74" s="214" t="s">
        <v>2232</v>
      </c>
      <c r="B74" s="64">
        <v>4.9400000000000004</v>
      </c>
      <c r="C74" s="64">
        <v>16.8</v>
      </c>
      <c r="D74" s="64">
        <v>24.58</v>
      </c>
      <c r="E74" s="64">
        <v>7.53</v>
      </c>
      <c r="F74" s="64">
        <v>28.3</v>
      </c>
      <c r="G74" s="64">
        <v>25.15</v>
      </c>
      <c r="H74" s="64">
        <v>793.41</v>
      </c>
      <c r="I74" s="64">
        <v>4.29</v>
      </c>
      <c r="J74" s="64">
        <v>0.8</v>
      </c>
      <c r="K74" s="64">
        <v>102.76</v>
      </c>
      <c r="L74" s="64">
        <v>8.6300000000000008</v>
      </c>
      <c r="M74" s="64">
        <v>59.11</v>
      </c>
      <c r="N74" s="64">
        <v>174.9</v>
      </c>
      <c r="O74" s="64">
        <v>0</v>
      </c>
      <c r="P74" s="64">
        <v>0.25</v>
      </c>
      <c r="Q74" s="64">
        <v>9.2200000000000006</v>
      </c>
      <c r="R74" s="198"/>
      <c r="S74" s="198"/>
      <c r="T74" s="198"/>
      <c r="U74" s="198"/>
    </row>
    <row r="75" spans="1:21" s="12" customFormat="1" x14ac:dyDescent="0.25">
      <c r="A75" s="214" t="s">
        <v>2233</v>
      </c>
      <c r="B75" s="64">
        <v>4.08</v>
      </c>
      <c r="C75" s="64">
        <v>14.97</v>
      </c>
      <c r="D75" s="64">
        <v>22.4</v>
      </c>
      <c r="E75" s="64">
        <v>7.46</v>
      </c>
      <c r="F75" s="64">
        <v>28.71</v>
      </c>
      <c r="G75" s="64">
        <v>25.12</v>
      </c>
      <c r="H75" s="64">
        <v>52.89</v>
      </c>
      <c r="I75" s="64">
        <v>3.92</v>
      </c>
      <c r="J75" s="64">
        <v>0.79</v>
      </c>
      <c r="K75" s="64">
        <v>108.66</v>
      </c>
      <c r="L75" s="64">
        <v>8.6300000000000008</v>
      </c>
      <c r="M75" s="64">
        <v>59.11</v>
      </c>
      <c r="N75" s="64">
        <v>139.80000000000001</v>
      </c>
      <c r="O75" s="64">
        <v>0</v>
      </c>
      <c r="P75" s="64">
        <v>0.27</v>
      </c>
      <c r="Q75" s="64">
        <v>9.23</v>
      </c>
      <c r="R75" s="198"/>
      <c r="S75" s="198"/>
      <c r="T75" s="198"/>
      <c r="U75" s="198"/>
    </row>
    <row r="76" spans="1:21" s="12" customFormat="1" x14ac:dyDescent="0.25">
      <c r="A76" s="214" t="s">
        <v>2234</v>
      </c>
      <c r="B76" s="64">
        <v>5.44</v>
      </c>
      <c r="C76" s="64">
        <v>25.71</v>
      </c>
      <c r="D76" s="64">
        <v>40.85</v>
      </c>
      <c r="E76" s="64">
        <v>7.74</v>
      </c>
      <c r="F76" s="64">
        <v>22.81</v>
      </c>
      <c r="G76" s="64">
        <v>25.12</v>
      </c>
      <c r="H76" s="6" t="s">
        <v>42</v>
      </c>
      <c r="I76" s="64">
        <v>3.91</v>
      </c>
      <c r="J76" s="64">
        <v>0.79</v>
      </c>
      <c r="K76" s="64">
        <v>111.65</v>
      </c>
      <c r="L76" s="64">
        <v>8.6300000000000008</v>
      </c>
      <c r="M76" s="64">
        <v>59.11</v>
      </c>
      <c r="N76" s="64">
        <v>92.7</v>
      </c>
      <c r="O76" s="64">
        <v>0</v>
      </c>
      <c r="P76" s="64">
        <v>0.26</v>
      </c>
      <c r="Q76" s="64">
        <v>9.2200000000000006</v>
      </c>
      <c r="R76" s="198"/>
      <c r="S76" s="198"/>
      <c r="T76" s="198"/>
      <c r="U76" s="198"/>
    </row>
    <row r="77" spans="1:21" s="12" customFormat="1" x14ac:dyDescent="0.25">
      <c r="A77" s="214" t="s">
        <v>2235</v>
      </c>
      <c r="B77" s="64">
        <v>17.28</v>
      </c>
      <c r="C77" s="64">
        <v>49.86</v>
      </c>
      <c r="D77" s="64">
        <v>68.92</v>
      </c>
      <c r="E77" s="64">
        <v>8.48</v>
      </c>
      <c r="F77" s="64">
        <v>21.31</v>
      </c>
      <c r="G77" s="64">
        <v>25.12</v>
      </c>
      <c r="H77" s="6" t="s">
        <v>42</v>
      </c>
      <c r="I77" s="64">
        <v>4.03</v>
      </c>
      <c r="J77" s="64">
        <v>0.27</v>
      </c>
      <c r="K77" s="64">
        <v>124.56</v>
      </c>
      <c r="L77" s="64">
        <v>8.6300000000000008</v>
      </c>
      <c r="M77" s="64">
        <v>59.11</v>
      </c>
      <c r="N77" s="64">
        <v>69.5</v>
      </c>
      <c r="O77" s="64">
        <v>0</v>
      </c>
      <c r="P77" s="64">
        <v>0.61</v>
      </c>
      <c r="Q77" s="64">
        <v>9.23</v>
      </c>
      <c r="R77" s="198"/>
      <c r="S77" s="198"/>
      <c r="T77" s="198"/>
      <c r="U77" s="198"/>
    </row>
    <row r="78" spans="1:21" s="12" customFormat="1" x14ac:dyDescent="0.25">
      <c r="A78" s="214" t="s">
        <v>2236</v>
      </c>
      <c r="B78" s="64">
        <v>6.85</v>
      </c>
      <c r="C78" s="64">
        <v>22.28</v>
      </c>
      <c r="D78" s="64">
        <v>32.119999999999997</v>
      </c>
      <c r="E78" s="64">
        <v>9.1199999999999992</v>
      </c>
      <c r="F78" s="64">
        <v>29.19</v>
      </c>
      <c r="G78" s="64">
        <v>25.12</v>
      </c>
      <c r="H78" s="6" t="s">
        <v>42</v>
      </c>
      <c r="I78" s="64">
        <v>3.84</v>
      </c>
      <c r="J78" s="64">
        <v>0.61</v>
      </c>
      <c r="K78" s="64">
        <v>109.12</v>
      </c>
      <c r="L78" s="64">
        <v>8.6300000000000008</v>
      </c>
      <c r="M78" s="64">
        <v>59.11</v>
      </c>
      <c r="N78" s="64">
        <v>94.4</v>
      </c>
      <c r="O78" s="64">
        <v>0</v>
      </c>
      <c r="P78" s="64">
        <v>0.31</v>
      </c>
      <c r="Q78" s="64">
        <v>9.24</v>
      </c>
      <c r="R78" s="198"/>
      <c r="S78" s="198"/>
      <c r="T78" s="198"/>
      <c r="U78" s="198"/>
    </row>
    <row r="79" spans="1:21" s="12" customFormat="1" x14ac:dyDescent="0.25">
      <c r="A79" s="214" t="s">
        <v>2237</v>
      </c>
      <c r="B79" s="64">
        <v>6.59</v>
      </c>
      <c r="C79" s="64">
        <v>31.11</v>
      </c>
      <c r="D79" s="64">
        <v>49.43</v>
      </c>
      <c r="E79" s="64">
        <v>9.35</v>
      </c>
      <c r="F79" s="64">
        <v>25.44</v>
      </c>
      <c r="G79" s="64">
        <v>29.05</v>
      </c>
      <c r="H79" s="64">
        <v>610.44000000000005</v>
      </c>
      <c r="I79" s="64">
        <v>3.95</v>
      </c>
      <c r="J79" s="64">
        <v>0.39</v>
      </c>
      <c r="K79" s="64">
        <v>115.63</v>
      </c>
      <c r="L79" s="64">
        <v>8.6300000000000008</v>
      </c>
      <c r="M79" s="64">
        <v>59.11</v>
      </c>
      <c r="N79" s="64">
        <v>110.6</v>
      </c>
      <c r="O79" s="64">
        <v>0</v>
      </c>
      <c r="P79" s="64">
        <v>0.42</v>
      </c>
      <c r="Q79" s="64">
        <v>9.24</v>
      </c>
      <c r="R79" s="198"/>
      <c r="S79" s="198"/>
      <c r="T79" s="198"/>
      <c r="U79" s="198"/>
    </row>
    <row r="80" spans="1:21" s="12" customFormat="1" x14ac:dyDescent="0.25">
      <c r="A80" s="214" t="s">
        <v>2238</v>
      </c>
      <c r="B80" s="64">
        <v>13.36</v>
      </c>
      <c r="C80" s="64">
        <v>24.59</v>
      </c>
      <c r="D80" s="64">
        <v>30.35</v>
      </c>
      <c r="E80" s="64">
        <v>9.14</v>
      </c>
      <c r="F80" s="64">
        <v>25.46</v>
      </c>
      <c r="G80" s="64">
        <v>29.33</v>
      </c>
      <c r="H80" s="64">
        <v>654.04</v>
      </c>
      <c r="I80" s="64">
        <v>4.03</v>
      </c>
      <c r="J80" s="64">
        <v>0.57999999999999996</v>
      </c>
      <c r="K80" s="64">
        <v>111.65</v>
      </c>
      <c r="L80" s="64">
        <v>8.6300000000000008</v>
      </c>
      <c r="M80" s="64">
        <v>59.11</v>
      </c>
      <c r="N80" s="64">
        <v>83.2</v>
      </c>
      <c r="O80" s="64">
        <v>0</v>
      </c>
      <c r="P80" s="64">
        <v>0.4</v>
      </c>
      <c r="Q80" s="64">
        <v>9.23</v>
      </c>
      <c r="R80" s="198"/>
      <c r="S80" s="198"/>
      <c r="T80" s="198"/>
      <c r="U80" s="198"/>
    </row>
    <row r="81" spans="1:26" s="12" customFormat="1" x14ac:dyDescent="0.25">
      <c r="A81" s="214" t="s">
        <v>2239</v>
      </c>
      <c r="B81" s="64">
        <v>3.5</v>
      </c>
      <c r="C81" s="64">
        <v>17.649999999999999</v>
      </c>
      <c r="D81" s="64">
        <v>28.41</v>
      </c>
      <c r="E81" s="64">
        <v>7.37</v>
      </c>
      <c r="F81" s="64">
        <v>22.86</v>
      </c>
      <c r="G81" s="64">
        <v>29.33</v>
      </c>
      <c r="H81" s="64">
        <v>654.04</v>
      </c>
      <c r="I81" s="64">
        <v>4.1900000000000004</v>
      </c>
      <c r="J81" s="64">
        <v>0.46</v>
      </c>
      <c r="K81" s="64">
        <v>117.73</v>
      </c>
      <c r="L81" s="64">
        <v>8.6300000000000008</v>
      </c>
      <c r="M81" s="64">
        <v>59.11</v>
      </c>
      <c r="N81" s="64">
        <v>52.5</v>
      </c>
      <c r="O81" s="64">
        <v>0</v>
      </c>
      <c r="P81" s="64">
        <v>0.27</v>
      </c>
      <c r="Q81" s="64">
        <v>9.24</v>
      </c>
      <c r="R81" s="198"/>
      <c r="S81" s="198"/>
      <c r="T81" s="198"/>
      <c r="U81" s="198"/>
    </row>
    <row r="82" spans="1:26" s="12" customFormat="1" x14ac:dyDescent="0.25">
      <c r="A82" s="214" t="s">
        <v>2240</v>
      </c>
      <c r="B82" s="64">
        <v>3.78</v>
      </c>
      <c r="C82" s="64">
        <v>20.86</v>
      </c>
      <c r="D82" s="64">
        <v>34.130000000000003</v>
      </c>
      <c r="E82" s="64">
        <v>6.69</v>
      </c>
      <c r="F82" s="64">
        <v>20.82</v>
      </c>
      <c r="G82" s="64">
        <v>29.33</v>
      </c>
      <c r="H82" s="64">
        <v>654.04</v>
      </c>
      <c r="I82" s="64">
        <v>4.0599999999999996</v>
      </c>
      <c r="J82" s="64">
        <v>0.48</v>
      </c>
      <c r="K82" s="64">
        <v>115.67</v>
      </c>
      <c r="L82" s="64">
        <v>8.6300000000000008</v>
      </c>
      <c r="M82" s="64">
        <v>59.11</v>
      </c>
      <c r="N82" s="64">
        <v>41.8</v>
      </c>
      <c r="O82" s="64">
        <v>0</v>
      </c>
      <c r="P82" s="64">
        <v>0.26</v>
      </c>
      <c r="Q82" s="64">
        <v>9.2200000000000006</v>
      </c>
      <c r="R82" s="198"/>
      <c r="S82" s="198"/>
      <c r="T82" s="198"/>
      <c r="U82" s="198"/>
    </row>
    <row r="83" spans="1:26" s="12" customFormat="1" x14ac:dyDescent="0.25">
      <c r="A83" s="214" t="s">
        <v>2241</v>
      </c>
      <c r="B83" s="64">
        <v>3.58</v>
      </c>
      <c r="C83" s="64">
        <v>20.28</v>
      </c>
      <c r="D83" s="64">
        <v>33.31</v>
      </c>
      <c r="E83" s="64">
        <v>6.52</v>
      </c>
      <c r="F83" s="64">
        <v>15.5</v>
      </c>
      <c r="G83" s="64">
        <v>19.059999999999999</v>
      </c>
      <c r="H83" s="64">
        <v>43.6</v>
      </c>
      <c r="I83" s="64">
        <v>3.89</v>
      </c>
      <c r="J83" s="64">
        <v>0.73</v>
      </c>
      <c r="K83" s="64">
        <v>156.84</v>
      </c>
      <c r="L83" s="64">
        <v>8.6300000000000008</v>
      </c>
      <c r="M83" s="64">
        <v>59.11</v>
      </c>
      <c r="N83" s="64">
        <v>38</v>
      </c>
      <c r="O83" s="64">
        <v>0</v>
      </c>
      <c r="P83" s="64">
        <v>0.28999999999999998</v>
      </c>
      <c r="Q83" s="64">
        <v>9.1999999999999993</v>
      </c>
      <c r="R83" s="198"/>
      <c r="S83" s="198"/>
      <c r="T83" s="198"/>
      <c r="U83" s="198"/>
    </row>
    <row r="84" spans="1:26" s="12" customFormat="1" x14ac:dyDescent="0.25">
      <c r="A84" s="214" t="s">
        <v>2242</v>
      </c>
      <c r="B84" s="64">
        <v>4.6100000000000003</v>
      </c>
      <c r="C84" s="64">
        <v>19.14</v>
      </c>
      <c r="D84" s="64">
        <v>29.56</v>
      </c>
      <c r="E84" s="64">
        <v>6.4</v>
      </c>
      <c r="F84" s="64">
        <v>17.54</v>
      </c>
      <c r="G84" s="64">
        <v>19.059999999999999</v>
      </c>
      <c r="H84" s="6" t="s">
        <v>42</v>
      </c>
      <c r="I84" s="64">
        <v>3.91</v>
      </c>
      <c r="J84" s="64">
        <v>0.88</v>
      </c>
      <c r="K84" s="64">
        <v>96.77</v>
      </c>
      <c r="L84" s="64">
        <v>8.6300000000000008</v>
      </c>
      <c r="M84" s="64">
        <v>59.11</v>
      </c>
      <c r="N84" s="64">
        <v>38.299999999999997</v>
      </c>
      <c r="O84" s="64">
        <v>0</v>
      </c>
      <c r="P84" s="64">
        <v>0.32</v>
      </c>
      <c r="Q84" s="64">
        <v>9.1999999999999993</v>
      </c>
      <c r="R84" s="198"/>
      <c r="S84" s="198"/>
      <c r="T84" s="198"/>
      <c r="U84" s="198"/>
    </row>
    <row r="85" spans="1:26" s="12" customFormat="1" x14ac:dyDescent="0.25">
      <c r="A85" s="214" t="s">
        <v>2243</v>
      </c>
      <c r="B85" s="64">
        <v>8.06</v>
      </c>
      <c r="C85" s="64">
        <v>27.8</v>
      </c>
      <c r="D85" s="64">
        <v>40.83</v>
      </c>
      <c r="E85" s="64">
        <v>6.99</v>
      </c>
      <c r="F85" s="64">
        <v>16.68</v>
      </c>
      <c r="G85" s="64">
        <v>16.57</v>
      </c>
      <c r="H85" s="6" t="s">
        <v>42</v>
      </c>
      <c r="I85" s="64">
        <v>3.94</v>
      </c>
      <c r="J85" s="64">
        <v>0.45</v>
      </c>
      <c r="K85" s="64">
        <v>126.09</v>
      </c>
      <c r="L85" s="64">
        <v>8.6300000000000008</v>
      </c>
      <c r="M85" s="64">
        <v>59.11</v>
      </c>
      <c r="N85" s="64">
        <v>39</v>
      </c>
      <c r="O85" s="64">
        <v>0</v>
      </c>
      <c r="P85" s="64">
        <v>0.48</v>
      </c>
      <c r="Q85" s="64">
        <v>9.19</v>
      </c>
      <c r="R85" s="198"/>
      <c r="S85" s="198"/>
      <c r="T85" s="198"/>
      <c r="U85" s="198"/>
    </row>
    <row r="86" spans="1:26" s="12" customFormat="1" x14ac:dyDescent="0.25">
      <c r="A86" s="214" t="s">
        <v>2244</v>
      </c>
      <c r="B86" s="64">
        <v>6.16</v>
      </c>
      <c r="C86" s="64">
        <v>31.71</v>
      </c>
      <c r="D86" s="64">
        <v>51.23</v>
      </c>
      <c r="E86" s="64">
        <v>6.13</v>
      </c>
      <c r="F86" s="64">
        <v>9.1</v>
      </c>
      <c r="G86" s="6" t="s">
        <v>42</v>
      </c>
      <c r="H86" s="6" t="s">
        <v>42</v>
      </c>
      <c r="I86" s="64">
        <v>4.05</v>
      </c>
      <c r="J86" s="64">
        <v>0.28999999999999998</v>
      </c>
      <c r="K86" s="64">
        <v>218.17</v>
      </c>
      <c r="L86" s="64">
        <v>8.6300000000000008</v>
      </c>
      <c r="M86" s="64">
        <v>59.11</v>
      </c>
      <c r="N86" s="64">
        <v>40</v>
      </c>
      <c r="O86" s="64">
        <v>0</v>
      </c>
      <c r="P86" s="64">
        <v>0.55000000000000004</v>
      </c>
      <c r="Q86" s="64">
        <v>9.23</v>
      </c>
      <c r="R86" s="198"/>
      <c r="S86" s="198"/>
      <c r="T86" s="198"/>
      <c r="U86" s="198"/>
    </row>
    <row r="87" spans="1:26" s="12" customFormat="1" x14ac:dyDescent="0.25">
      <c r="A87" s="214" t="s">
        <v>2245</v>
      </c>
      <c r="B87" s="64">
        <v>6.91</v>
      </c>
      <c r="C87" s="64">
        <v>31.8</v>
      </c>
      <c r="D87" s="64">
        <v>50.25</v>
      </c>
      <c r="E87" s="64">
        <v>5.84</v>
      </c>
      <c r="F87" s="64">
        <v>9.81</v>
      </c>
      <c r="G87" s="6" t="s">
        <v>42</v>
      </c>
      <c r="H87" s="6" t="s">
        <v>42</v>
      </c>
      <c r="I87" s="64">
        <v>3.91</v>
      </c>
      <c r="J87" s="64">
        <v>0.51</v>
      </c>
      <c r="K87" s="64">
        <v>189.97</v>
      </c>
      <c r="L87" s="64">
        <v>8.6300000000000008</v>
      </c>
      <c r="M87" s="64">
        <v>59.11</v>
      </c>
      <c r="N87" s="64">
        <v>38.9</v>
      </c>
      <c r="O87" s="64">
        <v>0</v>
      </c>
      <c r="P87" s="64">
        <v>0.55000000000000004</v>
      </c>
      <c r="Q87" s="64">
        <v>9.26</v>
      </c>
      <c r="R87" s="198"/>
      <c r="S87" s="198"/>
      <c r="T87" s="198"/>
      <c r="U87" s="198"/>
    </row>
    <row r="88" spans="1:26" s="12" customFormat="1" x14ac:dyDescent="0.25">
      <c r="A88" s="214" t="s">
        <v>2246</v>
      </c>
      <c r="B88" s="64">
        <v>6.46</v>
      </c>
      <c r="C88" s="64">
        <v>27.37</v>
      </c>
      <c r="D88" s="64">
        <v>42.46</v>
      </c>
      <c r="E88" s="64">
        <v>5.71</v>
      </c>
      <c r="F88" s="64">
        <v>5.2</v>
      </c>
      <c r="G88" s="6" t="s">
        <v>42</v>
      </c>
      <c r="H88" s="6" t="s">
        <v>42</v>
      </c>
      <c r="I88" s="64">
        <v>4.0199999999999996</v>
      </c>
      <c r="J88" s="64">
        <v>1.43</v>
      </c>
      <c r="K88" s="64">
        <v>200.94</v>
      </c>
      <c r="L88" s="64">
        <v>8.6300000000000008</v>
      </c>
      <c r="M88" s="64">
        <v>59.11</v>
      </c>
      <c r="N88" s="64">
        <v>38.799999999999997</v>
      </c>
      <c r="O88" s="64">
        <v>0</v>
      </c>
      <c r="P88" s="64">
        <v>0.54</v>
      </c>
      <c r="Q88" s="64">
        <v>9.31</v>
      </c>
      <c r="R88" s="198"/>
      <c r="S88" s="198"/>
      <c r="T88" s="198"/>
      <c r="U88" s="198"/>
    </row>
    <row r="89" spans="1:26" s="12" customFormat="1" x14ac:dyDescent="0.25">
      <c r="A89" s="214" t="s">
        <v>2247</v>
      </c>
      <c r="B89" s="64">
        <v>5.71</v>
      </c>
      <c r="C89" s="64">
        <v>24.98</v>
      </c>
      <c r="D89" s="64">
        <v>39.04</v>
      </c>
      <c r="E89" s="64">
        <v>5.14</v>
      </c>
      <c r="F89" s="64">
        <v>4.75</v>
      </c>
      <c r="G89" s="64">
        <v>20.23</v>
      </c>
      <c r="H89" s="64">
        <v>1.65</v>
      </c>
      <c r="I89" s="64">
        <v>3.96</v>
      </c>
      <c r="J89" s="64">
        <v>1.84</v>
      </c>
      <c r="K89" s="64">
        <v>202.36</v>
      </c>
      <c r="L89" s="64">
        <v>8.6300000000000008</v>
      </c>
      <c r="M89" s="64">
        <v>59.11</v>
      </c>
      <c r="N89" s="64">
        <v>39.200000000000003</v>
      </c>
      <c r="O89" s="64">
        <v>0</v>
      </c>
      <c r="P89" s="64">
        <v>0.54</v>
      </c>
      <c r="Q89" s="64">
        <v>9.35</v>
      </c>
      <c r="R89" s="198"/>
      <c r="S89" s="198"/>
      <c r="T89" s="198"/>
      <c r="U89" s="198"/>
    </row>
    <row r="90" spans="1:26" s="12" customFormat="1" x14ac:dyDescent="0.25">
      <c r="A90" s="214" t="s">
        <v>2248</v>
      </c>
      <c r="B90" s="64">
        <v>5.54</v>
      </c>
      <c r="C90" s="64">
        <v>24.34</v>
      </c>
      <c r="D90" s="64">
        <v>38.090000000000003</v>
      </c>
      <c r="E90" s="64">
        <v>5.0599999999999996</v>
      </c>
      <c r="F90" s="64">
        <v>4.24</v>
      </c>
      <c r="G90" s="64">
        <v>107.11</v>
      </c>
      <c r="H90" s="64">
        <v>8.7100000000000009</v>
      </c>
      <c r="I90" s="64">
        <v>4.0999999999999996</v>
      </c>
      <c r="J90" s="64">
        <v>1.81</v>
      </c>
      <c r="K90" s="64">
        <v>201.88</v>
      </c>
      <c r="L90" s="64">
        <v>8.6300000000000008</v>
      </c>
      <c r="M90" s="64">
        <v>59.11</v>
      </c>
      <c r="N90" s="64">
        <v>39.6</v>
      </c>
      <c r="O90" s="64">
        <v>0</v>
      </c>
      <c r="P90" s="64">
        <v>0.54</v>
      </c>
      <c r="Q90" s="64">
        <v>9.3800000000000008</v>
      </c>
      <c r="R90" s="198"/>
      <c r="S90" s="198"/>
      <c r="T90" s="198"/>
      <c r="U90" s="198"/>
    </row>
    <row r="91" spans="1:26" s="12" customFormat="1" x14ac:dyDescent="0.25">
      <c r="A91" s="214" t="s">
        <v>2249</v>
      </c>
      <c r="B91" s="64">
        <v>5.79</v>
      </c>
      <c r="C91" s="64">
        <v>23.34</v>
      </c>
      <c r="D91" s="64">
        <v>35.78</v>
      </c>
      <c r="E91" s="64">
        <v>5.32</v>
      </c>
      <c r="F91" s="64">
        <v>4.2</v>
      </c>
      <c r="G91" s="64">
        <v>107.11</v>
      </c>
      <c r="H91" s="64">
        <v>8.7100000000000009</v>
      </c>
      <c r="I91" s="64">
        <v>3.95</v>
      </c>
      <c r="J91" s="64">
        <v>1.73</v>
      </c>
      <c r="K91" s="64">
        <v>200.47</v>
      </c>
      <c r="L91" s="64">
        <v>8.6300000000000008</v>
      </c>
      <c r="M91" s="64">
        <v>59.11</v>
      </c>
      <c r="N91" s="64">
        <v>38.6</v>
      </c>
      <c r="O91" s="64">
        <v>0</v>
      </c>
      <c r="P91" s="64">
        <v>0.52</v>
      </c>
      <c r="Q91" s="64">
        <v>9.4</v>
      </c>
      <c r="R91" s="198"/>
      <c r="S91" s="198"/>
      <c r="T91" s="198"/>
      <c r="U91" s="198"/>
    </row>
    <row r="92" spans="1:26" s="12" customFormat="1" x14ac:dyDescent="0.25">
      <c r="A92" s="214" t="s">
        <v>2250</v>
      </c>
      <c r="B92" s="64">
        <v>8.26</v>
      </c>
      <c r="C92" s="64">
        <v>27.11</v>
      </c>
      <c r="D92" s="64">
        <v>39.200000000000003</v>
      </c>
      <c r="E92" s="64">
        <v>5.33</v>
      </c>
      <c r="F92" s="64">
        <v>9.0399999999999991</v>
      </c>
      <c r="G92" s="64">
        <v>107.11</v>
      </c>
      <c r="H92" s="64">
        <v>8.7100000000000009</v>
      </c>
      <c r="I92" s="64">
        <v>3.91</v>
      </c>
      <c r="J92" s="64">
        <v>0.44</v>
      </c>
      <c r="K92" s="64">
        <v>199.02</v>
      </c>
      <c r="L92" s="64">
        <v>8.6300000000000008</v>
      </c>
      <c r="M92" s="64">
        <v>59.11</v>
      </c>
      <c r="N92" s="64">
        <v>37.4</v>
      </c>
      <c r="O92" s="64">
        <v>0</v>
      </c>
      <c r="P92" s="64">
        <v>0.56000000000000005</v>
      </c>
      <c r="Q92" s="64">
        <v>9.4</v>
      </c>
      <c r="R92" s="198"/>
      <c r="S92" s="198"/>
      <c r="T92" s="198"/>
      <c r="U92" s="198"/>
    </row>
    <row r="93" spans="1:26" s="12" customFormat="1" x14ac:dyDescent="0.25">
      <c r="A93" s="214" t="s">
        <v>2251</v>
      </c>
      <c r="B93" s="64">
        <v>7.39</v>
      </c>
      <c r="C93" s="64">
        <v>24.44</v>
      </c>
      <c r="D93" s="64">
        <v>35.450000000000003</v>
      </c>
      <c r="E93" s="64">
        <v>5.59</v>
      </c>
      <c r="F93" s="64">
        <v>4.53</v>
      </c>
      <c r="G93" s="64">
        <v>90.66</v>
      </c>
      <c r="H93" s="64">
        <v>9.1199999999999992</v>
      </c>
      <c r="I93" s="64">
        <v>3.96</v>
      </c>
      <c r="J93" s="64">
        <v>0.87</v>
      </c>
      <c r="K93" s="64">
        <v>200.77</v>
      </c>
      <c r="L93" s="64">
        <v>8.6300000000000008</v>
      </c>
      <c r="M93" s="64">
        <v>59.11</v>
      </c>
      <c r="N93" s="64">
        <v>38</v>
      </c>
      <c r="O93" s="64">
        <v>0</v>
      </c>
      <c r="P93" s="64">
        <v>0.52</v>
      </c>
      <c r="Q93" s="64">
        <v>9.41</v>
      </c>
      <c r="R93" s="198"/>
      <c r="S93" s="198"/>
      <c r="T93" s="198"/>
      <c r="U93" s="198"/>
    </row>
    <row r="94" spans="1:26" s="12" customFormat="1" x14ac:dyDescent="0.25">
      <c r="A94" s="214" t="s">
        <v>2252</v>
      </c>
      <c r="B94" s="64">
        <v>6.73</v>
      </c>
      <c r="C94" s="64">
        <v>21.92</v>
      </c>
      <c r="D94" s="64">
        <v>31.63</v>
      </c>
      <c r="E94" s="64">
        <v>4.9000000000000004</v>
      </c>
      <c r="F94" s="64">
        <v>4.08</v>
      </c>
      <c r="G94" s="64">
        <v>24.88</v>
      </c>
      <c r="H94" s="64">
        <v>10.85</v>
      </c>
      <c r="I94" s="64">
        <v>4.0199999999999996</v>
      </c>
      <c r="J94" s="64">
        <v>2.27</v>
      </c>
      <c r="K94" s="64">
        <v>200.96</v>
      </c>
      <c r="L94" s="64">
        <v>8.6300000000000008</v>
      </c>
      <c r="M94" s="64">
        <v>59.11</v>
      </c>
      <c r="N94" s="64">
        <v>38.5</v>
      </c>
      <c r="O94" s="64">
        <v>0</v>
      </c>
      <c r="P94" s="64">
        <v>0.52</v>
      </c>
      <c r="Q94" s="64">
        <v>9.4</v>
      </c>
      <c r="R94" s="198"/>
      <c r="S94" s="198"/>
      <c r="T94" s="198"/>
      <c r="U94" s="198"/>
    </row>
    <row r="95" spans="1:26" s="12" customFormat="1" x14ac:dyDescent="0.25">
      <c r="A95" s="214" t="s">
        <v>2253</v>
      </c>
      <c r="B95" s="64">
        <v>6.37</v>
      </c>
      <c r="C95" s="64">
        <v>20.45</v>
      </c>
      <c r="D95" s="64">
        <v>29.37</v>
      </c>
      <c r="E95" s="64">
        <v>4.5999999999999996</v>
      </c>
      <c r="F95" s="64">
        <v>4.4800000000000004</v>
      </c>
      <c r="G95" s="64">
        <v>24.88</v>
      </c>
      <c r="H95" s="64">
        <v>10.85</v>
      </c>
      <c r="I95" s="64">
        <v>3.94</v>
      </c>
      <c r="J95" s="64">
        <v>3.3</v>
      </c>
      <c r="K95" s="64">
        <v>197.23</v>
      </c>
      <c r="L95" s="64">
        <v>8.6300000000000008</v>
      </c>
      <c r="M95" s="64">
        <v>59.11</v>
      </c>
      <c r="N95" s="64">
        <v>39.5</v>
      </c>
      <c r="O95" s="64">
        <v>0</v>
      </c>
      <c r="P95" s="64">
        <v>0.49</v>
      </c>
      <c r="Q95" s="64">
        <v>9.4</v>
      </c>
      <c r="R95" s="198"/>
      <c r="S95" s="198"/>
      <c r="T95" s="198"/>
      <c r="U95" s="198"/>
    </row>
    <row r="96" spans="1:26" s="12" customFormat="1" x14ac:dyDescent="0.25">
      <c r="A96" s="214" t="s">
        <v>2254</v>
      </c>
      <c r="B96" s="64">
        <v>6.36</v>
      </c>
      <c r="C96" s="64">
        <v>20.73</v>
      </c>
      <c r="D96" s="64">
        <v>29.92</v>
      </c>
      <c r="E96" s="64">
        <v>5.22</v>
      </c>
      <c r="F96" s="64">
        <v>4.3899999999999997</v>
      </c>
      <c r="G96" s="64">
        <v>24.88</v>
      </c>
      <c r="H96" s="64">
        <v>10.85</v>
      </c>
      <c r="I96" s="64">
        <v>3.92</v>
      </c>
      <c r="J96" s="64">
        <v>3.37</v>
      </c>
      <c r="K96" s="64">
        <v>193.69</v>
      </c>
      <c r="L96" s="64">
        <v>8.6300000000000008</v>
      </c>
      <c r="M96" s="64">
        <v>59.11</v>
      </c>
      <c r="N96" s="64">
        <v>39.1</v>
      </c>
      <c r="O96" s="64">
        <v>0</v>
      </c>
      <c r="P96" s="64">
        <v>0.48</v>
      </c>
      <c r="Q96" s="64">
        <v>9.39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2255</v>
      </c>
      <c r="B97" s="64">
        <v>5.45</v>
      </c>
      <c r="C97" s="64">
        <v>20.23</v>
      </c>
      <c r="D97" s="64">
        <v>30.35</v>
      </c>
      <c r="E97" s="64">
        <v>4.99</v>
      </c>
      <c r="F97" s="64">
        <v>4.3099999999999996</v>
      </c>
      <c r="G97" s="64">
        <v>27.18</v>
      </c>
      <c r="H97" s="64">
        <v>10.63</v>
      </c>
      <c r="I97" s="64">
        <v>4.12</v>
      </c>
      <c r="J97" s="64">
        <v>2.75</v>
      </c>
      <c r="K97" s="64">
        <v>195.48</v>
      </c>
      <c r="L97" s="64">
        <v>8.6300000000000008</v>
      </c>
      <c r="M97" s="64">
        <v>59.11</v>
      </c>
      <c r="N97" s="64">
        <v>37</v>
      </c>
      <c r="O97" s="64">
        <v>0</v>
      </c>
      <c r="P97" s="64">
        <v>0.44</v>
      </c>
      <c r="Q97" s="64">
        <v>9.39</v>
      </c>
      <c r="R97" s="198"/>
      <c r="S97" s="198"/>
      <c r="T97" s="198"/>
      <c r="U97" s="198"/>
    </row>
    <row r="98" spans="1:33" s="12" customFormat="1" x14ac:dyDescent="0.25">
      <c r="A98" s="214" t="s">
        <v>2256</v>
      </c>
      <c r="B98" s="64">
        <v>4.93</v>
      </c>
      <c r="C98" s="64">
        <v>18.78</v>
      </c>
      <c r="D98" s="64">
        <v>28.38</v>
      </c>
      <c r="E98" s="64">
        <v>4.87</v>
      </c>
      <c r="F98" s="64">
        <v>3.88</v>
      </c>
      <c r="G98" s="64">
        <v>37.06</v>
      </c>
      <c r="H98" s="64">
        <v>9.76</v>
      </c>
      <c r="I98" s="64">
        <v>3.91</v>
      </c>
      <c r="J98" s="64">
        <v>1.98</v>
      </c>
      <c r="K98" s="64">
        <v>193.44</v>
      </c>
      <c r="L98" s="64">
        <v>8.6300000000000008</v>
      </c>
      <c r="M98" s="64">
        <v>59.11</v>
      </c>
      <c r="N98" s="64">
        <v>37.4</v>
      </c>
      <c r="O98" s="64">
        <v>0</v>
      </c>
      <c r="P98" s="64">
        <v>0.43</v>
      </c>
      <c r="Q98" s="64">
        <v>9.3800000000000008</v>
      </c>
      <c r="R98" s="198"/>
      <c r="S98" s="198"/>
      <c r="T98" s="198"/>
      <c r="U98" s="198"/>
    </row>
    <row r="99" spans="1:33" s="12" customFormat="1" x14ac:dyDescent="0.25">
      <c r="A99" s="214" t="s">
        <v>2257</v>
      </c>
      <c r="B99" s="64">
        <v>5.82</v>
      </c>
      <c r="C99" s="64">
        <v>18.47</v>
      </c>
      <c r="D99" s="64">
        <v>26.43</v>
      </c>
      <c r="E99" s="64">
        <v>5.03</v>
      </c>
      <c r="F99" s="64">
        <v>3.68</v>
      </c>
      <c r="G99" s="64">
        <v>37.06</v>
      </c>
      <c r="H99" s="64">
        <v>9.76</v>
      </c>
      <c r="I99" s="64">
        <v>3.89</v>
      </c>
      <c r="J99" s="64">
        <v>0.82</v>
      </c>
      <c r="K99" s="64">
        <v>186.35</v>
      </c>
      <c r="L99" s="64">
        <v>8.6300000000000008</v>
      </c>
      <c r="M99" s="64">
        <v>59.11</v>
      </c>
      <c r="N99" s="64">
        <v>38.4</v>
      </c>
      <c r="O99" s="64">
        <v>0</v>
      </c>
      <c r="P99" s="64">
        <v>0.41</v>
      </c>
      <c r="Q99" s="64">
        <v>9.39</v>
      </c>
      <c r="R99" s="198"/>
      <c r="S99" s="198"/>
      <c r="T99" s="198"/>
      <c r="U99" s="198"/>
    </row>
    <row r="100" spans="1:33" s="12" customFormat="1" x14ac:dyDescent="0.25">
      <c r="A100" s="214" t="s">
        <v>2258</v>
      </c>
      <c r="B100" s="64">
        <v>5.08</v>
      </c>
      <c r="C100" s="64">
        <v>17.13</v>
      </c>
      <c r="D100" s="64">
        <v>24.99</v>
      </c>
      <c r="E100" s="64">
        <v>5.0599999999999996</v>
      </c>
      <c r="F100" s="64">
        <v>3.53</v>
      </c>
      <c r="G100" s="64">
        <v>37.06</v>
      </c>
      <c r="H100" s="64">
        <v>9.76</v>
      </c>
      <c r="I100" s="64">
        <v>4.12</v>
      </c>
      <c r="J100" s="64">
        <v>2.1</v>
      </c>
      <c r="K100" s="64">
        <v>191.89</v>
      </c>
      <c r="L100" s="64">
        <v>8.6300000000000008</v>
      </c>
      <c r="M100" s="64">
        <v>59.11</v>
      </c>
      <c r="N100" s="64">
        <v>39.1</v>
      </c>
      <c r="O100" s="64">
        <v>0</v>
      </c>
      <c r="P100" s="64">
        <v>0.4</v>
      </c>
      <c r="Q100" s="64">
        <v>9.3699999999999992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2259</v>
      </c>
      <c r="B101" s="64">
        <v>4.9400000000000004</v>
      </c>
      <c r="C101" s="64">
        <v>16.41</v>
      </c>
      <c r="D101" s="64">
        <v>23.84</v>
      </c>
      <c r="E101" s="64">
        <v>5.01</v>
      </c>
      <c r="F101" s="64">
        <v>4.47</v>
      </c>
      <c r="G101" s="64">
        <v>34.369999999999997</v>
      </c>
      <c r="H101" s="64">
        <v>9.64</v>
      </c>
      <c r="I101" s="64">
        <v>4.03</v>
      </c>
      <c r="J101" s="64">
        <v>1.82</v>
      </c>
      <c r="K101" s="64">
        <v>192.62</v>
      </c>
      <c r="L101" s="64">
        <v>8.6300000000000008</v>
      </c>
      <c r="M101" s="64">
        <v>59.11</v>
      </c>
      <c r="N101" s="64">
        <v>38.6</v>
      </c>
      <c r="O101" s="64">
        <v>0</v>
      </c>
      <c r="P101" s="64">
        <v>0.38</v>
      </c>
      <c r="Q101" s="64">
        <v>9.3699999999999992</v>
      </c>
      <c r="R101" s="198"/>
      <c r="S101" s="198"/>
      <c r="T101" s="198"/>
      <c r="U101" s="198"/>
    </row>
    <row r="102" spans="1:33" s="12" customFormat="1" x14ac:dyDescent="0.25">
      <c r="A102" s="214" t="s">
        <v>2260</v>
      </c>
      <c r="B102" s="64">
        <v>4.97</v>
      </c>
      <c r="C102" s="64">
        <v>16.14</v>
      </c>
      <c r="D102" s="64">
        <v>23.26</v>
      </c>
      <c r="E102" s="64">
        <v>4.8099999999999996</v>
      </c>
      <c r="F102" s="64">
        <v>2.85</v>
      </c>
      <c r="G102" s="64">
        <v>23.58</v>
      </c>
      <c r="H102" s="64">
        <v>9.14</v>
      </c>
      <c r="I102" s="64">
        <v>3.97</v>
      </c>
      <c r="J102" s="64">
        <v>0.6</v>
      </c>
      <c r="K102" s="64">
        <v>192.41</v>
      </c>
      <c r="L102" s="64">
        <v>8.6300000000000008</v>
      </c>
      <c r="M102" s="64">
        <v>59.11</v>
      </c>
      <c r="N102" s="64">
        <v>38.700000000000003</v>
      </c>
      <c r="O102" s="64">
        <v>0</v>
      </c>
      <c r="P102" s="64">
        <v>0.37</v>
      </c>
      <c r="Q102" s="64">
        <v>9.36</v>
      </c>
      <c r="R102" s="198"/>
      <c r="S102" s="198"/>
      <c r="T102" s="198"/>
      <c r="U102" s="198"/>
    </row>
    <row r="103" spans="1:33" s="12" customFormat="1" x14ac:dyDescent="0.25">
      <c r="A103" s="214" t="s">
        <v>2261</v>
      </c>
      <c r="B103" s="64">
        <v>5.26</v>
      </c>
      <c r="C103" s="64">
        <v>15.79</v>
      </c>
      <c r="D103" s="64">
        <v>22.15</v>
      </c>
      <c r="E103" s="64">
        <v>4.82</v>
      </c>
      <c r="F103" s="64">
        <v>4.13</v>
      </c>
      <c r="G103" s="64">
        <v>23.58</v>
      </c>
      <c r="H103" s="64">
        <v>9.14</v>
      </c>
      <c r="I103" s="64">
        <v>4.01</v>
      </c>
      <c r="J103" s="64">
        <v>0.51</v>
      </c>
      <c r="K103" s="64">
        <v>175.65</v>
      </c>
      <c r="L103" s="64">
        <v>8.6300000000000008</v>
      </c>
      <c r="M103" s="64">
        <v>59.11</v>
      </c>
      <c r="N103" s="64">
        <v>38</v>
      </c>
      <c r="O103" s="64">
        <v>0</v>
      </c>
      <c r="P103" s="64">
        <v>0.37</v>
      </c>
      <c r="Q103" s="64">
        <v>9.35</v>
      </c>
      <c r="R103" s="198"/>
      <c r="S103" s="198"/>
      <c r="T103" s="198"/>
      <c r="U103" s="198"/>
    </row>
    <row r="104" spans="1:33" s="12" customFormat="1" x14ac:dyDescent="0.25">
      <c r="A104" s="214" t="s">
        <v>2262</v>
      </c>
      <c r="B104" s="64">
        <v>5.43</v>
      </c>
      <c r="C104" s="64">
        <v>15.84</v>
      </c>
      <c r="D104" s="64">
        <v>21.97</v>
      </c>
      <c r="E104" s="64">
        <v>4.9800000000000004</v>
      </c>
      <c r="F104" s="64">
        <v>2.97</v>
      </c>
      <c r="G104" s="64">
        <v>23.58</v>
      </c>
      <c r="H104" s="64">
        <v>9.14</v>
      </c>
      <c r="I104" s="64">
        <v>3.81</v>
      </c>
      <c r="J104" s="64">
        <v>1.66</v>
      </c>
      <c r="K104" s="64">
        <v>109.41</v>
      </c>
      <c r="L104" s="64">
        <v>8.6300000000000008</v>
      </c>
      <c r="M104" s="64">
        <v>59.11</v>
      </c>
      <c r="N104" s="64">
        <v>38.6</v>
      </c>
      <c r="O104" s="64">
        <v>0</v>
      </c>
      <c r="P104" s="64">
        <v>0.35</v>
      </c>
      <c r="Q104" s="64">
        <v>9.35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3.5</v>
      </c>
      <c r="C106" s="67">
        <f>MIN(C9:C104)</f>
        <v>14.74</v>
      </c>
      <c r="D106" s="67">
        <f t="shared" ref="D106:Q106" si="0">MIN(D9:D104)</f>
        <v>21.21</v>
      </c>
      <c r="E106" s="67">
        <f t="shared" si="0"/>
        <v>4.5999999999999996</v>
      </c>
      <c r="F106" s="67">
        <f t="shared" si="0"/>
        <v>2.85</v>
      </c>
      <c r="G106" s="67">
        <f t="shared" si="0"/>
        <v>16.57</v>
      </c>
      <c r="H106" s="67">
        <f t="shared" si="0"/>
        <v>0.04</v>
      </c>
      <c r="I106" s="67">
        <f t="shared" si="0"/>
        <v>3.8</v>
      </c>
      <c r="J106" s="67">
        <f t="shared" si="0"/>
        <v>0.08</v>
      </c>
      <c r="K106" s="67">
        <f t="shared" si="0"/>
        <v>96.77</v>
      </c>
      <c r="L106" s="67">
        <f t="shared" si="0"/>
        <v>8.6300000000000008</v>
      </c>
      <c r="M106" s="67">
        <f t="shared" si="0"/>
        <v>53.3</v>
      </c>
      <c r="N106" s="67">
        <f t="shared" si="0"/>
        <v>37</v>
      </c>
      <c r="O106" s="67">
        <f t="shared" si="0"/>
        <v>0</v>
      </c>
      <c r="P106" s="67">
        <f t="shared" si="0"/>
        <v>0.24</v>
      </c>
      <c r="Q106" s="67">
        <f t="shared" si="0"/>
        <v>9.19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17.28</v>
      </c>
      <c r="C107" s="66">
        <f t="shared" ref="C107:Q107" si="1">MAX(C9:C104)</f>
        <v>49.86</v>
      </c>
      <c r="D107" s="66">
        <f t="shared" si="1"/>
        <v>68.92</v>
      </c>
      <c r="E107" s="66">
        <f t="shared" si="1"/>
        <v>23.74</v>
      </c>
      <c r="F107" s="66">
        <f t="shared" si="1"/>
        <v>30.1</v>
      </c>
      <c r="G107" s="66">
        <f t="shared" si="1"/>
        <v>107.11</v>
      </c>
      <c r="H107" s="66">
        <f t="shared" si="1"/>
        <v>793.41</v>
      </c>
      <c r="I107" s="66">
        <f t="shared" si="1"/>
        <v>4.29</v>
      </c>
      <c r="J107" s="66">
        <f t="shared" si="1"/>
        <v>3.37</v>
      </c>
      <c r="K107" s="66">
        <f t="shared" si="1"/>
        <v>218.17</v>
      </c>
      <c r="L107" s="66">
        <f t="shared" si="1"/>
        <v>35.58</v>
      </c>
      <c r="M107" s="66">
        <f t="shared" si="1"/>
        <v>67.81</v>
      </c>
      <c r="N107" s="66">
        <f t="shared" si="1"/>
        <v>824</v>
      </c>
      <c r="O107" s="66">
        <f t="shared" si="1"/>
        <v>0</v>
      </c>
      <c r="P107" s="66">
        <f t="shared" si="1"/>
        <v>0.72</v>
      </c>
      <c r="Q107" s="66">
        <f t="shared" si="1"/>
        <v>9.57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6.2925000000000013</v>
      </c>
      <c r="C108" s="67">
        <f t="shared" ref="C108:Q108" si="2">AVERAGE(C9:C104)</f>
        <v>22.067499999999999</v>
      </c>
      <c r="D108" s="67">
        <f t="shared" si="2"/>
        <v>32.618437499999999</v>
      </c>
      <c r="E108" s="67">
        <f t="shared" si="2"/>
        <v>7.9300000000000006</v>
      </c>
      <c r="F108" s="67">
        <f t="shared" si="2"/>
        <v>13.586666666666668</v>
      </c>
      <c r="G108" s="67">
        <f t="shared" si="2"/>
        <v>37.885376344086019</v>
      </c>
      <c r="H108" s="67">
        <f t="shared" si="2"/>
        <v>145.70243902439023</v>
      </c>
      <c r="I108" s="67">
        <f t="shared" si="2"/>
        <v>4.0125000000000002</v>
      </c>
      <c r="J108" s="67">
        <f t="shared" si="2"/>
        <v>0.75270833333333298</v>
      </c>
      <c r="K108" s="67">
        <f t="shared" si="2"/>
        <v>164.03677083333335</v>
      </c>
      <c r="L108" s="67">
        <f t="shared" si="2"/>
        <v>16.209166666666739</v>
      </c>
      <c r="M108" s="67">
        <f t="shared" si="2"/>
        <v>59.831666666666614</v>
      </c>
      <c r="N108" s="67">
        <f t="shared" si="2"/>
        <v>250.14479166666661</v>
      </c>
      <c r="O108" s="67">
        <f t="shared" si="2"/>
        <v>0</v>
      </c>
      <c r="P108" s="67">
        <f t="shared" si="2"/>
        <v>0.44291666666666646</v>
      </c>
      <c r="Q108" s="67">
        <f t="shared" si="2"/>
        <v>9.3162500000000072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1.9346709226499872</v>
      </c>
      <c r="C109" s="67">
        <f t="shared" ref="C109:Q109" si="3">STDEV(C9:C104)</f>
        <v>6.0968122818403909</v>
      </c>
      <c r="D109" s="67">
        <f t="shared" si="3"/>
        <v>10.345575034576509</v>
      </c>
      <c r="E109" s="67">
        <f t="shared" si="3"/>
        <v>3.5688700850844235</v>
      </c>
      <c r="F109" s="67">
        <f t="shared" si="3"/>
        <v>8.0556883683344616</v>
      </c>
      <c r="G109" s="67">
        <f t="shared" si="3"/>
        <v>19.501719687779758</v>
      </c>
      <c r="H109" s="67">
        <f t="shared" si="3"/>
        <v>251.64534197885868</v>
      </c>
      <c r="I109" s="67">
        <f t="shared" si="3"/>
        <v>9.0878750918028425E-2</v>
      </c>
      <c r="J109" s="67">
        <f t="shared" si="3"/>
        <v>0.63322645681780809</v>
      </c>
      <c r="K109" s="67">
        <f t="shared" si="3"/>
        <v>36.055979385709612</v>
      </c>
      <c r="L109" s="67">
        <f t="shared" si="3"/>
        <v>11.602935532978488</v>
      </c>
      <c r="M109" s="67">
        <f t="shared" si="3"/>
        <v>2.9058118411453195</v>
      </c>
      <c r="N109" s="67">
        <f t="shared" si="3"/>
        <v>279.44150800058407</v>
      </c>
      <c r="O109" s="67">
        <f t="shared" si="3"/>
        <v>0</v>
      </c>
      <c r="P109" s="67">
        <f t="shared" si="3"/>
        <v>0.11316421850955052</v>
      </c>
      <c r="Q109" s="67">
        <f t="shared" si="3"/>
        <v>9.9823528499573891E-2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>COUNT(G9:G104)+3</f>
        <v>96</v>
      </c>
      <c r="H110" s="66">
        <f>COUNT(H9:H104)+14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59" sqref="J59:K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2263</v>
      </c>
      <c r="B9" s="64">
        <v>5.47</v>
      </c>
      <c r="C9" s="64">
        <v>15.15</v>
      </c>
      <c r="D9" s="64">
        <v>20.61</v>
      </c>
      <c r="E9" s="64">
        <v>5.67</v>
      </c>
      <c r="F9" s="64">
        <v>4.7</v>
      </c>
      <c r="G9" s="64">
        <v>21.59</v>
      </c>
      <c r="H9" s="64">
        <v>8.7100000000000009</v>
      </c>
      <c r="I9" s="64">
        <v>4.0199999999999996</v>
      </c>
      <c r="J9" s="64">
        <v>0.45</v>
      </c>
      <c r="K9" s="64">
        <v>110.82</v>
      </c>
      <c r="L9" s="64">
        <v>98.21</v>
      </c>
      <c r="M9" s="64">
        <v>19.25</v>
      </c>
      <c r="N9" s="64">
        <v>38.6</v>
      </c>
      <c r="O9" s="64">
        <v>0</v>
      </c>
      <c r="P9" s="64">
        <v>0.35</v>
      </c>
      <c r="Q9" s="64">
        <v>9.33</v>
      </c>
      <c r="R9" s="198"/>
      <c r="S9" s="198"/>
      <c r="T9" s="198"/>
      <c r="U9" s="198"/>
    </row>
    <row r="10" spans="1:21" s="12" customFormat="1" x14ac:dyDescent="0.25">
      <c r="A10" s="214" t="s">
        <v>2264</v>
      </c>
      <c r="B10" s="64">
        <v>5.44</v>
      </c>
      <c r="C10" s="64">
        <v>15.3</v>
      </c>
      <c r="D10" s="64">
        <v>20.93</v>
      </c>
      <c r="E10" s="64">
        <v>5.54</v>
      </c>
      <c r="F10" s="64">
        <v>7.58</v>
      </c>
      <c r="G10" s="64">
        <v>13.61</v>
      </c>
      <c r="H10" s="64">
        <v>7</v>
      </c>
      <c r="I10" s="64">
        <v>3.95</v>
      </c>
      <c r="J10" s="64">
        <v>0.25</v>
      </c>
      <c r="K10" s="64">
        <v>192.07</v>
      </c>
      <c r="L10" s="64">
        <v>98.21</v>
      </c>
      <c r="M10" s="64">
        <v>19.25</v>
      </c>
      <c r="N10" s="64">
        <v>39.6</v>
      </c>
      <c r="O10" s="64">
        <v>0</v>
      </c>
      <c r="P10" s="64">
        <v>0.28999999999999998</v>
      </c>
      <c r="Q10" s="64">
        <v>9.34</v>
      </c>
      <c r="R10" s="198"/>
      <c r="S10" s="198"/>
      <c r="T10" s="198"/>
      <c r="U10" s="198"/>
    </row>
    <row r="11" spans="1:21" s="12" customFormat="1" x14ac:dyDescent="0.25">
      <c r="A11" s="214" t="s">
        <v>2265</v>
      </c>
      <c r="B11" s="64">
        <v>5.9</v>
      </c>
      <c r="C11" s="64">
        <v>14.71</v>
      </c>
      <c r="D11" s="64">
        <v>19.11</v>
      </c>
      <c r="E11" s="64">
        <v>5.24</v>
      </c>
      <c r="F11" s="64">
        <v>5.54</v>
      </c>
      <c r="G11" s="64">
        <v>13.61</v>
      </c>
      <c r="H11" s="64">
        <v>7</v>
      </c>
      <c r="I11" s="64">
        <v>4.07</v>
      </c>
      <c r="J11" s="64">
        <v>0.55000000000000004</v>
      </c>
      <c r="K11" s="64">
        <v>191.03</v>
      </c>
      <c r="L11" s="64">
        <v>98.21</v>
      </c>
      <c r="M11" s="64">
        <v>19.25</v>
      </c>
      <c r="N11" s="64">
        <v>38.200000000000003</v>
      </c>
      <c r="O11" s="64">
        <v>0</v>
      </c>
      <c r="P11" s="64">
        <v>0.3</v>
      </c>
      <c r="Q11" s="64">
        <v>9.34</v>
      </c>
      <c r="R11" s="198"/>
      <c r="S11" s="198"/>
      <c r="T11" s="198"/>
      <c r="U11" s="198"/>
    </row>
    <row r="12" spans="1:21" s="12" customFormat="1" x14ac:dyDescent="0.25">
      <c r="A12" s="214" t="s">
        <v>2266</v>
      </c>
      <c r="B12" s="64">
        <v>5.62</v>
      </c>
      <c r="C12" s="64">
        <v>13.71</v>
      </c>
      <c r="D12" s="64">
        <v>17.61</v>
      </c>
      <c r="E12" s="64">
        <v>5.45</v>
      </c>
      <c r="F12" s="64">
        <v>5.97</v>
      </c>
      <c r="G12" s="64">
        <v>13.61</v>
      </c>
      <c r="H12" s="64">
        <v>7</v>
      </c>
      <c r="I12" s="64">
        <v>4.05</v>
      </c>
      <c r="J12" s="64">
        <v>0.24</v>
      </c>
      <c r="K12" s="64">
        <v>181.47</v>
      </c>
      <c r="L12" s="64">
        <v>98.21</v>
      </c>
      <c r="M12" s="64">
        <v>19.25</v>
      </c>
      <c r="N12" s="64">
        <v>37.5</v>
      </c>
      <c r="O12" s="64">
        <v>0</v>
      </c>
      <c r="P12" s="64">
        <v>0.27</v>
      </c>
      <c r="Q12" s="64">
        <v>9.32</v>
      </c>
      <c r="R12" s="198"/>
      <c r="S12" s="198"/>
      <c r="T12" s="198"/>
      <c r="U12" s="198"/>
    </row>
    <row r="13" spans="1:21" s="12" customFormat="1" x14ac:dyDescent="0.25">
      <c r="A13" s="214" t="s">
        <v>2267</v>
      </c>
      <c r="B13" s="64">
        <v>5.78</v>
      </c>
      <c r="C13" s="64">
        <v>13.79</v>
      </c>
      <c r="D13" s="64">
        <v>17.52</v>
      </c>
      <c r="E13" s="64">
        <v>5.56</v>
      </c>
      <c r="F13" s="64">
        <v>5.75</v>
      </c>
      <c r="G13" s="64">
        <v>11.89</v>
      </c>
      <c r="H13" s="64">
        <v>6.6</v>
      </c>
      <c r="I13" s="64">
        <v>3.96</v>
      </c>
      <c r="J13" s="64">
        <v>0.48</v>
      </c>
      <c r="K13" s="64">
        <v>169.24</v>
      </c>
      <c r="L13" s="64">
        <v>98.21</v>
      </c>
      <c r="M13" s="64">
        <v>19.25</v>
      </c>
      <c r="N13" s="64">
        <v>38.4</v>
      </c>
      <c r="O13" s="64">
        <v>0</v>
      </c>
      <c r="P13" s="64">
        <v>0.24</v>
      </c>
      <c r="Q13" s="64">
        <v>9.31</v>
      </c>
      <c r="R13" s="198"/>
      <c r="S13" s="198"/>
      <c r="T13" s="198"/>
      <c r="U13" s="198"/>
    </row>
    <row r="14" spans="1:21" s="12" customFormat="1" x14ac:dyDescent="0.25">
      <c r="A14" s="214" t="s">
        <v>2268</v>
      </c>
      <c r="B14" s="64">
        <v>5.95</v>
      </c>
      <c r="C14" s="64">
        <v>13.61</v>
      </c>
      <c r="D14" s="64">
        <v>16.93</v>
      </c>
      <c r="E14" s="64">
        <v>5.86</v>
      </c>
      <c r="F14" s="64">
        <v>4.67</v>
      </c>
      <c r="G14" s="64">
        <v>4.5</v>
      </c>
      <c r="H14" s="64">
        <v>4.9000000000000004</v>
      </c>
      <c r="I14" s="64">
        <v>3.97</v>
      </c>
      <c r="J14" s="64">
        <v>0.59</v>
      </c>
      <c r="K14" s="64">
        <v>158.62</v>
      </c>
      <c r="L14" s="64">
        <v>98.21</v>
      </c>
      <c r="M14" s="64">
        <v>19.25</v>
      </c>
      <c r="N14" s="64">
        <v>38.1</v>
      </c>
      <c r="O14" s="64">
        <v>0</v>
      </c>
      <c r="P14" s="64">
        <v>0.26</v>
      </c>
      <c r="Q14" s="64">
        <v>9.3000000000000007</v>
      </c>
      <c r="R14" s="198"/>
      <c r="S14" s="198"/>
      <c r="T14" s="198"/>
      <c r="U14" s="198"/>
    </row>
    <row r="15" spans="1:21" s="12" customFormat="1" x14ac:dyDescent="0.25">
      <c r="A15" s="214" t="s">
        <v>2269</v>
      </c>
      <c r="B15" s="64">
        <v>6.11</v>
      </c>
      <c r="C15" s="64">
        <v>13.77</v>
      </c>
      <c r="D15" s="64">
        <v>16.97</v>
      </c>
      <c r="E15" s="64">
        <v>5.32</v>
      </c>
      <c r="F15" s="64">
        <v>4.3600000000000003</v>
      </c>
      <c r="G15" s="64">
        <v>4.5</v>
      </c>
      <c r="H15" s="64">
        <v>4.9000000000000004</v>
      </c>
      <c r="I15" s="64">
        <v>4.04</v>
      </c>
      <c r="J15" s="64">
        <v>1.1200000000000001</v>
      </c>
      <c r="K15" s="64">
        <v>154.66999999999999</v>
      </c>
      <c r="L15" s="64">
        <v>98.21</v>
      </c>
      <c r="M15" s="64">
        <v>19.25</v>
      </c>
      <c r="N15" s="64">
        <v>38.700000000000003</v>
      </c>
      <c r="O15" s="64">
        <v>0</v>
      </c>
      <c r="P15" s="64">
        <v>0.26</v>
      </c>
      <c r="Q15" s="64">
        <v>9.2899999999999991</v>
      </c>
      <c r="R15" s="198"/>
      <c r="S15" s="198"/>
      <c r="T15" s="198"/>
      <c r="U15" s="198"/>
    </row>
    <row r="16" spans="1:21" s="12" customFormat="1" x14ac:dyDescent="0.25">
      <c r="A16" s="214" t="s">
        <v>2270</v>
      </c>
      <c r="B16" s="64">
        <v>6.5</v>
      </c>
      <c r="C16" s="64">
        <v>14.2</v>
      </c>
      <c r="D16" s="64">
        <v>17.21</v>
      </c>
      <c r="E16" s="64">
        <v>5.68</v>
      </c>
      <c r="F16" s="64">
        <v>3.69</v>
      </c>
      <c r="G16" s="64">
        <v>4.5</v>
      </c>
      <c r="H16" s="64">
        <v>4.9000000000000004</v>
      </c>
      <c r="I16" s="64">
        <v>3.89</v>
      </c>
      <c r="J16" s="64">
        <v>1.3</v>
      </c>
      <c r="K16" s="64">
        <v>151.11000000000001</v>
      </c>
      <c r="L16" s="64">
        <v>98.21</v>
      </c>
      <c r="M16" s="64">
        <v>19.25</v>
      </c>
      <c r="N16" s="64">
        <v>38.200000000000003</v>
      </c>
      <c r="O16" s="64">
        <v>0</v>
      </c>
      <c r="P16" s="64">
        <v>0.28999999999999998</v>
      </c>
      <c r="Q16" s="64">
        <v>9.3000000000000007</v>
      </c>
      <c r="R16" s="198"/>
      <c r="S16" s="198"/>
      <c r="T16" s="198"/>
      <c r="U16" s="198"/>
    </row>
    <row r="17" spans="1:21" s="12" customFormat="1" x14ac:dyDescent="0.25">
      <c r="A17" s="214" t="s">
        <v>2271</v>
      </c>
      <c r="B17" s="64">
        <v>6.59</v>
      </c>
      <c r="C17" s="64">
        <v>14.57</v>
      </c>
      <c r="D17" s="64">
        <v>17.78</v>
      </c>
      <c r="E17" s="64">
        <v>5.65</v>
      </c>
      <c r="F17" s="64">
        <v>4.03</v>
      </c>
      <c r="G17" s="64">
        <v>5.59</v>
      </c>
      <c r="H17" s="64">
        <v>4.8899999999999997</v>
      </c>
      <c r="I17" s="64">
        <v>4.16</v>
      </c>
      <c r="J17" s="64">
        <v>0.66</v>
      </c>
      <c r="K17" s="64">
        <v>181.92</v>
      </c>
      <c r="L17" s="64">
        <v>98.21</v>
      </c>
      <c r="M17" s="64">
        <v>19.25</v>
      </c>
      <c r="N17" s="64">
        <v>38.700000000000003</v>
      </c>
      <c r="O17" s="64">
        <v>0</v>
      </c>
      <c r="P17" s="64">
        <v>0.28000000000000003</v>
      </c>
      <c r="Q17" s="64">
        <v>9.3000000000000007</v>
      </c>
      <c r="R17" s="198"/>
      <c r="S17" s="198"/>
      <c r="T17" s="198"/>
      <c r="U17" s="198"/>
    </row>
    <row r="18" spans="1:21" s="12" customFormat="1" x14ac:dyDescent="0.25">
      <c r="A18" s="214" t="s">
        <v>2272</v>
      </c>
      <c r="B18" s="64">
        <v>6.48</v>
      </c>
      <c r="C18" s="64">
        <v>15.63</v>
      </c>
      <c r="D18" s="64">
        <v>19.97</v>
      </c>
      <c r="E18" s="64">
        <v>5.78</v>
      </c>
      <c r="F18" s="64">
        <v>3.65</v>
      </c>
      <c r="G18" s="64">
        <v>10.3</v>
      </c>
      <c r="H18" s="64">
        <v>4.87</v>
      </c>
      <c r="I18" s="64">
        <v>3.84</v>
      </c>
      <c r="J18" s="64">
        <v>0.87</v>
      </c>
      <c r="K18" s="64">
        <v>183.32</v>
      </c>
      <c r="L18" s="64">
        <v>98.21</v>
      </c>
      <c r="M18" s="64">
        <v>18.45</v>
      </c>
      <c r="N18" s="64">
        <v>38.5</v>
      </c>
      <c r="O18" s="64">
        <v>0</v>
      </c>
      <c r="P18" s="64">
        <v>0.27</v>
      </c>
      <c r="Q18" s="64">
        <v>9.2799999999999994</v>
      </c>
      <c r="R18" s="198"/>
      <c r="S18" s="198"/>
      <c r="T18" s="198"/>
      <c r="U18" s="198"/>
    </row>
    <row r="19" spans="1:21" s="12" customFormat="1" x14ac:dyDescent="0.25">
      <c r="A19" s="214" t="s">
        <v>2273</v>
      </c>
      <c r="B19" s="64">
        <v>6.03</v>
      </c>
      <c r="C19" s="64">
        <v>15.34</v>
      </c>
      <c r="D19" s="64">
        <v>20.11</v>
      </c>
      <c r="E19" s="64">
        <v>5.68</v>
      </c>
      <c r="F19" s="64">
        <v>4.47</v>
      </c>
      <c r="G19" s="64">
        <v>10.3</v>
      </c>
      <c r="H19" s="64">
        <v>4.87</v>
      </c>
      <c r="I19" s="64">
        <v>3.88</v>
      </c>
      <c r="J19" s="64">
        <v>1.07</v>
      </c>
      <c r="K19" s="64">
        <v>159.36000000000001</v>
      </c>
      <c r="L19" s="64">
        <v>98.21</v>
      </c>
      <c r="M19" s="64">
        <v>59.96</v>
      </c>
      <c r="N19" s="64">
        <v>38.299999999999997</v>
      </c>
      <c r="O19" s="64">
        <v>0</v>
      </c>
      <c r="P19" s="64">
        <v>0.26</v>
      </c>
      <c r="Q19" s="64">
        <v>9.26</v>
      </c>
      <c r="R19" s="198"/>
      <c r="S19" s="198"/>
      <c r="T19" s="198"/>
      <c r="U19" s="198"/>
    </row>
    <row r="20" spans="1:21" s="12" customFormat="1" x14ac:dyDescent="0.25">
      <c r="A20" s="214" t="s">
        <v>2274</v>
      </c>
      <c r="B20" s="64">
        <v>5.77</v>
      </c>
      <c r="C20" s="64">
        <v>15.25</v>
      </c>
      <c r="D20" s="64">
        <v>20.32</v>
      </c>
      <c r="E20" s="64">
        <v>5.37</v>
      </c>
      <c r="F20" s="64">
        <v>4.07</v>
      </c>
      <c r="G20" s="64">
        <v>10.3</v>
      </c>
      <c r="H20" s="64">
        <v>4.87</v>
      </c>
      <c r="I20" s="64">
        <v>3.79</v>
      </c>
      <c r="J20" s="64">
        <v>1.65</v>
      </c>
      <c r="K20" s="64">
        <v>155.33000000000001</v>
      </c>
      <c r="L20" s="64">
        <v>98.21</v>
      </c>
      <c r="M20" s="64">
        <v>63.41</v>
      </c>
      <c r="N20" s="64">
        <v>38.4</v>
      </c>
      <c r="O20" s="64">
        <v>0</v>
      </c>
      <c r="P20" s="64">
        <v>0.25</v>
      </c>
      <c r="Q20" s="64">
        <v>9.25</v>
      </c>
      <c r="R20" s="198"/>
      <c r="S20" s="198"/>
      <c r="T20" s="198"/>
      <c r="U20" s="198"/>
    </row>
    <row r="21" spans="1:21" s="12" customFormat="1" x14ac:dyDescent="0.25">
      <c r="A21" s="214" t="s">
        <v>2275</v>
      </c>
      <c r="B21" s="64">
        <v>5.57</v>
      </c>
      <c r="C21" s="64">
        <v>15.11</v>
      </c>
      <c r="D21" s="64">
        <v>20.36</v>
      </c>
      <c r="E21" s="64">
        <v>5.84</v>
      </c>
      <c r="F21" s="64">
        <v>3.52</v>
      </c>
      <c r="G21" s="64">
        <v>8.7799999999999994</v>
      </c>
      <c r="H21" s="64">
        <v>4.63</v>
      </c>
      <c r="I21" s="64">
        <v>3.94</v>
      </c>
      <c r="J21" s="64">
        <v>1.04</v>
      </c>
      <c r="K21" s="64">
        <v>161.51</v>
      </c>
      <c r="L21" s="64">
        <v>98.21</v>
      </c>
      <c r="M21" s="64">
        <v>60.63</v>
      </c>
      <c r="N21" s="64">
        <v>38.9</v>
      </c>
      <c r="O21" s="64">
        <v>0</v>
      </c>
      <c r="P21" s="64">
        <v>0.24</v>
      </c>
      <c r="Q21" s="64">
        <v>9.25</v>
      </c>
      <c r="R21" s="198"/>
      <c r="S21" s="198"/>
      <c r="T21" s="198"/>
      <c r="U21" s="198"/>
    </row>
    <row r="22" spans="1:21" s="12" customFormat="1" x14ac:dyDescent="0.25">
      <c r="A22" s="214" t="s">
        <v>2276</v>
      </c>
      <c r="B22" s="64">
        <v>5.32</v>
      </c>
      <c r="C22" s="64">
        <v>14.34</v>
      </c>
      <c r="D22" s="64">
        <v>19.27</v>
      </c>
      <c r="E22" s="64">
        <v>5.47</v>
      </c>
      <c r="F22" s="64">
        <v>4.43</v>
      </c>
      <c r="G22" s="64">
        <v>2.2599999999999998</v>
      </c>
      <c r="H22" s="64">
        <v>3.6</v>
      </c>
      <c r="I22" s="64">
        <v>4</v>
      </c>
      <c r="J22" s="64">
        <v>0.65</v>
      </c>
      <c r="K22" s="64">
        <v>178.49</v>
      </c>
      <c r="L22" s="64">
        <v>98.21</v>
      </c>
      <c r="M22" s="64">
        <v>60.03</v>
      </c>
      <c r="N22" s="64">
        <v>39</v>
      </c>
      <c r="O22" s="64">
        <v>0</v>
      </c>
      <c r="P22" s="64">
        <v>0.23</v>
      </c>
      <c r="Q22" s="64">
        <v>9.25</v>
      </c>
      <c r="R22" s="198"/>
      <c r="S22" s="198"/>
      <c r="T22" s="198"/>
      <c r="U22" s="198"/>
    </row>
    <row r="23" spans="1:21" s="12" customFormat="1" x14ac:dyDescent="0.25">
      <c r="A23" s="214" t="s">
        <v>2277</v>
      </c>
      <c r="B23" s="64">
        <v>5.21</v>
      </c>
      <c r="C23" s="64">
        <v>14.45</v>
      </c>
      <c r="D23" s="64">
        <v>19.66</v>
      </c>
      <c r="E23" s="64">
        <v>5.55</v>
      </c>
      <c r="F23" s="64">
        <v>4.21</v>
      </c>
      <c r="G23" s="64">
        <v>2.2599999999999998</v>
      </c>
      <c r="H23" s="64">
        <v>3.6</v>
      </c>
      <c r="I23" s="64">
        <v>3.97</v>
      </c>
      <c r="J23" s="64">
        <v>0.53</v>
      </c>
      <c r="K23" s="64">
        <v>178.5</v>
      </c>
      <c r="L23" s="64">
        <v>98.21</v>
      </c>
      <c r="M23" s="64">
        <v>61.33</v>
      </c>
      <c r="N23" s="64">
        <v>39.299999999999997</v>
      </c>
      <c r="O23" s="64">
        <v>0</v>
      </c>
      <c r="P23" s="64">
        <v>0.22</v>
      </c>
      <c r="Q23" s="64">
        <v>9.25</v>
      </c>
      <c r="R23" s="198"/>
      <c r="S23" s="198"/>
      <c r="T23" s="198"/>
      <c r="U23" s="198"/>
    </row>
    <row r="24" spans="1:21" s="12" customFormat="1" x14ac:dyDescent="0.25">
      <c r="A24" s="214" t="s">
        <v>2278</v>
      </c>
      <c r="B24" s="64">
        <v>5.14</v>
      </c>
      <c r="C24" s="64">
        <v>14.14</v>
      </c>
      <c r="D24" s="64">
        <v>19.170000000000002</v>
      </c>
      <c r="E24" s="64">
        <v>5.83</v>
      </c>
      <c r="F24" s="64">
        <v>3.57</v>
      </c>
      <c r="G24" s="64">
        <v>2.2599999999999998</v>
      </c>
      <c r="H24" s="64">
        <v>3.6</v>
      </c>
      <c r="I24" s="64">
        <v>4.07</v>
      </c>
      <c r="J24" s="64">
        <v>0.55000000000000004</v>
      </c>
      <c r="K24" s="64">
        <v>179.91</v>
      </c>
      <c r="L24" s="64">
        <v>98.21</v>
      </c>
      <c r="M24" s="64">
        <v>62.77</v>
      </c>
      <c r="N24" s="64">
        <v>38.200000000000003</v>
      </c>
      <c r="O24" s="64">
        <v>0</v>
      </c>
      <c r="P24" s="64">
        <v>0.23</v>
      </c>
      <c r="Q24" s="64">
        <v>9.24</v>
      </c>
      <c r="R24" s="198"/>
      <c r="S24" s="198"/>
      <c r="T24" s="198"/>
      <c r="U24" s="198"/>
    </row>
    <row r="25" spans="1:21" s="12" customFormat="1" x14ac:dyDescent="0.25">
      <c r="A25" s="214" t="s">
        <v>2279</v>
      </c>
      <c r="B25" s="64">
        <v>5.12</v>
      </c>
      <c r="C25" s="64">
        <v>13.89</v>
      </c>
      <c r="D25" s="64">
        <v>18.73</v>
      </c>
      <c r="E25" s="64">
        <v>5.28</v>
      </c>
      <c r="F25" s="64">
        <v>4.01</v>
      </c>
      <c r="G25" s="64">
        <v>2.41</v>
      </c>
      <c r="H25" s="64">
        <v>3.73</v>
      </c>
      <c r="I25" s="64">
        <v>4.04</v>
      </c>
      <c r="J25" s="64">
        <v>0.5</v>
      </c>
      <c r="K25" s="64">
        <v>176.62</v>
      </c>
      <c r="L25" s="64">
        <v>98.21</v>
      </c>
      <c r="M25" s="64">
        <v>66.069999999999993</v>
      </c>
      <c r="N25" s="64">
        <v>38.4</v>
      </c>
      <c r="O25" s="64">
        <v>0</v>
      </c>
      <c r="P25" s="64">
        <v>0.22</v>
      </c>
      <c r="Q25" s="64">
        <v>9.23</v>
      </c>
      <c r="R25" s="198"/>
      <c r="S25" s="198"/>
      <c r="T25" s="198"/>
      <c r="U25" s="198"/>
    </row>
    <row r="26" spans="1:21" s="12" customFormat="1" x14ac:dyDescent="0.25">
      <c r="A26" s="214" t="s">
        <v>2280</v>
      </c>
      <c r="B26" s="64">
        <v>5.23</v>
      </c>
      <c r="C26" s="64">
        <v>14.36</v>
      </c>
      <c r="D26" s="64">
        <v>19.45</v>
      </c>
      <c r="E26" s="64">
        <v>5.2</v>
      </c>
      <c r="F26" s="64">
        <v>3.09</v>
      </c>
      <c r="G26" s="64">
        <v>3.05</v>
      </c>
      <c r="H26" s="64">
        <v>4.28</v>
      </c>
      <c r="I26" s="64">
        <v>3.96</v>
      </c>
      <c r="J26" s="64">
        <v>0.42</v>
      </c>
      <c r="K26" s="64">
        <v>191.89</v>
      </c>
      <c r="L26" s="64">
        <v>98.21</v>
      </c>
      <c r="M26" s="64">
        <v>69.930000000000007</v>
      </c>
      <c r="N26" s="64">
        <v>39.1</v>
      </c>
      <c r="O26" s="64">
        <v>0</v>
      </c>
      <c r="P26" s="64">
        <v>0.21</v>
      </c>
      <c r="Q26" s="64">
        <v>9.24</v>
      </c>
      <c r="R26" s="198"/>
      <c r="S26" s="198"/>
      <c r="T26" s="198"/>
      <c r="U26" s="198"/>
    </row>
    <row r="27" spans="1:21" s="12" customFormat="1" x14ac:dyDescent="0.25">
      <c r="A27" s="214" t="s">
        <v>2281</v>
      </c>
      <c r="B27" s="64">
        <v>5.28</v>
      </c>
      <c r="C27" s="64">
        <v>13.79</v>
      </c>
      <c r="D27" s="64">
        <v>18.29</v>
      </c>
      <c r="E27" s="64">
        <v>5.43</v>
      </c>
      <c r="F27" s="64">
        <v>4.03</v>
      </c>
      <c r="G27" s="64">
        <v>3.05</v>
      </c>
      <c r="H27" s="64">
        <v>4.28</v>
      </c>
      <c r="I27" s="64">
        <v>4.03</v>
      </c>
      <c r="J27" s="64">
        <v>0.35</v>
      </c>
      <c r="K27" s="64">
        <v>194.01</v>
      </c>
      <c r="L27" s="64">
        <v>98.21</v>
      </c>
      <c r="M27" s="64">
        <v>69.63</v>
      </c>
      <c r="N27" s="64">
        <v>38.6</v>
      </c>
      <c r="O27" s="64">
        <v>0</v>
      </c>
      <c r="P27" s="64">
        <v>0.21</v>
      </c>
      <c r="Q27" s="64">
        <v>9.24</v>
      </c>
      <c r="R27" s="198"/>
      <c r="S27" s="198"/>
      <c r="T27" s="198"/>
      <c r="U27" s="198"/>
    </row>
    <row r="28" spans="1:21" s="12" customFormat="1" x14ac:dyDescent="0.25">
      <c r="A28" s="214" t="s">
        <v>2282</v>
      </c>
      <c r="B28" s="64">
        <v>5.26</v>
      </c>
      <c r="C28" s="64">
        <v>13.83</v>
      </c>
      <c r="D28" s="64">
        <v>18.399999999999999</v>
      </c>
      <c r="E28" s="64">
        <v>5.35</v>
      </c>
      <c r="F28" s="64">
        <v>4.5999999999999996</v>
      </c>
      <c r="G28" s="64">
        <v>3.05</v>
      </c>
      <c r="H28" s="64">
        <v>4.28</v>
      </c>
      <c r="I28" s="64">
        <v>4.13</v>
      </c>
      <c r="J28" s="64">
        <v>0.28000000000000003</v>
      </c>
      <c r="K28" s="64">
        <v>194.8</v>
      </c>
      <c r="L28" s="64">
        <v>98.21</v>
      </c>
      <c r="M28" s="64">
        <v>69.45</v>
      </c>
      <c r="N28" s="64">
        <v>38.4</v>
      </c>
      <c r="O28" s="64">
        <v>0</v>
      </c>
      <c r="P28" s="64">
        <v>0.19</v>
      </c>
      <c r="Q28" s="64">
        <v>9.23</v>
      </c>
      <c r="R28" s="198"/>
      <c r="S28" s="198"/>
      <c r="T28" s="198"/>
      <c r="U28" s="198"/>
    </row>
    <row r="29" spans="1:21" s="12" customFormat="1" x14ac:dyDescent="0.25">
      <c r="A29" s="214" t="s">
        <v>2283</v>
      </c>
      <c r="B29" s="64">
        <v>5.6</v>
      </c>
      <c r="C29" s="64">
        <v>14.08</v>
      </c>
      <c r="D29" s="64">
        <v>18.37</v>
      </c>
      <c r="E29" s="64">
        <v>5.15</v>
      </c>
      <c r="F29" s="64">
        <v>3.67</v>
      </c>
      <c r="G29" s="64">
        <v>3.03</v>
      </c>
      <c r="H29" s="64">
        <v>4.67</v>
      </c>
      <c r="I29" s="64">
        <v>3.94</v>
      </c>
      <c r="J29" s="64">
        <v>0.37</v>
      </c>
      <c r="K29" s="64">
        <v>184.4</v>
      </c>
      <c r="L29" s="64">
        <v>98.21</v>
      </c>
      <c r="M29" s="64">
        <v>63.6</v>
      </c>
      <c r="N29" s="64">
        <v>38.700000000000003</v>
      </c>
      <c r="O29" s="64">
        <v>0</v>
      </c>
      <c r="P29" s="64">
        <v>0.2</v>
      </c>
      <c r="Q29" s="64">
        <v>9.23</v>
      </c>
      <c r="R29" s="198"/>
      <c r="S29" s="198"/>
      <c r="T29" s="198"/>
      <c r="U29" s="198"/>
    </row>
    <row r="30" spans="1:21" s="12" customFormat="1" x14ac:dyDescent="0.25">
      <c r="A30" s="214" t="s">
        <v>2284</v>
      </c>
      <c r="B30" s="64">
        <v>5.88</v>
      </c>
      <c r="C30" s="64">
        <v>13.9</v>
      </c>
      <c r="D30" s="64">
        <v>17.57</v>
      </c>
      <c r="E30" s="64">
        <v>5.1100000000000003</v>
      </c>
      <c r="F30" s="64">
        <v>4.1500000000000004</v>
      </c>
      <c r="G30" s="64">
        <v>2.92</v>
      </c>
      <c r="H30" s="64">
        <v>6.34</v>
      </c>
      <c r="I30" s="64">
        <v>3.94</v>
      </c>
      <c r="J30" s="9" t="s">
        <v>36</v>
      </c>
      <c r="K30" s="9" t="s">
        <v>36</v>
      </c>
      <c r="L30" s="64">
        <v>98.21</v>
      </c>
      <c r="M30" s="64">
        <v>63.6</v>
      </c>
      <c r="N30" s="64">
        <v>38.700000000000003</v>
      </c>
      <c r="O30" s="64">
        <v>0</v>
      </c>
      <c r="P30" s="64">
        <v>0.2</v>
      </c>
      <c r="Q30" s="64">
        <v>9.23</v>
      </c>
      <c r="R30" s="198"/>
      <c r="S30" s="198"/>
      <c r="T30" s="198"/>
      <c r="U30" s="198"/>
    </row>
    <row r="31" spans="1:21" s="12" customFormat="1" x14ac:dyDescent="0.25">
      <c r="A31" s="214" t="s">
        <v>2285</v>
      </c>
      <c r="B31" s="64">
        <v>5.96</v>
      </c>
      <c r="C31" s="64">
        <v>13.92</v>
      </c>
      <c r="D31" s="64">
        <v>17.48</v>
      </c>
      <c r="E31" s="64">
        <v>5.35</v>
      </c>
      <c r="F31" s="64">
        <v>5.84</v>
      </c>
      <c r="G31" s="64">
        <v>2.92</v>
      </c>
      <c r="H31" s="64">
        <v>6.34</v>
      </c>
      <c r="I31" s="64">
        <v>3.98</v>
      </c>
      <c r="J31" s="9" t="s">
        <v>36</v>
      </c>
      <c r="K31" s="9" t="s">
        <v>36</v>
      </c>
      <c r="L31" s="64">
        <v>98.21</v>
      </c>
      <c r="M31" s="64">
        <v>63.6</v>
      </c>
      <c r="N31" s="64">
        <v>38.700000000000003</v>
      </c>
      <c r="O31" s="64">
        <v>0</v>
      </c>
      <c r="P31" s="64">
        <v>0.19</v>
      </c>
      <c r="Q31" s="64">
        <v>9.23</v>
      </c>
      <c r="R31" s="198"/>
      <c r="S31" s="198"/>
      <c r="T31" s="198"/>
      <c r="U31" s="198"/>
    </row>
    <row r="32" spans="1:21" s="12" customFormat="1" x14ac:dyDescent="0.25">
      <c r="A32" s="214" t="s">
        <v>2286</v>
      </c>
      <c r="B32" s="64">
        <v>6.2</v>
      </c>
      <c r="C32" s="64">
        <v>14.89</v>
      </c>
      <c r="D32" s="64">
        <v>18.97</v>
      </c>
      <c r="E32" s="64">
        <v>5.19</v>
      </c>
      <c r="F32" s="64">
        <v>4.74</v>
      </c>
      <c r="G32" s="64">
        <v>2.92</v>
      </c>
      <c r="H32" s="64">
        <v>6.34</v>
      </c>
      <c r="I32" s="64">
        <v>3.96</v>
      </c>
      <c r="J32" s="9" t="s">
        <v>36</v>
      </c>
      <c r="K32" s="9" t="s">
        <v>36</v>
      </c>
      <c r="L32" s="64">
        <v>98.21</v>
      </c>
      <c r="M32" s="64">
        <v>63.6</v>
      </c>
      <c r="N32" s="64">
        <v>38.700000000000003</v>
      </c>
      <c r="O32" s="64">
        <v>0</v>
      </c>
      <c r="P32" s="64">
        <v>0.2</v>
      </c>
      <c r="Q32" s="64">
        <v>9.24</v>
      </c>
      <c r="R32" s="198"/>
      <c r="S32" s="198"/>
      <c r="T32" s="198"/>
      <c r="U32" s="198"/>
    </row>
    <row r="33" spans="1:21" s="12" customFormat="1" x14ac:dyDescent="0.25">
      <c r="A33" s="214" t="s">
        <v>2287</v>
      </c>
      <c r="B33" s="64">
        <v>6.48</v>
      </c>
      <c r="C33" s="64">
        <v>14.93</v>
      </c>
      <c r="D33" s="64">
        <v>18.64</v>
      </c>
      <c r="E33" s="64">
        <v>5.04</v>
      </c>
      <c r="F33" s="64">
        <v>4.8099999999999996</v>
      </c>
      <c r="G33" s="64">
        <v>4.33</v>
      </c>
      <c r="H33" s="64">
        <v>6.09</v>
      </c>
      <c r="I33" s="64">
        <v>4</v>
      </c>
      <c r="J33" s="9" t="s">
        <v>36</v>
      </c>
      <c r="K33" s="9" t="s">
        <v>36</v>
      </c>
      <c r="L33" s="64">
        <v>97.25</v>
      </c>
      <c r="M33" s="64">
        <v>63.6</v>
      </c>
      <c r="N33" s="64">
        <v>38.700000000000003</v>
      </c>
      <c r="O33" s="64">
        <v>0</v>
      </c>
      <c r="P33" s="64">
        <v>0.2</v>
      </c>
      <c r="Q33" s="64">
        <v>9.25</v>
      </c>
      <c r="R33" s="198"/>
      <c r="S33" s="198"/>
      <c r="T33" s="198"/>
      <c r="U33" s="198"/>
    </row>
    <row r="34" spans="1:21" s="12" customFormat="1" x14ac:dyDescent="0.25">
      <c r="A34" s="214" t="s">
        <v>2288</v>
      </c>
      <c r="B34" s="64">
        <v>6.8</v>
      </c>
      <c r="C34" s="64">
        <v>14.93</v>
      </c>
      <c r="D34" s="64">
        <v>18.14</v>
      </c>
      <c r="E34" s="64">
        <v>5.04</v>
      </c>
      <c r="F34" s="64">
        <v>4.46</v>
      </c>
      <c r="G34" s="64">
        <v>10.37</v>
      </c>
      <c r="H34" s="64">
        <v>5</v>
      </c>
      <c r="I34" s="64">
        <v>3.99</v>
      </c>
      <c r="J34" s="9" t="s">
        <v>36</v>
      </c>
      <c r="K34" s="9" t="s">
        <v>36</v>
      </c>
      <c r="L34" s="64">
        <v>97.25</v>
      </c>
      <c r="M34" s="64">
        <v>63.6</v>
      </c>
      <c r="N34" s="64">
        <v>38.700000000000003</v>
      </c>
      <c r="O34" s="64">
        <v>0</v>
      </c>
      <c r="P34" s="64">
        <v>0.2</v>
      </c>
      <c r="Q34" s="64">
        <v>9.26</v>
      </c>
      <c r="R34" s="198"/>
      <c r="S34" s="198"/>
      <c r="T34" s="198"/>
      <c r="U34" s="198"/>
    </row>
    <row r="35" spans="1:21" s="12" customFormat="1" x14ac:dyDescent="0.25">
      <c r="A35" s="214" t="s">
        <v>2289</v>
      </c>
      <c r="B35" s="64">
        <v>7.44</v>
      </c>
      <c r="C35" s="64">
        <v>15.96</v>
      </c>
      <c r="D35" s="64">
        <v>19.12</v>
      </c>
      <c r="E35" s="64">
        <v>5.0999999999999996</v>
      </c>
      <c r="F35" s="64">
        <v>3.93</v>
      </c>
      <c r="G35" s="64">
        <v>10.37</v>
      </c>
      <c r="H35" s="64">
        <v>5</v>
      </c>
      <c r="I35" s="64">
        <v>3.96</v>
      </c>
      <c r="J35" s="9" t="s">
        <v>36</v>
      </c>
      <c r="K35" s="9" t="s">
        <v>36</v>
      </c>
      <c r="L35" s="64">
        <v>97.25</v>
      </c>
      <c r="M35" s="64">
        <v>63.6</v>
      </c>
      <c r="N35" s="64">
        <v>38.700000000000003</v>
      </c>
      <c r="O35" s="64">
        <v>0</v>
      </c>
      <c r="P35" s="64">
        <v>0.22</v>
      </c>
      <c r="Q35" s="64">
        <v>9.26</v>
      </c>
      <c r="R35" s="198"/>
      <c r="S35" s="198"/>
      <c r="T35" s="198"/>
      <c r="U35" s="198"/>
    </row>
    <row r="36" spans="1:21" s="12" customFormat="1" x14ac:dyDescent="0.25">
      <c r="A36" s="214" t="s">
        <v>2290</v>
      </c>
      <c r="B36" s="64">
        <v>9.26</v>
      </c>
      <c r="C36" s="64">
        <v>18.91</v>
      </c>
      <c r="D36" s="64">
        <v>21.98</v>
      </c>
      <c r="E36" s="64">
        <v>5.16</v>
      </c>
      <c r="F36" s="64">
        <v>3.31</v>
      </c>
      <c r="G36" s="64">
        <v>10.37</v>
      </c>
      <c r="H36" s="64">
        <v>5</v>
      </c>
      <c r="I36" s="64">
        <v>3.86</v>
      </c>
      <c r="J36" s="9" t="s">
        <v>36</v>
      </c>
      <c r="K36" s="9" t="s">
        <v>36</v>
      </c>
      <c r="L36" s="64">
        <v>97.25</v>
      </c>
      <c r="M36" s="64">
        <v>63.6</v>
      </c>
      <c r="N36" s="64">
        <v>38.700000000000003</v>
      </c>
      <c r="O36" s="64">
        <v>0</v>
      </c>
      <c r="P36" s="64">
        <v>0.23</v>
      </c>
      <c r="Q36" s="64">
        <v>9.27</v>
      </c>
      <c r="R36" s="198"/>
      <c r="S36" s="198"/>
      <c r="T36" s="198"/>
      <c r="U36" s="198"/>
    </row>
    <row r="37" spans="1:21" s="12" customFormat="1" x14ac:dyDescent="0.25">
      <c r="A37" s="214" t="s">
        <v>2291</v>
      </c>
      <c r="B37" s="64">
        <v>10.54</v>
      </c>
      <c r="C37" s="64">
        <v>20.49</v>
      </c>
      <c r="D37" s="64">
        <v>23.05</v>
      </c>
      <c r="E37" s="64">
        <v>5.19</v>
      </c>
      <c r="F37" s="64">
        <v>3.4</v>
      </c>
      <c r="G37" s="64">
        <v>9.89</v>
      </c>
      <c r="H37" s="64">
        <v>4.76</v>
      </c>
      <c r="I37" s="64">
        <v>4.04</v>
      </c>
      <c r="J37" s="9" t="s">
        <v>36</v>
      </c>
      <c r="K37" s="9" t="s">
        <v>36</v>
      </c>
      <c r="L37" s="64">
        <v>97.25</v>
      </c>
      <c r="M37" s="64">
        <v>63.6</v>
      </c>
      <c r="N37" s="64">
        <v>38.700000000000003</v>
      </c>
      <c r="O37" s="64">
        <v>0</v>
      </c>
      <c r="P37" s="64">
        <v>0.27</v>
      </c>
      <c r="Q37" s="64">
        <v>9.31</v>
      </c>
      <c r="R37" s="198"/>
      <c r="S37" s="198"/>
      <c r="T37" s="198"/>
      <c r="U37" s="198"/>
    </row>
    <row r="38" spans="1:21" s="12" customFormat="1" x14ac:dyDescent="0.25">
      <c r="A38" s="214" t="s">
        <v>2292</v>
      </c>
      <c r="B38" s="64">
        <v>10.59</v>
      </c>
      <c r="C38" s="64">
        <v>19.87</v>
      </c>
      <c r="D38" s="64">
        <v>21.78</v>
      </c>
      <c r="E38" s="64">
        <v>5.8</v>
      </c>
      <c r="F38" s="64">
        <v>3.55</v>
      </c>
      <c r="G38" s="64">
        <v>7.85</v>
      </c>
      <c r="H38" s="64">
        <v>3.72</v>
      </c>
      <c r="I38" s="64">
        <v>4.1500000000000004</v>
      </c>
      <c r="J38" s="9" t="s">
        <v>36</v>
      </c>
      <c r="K38" s="9" t="s">
        <v>36</v>
      </c>
      <c r="L38" s="64">
        <v>97.25</v>
      </c>
      <c r="M38" s="64">
        <v>63.6</v>
      </c>
      <c r="N38" s="64">
        <v>38.700000000000003</v>
      </c>
      <c r="O38" s="64">
        <v>0</v>
      </c>
      <c r="P38" s="64">
        <v>0.28999999999999998</v>
      </c>
      <c r="Q38" s="64">
        <v>9.36</v>
      </c>
      <c r="R38" s="198"/>
      <c r="S38" s="198"/>
      <c r="T38" s="198"/>
      <c r="U38" s="198"/>
    </row>
    <row r="39" spans="1:21" s="12" customFormat="1" x14ac:dyDescent="0.25">
      <c r="A39" s="214" t="s">
        <v>2293</v>
      </c>
      <c r="B39" s="64">
        <v>12.62</v>
      </c>
      <c r="C39" s="64">
        <v>22.93</v>
      </c>
      <c r="D39" s="64">
        <v>24.52</v>
      </c>
      <c r="E39" s="64">
        <v>4.8899999999999997</v>
      </c>
      <c r="F39" s="64">
        <v>3.31</v>
      </c>
      <c r="G39" s="64">
        <v>7.85</v>
      </c>
      <c r="H39" s="64">
        <v>3.72</v>
      </c>
      <c r="I39" s="64">
        <v>3.86</v>
      </c>
      <c r="J39" s="9" t="s">
        <v>36</v>
      </c>
      <c r="K39" s="9" t="s">
        <v>36</v>
      </c>
      <c r="L39" s="64">
        <v>97.25</v>
      </c>
      <c r="M39" s="64">
        <v>63.6</v>
      </c>
      <c r="N39" s="64">
        <v>38.700000000000003</v>
      </c>
      <c r="O39" s="64">
        <v>0</v>
      </c>
      <c r="P39" s="64">
        <v>0.32</v>
      </c>
      <c r="Q39" s="64">
        <v>9.39</v>
      </c>
      <c r="R39" s="198"/>
      <c r="S39" s="198"/>
      <c r="T39" s="198"/>
      <c r="U39" s="198"/>
    </row>
    <row r="40" spans="1:21" s="12" customFormat="1" x14ac:dyDescent="0.25">
      <c r="A40" s="214" t="s">
        <v>2294</v>
      </c>
      <c r="B40" s="64">
        <v>12.42</v>
      </c>
      <c r="C40" s="64">
        <v>21.92</v>
      </c>
      <c r="D40" s="64">
        <v>22.88</v>
      </c>
      <c r="E40" s="64">
        <v>5.83</v>
      </c>
      <c r="F40" s="64">
        <v>3.7</v>
      </c>
      <c r="G40" s="64">
        <v>7.85</v>
      </c>
      <c r="H40" s="64">
        <v>3.72</v>
      </c>
      <c r="I40" s="64">
        <v>3.97</v>
      </c>
      <c r="J40" s="9" t="s">
        <v>36</v>
      </c>
      <c r="K40" s="9" t="s">
        <v>36</v>
      </c>
      <c r="L40" s="64">
        <v>97.25</v>
      </c>
      <c r="M40" s="64">
        <v>63.6</v>
      </c>
      <c r="N40" s="64">
        <v>38.700000000000003</v>
      </c>
      <c r="O40" s="64">
        <v>0</v>
      </c>
      <c r="P40" s="64">
        <v>0.33</v>
      </c>
      <c r="Q40" s="64">
        <v>9.43</v>
      </c>
      <c r="R40" s="198"/>
      <c r="S40" s="198"/>
      <c r="T40" s="198"/>
      <c r="U40" s="198"/>
    </row>
    <row r="41" spans="1:21" s="12" customFormat="1" x14ac:dyDescent="0.25">
      <c r="A41" s="214" t="s">
        <v>2295</v>
      </c>
      <c r="B41" s="64">
        <v>12.89</v>
      </c>
      <c r="C41" s="64">
        <v>22.17</v>
      </c>
      <c r="D41" s="64">
        <v>22.65</v>
      </c>
      <c r="E41" s="64">
        <v>4.84</v>
      </c>
      <c r="F41" s="64">
        <v>3.53</v>
      </c>
      <c r="G41" s="64">
        <v>12.08</v>
      </c>
      <c r="H41" s="64">
        <v>4.25</v>
      </c>
      <c r="I41" s="64">
        <v>4.05</v>
      </c>
      <c r="J41" s="9" t="s">
        <v>36</v>
      </c>
      <c r="K41" s="9" t="s">
        <v>36</v>
      </c>
      <c r="L41" s="64">
        <v>97.25</v>
      </c>
      <c r="M41" s="64">
        <v>63.6</v>
      </c>
      <c r="N41" s="64">
        <v>38.700000000000003</v>
      </c>
      <c r="O41" s="64">
        <v>0</v>
      </c>
      <c r="P41" s="64">
        <v>0.34</v>
      </c>
      <c r="Q41" s="64">
        <v>9.48</v>
      </c>
      <c r="R41" s="198"/>
      <c r="S41" s="198"/>
      <c r="T41" s="198"/>
      <c r="U41" s="198"/>
    </row>
    <row r="42" spans="1:21" s="12" customFormat="1" x14ac:dyDescent="0.25">
      <c r="A42" s="214" t="s">
        <v>2296</v>
      </c>
      <c r="B42" s="64">
        <v>13.69</v>
      </c>
      <c r="C42" s="64">
        <v>23.41</v>
      </c>
      <c r="D42" s="64">
        <v>23.8</v>
      </c>
      <c r="E42" s="64">
        <v>4.9800000000000004</v>
      </c>
      <c r="F42" s="64">
        <v>3.01</v>
      </c>
      <c r="G42" s="64">
        <v>30.24</v>
      </c>
      <c r="H42" s="64">
        <v>6.38</v>
      </c>
      <c r="I42" s="64">
        <v>4.03</v>
      </c>
      <c r="J42" s="9" t="s">
        <v>36</v>
      </c>
      <c r="K42" s="9" t="s">
        <v>36</v>
      </c>
      <c r="L42" s="64">
        <v>97.25</v>
      </c>
      <c r="M42" s="64">
        <v>63.6</v>
      </c>
      <c r="N42" s="64">
        <v>38.700000000000003</v>
      </c>
      <c r="O42" s="64">
        <v>0</v>
      </c>
      <c r="P42" s="64">
        <v>0.36</v>
      </c>
      <c r="Q42" s="64">
        <v>9.5</v>
      </c>
      <c r="R42" s="198"/>
      <c r="S42" s="198"/>
      <c r="T42" s="198"/>
      <c r="U42" s="198"/>
    </row>
    <row r="43" spans="1:21" s="12" customFormat="1" x14ac:dyDescent="0.25">
      <c r="A43" s="214" t="s">
        <v>2297</v>
      </c>
      <c r="B43" s="64">
        <v>14.5</v>
      </c>
      <c r="C43" s="64">
        <v>24.83</v>
      </c>
      <c r="D43" s="64">
        <v>25.27</v>
      </c>
      <c r="E43" s="64">
        <v>4.8600000000000003</v>
      </c>
      <c r="F43" s="64">
        <v>3.74</v>
      </c>
      <c r="G43" s="64">
        <v>30.24</v>
      </c>
      <c r="H43" s="64">
        <v>6.38</v>
      </c>
      <c r="I43" s="64">
        <v>4.03</v>
      </c>
      <c r="J43" s="9" t="s">
        <v>36</v>
      </c>
      <c r="K43" s="9" t="s">
        <v>36</v>
      </c>
      <c r="L43" s="64">
        <v>97.25</v>
      </c>
      <c r="M43" s="64">
        <v>63.6</v>
      </c>
      <c r="N43" s="64">
        <v>38.700000000000003</v>
      </c>
      <c r="O43" s="64">
        <v>0</v>
      </c>
      <c r="P43" s="64">
        <v>0.39</v>
      </c>
      <c r="Q43" s="64">
        <v>9.52</v>
      </c>
      <c r="R43" s="198"/>
      <c r="S43" s="198"/>
      <c r="T43" s="198"/>
      <c r="U43" s="198"/>
    </row>
    <row r="44" spans="1:21" s="12" customFormat="1" x14ac:dyDescent="0.25">
      <c r="A44" s="214" t="s">
        <v>2298</v>
      </c>
      <c r="B44" s="64">
        <v>14.88</v>
      </c>
      <c r="C44" s="64">
        <v>25.22</v>
      </c>
      <c r="D44" s="64">
        <v>25.43</v>
      </c>
      <c r="E44" s="64">
        <v>4.93</v>
      </c>
      <c r="F44" s="64">
        <v>4.04</v>
      </c>
      <c r="G44" s="64">
        <v>30.24</v>
      </c>
      <c r="H44" s="64">
        <v>6.38</v>
      </c>
      <c r="I44" s="64">
        <v>4.0199999999999996</v>
      </c>
      <c r="J44" s="9" t="s">
        <v>36</v>
      </c>
      <c r="K44" s="9" t="s">
        <v>36</v>
      </c>
      <c r="L44" s="64">
        <v>97.25</v>
      </c>
      <c r="M44" s="64">
        <v>63.6</v>
      </c>
      <c r="N44" s="64">
        <v>38.700000000000003</v>
      </c>
      <c r="O44" s="64">
        <v>0</v>
      </c>
      <c r="P44" s="64">
        <v>0.41</v>
      </c>
      <c r="Q44" s="64">
        <v>9.57</v>
      </c>
      <c r="R44" s="198"/>
      <c r="S44" s="198"/>
      <c r="T44" s="198"/>
      <c r="U44" s="198"/>
    </row>
    <row r="45" spans="1:21" s="12" customFormat="1" x14ac:dyDescent="0.25">
      <c r="A45" s="214" t="s">
        <v>2299</v>
      </c>
      <c r="B45" s="64">
        <v>14.88</v>
      </c>
      <c r="C45" s="64">
        <v>26.1</v>
      </c>
      <c r="D45" s="64">
        <v>27.11</v>
      </c>
      <c r="E45" s="64">
        <v>4.99</v>
      </c>
      <c r="F45" s="64">
        <v>3.8</v>
      </c>
      <c r="G45" s="64">
        <v>34.29</v>
      </c>
      <c r="H45" s="64">
        <v>6.28</v>
      </c>
      <c r="I45" s="64">
        <v>4.05</v>
      </c>
      <c r="J45" s="9" t="s">
        <v>36</v>
      </c>
      <c r="K45" s="9" t="s">
        <v>36</v>
      </c>
      <c r="L45" s="64">
        <v>97.25</v>
      </c>
      <c r="M45" s="64">
        <v>63.6</v>
      </c>
      <c r="N45" s="64">
        <v>38.700000000000003</v>
      </c>
      <c r="O45" s="64">
        <v>0</v>
      </c>
      <c r="P45" s="64">
        <v>0.43</v>
      </c>
      <c r="Q45" s="64">
        <v>9.56</v>
      </c>
      <c r="R45" s="198"/>
      <c r="S45" s="198"/>
      <c r="T45" s="198"/>
      <c r="U45" s="198"/>
    </row>
    <row r="46" spans="1:21" s="12" customFormat="1" x14ac:dyDescent="0.25">
      <c r="A46" s="214" t="s">
        <v>2300</v>
      </c>
      <c r="B46" s="64">
        <v>15.01</v>
      </c>
      <c r="C46" s="64">
        <v>26.22</v>
      </c>
      <c r="D46" s="64">
        <v>27.14</v>
      </c>
      <c r="E46" s="64">
        <v>4.84</v>
      </c>
      <c r="F46" s="64">
        <v>3.6</v>
      </c>
      <c r="G46" s="64">
        <v>51.7</v>
      </c>
      <c r="H46" s="64">
        <v>5.85</v>
      </c>
      <c r="I46" s="64">
        <v>4.0199999999999996</v>
      </c>
      <c r="J46" s="9" t="s">
        <v>36</v>
      </c>
      <c r="K46" s="9" t="s">
        <v>36</v>
      </c>
      <c r="L46" s="64">
        <v>97.25</v>
      </c>
      <c r="M46" s="64">
        <v>63.6</v>
      </c>
      <c r="N46" s="64">
        <v>38.700000000000003</v>
      </c>
      <c r="O46" s="64">
        <v>0</v>
      </c>
      <c r="P46" s="64">
        <v>0.44</v>
      </c>
      <c r="Q46" s="64">
        <v>9.5500000000000007</v>
      </c>
      <c r="R46" s="198"/>
      <c r="S46" s="198"/>
      <c r="T46" s="198"/>
      <c r="U46" s="198"/>
    </row>
    <row r="47" spans="1:21" s="12" customFormat="1" x14ac:dyDescent="0.25">
      <c r="A47" s="214" t="s">
        <v>2301</v>
      </c>
      <c r="B47" s="64">
        <v>16.010000000000002</v>
      </c>
      <c r="C47" s="64">
        <v>29.18</v>
      </c>
      <c r="D47" s="64">
        <v>31.28</v>
      </c>
      <c r="E47" s="64">
        <v>5.14</v>
      </c>
      <c r="F47" s="64">
        <v>4.68</v>
      </c>
      <c r="G47" s="64">
        <v>51.7</v>
      </c>
      <c r="H47" s="64">
        <v>5.85</v>
      </c>
      <c r="I47" s="64">
        <v>4.03</v>
      </c>
      <c r="J47" s="9" t="s">
        <v>36</v>
      </c>
      <c r="K47" s="9" t="s">
        <v>36</v>
      </c>
      <c r="L47" s="64">
        <v>97.25</v>
      </c>
      <c r="M47" s="64">
        <v>63.6</v>
      </c>
      <c r="N47" s="64">
        <v>38.700000000000003</v>
      </c>
      <c r="O47" s="64">
        <v>0</v>
      </c>
      <c r="P47" s="64">
        <v>0.49</v>
      </c>
      <c r="Q47" s="64">
        <v>9.5299999999999994</v>
      </c>
      <c r="R47" s="198"/>
      <c r="S47" s="198"/>
      <c r="T47" s="198"/>
      <c r="U47" s="198"/>
    </row>
    <row r="48" spans="1:21" s="12" customFormat="1" x14ac:dyDescent="0.25">
      <c r="A48" s="214" t="s">
        <v>2302</v>
      </c>
      <c r="B48" s="64">
        <v>17.68</v>
      </c>
      <c r="C48" s="64">
        <v>32.33</v>
      </c>
      <c r="D48" s="64">
        <v>34.75</v>
      </c>
      <c r="E48" s="64">
        <v>5.4</v>
      </c>
      <c r="F48" s="64">
        <v>6.55</v>
      </c>
      <c r="G48" s="64">
        <v>51.7</v>
      </c>
      <c r="H48" s="64">
        <v>5.85</v>
      </c>
      <c r="I48" s="64">
        <v>4.07</v>
      </c>
      <c r="J48" s="9" t="s">
        <v>36</v>
      </c>
      <c r="K48" s="9" t="s">
        <v>36</v>
      </c>
      <c r="L48" s="64">
        <v>97.25</v>
      </c>
      <c r="M48" s="64">
        <v>63.6</v>
      </c>
      <c r="N48" s="64">
        <v>38.700000000000003</v>
      </c>
      <c r="O48" s="64">
        <v>0</v>
      </c>
      <c r="P48" s="64">
        <v>0.56999999999999995</v>
      </c>
      <c r="Q48" s="64">
        <v>9.5500000000000007</v>
      </c>
      <c r="R48" s="198"/>
      <c r="S48" s="198"/>
      <c r="T48" s="198"/>
      <c r="U48" s="198"/>
    </row>
    <row r="49" spans="1:21" s="12" customFormat="1" x14ac:dyDescent="0.25">
      <c r="A49" s="214" t="s">
        <v>2303</v>
      </c>
      <c r="B49" s="64">
        <v>17.760000000000002</v>
      </c>
      <c r="C49" s="64">
        <v>33.700000000000003</v>
      </c>
      <c r="D49" s="64">
        <v>37.25</v>
      </c>
      <c r="E49" s="64">
        <v>5.23</v>
      </c>
      <c r="F49" s="64">
        <v>8.6</v>
      </c>
      <c r="G49" s="64">
        <v>52.11</v>
      </c>
      <c r="H49" s="64">
        <v>6.32</v>
      </c>
      <c r="I49" s="64">
        <v>4.07</v>
      </c>
      <c r="J49" s="9" t="s">
        <v>36</v>
      </c>
      <c r="K49" s="9" t="s">
        <v>36</v>
      </c>
      <c r="L49" s="64">
        <v>97.25</v>
      </c>
      <c r="M49" s="64">
        <v>63.6</v>
      </c>
      <c r="N49" s="64">
        <v>38.700000000000003</v>
      </c>
      <c r="O49" s="64">
        <v>0</v>
      </c>
      <c r="P49" s="64">
        <v>0.57999999999999996</v>
      </c>
      <c r="Q49" s="64">
        <v>9.5500000000000007</v>
      </c>
      <c r="R49" s="198"/>
      <c r="S49" s="198"/>
      <c r="T49" s="198"/>
      <c r="U49" s="198"/>
    </row>
    <row r="50" spans="1:21" s="12" customFormat="1" x14ac:dyDescent="0.25">
      <c r="A50" s="214" t="s">
        <v>2304</v>
      </c>
      <c r="B50" s="64">
        <v>14.69</v>
      </c>
      <c r="C50" s="64">
        <v>29.38</v>
      </c>
      <c r="D50" s="64">
        <v>33.69</v>
      </c>
      <c r="E50" s="64">
        <v>5.66</v>
      </c>
      <c r="F50" s="64">
        <v>8.81</v>
      </c>
      <c r="G50" s="64">
        <v>53.85</v>
      </c>
      <c r="H50" s="64">
        <v>8.3699999999999992</v>
      </c>
      <c r="I50" s="64">
        <v>4.07</v>
      </c>
      <c r="J50" s="9" t="s">
        <v>36</v>
      </c>
      <c r="K50" s="9" t="s">
        <v>36</v>
      </c>
      <c r="L50" s="64">
        <v>97.25</v>
      </c>
      <c r="M50" s="64">
        <v>63.6</v>
      </c>
      <c r="N50" s="64">
        <v>38.700000000000003</v>
      </c>
      <c r="O50" s="64">
        <v>0</v>
      </c>
      <c r="P50" s="64">
        <v>0.56999999999999995</v>
      </c>
      <c r="Q50" s="64">
        <v>9.57</v>
      </c>
      <c r="R50" s="198"/>
      <c r="S50" s="198"/>
      <c r="T50" s="198"/>
      <c r="U50" s="198"/>
    </row>
    <row r="51" spans="1:21" s="12" customFormat="1" x14ac:dyDescent="0.25">
      <c r="A51" s="214" t="s">
        <v>2305</v>
      </c>
      <c r="B51" s="64">
        <v>12.39</v>
      </c>
      <c r="C51" s="64">
        <v>28.03</v>
      </c>
      <c r="D51" s="64">
        <v>34.630000000000003</v>
      </c>
      <c r="E51" s="64">
        <v>5.94</v>
      </c>
      <c r="F51" s="64">
        <v>12.84</v>
      </c>
      <c r="G51" s="64">
        <v>53.85</v>
      </c>
      <c r="H51" s="64">
        <v>8.3699999999999992</v>
      </c>
      <c r="I51" s="64">
        <v>4.03</v>
      </c>
      <c r="J51" s="9" t="s">
        <v>36</v>
      </c>
      <c r="K51" s="9" t="s">
        <v>36</v>
      </c>
      <c r="L51" s="64">
        <v>34.409999999999997</v>
      </c>
      <c r="M51" s="64">
        <v>61.79</v>
      </c>
      <c r="N51" s="64">
        <v>713.9</v>
      </c>
      <c r="O51" s="64">
        <v>0</v>
      </c>
      <c r="P51" s="64">
        <v>0.56999999999999995</v>
      </c>
      <c r="Q51" s="64">
        <v>9.57</v>
      </c>
      <c r="R51" s="198"/>
      <c r="S51" s="198"/>
      <c r="T51" s="198"/>
      <c r="U51" s="198"/>
    </row>
    <row r="52" spans="1:21" s="12" customFormat="1" x14ac:dyDescent="0.25">
      <c r="A52" s="214" t="s">
        <v>2306</v>
      </c>
      <c r="B52" s="64">
        <v>8.6999999999999993</v>
      </c>
      <c r="C52" s="64">
        <v>26.65</v>
      </c>
      <c r="D52" s="64">
        <v>37.64</v>
      </c>
      <c r="E52" s="64">
        <v>5.94</v>
      </c>
      <c r="F52" s="64">
        <v>18.57</v>
      </c>
      <c r="G52" s="64">
        <v>53.85</v>
      </c>
      <c r="H52" s="64">
        <v>8.3699999999999992</v>
      </c>
      <c r="I52" s="64">
        <v>4.01</v>
      </c>
      <c r="J52" s="64">
        <v>0.31</v>
      </c>
      <c r="K52" s="64">
        <v>171.06</v>
      </c>
      <c r="L52" s="64">
        <v>11.18</v>
      </c>
      <c r="M52" s="64">
        <v>38.200000000000003</v>
      </c>
      <c r="N52" s="64">
        <v>697</v>
      </c>
      <c r="O52" s="64">
        <v>0</v>
      </c>
      <c r="P52" s="64">
        <v>0.54</v>
      </c>
      <c r="Q52" s="64">
        <v>9.48</v>
      </c>
      <c r="R52" s="198"/>
      <c r="S52" s="198"/>
      <c r="T52" s="198"/>
      <c r="U52" s="198"/>
    </row>
    <row r="53" spans="1:21" s="12" customFormat="1" x14ac:dyDescent="0.25">
      <c r="A53" s="214" t="s">
        <v>2307</v>
      </c>
      <c r="B53" s="64">
        <v>8.73</v>
      </c>
      <c r="C53" s="64">
        <v>27.06</v>
      </c>
      <c r="D53" s="64">
        <v>38.4</v>
      </c>
      <c r="E53" s="64">
        <v>6.41</v>
      </c>
      <c r="F53" s="64">
        <v>16.7</v>
      </c>
      <c r="G53" s="64">
        <v>49.62</v>
      </c>
      <c r="H53" s="64">
        <v>8.85</v>
      </c>
      <c r="I53" s="64">
        <v>3.98</v>
      </c>
      <c r="J53" s="64">
        <v>0.39</v>
      </c>
      <c r="K53" s="64">
        <v>128.32</v>
      </c>
      <c r="L53" s="64">
        <v>11.18</v>
      </c>
      <c r="M53" s="64">
        <v>38.200000000000003</v>
      </c>
      <c r="N53" s="64">
        <v>661.8</v>
      </c>
      <c r="O53" s="64">
        <v>0</v>
      </c>
      <c r="P53" s="64">
        <v>0.56999999999999995</v>
      </c>
      <c r="Q53" s="64">
        <v>9.36</v>
      </c>
      <c r="R53" s="198"/>
      <c r="S53" s="198"/>
      <c r="T53" s="198"/>
      <c r="U53" s="198"/>
    </row>
    <row r="54" spans="1:21" s="12" customFormat="1" x14ac:dyDescent="0.25">
      <c r="A54" s="214" t="s">
        <v>2308</v>
      </c>
      <c r="B54" s="64">
        <v>7.73</v>
      </c>
      <c r="C54" s="64">
        <v>28.13</v>
      </c>
      <c r="D54" s="64">
        <v>41.98</v>
      </c>
      <c r="E54" s="64">
        <v>6.94</v>
      </c>
      <c r="F54" s="64">
        <v>14.51</v>
      </c>
      <c r="G54" s="64">
        <v>33.18</v>
      </c>
      <c r="H54" s="64">
        <v>10.76</v>
      </c>
      <c r="I54" s="64">
        <v>3.9</v>
      </c>
      <c r="J54" s="64">
        <v>0.36</v>
      </c>
      <c r="K54" s="64">
        <v>151.38</v>
      </c>
      <c r="L54" s="64">
        <v>11.18</v>
      </c>
      <c r="M54" s="64">
        <v>38.200000000000003</v>
      </c>
      <c r="N54" s="64">
        <v>563</v>
      </c>
      <c r="O54" s="64">
        <v>0</v>
      </c>
      <c r="P54" s="64">
        <v>0.51</v>
      </c>
      <c r="Q54" s="64">
        <v>9.31</v>
      </c>
      <c r="R54" s="198"/>
      <c r="S54" s="198"/>
      <c r="T54" s="198"/>
      <c r="U54" s="198"/>
    </row>
    <row r="55" spans="1:21" s="12" customFormat="1" x14ac:dyDescent="0.25">
      <c r="A55" s="214" t="s">
        <v>2309</v>
      </c>
      <c r="B55" s="64">
        <v>7.85</v>
      </c>
      <c r="C55" s="64">
        <v>28.07</v>
      </c>
      <c r="D55" s="64">
        <v>41.69</v>
      </c>
      <c r="E55" s="64">
        <v>6.43</v>
      </c>
      <c r="F55" s="64">
        <v>11.83</v>
      </c>
      <c r="G55" s="64">
        <v>33.18</v>
      </c>
      <c r="H55" s="64">
        <v>10.76</v>
      </c>
      <c r="I55" s="64">
        <v>3.92</v>
      </c>
      <c r="J55" s="64">
        <v>0.36</v>
      </c>
      <c r="K55" s="64">
        <v>204.39</v>
      </c>
      <c r="L55" s="64">
        <v>11.18</v>
      </c>
      <c r="M55" s="64">
        <v>38.200000000000003</v>
      </c>
      <c r="N55" s="64">
        <v>328.9</v>
      </c>
      <c r="O55" s="64">
        <v>0</v>
      </c>
      <c r="P55" s="64">
        <v>0.56999999999999995</v>
      </c>
      <c r="Q55" s="64">
        <v>9.34</v>
      </c>
      <c r="R55" s="198"/>
      <c r="S55" s="198"/>
      <c r="T55" s="198"/>
      <c r="U55" s="198"/>
    </row>
    <row r="56" spans="1:21" s="12" customFormat="1" x14ac:dyDescent="0.25">
      <c r="A56" s="214" t="s">
        <v>2310</v>
      </c>
      <c r="B56" s="64">
        <v>13.53</v>
      </c>
      <c r="C56" s="64">
        <v>36.549999999999997</v>
      </c>
      <c r="D56" s="64">
        <v>49.18</v>
      </c>
      <c r="E56" s="64">
        <v>6.77</v>
      </c>
      <c r="F56" s="64">
        <v>18.89</v>
      </c>
      <c r="G56" s="64">
        <v>33.18</v>
      </c>
      <c r="H56" s="64">
        <v>10.76</v>
      </c>
      <c r="I56" s="64">
        <v>4.13</v>
      </c>
      <c r="J56" s="64">
        <v>0.13</v>
      </c>
      <c r="K56" s="64">
        <v>174.36</v>
      </c>
      <c r="L56" s="64">
        <v>11.18</v>
      </c>
      <c r="M56" s="64">
        <v>38.200000000000003</v>
      </c>
      <c r="N56" s="64">
        <v>274.5</v>
      </c>
      <c r="O56" s="64">
        <v>0</v>
      </c>
      <c r="P56" s="64">
        <v>0.5</v>
      </c>
      <c r="Q56" s="64">
        <v>9.33</v>
      </c>
      <c r="R56" s="198"/>
      <c r="S56" s="198"/>
      <c r="T56" s="198"/>
      <c r="U56" s="198"/>
    </row>
    <row r="57" spans="1:21" s="12" customFormat="1" x14ac:dyDescent="0.25">
      <c r="A57" s="214" t="s">
        <v>2311</v>
      </c>
      <c r="B57" s="64">
        <v>13.61</v>
      </c>
      <c r="C57" s="64">
        <v>40.130000000000003</v>
      </c>
      <c r="D57" s="64">
        <v>55.91</v>
      </c>
      <c r="E57" s="64">
        <v>6.75</v>
      </c>
      <c r="F57" s="64">
        <v>19.18</v>
      </c>
      <c r="G57" s="64">
        <v>27.64</v>
      </c>
      <c r="H57" s="64">
        <v>14.1</v>
      </c>
      <c r="I57" s="64">
        <v>3.93</v>
      </c>
      <c r="J57" s="64">
        <v>0.17</v>
      </c>
      <c r="K57" s="64">
        <v>144.5</v>
      </c>
      <c r="L57" s="64">
        <v>11.18</v>
      </c>
      <c r="M57" s="64">
        <v>38.200000000000003</v>
      </c>
      <c r="N57" s="64">
        <v>299.7</v>
      </c>
      <c r="O57" s="64">
        <v>0</v>
      </c>
      <c r="P57" s="64">
        <v>0.54</v>
      </c>
      <c r="Q57" s="64">
        <v>9.33</v>
      </c>
      <c r="R57" s="198"/>
      <c r="S57" s="198"/>
      <c r="T57" s="198"/>
      <c r="U57" s="198"/>
    </row>
    <row r="58" spans="1:21" s="12" customFormat="1" x14ac:dyDescent="0.25">
      <c r="A58" s="214" t="s">
        <v>2312</v>
      </c>
      <c r="B58" s="64">
        <v>7.47</v>
      </c>
      <c r="C58" s="64">
        <v>35</v>
      </c>
      <c r="D58" s="64">
        <v>55.53</v>
      </c>
      <c r="E58" s="64">
        <v>6.82</v>
      </c>
      <c r="F58" s="64">
        <v>8.39</v>
      </c>
      <c r="G58" s="64">
        <v>10.36</v>
      </c>
      <c r="H58" s="64">
        <v>28.44</v>
      </c>
      <c r="I58" s="64">
        <v>4.12</v>
      </c>
      <c r="J58" s="64">
        <v>0.76</v>
      </c>
      <c r="K58" s="64">
        <v>115.73</v>
      </c>
      <c r="L58" s="64">
        <v>11.18</v>
      </c>
      <c r="M58" s="64">
        <v>38.200000000000003</v>
      </c>
      <c r="N58" s="64">
        <v>301.8</v>
      </c>
      <c r="O58" s="64">
        <v>0</v>
      </c>
      <c r="P58" s="64">
        <v>0.59</v>
      </c>
      <c r="Q58" s="64">
        <v>9.36</v>
      </c>
      <c r="R58" s="198"/>
      <c r="S58" s="198"/>
      <c r="T58" s="198"/>
      <c r="U58" s="198"/>
    </row>
    <row r="59" spans="1:21" s="12" customFormat="1" x14ac:dyDescent="0.25">
      <c r="A59" s="214" t="s">
        <v>2313</v>
      </c>
      <c r="B59" s="64">
        <v>10.83</v>
      </c>
      <c r="C59" s="64">
        <v>35.64</v>
      </c>
      <c r="D59" s="64">
        <v>51.59</v>
      </c>
      <c r="E59" s="64">
        <v>6.23</v>
      </c>
      <c r="F59" s="64">
        <v>19.649999999999999</v>
      </c>
      <c r="G59" s="64">
        <v>10.36</v>
      </c>
      <c r="H59" s="64">
        <v>28.44</v>
      </c>
      <c r="I59" s="64">
        <v>4.0599999999999996</v>
      </c>
      <c r="J59" s="9" t="s">
        <v>36</v>
      </c>
      <c r="K59" s="9" t="s">
        <v>36</v>
      </c>
      <c r="L59" s="64">
        <v>11.18</v>
      </c>
      <c r="M59" s="64">
        <v>38.200000000000003</v>
      </c>
      <c r="N59" s="64">
        <v>301.8</v>
      </c>
      <c r="O59" s="64">
        <v>0</v>
      </c>
      <c r="P59" s="64">
        <v>0.53</v>
      </c>
      <c r="Q59" s="64">
        <v>9.3699999999999992</v>
      </c>
      <c r="R59" s="198"/>
      <c r="S59" s="198"/>
      <c r="T59" s="198"/>
      <c r="U59" s="198"/>
    </row>
    <row r="60" spans="1:21" s="12" customFormat="1" x14ac:dyDescent="0.25">
      <c r="A60" s="214" t="s">
        <v>2314</v>
      </c>
      <c r="B60" s="64">
        <v>4.26</v>
      </c>
      <c r="C60" s="64">
        <v>20.89</v>
      </c>
      <c r="D60" s="64">
        <v>33.450000000000003</v>
      </c>
      <c r="E60" s="64">
        <v>6.37</v>
      </c>
      <c r="F60" s="64">
        <v>16.66</v>
      </c>
      <c r="G60" s="64">
        <v>10.36</v>
      </c>
      <c r="H60" s="64">
        <v>28.44</v>
      </c>
      <c r="I60" s="64">
        <v>4.0199999999999996</v>
      </c>
      <c r="J60" s="9" t="s">
        <v>36</v>
      </c>
      <c r="K60" s="9" t="s">
        <v>36</v>
      </c>
      <c r="L60" s="64">
        <v>11.18</v>
      </c>
      <c r="M60" s="64">
        <v>38.200000000000003</v>
      </c>
      <c r="N60" s="64">
        <v>301.8</v>
      </c>
      <c r="O60" s="64">
        <v>0</v>
      </c>
      <c r="P60" s="64">
        <v>0.41</v>
      </c>
      <c r="Q60" s="64">
        <v>9.36</v>
      </c>
      <c r="R60" s="198"/>
      <c r="S60" s="198"/>
      <c r="T60" s="198"/>
      <c r="U60" s="198"/>
    </row>
    <row r="61" spans="1:21" s="12" customFormat="1" x14ac:dyDescent="0.25">
      <c r="A61" s="214" t="s">
        <v>2315</v>
      </c>
      <c r="B61" s="64">
        <v>5.58</v>
      </c>
      <c r="C61" s="64">
        <v>24.44</v>
      </c>
      <c r="D61" s="64">
        <v>38.21</v>
      </c>
      <c r="E61" s="64">
        <v>6.35</v>
      </c>
      <c r="F61" s="64">
        <v>19.16</v>
      </c>
      <c r="G61" s="64">
        <v>15.79</v>
      </c>
      <c r="H61" s="64">
        <v>26.37</v>
      </c>
      <c r="I61" s="64">
        <v>3.96</v>
      </c>
      <c r="J61" s="9" t="s">
        <v>36</v>
      </c>
      <c r="K61" s="9" t="s">
        <v>36</v>
      </c>
      <c r="L61" s="64">
        <v>11.18</v>
      </c>
      <c r="M61" s="64">
        <v>38.200000000000003</v>
      </c>
      <c r="N61" s="64">
        <v>301.8</v>
      </c>
      <c r="O61" s="64">
        <v>0</v>
      </c>
      <c r="P61" s="64">
        <v>0.42</v>
      </c>
      <c r="Q61" s="64">
        <v>9.3699999999999992</v>
      </c>
      <c r="R61" s="198"/>
      <c r="S61" s="198"/>
      <c r="T61" s="198"/>
      <c r="U61" s="198"/>
    </row>
    <row r="62" spans="1:21" s="12" customFormat="1" x14ac:dyDescent="0.25">
      <c r="A62" s="214" t="s">
        <v>2316</v>
      </c>
      <c r="B62" s="64">
        <v>11.53</v>
      </c>
      <c r="C62" s="64">
        <v>36.22</v>
      </c>
      <c r="D62" s="64">
        <v>51.63</v>
      </c>
      <c r="E62" s="64">
        <v>6.54</v>
      </c>
      <c r="F62" s="64">
        <v>21.67</v>
      </c>
      <c r="G62" s="64">
        <v>39.1</v>
      </c>
      <c r="H62" s="64">
        <v>17.510000000000002</v>
      </c>
      <c r="I62" s="64">
        <v>3.94</v>
      </c>
      <c r="J62" s="9" t="s">
        <v>36</v>
      </c>
      <c r="K62" s="9" t="s">
        <v>36</v>
      </c>
      <c r="L62" s="64">
        <v>11.18</v>
      </c>
      <c r="M62" s="64">
        <v>38.200000000000003</v>
      </c>
      <c r="N62" s="64">
        <v>301.8</v>
      </c>
      <c r="O62" s="64">
        <v>0</v>
      </c>
      <c r="P62" s="64">
        <v>0.51</v>
      </c>
      <c r="Q62" s="64">
        <v>9.33</v>
      </c>
      <c r="R62" s="198"/>
      <c r="S62" s="198"/>
      <c r="T62" s="198"/>
      <c r="U62" s="198"/>
    </row>
    <row r="63" spans="1:21" s="12" customFormat="1" x14ac:dyDescent="0.25">
      <c r="A63" s="214" t="s">
        <v>2317</v>
      </c>
      <c r="B63" s="64">
        <v>14.06</v>
      </c>
      <c r="C63" s="64">
        <v>41.89</v>
      </c>
      <c r="D63" s="64">
        <v>58.58</v>
      </c>
      <c r="E63" s="64">
        <v>6.62</v>
      </c>
      <c r="F63" s="64">
        <v>20.54</v>
      </c>
      <c r="G63" s="64">
        <v>39.1</v>
      </c>
      <c r="H63" s="64">
        <v>17.510000000000002</v>
      </c>
      <c r="I63" s="64">
        <v>4.09</v>
      </c>
      <c r="J63" s="9" t="s">
        <v>36</v>
      </c>
      <c r="K63" s="9" t="s">
        <v>36</v>
      </c>
      <c r="L63" s="64">
        <v>11.18</v>
      </c>
      <c r="M63" s="64">
        <v>38.200000000000003</v>
      </c>
      <c r="N63" s="64">
        <v>301.8</v>
      </c>
      <c r="O63" s="64">
        <v>0</v>
      </c>
      <c r="P63" s="64">
        <v>0.71</v>
      </c>
      <c r="Q63" s="64">
        <v>9.33</v>
      </c>
      <c r="R63" s="198"/>
      <c r="S63" s="198"/>
      <c r="T63" s="198"/>
      <c r="U63" s="198"/>
    </row>
    <row r="64" spans="1:21" s="12" customFormat="1" x14ac:dyDescent="0.25">
      <c r="A64" s="214" t="s">
        <v>2318</v>
      </c>
      <c r="B64" s="64">
        <v>8</v>
      </c>
      <c r="C64" s="64">
        <v>33.26</v>
      </c>
      <c r="D64" s="64">
        <v>51.38</v>
      </c>
      <c r="E64" s="64">
        <v>7.14</v>
      </c>
      <c r="F64" s="64">
        <v>22.41</v>
      </c>
      <c r="G64" s="64">
        <v>39.1</v>
      </c>
      <c r="H64" s="64">
        <v>17.510000000000002</v>
      </c>
      <c r="I64" s="64">
        <v>4.12</v>
      </c>
      <c r="J64" s="9" t="s">
        <v>36</v>
      </c>
      <c r="K64" s="9" t="s">
        <v>36</v>
      </c>
      <c r="L64" s="64">
        <v>11.18</v>
      </c>
      <c r="M64" s="64">
        <v>38.200000000000003</v>
      </c>
      <c r="N64" s="64">
        <v>301.8</v>
      </c>
      <c r="O64" s="64">
        <v>0</v>
      </c>
      <c r="P64" s="64">
        <v>0.56999999999999995</v>
      </c>
      <c r="Q64" s="64">
        <v>9.33</v>
      </c>
      <c r="R64" s="198"/>
      <c r="S64" s="198"/>
      <c r="T64" s="198"/>
      <c r="U64" s="198"/>
    </row>
    <row r="65" spans="1:21" s="12" customFormat="1" x14ac:dyDescent="0.25">
      <c r="A65" s="214" t="s">
        <v>2319</v>
      </c>
      <c r="B65" s="64">
        <v>7.27</v>
      </c>
      <c r="C65" s="64">
        <v>32.08</v>
      </c>
      <c r="D65" s="64">
        <v>50.25</v>
      </c>
      <c r="E65" s="64">
        <v>7.8</v>
      </c>
      <c r="F65" s="64">
        <v>20.98</v>
      </c>
      <c r="G65" s="64">
        <v>38.28</v>
      </c>
      <c r="H65" s="64">
        <v>18.47</v>
      </c>
      <c r="I65" s="64">
        <v>3.81</v>
      </c>
      <c r="J65" s="9" t="s">
        <v>36</v>
      </c>
      <c r="K65" s="9" t="s">
        <v>36</v>
      </c>
      <c r="L65" s="64">
        <v>11.18</v>
      </c>
      <c r="M65" s="64">
        <v>38.200000000000003</v>
      </c>
      <c r="N65" s="64">
        <v>301.8</v>
      </c>
      <c r="O65" s="64">
        <v>0</v>
      </c>
      <c r="P65" s="64">
        <v>0.49</v>
      </c>
      <c r="Q65" s="64">
        <v>9.31</v>
      </c>
      <c r="R65" s="198"/>
      <c r="S65" s="198"/>
      <c r="T65" s="198"/>
      <c r="U65" s="198"/>
    </row>
    <row r="66" spans="1:21" s="12" customFormat="1" x14ac:dyDescent="0.25">
      <c r="A66" s="214" t="s">
        <v>2320</v>
      </c>
      <c r="B66" s="64">
        <v>16.07</v>
      </c>
      <c r="C66" s="64">
        <v>47.04</v>
      </c>
      <c r="D66" s="64">
        <v>65.37</v>
      </c>
      <c r="E66" s="64">
        <v>8.08</v>
      </c>
      <c r="F66" s="64">
        <v>16.66</v>
      </c>
      <c r="G66" s="64">
        <v>34.75</v>
      </c>
      <c r="H66" s="64">
        <v>22.57</v>
      </c>
      <c r="I66" s="64">
        <v>4.26</v>
      </c>
      <c r="J66" s="9" t="s">
        <v>36</v>
      </c>
      <c r="K66" s="9" t="s">
        <v>36</v>
      </c>
      <c r="L66" s="64">
        <v>11.18</v>
      </c>
      <c r="M66" s="64">
        <v>38.200000000000003</v>
      </c>
      <c r="N66" s="64">
        <v>301.8</v>
      </c>
      <c r="O66" s="64">
        <v>0</v>
      </c>
      <c r="P66" s="64">
        <v>0.7</v>
      </c>
      <c r="Q66" s="64">
        <v>9.3000000000000007</v>
      </c>
      <c r="R66" s="198"/>
      <c r="S66" s="198"/>
      <c r="T66" s="198"/>
      <c r="U66" s="198"/>
    </row>
    <row r="67" spans="1:21" s="12" customFormat="1" x14ac:dyDescent="0.25">
      <c r="A67" s="214" t="s">
        <v>2321</v>
      </c>
      <c r="B67" s="64">
        <v>14.31</v>
      </c>
      <c r="C67" s="64">
        <v>46.1</v>
      </c>
      <c r="D67" s="64">
        <v>66.27</v>
      </c>
      <c r="E67" s="64">
        <v>7.68</v>
      </c>
      <c r="F67" s="64">
        <v>17.260000000000002</v>
      </c>
      <c r="G67" s="64">
        <v>34.75</v>
      </c>
      <c r="H67" s="64">
        <v>22.57</v>
      </c>
      <c r="I67" s="64">
        <v>3.86</v>
      </c>
      <c r="J67" s="9" t="s">
        <v>36</v>
      </c>
      <c r="K67" s="9" t="s">
        <v>36</v>
      </c>
      <c r="L67" s="64">
        <v>11.18</v>
      </c>
      <c r="M67" s="64">
        <v>38.200000000000003</v>
      </c>
      <c r="N67" s="64">
        <v>301.8</v>
      </c>
      <c r="O67" s="64">
        <v>0</v>
      </c>
      <c r="P67" s="64">
        <v>0.73</v>
      </c>
      <c r="Q67" s="64">
        <v>9.3000000000000007</v>
      </c>
      <c r="R67" s="198"/>
      <c r="S67" s="198"/>
      <c r="T67" s="198"/>
      <c r="U67" s="198"/>
    </row>
    <row r="68" spans="1:21" s="12" customFormat="1" x14ac:dyDescent="0.25">
      <c r="A68" s="214" t="s">
        <v>2322</v>
      </c>
      <c r="B68" s="64">
        <v>4.75</v>
      </c>
      <c r="C68" s="64">
        <v>22.27</v>
      </c>
      <c r="D68" s="64">
        <v>35.340000000000003</v>
      </c>
      <c r="E68" s="64">
        <v>7.86</v>
      </c>
      <c r="F68" s="64">
        <v>20.16</v>
      </c>
      <c r="G68" s="64">
        <v>34.75</v>
      </c>
      <c r="H68" s="64">
        <v>22.57</v>
      </c>
      <c r="I68" s="64">
        <v>3.97</v>
      </c>
      <c r="J68" s="9" t="s">
        <v>36</v>
      </c>
      <c r="K68" s="9" t="s">
        <v>36</v>
      </c>
      <c r="L68" s="64">
        <v>11.18</v>
      </c>
      <c r="M68" s="64">
        <v>38.200000000000003</v>
      </c>
      <c r="N68" s="64">
        <v>301.8</v>
      </c>
      <c r="O68" s="64">
        <v>0</v>
      </c>
      <c r="P68" s="64">
        <v>0.38</v>
      </c>
      <c r="Q68" s="64">
        <v>9.32</v>
      </c>
      <c r="R68" s="198"/>
      <c r="S68" s="198"/>
      <c r="T68" s="198"/>
      <c r="U68" s="198"/>
    </row>
    <row r="69" spans="1:21" s="12" customFormat="1" x14ac:dyDescent="0.25">
      <c r="A69" s="214" t="s">
        <v>2323</v>
      </c>
      <c r="B69" s="64">
        <v>4.76</v>
      </c>
      <c r="C69" s="64">
        <v>22.58</v>
      </c>
      <c r="D69" s="64">
        <v>35.92</v>
      </c>
      <c r="E69" s="64">
        <v>7.71</v>
      </c>
      <c r="F69" s="64">
        <v>16.850000000000001</v>
      </c>
      <c r="G69" s="64">
        <v>36.409999999999997</v>
      </c>
      <c r="H69" s="64">
        <v>21.95</v>
      </c>
      <c r="I69" s="64">
        <v>4.05</v>
      </c>
      <c r="J69" s="9" t="s">
        <v>36</v>
      </c>
      <c r="K69" s="9" t="s">
        <v>36</v>
      </c>
      <c r="L69" s="64">
        <v>11.18</v>
      </c>
      <c r="M69" s="64">
        <v>38.200000000000003</v>
      </c>
      <c r="N69" s="64">
        <v>301.8</v>
      </c>
      <c r="O69" s="64">
        <v>0</v>
      </c>
      <c r="P69" s="64">
        <v>0.38</v>
      </c>
      <c r="Q69" s="64">
        <v>9.31</v>
      </c>
      <c r="R69" s="198"/>
      <c r="S69" s="198"/>
      <c r="T69" s="198"/>
      <c r="U69" s="198"/>
    </row>
    <row r="70" spans="1:21" s="12" customFormat="1" x14ac:dyDescent="0.25">
      <c r="A70" s="214" t="s">
        <v>2324</v>
      </c>
      <c r="B70" s="64">
        <v>5.29</v>
      </c>
      <c r="C70" s="64">
        <v>19.62</v>
      </c>
      <c r="D70" s="64">
        <v>29.42</v>
      </c>
      <c r="E70" s="64">
        <v>6.78</v>
      </c>
      <c r="F70" s="64">
        <v>5.71</v>
      </c>
      <c r="G70" s="64">
        <v>43.55</v>
      </c>
      <c r="H70" s="64">
        <v>19.3</v>
      </c>
      <c r="I70" s="64">
        <v>4.0599999999999996</v>
      </c>
      <c r="J70" s="9" t="s">
        <v>36</v>
      </c>
      <c r="K70" s="9" t="s">
        <v>36</v>
      </c>
      <c r="L70" s="64">
        <v>11.18</v>
      </c>
      <c r="M70" s="64">
        <v>38.200000000000003</v>
      </c>
      <c r="N70" s="64">
        <v>301.8</v>
      </c>
      <c r="O70" s="64">
        <v>0</v>
      </c>
      <c r="P70" s="64">
        <v>0.51</v>
      </c>
      <c r="Q70" s="64">
        <v>9.3000000000000007</v>
      </c>
      <c r="R70" s="198"/>
      <c r="S70" s="198"/>
      <c r="T70" s="198"/>
      <c r="U70" s="198"/>
    </row>
    <row r="71" spans="1:21" s="12" customFormat="1" x14ac:dyDescent="0.25">
      <c r="A71" s="214" t="s">
        <v>2325</v>
      </c>
      <c r="B71" s="64">
        <v>5.87</v>
      </c>
      <c r="C71" s="64">
        <v>22.98</v>
      </c>
      <c r="D71" s="64">
        <v>34.99</v>
      </c>
      <c r="E71" s="64">
        <v>6.18</v>
      </c>
      <c r="F71" s="64">
        <v>5.97</v>
      </c>
      <c r="G71" s="64">
        <v>43.55</v>
      </c>
      <c r="H71" s="64">
        <v>19.3</v>
      </c>
      <c r="I71" s="64">
        <v>3.96</v>
      </c>
      <c r="J71" s="9" t="s">
        <v>36</v>
      </c>
      <c r="K71" s="9" t="s">
        <v>36</v>
      </c>
      <c r="L71" s="64">
        <v>11.18</v>
      </c>
      <c r="M71" s="64">
        <v>38.200000000000003</v>
      </c>
      <c r="N71" s="64">
        <v>301.8</v>
      </c>
      <c r="O71" s="64">
        <v>0</v>
      </c>
      <c r="P71" s="64">
        <v>0.47</v>
      </c>
      <c r="Q71" s="64">
        <v>9.31</v>
      </c>
      <c r="R71" s="198"/>
      <c r="S71" s="198"/>
      <c r="T71" s="198"/>
      <c r="U71" s="198"/>
    </row>
    <row r="72" spans="1:21" s="12" customFormat="1" x14ac:dyDescent="0.25">
      <c r="A72" s="214" t="s">
        <v>2326</v>
      </c>
      <c r="B72" s="64">
        <v>5.63</v>
      </c>
      <c r="C72" s="64">
        <v>25.33</v>
      </c>
      <c r="D72" s="64">
        <v>39.840000000000003</v>
      </c>
      <c r="E72" s="64">
        <v>5.09</v>
      </c>
      <c r="F72" s="64">
        <v>12.87</v>
      </c>
      <c r="G72" s="64">
        <v>43.55</v>
      </c>
      <c r="H72" s="64">
        <v>19.3</v>
      </c>
      <c r="I72" s="64">
        <v>4.03</v>
      </c>
      <c r="J72" s="9" t="s">
        <v>36</v>
      </c>
      <c r="K72" s="9" t="s">
        <v>36</v>
      </c>
      <c r="L72" s="64">
        <v>11.18</v>
      </c>
      <c r="M72" s="64">
        <v>38.200000000000003</v>
      </c>
      <c r="N72" s="64">
        <v>301.8</v>
      </c>
      <c r="O72" s="64">
        <v>0</v>
      </c>
      <c r="P72" s="64">
        <v>0.42</v>
      </c>
      <c r="Q72" s="64">
        <v>9.32</v>
      </c>
      <c r="R72" s="198"/>
      <c r="S72" s="198"/>
      <c r="T72" s="198"/>
      <c r="U72" s="198"/>
    </row>
    <row r="73" spans="1:21" s="12" customFormat="1" x14ac:dyDescent="0.25">
      <c r="A73" s="214" t="s">
        <v>2327</v>
      </c>
      <c r="B73" s="64">
        <v>4.71</v>
      </c>
      <c r="C73" s="64">
        <v>22.66</v>
      </c>
      <c r="D73" s="64">
        <v>36.159999999999997</v>
      </c>
      <c r="E73" s="64">
        <v>5.53</v>
      </c>
      <c r="F73" s="64">
        <v>12.17</v>
      </c>
      <c r="G73" s="64">
        <v>36.799999999999997</v>
      </c>
      <c r="H73" s="64">
        <v>18.27</v>
      </c>
      <c r="I73" s="64">
        <v>3.82</v>
      </c>
      <c r="J73" s="9" t="s">
        <v>36</v>
      </c>
      <c r="K73" s="9" t="s">
        <v>36</v>
      </c>
      <c r="L73" s="64">
        <v>11.18</v>
      </c>
      <c r="M73" s="64">
        <v>38.200000000000003</v>
      </c>
      <c r="N73" s="64">
        <v>301.8</v>
      </c>
      <c r="O73" s="64">
        <v>0</v>
      </c>
      <c r="P73" s="64">
        <v>0.4</v>
      </c>
      <c r="Q73" s="64">
        <v>9.3000000000000007</v>
      </c>
      <c r="R73" s="198"/>
      <c r="S73" s="198"/>
      <c r="T73" s="198"/>
      <c r="U73" s="198"/>
    </row>
    <row r="74" spans="1:21" s="12" customFormat="1" x14ac:dyDescent="0.25">
      <c r="A74" s="214" t="s">
        <v>2328</v>
      </c>
      <c r="B74" s="64">
        <v>4.38</v>
      </c>
      <c r="C74" s="64">
        <v>19.170000000000002</v>
      </c>
      <c r="D74" s="64">
        <v>29.97</v>
      </c>
      <c r="E74" s="64">
        <v>5.36</v>
      </c>
      <c r="F74" s="64">
        <v>6.78</v>
      </c>
      <c r="G74" s="64">
        <v>16.55</v>
      </c>
      <c r="H74" s="64">
        <v>13.84</v>
      </c>
      <c r="I74" s="64">
        <v>4.13</v>
      </c>
      <c r="J74" s="9" t="s">
        <v>36</v>
      </c>
      <c r="K74" s="9" t="s">
        <v>36</v>
      </c>
      <c r="L74" s="64">
        <v>11.18</v>
      </c>
      <c r="M74" s="64">
        <v>38.200000000000003</v>
      </c>
      <c r="N74" s="64">
        <v>301.8</v>
      </c>
      <c r="O74" s="64">
        <v>0</v>
      </c>
      <c r="P74" s="64">
        <v>0.45</v>
      </c>
      <c r="Q74" s="64">
        <v>9.27</v>
      </c>
      <c r="R74" s="198"/>
      <c r="S74" s="198"/>
      <c r="T74" s="198"/>
      <c r="U74" s="198"/>
    </row>
    <row r="75" spans="1:21" s="12" customFormat="1" x14ac:dyDescent="0.25">
      <c r="A75" s="214" t="s">
        <v>2329</v>
      </c>
      <c r="B75" s="64">
        <v>4.3600000000000003</v>
      </c>
      <c r="C75" s="64">
        <v>19.5</v>
      </c>
      <c r="D75" s="64">
        <v>30.62</v>
      </c>
      <c r="E75" s="64">
        <v>5.51</v>
      </c>
      <c r="F75" s="64">
        <v>11.95</v>
      </c>
      <c r="G75" s="64">
        <v>16.55</v>
      </c>
      <c r="H75" s="64">
        <v>13.84</v>
      </c>
      <c r="I75" s="64">
        <v>4.17</v>
      </c>
      <c r="J75" s="9" t="s">
        <v>36</v>
      </c>
      <c r="K75" s="9" t="s">
        <v>36</v>
      </c>
      <c r="L75" s="64">
        <v>11.18</v>
      </c>
      <c r="M75" s="64">
        <v>38.200000000000003</v>
      </c>
      <c r="N75" s="64">
        <v>301.8</v>
      </c>
      <c r="O75" s="64">
        <v>0</v>
      </c>
      <c r="P75" s="64">
        <v>0.41</v>
      </c>
      <c r="Q75" s="64">
        <v>9.27</v>
      </c>
      <c r="R75" s="198"/>
      <c r="S75" s="198"/>
      <c r="T75" s="198"/>
      <c r="U75" s="198"/>
    </row>
    <row r="76" spans="1:21" s="12" customFormat="1" x14ac:dyDescent="0.25">
      <c r="A76" s="214" t="s">
        <v>2330</v>
      </c>
      <c r="B76" s="64">
        <v>4.41</v>
      </c>
      <c r="C76" s="64">
        <v>17.66</v>
      </c>
      <c r="D76" s="64">
        <v>27.02</v>
      </c>
      <c r="E76" s="64">
        <v>5.26</v>
      </c>
      <c r="F76" s="64">
        <v>6.54</v>
      </c>
      <c r="G76" s="64">
        <v>16.55</v>
      </c>
      <c r="H76" s="64">
        <v>13.84</v>
      </c>
      <c r="I76" s="64">
        <v>3.97</v>
      </c>
      <c r="J76" s="9" t="s">
        <v>36</v>
      </c>
      <c r="K76" s="9" t="s">
        <v>36</v>
      </c>
      <c r="L76" s="64">
        <v>11.18</v>
      </c>
      <c r="M76" s="64">
        <v>38.200000000000003</v>
      </c>
      <c r="N76" s="64">
        <v>301.8</v>
      </c>
      <c r="O76" s="64">
        <v>0</v>
      </c>
      <c r="P76" s="64">
        <v>0.44</v>
      </c>
      <c r="Q76" s="64">
        <v>9.26</v>
      </c>
      <c r="R76" s="198"/>
      <c r="S76" s="198"/>
      <c r="T76" s="198"/>
      <c r="U76" s="198"/>
    </row>
    <row r="77" spans="1:21" s="12" customFormat="1" x14ac:dyDescent="0.25">
      <c r="A77" s="214" t="s">
        <v>2331</v>
      </c>
      <c r="B77" s="64">
        <v>4.55</v>
      </c>
      <c r="C77" s="64">
        <v>19.71</v>
      </c>
      <c r="D77" s="64">
        <v>30.74</v>
      </c>
      <c r="E77" s="64">
        <v>5.34</v>
      </c>
      <c r="F77" s="64">
        <v>8.7899999999999991</v>
      </c>
      <c r="G77" s="64">
        <v>21.05</v>
      </c>
      <c r="H77" s="64">
        <v>13.48</v>
      </c>
      <c r="I77" s="64">
        <v>3.97</v>
      </c>
      <c r="J77" s="9" t="s">
        <v>36</v>
      </c>
      <c r="K77" s="9" t="s">
        <v>36</v>
      </c>
      <c r="L77" s="64">
        <v>11.18</v>
      </c>
      <c r="M77" s="64">
        <v>38.200000000000003</v>
      </c>
      <c r="N77" s="64">
        <v>301.8</v>
      </c>
      <c r="O77" s="64">
        <v>0</v>
      </c>
      <c r="P77" s="64">
        <v>0.42</v>
      </c>
      <c r="Q77" s="64">
        <v>9.26</v>
      </c>
      <c r="R77" s="198"/>
      <c r="S77" s="198"/>
      <c r="T77" s="198"/>
      <c r="U77" s="198"/>
    </row>
    <row r="78" spans="1:21" s="12" customFormat="1" x14ac:dyDescent="0.25">
      <c r="A78" s="214" t="s">
        <v>2332</v>
      </c>
      <c r="B78" s="64">
        <v>4.76</v>
      </c>
      <c r="C78" s="64">
        <v>20.57</v>
      </c>
      <c r="D78" s="64">
        <v>32.08</v>
      </c>
      <c r="E78" s="64">
        <v>5.72</v>
      </c>
      <c r="F78" s="64">
        <v>8.89</v>
      </c>
      <c r="G78" s="64">
        <v>40.39</v>
      </c>
      <c r="H78" s="64">
        <v>11.94</v>
      </c>
      <c r="I78" s="64">
        <v>4.05</v>
      </c>
      <c r="J78" s="9" t="s">
        <v>36</v>
      </c>
      <c r="K78" s="9" t="s">
        <v>36</v>
      </c>
      <c r="L78" s="64">
        <v>11.18</v>
      </c>
      <c r="M78" s="64">
        <v>38.200000000000003</v>
      </c>
      <c r="N78" s="64">
        <v>301.8</v>
      </c>
      <c r="O78" s="64">
        <v>0</v>
      </c>
      <c r="P78" s="64">
        <v>0.41</v>
      </c>
      <c r="Q78" s="64">
        <v>9.27</v>
      </c>
      <c r="R78" s="198"/>
      <c r="S78" s="198"/>
      <c r="T78" s="198"/>
      <c r="U78" s="198"/>
    </row>
    <row r="79" spans="1:21" s="12" customFormat="1" x14ac:dyDescent="0.25">
      <c r="A79" s="214" t="s">
        <v>2333</v>
      </c>
      <c r="B79" s="64">
        <v>4.78</v>
      </c>
      <c r="C79" s="64">
        <v>17.11</v>
      </c>
      <c r="D79" s="64">
        <v>25.42</v>
      </c>
      <c r="E79" s="64">
        <v>5.0599999999999996</v>
      </c>
      <c r="F79" s="64">
        <v>5.48</v>
      </c>
      <c r="G79" s="64">
        <v>40.39</v>
      </c>
      <c r="H79" s="64">
        <v>11.94</v>
      </c>
      <c r="I79" s="64">
        <v>4.05</v>
      </c>
      <c r="J79" s="9" t="s">
        <v>36</v>
      </c>
      <c r="K79" s="9" t="s">
        <v>36</v>
      </c>
      <c r="L79" s="64">
        <v>11.18</v>
      </c>
      <c r="M79" s="64">
        <v>38.200000000000003</v>
      </c>
      <c r="N79" s="64">
        <v>301.8</v>
      </c>
      <c r="O79" s="64">
        <v>0</v>
      </c>
      <c r="P79" s="64">
        <v>0.42</v>
      </c>
      <c r="Q79" s="64">
        <v>9.27</v>
      </c>
      <c r="R79" s="198"/>
      <c r="S79" s="198"/>
      <c r="T79" s="198"/>
      <c r="U79" s="198"/>
    </row>
    <row r="80" spans="1:21" s="12" customFormat="1" x14ac:dyDescent="0.25">
      <c r="A80" s="214" t="s">
        <v>2334</v>
      </c>
      <c r="B80" s="64">
        <v>4.51</v>
      </c>
      <c r="C80" s="64">
        <v>19.79</v>
      </c>
      <c r="D80" s="64">
        <v>30.96</v>
      </c>
      <c r="E80" s="64">
        <v>5.4</v>
      </c>
      <c r="F80" s="64">
        <v>14.54</v>
      </c>
      <c r="G80" s="64">
        <v>40.39</v>
      </c>
      <c r="H80" s="64">
        <v>11.94</v>
      </c>
      <c r="I80" s="64">
        <v>3.99</v>
      </c>
      <c r="J80" s="9" t="s">
        <v>36</v>
      </c>
      <c r="K80" s="9" t="s">
        <v>36</v>
      </c>
      <c r="L80" s="64">
        <v>11.18</v>
      </c>
      <c r="M80" s="64">
        <v>38.200000000000003</v>
      </c>
      <c r="N80" s="64">
        <v>301.8</v>
      </c>
      <c r="O80" s="64">
        <v>0</v>
      </c>
      <c r="P80" s="64">
        <v>0.38</v>
      </c>
      <c r="Q80" s="64">
        <v>9.27</v>
      </c>
      <c r="R80" s="198"/>
      <c r="S80" s="198"/>
      <c r="T80" s="198"/>
      <c r="U80" s="198"/>
    </row>
    <row r="81" spans="1:26" s="12" customFormat="1" x14ac:dyDescent="0.25">
      <c r="A81" s="214" t="s">
        <v>2335</v>
      </c>
      <c r="B81" s="64">
        <v>5.49</v>
      </c>
      <c r="C81" s="64">
        <v>27.03</v>
      </c>
      <c r="D81" s="64">
        <v>43.31</v>
      </c>
      <c r="E81" s="64">
        <v>5.33</v>
      </c>
      <c r="F81" s="64">
        <v>15.56</v>
      </c>
      <c r="G81" s="64">
        <v>37.81</v>
      </c>
      <c r="H81" s="64">
        <v>12.07</v>
      </c>
      <c r="I81" s="64">
        <v>4.07</v>
      </c>
      <c r="J81" s="9" t="s">
        <v>36</v>
      </c>
      <c r="K81" s="9" t="s">
        <v>36</v>
      </c>
      <c r="L81" s="64">
        <v>11.18</v>
      </c>
      <c r="M81" s="64">
        <v>38.200000000000003</v>
      </c>
      <c r="N81" s="64">
        <v>301.8</v>
      </c>
      <c r="O81" s="64">
        <v>0</v>
      </c>
      <c r="P81" s="64">
        <v>0.39</v>
      </c>
      <c r="Q81" s="64">
        <v>9.27</v>
      </c>
      <c r="R81" s="198"/>
      <c r="S81" s="198"/>
      <c r="T81" s="198"/>
      <c r="U81" s="198"/>
    </row>
    <row r="82" spans="1:26" s="12" customFormat="1" x14ac:dyDescent="0.25">
      <c r="A82" s="214" t="s">
        <v>2336</v>
      </c>
      <c r="B82" s="64">
        <v>5.28</v>
      </c>
      <c r="C82" s="64">
        <v>27.21</v>
      </c>
      <c r="D82" s="64">
        <v>43.97</v>
      </c>
      <c r="E82" s="64">
        <v>5.63</v>
      </c>
      <c r="F82" s="64">
        <v>14.6</v>
      </c>
      <c r="G82" s="64">
        <v>26.74</v>
      </c>
      <c r="H82" s="64">
        <v>12.65</v>
      </c>
      <c r="I82" s="64">
        <v>3.82</v>
      </c>
      <c r="J82" s="9" t="s">
        <v>36</v>
      </c>
      <c r="K82" s="9" t="s">
        <v>36</v>
      </c>
      <c r="L82" s="64">
        <v>11.18</v>
      </c>
      <c r="M82" s="64">
        <v>38.200000000000003</v>
      </c>
      <c r="N82" s="64">
        <v>301.8</v>
      </c>
      <c r="O82" s="64">
        <v>0</v>
      </c>
      <c r="P82" s="64">
        <v>0.37</v>
      </c>
      <c r="Q82" s="64">
        <v>9.24</v>
      </c>
      <c r="R82" s="198"/>
      <c r="S82" s="198"/>
      <c r="T82" s="198"/>
      <c r="U82" s="198"/>
    </row>
    <row r="83" spans="1:26" s="12" customFormat="1" x14ac:dyDescent="0.25">
      <c r="A83" s="214" t="s">
        <v>2337</v>
      </c>
      <c r="B83" s="64">
        <v>4.55</v>
      </c>
      <c r="C83" s="64">
        <v>23.99</v>
      </c>
      <c r="D83" s="64">
        <v>38.94</v>
      </c>
      <c r="E83" s="64">
        <v>5.4</v>
      </c>
      <c r="F83" s="64">
        <v>17.57</v>
      </c>
      <c r="G83" s="64">
        <v>26.74</v>
      </c>
      <c r="H83" s="64">
        <v>12.65</v>
      </c>
      <c r="I83" s="64">
        <v>4.08</v>
      </c>
      <c r="J83" s="9" t="s">
        <v>36</v>
      </c>
      <c r="K83" s="9" t="s">
        <v>36</v>
      </c>
      <c r="L83" s="64">
        <v>11.18</v>
      </c>
      <c r="M83" s="64">
        <v>38.200000000000003</v>
      </c>
      <c r="N83" s="64">
        <v>301.8</v>
      </c>
      <c r="O83" s="64">
        <v>0</v>
      </c>
      <c r="P83" s="64">
        <v>0.46</v>
      </c>
      <c r="Q83" s="64">
        <v>9.24</v>
      </c>
      <c r="R83" s="198"/>
      <c r="S83" s="198"/>
      <c r="T83" s="198"/>
      <c r="U83" s="198"/>
    </row>
    <row r="84" spans="1:26" s="12" customFormat="1" x14ac:dyDescent="0.25">
      <c r="A84" s="214" t="s">
        <v>2338</v>
      </c>
      <c r="B84" s="64">
        <v>7.06</v>
      </c>
      <c r="C84" s="64">
        <v>31.27</v>
      </c>
      <c r="D84" s="64">
        <v>49.03</v>
      </c>
      <c r="E84" s="64">
        <v>5.64</v>
      </c>
      <c r="F84" s="64">
        <v>15.9</v>
      </c>
      <c r="G84" s="64">
        <v>26.74</v>
      </c>
      <c r="H84" s="64">
        <v>12.65</v>
      </c>
      <c r="I84" s="64">
        <v>3.92</v>
      </c>
      <c r="J84" s="9" t="s">
        <v>36</v>
      </c>
      <c r="K84" s="9" t="s">
        <v>36</v>
      </c>
      <c r="L84" s="64">
        <v>11.18</v>
      </c>
      <c r="M84" s="64">
        <v>38.200000000000003</v>
      </c>
      <c r="N84" s="64">
        <v>301.8</v>
      </c>
      <c r="O84" s="64">
        <v>0</v>
      </c>
      <c r="P84" s="64">
        <v>0.62</v>
      </c>
      <c r="Q84" s="64">
        <v>9.25</v>
      </c>
      <c r="R84" s="198"/>
      <c r="S84" s="198"/>
      <c r="T84" s="198"/>
      <c r="U84" s="198"/>
    </row>
    <row r="85" spans="1:26" s="12" customFormat="1" x14ac:dyDescent="0.25">
      <c r="A85" s="214" t="s">
        <v>2339</v>
      </c>
      <c r="B85" s="64">
        <v>11.82</v>
      </c>
      <c r="C85" s="64">
        <v>35.56</v>
      </c>
      <c r="D85" s="64">
        <v>49.91</v>
      </c>
      <c r="E85" s="64">
        <v>5.8</v>
      </c>
      <c r="F85" s="64">
        <v>11.62</v>
      </c>
      <c r="G85" s="64">
        <v>27.04</v>
      </c>
      <c r="H85" s="64">
        <v>12.59</v>
      </c>
      <c r="I85" s="64">
        <v>4.0199999999999996</v>
      </c>
      <c r="J85" s="9" t="s">
        <v>36</v>
      </c>
      <c r="K85" s="9" t="s">
        <v>36</v>
      </c>
      <c r="L85" s="64">
        <v>11.18</v>
      </c>
      <c r="M85" s="64">
        <v>38.200000000000003</v>
      </c>
      <c r="N85" s="64">
        <v>301.8</v>
      </c>
      <c r="O85" s="64">
        <v>0</v>
      </c>
      <c r="P85" s="64">
        <v>0.74</v>
      </c>
      <c r="Q85" s="64">
        <v>9.25</v>
      </c>
      <c r="R85" s="198"/>
      <c r="S85" s="198"/>
      <c r="T85" s="198"/>
      <c r="U85" s="198"/>
    </row>
    <row r="86" spans="1:26" s="12" customFormat="1" x14ac:dyDescent="0.25">
      <c r="A86" s="214" t="s">
        <v>2340</v>
      </c>
      <c r="B86" s="64">
        <v>15.11</v>
      </c>
      <c r="C86" s="64">
        <v>36.65</v>
      </c>
      <c r="D86" s="64">
        <v>46.94</v>
      </c>
      <c r="E86" s="64">
        <v>5.9</v>
      </c>
      <c r="F86" s="64">
        <v>10.91</v>
      </c>
      <c r="G86" s="64">
        <v>28.29</v>
      </c>
      <c r="H86" s="64">
        <v>12.35</v>
      </c>
      <c r="I86" s="64">
        <v>3.96</v>
      </c>
      <c r="J86" s="9" t="s">
        <v>36</v>
      </c>
      <c r="K86" s="9" t="s">
        <v>36</v>
      </c>
      <c r="L86" s="64">
        <v>11.18</v>
      </c>
      <c r="M86" s="64">
        <v>38.200000000000003</v>
      </c>
      <c r="N86" s="64">
        <v>301.8</v>
      </c>
      <c r="O86" s="64">
        <v>0</v>
      </c>
      <c r="P86" s="64">
        <v>0.84</v>
      </c>
      <c r="Q86" s="64">
        <v>9.27</v>
      </c>
      <c r="R86" s="198"/>
      <c r="S86" s="198"/>
      <c r="T86" s="198"/>
      <c r="U86" s="198"/>
    </row>
    <row r="87" spans="1:26" s="12" customFormat="1" x14ac:dyDescent="0.25">
      <c r="A87" s="214" t="s">
        <v>2341</v>
      </c>
      <c r="B87" s="64">
        <v>19.739999999999998</v>
      </c>
      <c r="C87" s="64">
        <v>47.25</v>
      </c>
      <c r="D87" s="64">
        <v>60.14</v>
      </c>
      <c r="E87" s="64">
        <v>5.75</v>
      </c>
      <c r="F87" s="64">
        <v>9.5399999999999991</v>
      </c>
      <c r="G87" s="64">
        <v>28.29</v>
      </c>
      <c r="H87" s="64">
        <v>12.35</v>
      </c>
      <c r="I87" s="64">
        <v>3.93</v>
      </c>
      <c r="J87" s="9" t="s">
        <v>36</v>
      </c>
      <c r="K87" s="9" t="s">
        <v>36</v>
      </c>
      <c r="L87" s="64">
        <v>11.18</v>
      </c>
      <c r="M87" s="64">
        <v>38.200000000000003</v>
      </c>
      <c r="N87" s="64">
        <v>301.8</v>
      </c>
      <c r="O87" s="64">
        <v>0</v>
      </c>
      <c r="P87" s="64">
        <v>1.03</v>
      </c>
      <c r="Q87" s="64">
        <v>9.2799999999999994</v>
      </c>
      <c r="R87" s="198"/>
      <c r="S87" s="198"/>
      <c r="T87" s="198"/>
      <c r="U87" s="198"/>
    </row>
    <row r="88" spans="1:26" s="12" customFormat="1" x14ac:dyDescent="0.25">
      <c r="A88" s="214" t="s">
        <v>2342</v>
      </c>
      <c r="B88" s="64">
        <v>8.31</v>
      </c>
      <c r="C88" s="64">
        <v>22.71</v>
      </c>
      <c r="D88" s="64">
        <v>30.7</v>
      </c>
      <c r="E88" s="64">
        <v>5.48</v>
      </c>
      <c r="F88" s="64">
        <v>4.9400000000000004</v>
      </c>
      <c r="G88" s="64">
        <v>28.29</v>
      </c>
      <c r="H88" s="64">
        <v>12.35</v>
      </c>
      <c r="I88" s="64">
        <v>4.0199999999999996</v>
      </c>
      <c r="J88" s="9" t="s">
        <v>36</v>
      </c>
      <c r="K88" s="9" t="s">
        <v>36</v>
      </c>
      <c r="L88" s="64">
        <v>11.18</v>
      </c>
      <c r="M88" s="64">
        <v>38.200000000000003</v>
      </c>
      <c r="N88" s="64">
        <v>301.8</v>
      </c>
      <c r="O88" s="64">
        <v>0</v>
      </c>
      <c r="P88" s="64">
        <v>0.53</v>
      </c>
      <c r="Q88" s="64">
        <v>9.3000000000000007</v>
      </c>
      <c r="R88" s="198"/>
      <c r="S88" s="198"/>
      <c r="T88" s="198"/>
      <c r="U88" s="198"/>
    </row>
    <row r="89" spans="1:26" s="12" customFormat="1" x14ac:dyDescent="0.25">
      <c r="A89" s="214" t="s">
        <v>2343</v>
      </c>
      <c r="B89" s="64">
        <v>15.92</v>
      </c>
      <c r="C89" s="64">
        <v>33.4</v>
      </c>
      <c r="D89" s="64">
        <v>39.49</v>
      </c>
      <c r="E89" s="64">
        <v>5.79</v>
      </c>
      <c r="F89" s="64">
        <v>6.67</v>
      </c>
      <c r="G89" s="64">
        <v>30.26</v>
      </c>
      <c r="H89" s="64">
        <v>12.57</v>
      </c>
      <c r="I89" s="64">
        <v>3.87</v>
      </c>
      <c r="J89" s="9" t="s">
        <v>36</v>
      </c>
      <c r="K89" s="9" t="s">
        <v>36</v>
      </c>
      <c r="L89" s="64">
        <v>11.18</v>
      </c>
      <c r="M89" s="64">
        <v>38.200000000000003</v>
      </c>
      <c r="N89" s="64">
        <v>301.8</v>
      </c>
      <c r="O89" s="64">
        <v>0</v>
      </c>
      <c r="P89" s="64">
        <v>0.65</v>
      </c>
      <c r="Q89" s="64">
        <v>9.34</v>
      </c>
      <c r="R89" s="198"/>
      <c r="S89" s="198"/>
      <c r="T89" s="198"/>
      <c r="U89" s="198"/>
    </row>
    <row r="90" spans="1:26" s="12" customFormat="1" x14ac:dyDescent="0.25">
      <c r="A90" s="214" t="s">
        <v>2344</v>
      </c>
      <c r="B90" s="64">
        <v>11.15</v>
      </c>
      <c r="C90" s="64">
        <v>27.44</v>
      </c>
      <c r="D90" s="64">
        <v>35.409999999999997</v>
      </c>
      <c r="E90" s="64">
        <v>5.01</v>
      </c>
      <c r="F90" s="64">
        <v>5.51</v>
      </c>
      <c r="G90" s="64">
        <v>38.729999999999997</v>
      </c>
      <c r="H90" s="64">
        <v>13.51</v>
      </c>
      <c r="I90" s="64">
        <v>3.95</v>
      </c>
      <c r="J90" s="9" t="s">
        <v>36</v>
      </c>
      <c r="K90" s="9" t="s">
        <v>36</v>
      </c>
      <c r="L90" s="64">
        <v>11.18</v>
      </c>
      <c r="M90" s="64">
        <v>38.200000000000003</v>
      </c>
      <c r="N90" s="64">
        <v>301.8</v>
      </c>
      <c r="O90" s="64">
        <v>0</v>
      </c>
      <c r="P90" s="64">
        <v>0.64</v>
      </c>
      <c r="Q90" s="64">
        <v>9.3699999999999992</v>
      </c>
      <c r="R90" s="198"/>
      <c r="S90" s="198"/>
      <c r="T90" s="198"/>
      <c r="U90" s="198"/>
    </row>
    <row r="91" spans="1:26" s="12" customFormat="1" x14ac:dyDescent="0.25">
      <c r="A91" s="214" t="s">
        <v>2345</v>
      </c>
      <c r="B91" s="64">
        <v>16.73</v>
      </c>
      <c r="C91" s="64">
        <v>38.04</v>
      </c>
      <c r="D91" s="64">
        <v>47.12</v>
      </c>
      <c r="E91" s="64">
        <v>5.31</v>
      </c>
      <c r="F91" s="64">
        <v>8.5</v>
      </c>
      <c r="G91" s="64">
        <v>38.729999999999997</v>
      </c>
      <c r="H91" s="64">
        <v>13.51</v>
      </c>
      <c r="I91" s="64">
        <v>3.95</v>
      </c>
      <c r="J91" s="9" t="s">
        <v>36</v>
      </c>
      <c r="K91" s="9" t="s">
        <v>36</v>
      </c>
      <c r="L91" s="64">
        <v>11.18</v>
      </c>
      <c r="M91" s="64">
        <v>38.200000000000003</v>
      </c>
      <c r="N91" s="64">
        <v>301.8</v>
      </c>
      <c r="O91" s="64">
        <v>0</v>
      </c>
      <c r="P91" s="64">
        <v>0.99</v>
      </c>
      <c r="Q91" s="64">
        <v>9.42</v>
      </c>
      <c r="R91" s="198"/>
      <c r="S91" s="198"/>
      <c r="T91" s="198"/>
      <c r="U91" s="198"/>
    </row>
    <row r="92" spans="1:26" s="12" customFormat="1" x14ac:dyDescent="0.25">
      <c r="A92" s="214" t="s">
        <v>2346</v>
      </c>
      <c r="B92" s="64">
        <v>16.68</v>
      </c>
      <c r="C92" s="64">
        <v>33.17</v>
      </c>
      <c r="D92" s="64">
        <v>37.89</v>
      </c>
      <c r="E92" s="64">
        <v>5.36</v>
      </c>
      <c r="F92" s="64">
        <v>5.18</v>
      </c>
      <c r="G92" s="64">
        <v>38.729999999999997</v>
      </c>
      <c r="H92" s="64">
        <v>13.51</v>
      </c>
      <c r="I92" s="64">
        <v>4.07</v>
      </c>
      <c r="J92" s="9" t="s">
        <v>36</v>
      </c>
      <c r="K92" s="9" t="s">
        <v>36</v>
      </c>
      <c r="L92" s="64">
        <v>11.18</v>
      </c>
      <c r="M92" s="64">
        <v>38.200000000000003</v>
      </c>
      <c r="N92" s="64">
        <v>301.8</v>
      </c>
      <c r="O92" s="64">
        <v>0</v>
      </c>
      <c r="P92" s="64">
        <v>0.77</v>
      </c>
      <c r="Q92" s="64">
        <v>9.48</v>
      </c>
      <c r="R92" s="198"/>
      <c r="S92" s="198"/>
      <c r="T92" s="198"/>
      <c r="U92" s="198"/>
    </row>
    <row r="93" spans="1:26" s="12" customFormat="1" x14ac:dyDescent="0.25">
      <c r="A93" s="214" t="s">
        <v>2347</v>
      </c>
      <c r="B93" s="64">
        <v>12.44</v>
      </c>
      <c r="C93" s="64">
        <v>31.55</v>
      </c>
      <c r="D93" s="64">
        <v>41.29</v>
      </c>
      <c r="E93" s="64">
        <v>5.63</v>
      </c>
      <c r="F93" s="64">
        <v>7.85</v>
      </c>
      <c r="G93" s="64">
        <v>40.31</v>
      </c>
      <c r="H93" s="64">
        <v>12.74</v>
      </c>
      <c r="I93" s="64">
        <v>3.85</v>
      </c>
      <c r="J93" s="9" t="s">
        <v>36</v>
      </c>
      <c r="K93" s="9" t="s">
        <v>36</v>
      </c>
      <c r="L93" s="64">
        <v>11.18</v>
      </c>
      <c r="M93" s="64">
        <v>38.200000000000003</v>
      </c>
      <c r="N93" s="64">
        <v>301.8</v>
      </c>
      <c r="O93" s="64">
        <v>0</v>
      </c>
      <c r="P93" s="64">
        <v>0.82</v>
      </c>
      <c r="Q93" s="64">
        <v>9.52</v>
      </c>
      <c r="R93" s="198"/>
      <c r="S93" s="198"/>
      <c r="T93" s="198"/>
      <c r="U93" s="198"/>
    </row>
    <row r="94" spans="1:26" s="12" customFormat="1" x14ac:dyDescent="0.25">
      <c r="A94" s="214" t="s">
        <v>2348</v>
      </c>
      <c r="B94" s="64">
        <v>10.11</v>
      </c>
      <c r="C94" s="64">
        <v>28.26</v>
      </c>
      <c r="D94" s="64">
        <v>38.57</v>
      </c>
      <c r="E94" s="64">
        <v>4.99</v>
      </c>
      <c r="F94" s="64">
        <v>6.48</v>
      </c>
      <c r="G94" s="64">
        <v>47.1</v>
      </c>
      <c r="H94" s="64">
        <v>9.4700000000000006</v>
      </c>
      <c r="I94" s="64">
        <v>3.96</v>
      </c>
      <c r="J94" s="9" t="s">
        <v>36</v>
      </c>
      <c r="K94" s="9" t="s">
        <v>36</v>
      </c>
      <c r="L94" s="64">
        <v>11.18</v>
      </c>
      <c r="M94" s="64">
        <v>38.200000000000003</v>
      </c>
      <c r="N94" s="64">
        <v>301.8</v>
      </c>
      <c r="O94" s="64">
        <v>0</v>
      </c>
      <c r="P94" s="64">
        <v>0.71</v>
      </c>
      <c r="Q94" s="64">
        <v>9.5399999999999991</v>
      </c>
      <c r="R94" s="198"/>
      <c r="S94" s="198"/>
      <c r="T94" s="198"/>
      <c r="U94" s="198"/>
    </row>
    <row r="95" spans="1:26" s="12" customFormat="1" x14ac:dyDescent="0.25">
      <c r="A95" s="214" t="s">
        <v>2349</v>
      </c>
      <c r="B95" s="64">
        <v>10.58</v>
      </c>
      <c r="C95" s="64">
        <v>29.21</v>
      </c>
      <c r="D95" s="64">
        <v>39.67</v>
      </c>
      <c r="E95" s="64">
        <v>5.1100000000000003</v>
      </c>
      <c r="F95" s="64">
        <v>8.0500000000000007</v>
      </c>
      <c r="G95" s="64">
        <v>47.1</v>
      </c>
      <c r="H95" s="64">
        <v>9.4700000000000006</v>
      </c>
      <c r="I95" s="64">
        <v>3.99</v>
      </c>
      <c r="J95" s="9" t="s">
        <v>36</v>
      </c>
      <c r="K95" s="9" t="s">
        <v>36</v>
      </c>
      <c r="L95" s="64">
        <v>11.18</v>
      </c>
      <c r="M95" s="64">
        <v>38.200000000000003</v>
      </c>
      <c r="N95" s="64">
        <v>301.8</v>
      </c>
      <c r="O95" s="64">
        <v>0</v>
      </c>
      <c r="P95" s="64">
        <v>0.56999999999999995</v>
      </c>
      <c r="Q95" s="64">
        <v>9.5399999999999991</v>
      </c>
      <c r="R95" s="198"/>
      <c r="S95" s="198"/>
      <c r="T95" s="198"/>
      <c r="U95" s="198"/>
    </row>
    <row r="96" spans="1:26" s="12" customFormat="1" x14ac:dyDescent="0.25">
      <c r="A96" s="214" t="s">
        <v>2350</v>
      </c>
      <c r="B96" s="64">
        <v>8.7899999999999991</v>
      </c>
      <c r="C96" s="64">
        <v>28.13</v>
      </c>
      <c r="D96" s="64">
        <v>40.36</v>
      </c>
      <c r="E96" s="64">
        <v>4.99</v>
      </c>
      <c r="F96" s="64">
        <v>6.52</v>
      </c>
      <c r="G96" s="64">
        <v>47.1</v>
      </c>
      <c r="H96" s="64">
        <v>9.4700000000000006</v>
      </c>
      <c r="I96" s="64">
        <v>4.01</v>
      </c>
      <c r="J96" s="9" t="s">
        <v>36</v>
      </c>
      <c r="K96" s="9" t="s">
        <v>36</v>
      </c>
      <c r="L96" s="64">
        <v>11.18</v>
      </c>
      <c r="M96" s="64">
        <v>38.200000000000003</v>
      </c>
      <c r="N96" s="64">
        <v>301.8</v>
      </c>
      <c r="O96" s="64">
        <v>0</v>
      </c>
      <c r="P96" s="64">
        <v>0.61</v>
      </c>
      <c r="Q96" s="64">
        <v>9.52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2351</v>
      </c>
      <c r="B97" s="64">
        <v>10.31</v>
      </c>
      <c r="C97" s="64">
        <v>23.29</v>
      </c>
      <c r="D97" s="64">
        <v>28.76</v>
      </c>
      <c r="E97" s="64">
        <v>4.84</v>
      </c>
      <c r="F97" s="64">
        <v>5.68</v>
      </c>
      <c r="G97" s="64">
        <v>46.27</v>
      </c>
      <c r="H97" s="64">
        <v>8.93</v>
      </c>
      <c r="I97" s="64">
        <v>3.99</v>
      </c>
      <c r="J97" s="9" t="s">
        <v>36</v>
      </c>
      <c r="K97" s="9" t="s">
        <v>36</v>
      </c>
      <c r="L97" s="64">
        <v>11.18</v>
      </c>
      <c r="M97" s="64">
        <v>38.200000000000003</v>
      </c>
      <c r="N97" s="64">
        <v>301.8</v>
      </c>
      <c r="O97" s="64">
        <v>0</v>
      </c>
      <c r="P97" s="64">
        <v>0.65</v>
      </c>
      <c r="Q97" s="64">
        <v>9.5</v>
      </c>
      <c r="R97" s="198"/>
      <c r="S97" s="198"/>
      <c r="T97" s="198"/>
      <c r="U97" s="198"/>
    </row>
    <row r="98" spans="1:33" s="12" customFormat="1" x14ac:dyDescent="0.25">
      <c r="A98" s="214" t="s">
        <v>2352</v>
      </c>
      <c r="B98" s="64">
        <v>7.93</v>
      </c>
      <c r="C98" s="64">
        <v>26.37</v>
      </c>
      <c r="D98" s="64">
        <v>38.29</v>
      </c>
      <c r="E98" s="64">
        <v>4.87</v>
      </c>
      <c r="F98" s="64">
        <v>9.6999999999999993</v>
      </c>
      <c r="G98" s="64">
        <v>42.72</v>
      </c>
      <c r="H98" s="64">
        <v>6.63</v>
      </c>
      <c r="I98" s="64">
        <v>4.12</v>
      </c>
      <c r="J98" s="9" t="s">
        <v>36</v>
      </c>
      <c r="K98" s="9" t="s">
        <v>36</v>
      </c>
      <c r="L98" s="64">
        <v>11.18</v>
      </c>
      <c r="M98" s="64">
        <v>38.200000000000003</v>
      </c>
      <c r="N98" s="64">
        <v>301.8</v>
      </c>
      <c r="O98" s="64">
        <v>0</v>
      </c>
      <c r="P98" s="64">
        <v>0.54</v>
      </c>
      <c r="Q98" s="64">
        <v>9.49</v>
      </c>
      <c r="R98" s="198"/>
      <c r="S98" s="198"/>
      <c r="T98" s="198"/>
      <c r="U98" s="198"/>
    </row>
    <row r="99" spans="1:33" s="12" customFormat="1" x14ac:dyDescent="0.25">
      <c r="A99" s="214" t="s">
        <v>2353</v>
      </c>
      <c r="B99" s="64">
        <v>8.94</v>
      </c>
      <c r="C99" s="64">
        <v>21.61</v>
      </c>
      <c r="D99" s="64">
        <v>27.63</v>
      </c>
      <c r="E99" s="64">
        <v>5.15</v>
      </c>
      <c r="F99" s="64">
        <v>7.67</v>
      </c>
      <c r="G99" s="64">
        <v>42.72</v>
      </c>
      <c r="H99" s="64">
        <v>6.63</v>
      </c>
      <c r="I99" s="64">
        <v>4.18</v>
      </c>
      <c r="J99" s="9" t="s">
        <v>36</v>
      </c>
      <c r="K99" s="9" t="s">
        <v>36</v>
      </c>
      <c r="L99" s="64">
        <v>11.18</v>
      </c>
      <c r="M99" s="64">
        <v>38.200000000000003</v>
      </c>
      <c r="N99" s="64">
        <v>301.8</v>
      </c>
      <c r="O99" s="64">
        <v>0</v>
      </c>
      <c r="P99" s="64">
        <v>0.62</v>
      </c>
      <c r="Q99" s="64">
        <v>9.48</v>
      </c>
      <c r="R99" s="198"/>
      <c r="S99" s="198"/>
      <c r="T99" s="198"/>
      <c r="U99" s="198"/>
    </row>
    <row r="100" spans="1:33" s="12" customFormat="1" x14ac:dyDescent="0.25">
      <c r="A100" s="214" t="s">
        <v>2354</v>
      </c>
      <c r="B100" s="64">
        <v>8.23</v>
      </c>
      <c r="C100" s="64">
        <v>19.940000000000001</v>
      </c>
      <c r="D100" s="64">
        <v>25.55</v>
      </c>
      <c r="E100" s="64">
        <v>5.01</v>
      </c>
      <c r="F100" s="64">
        <v>10.45</v>
      </c>
      <c r="G100" s="64">
        <v>42.72</v>
      </c>
      <c r="H100" s="64">
        <v>6.63</v>
      </c>
      <c r="I100" s="64">
        <v>4.0999999999999996</v>
      </c>
      <c r="J100" s="9" t="s">
        <v>36</v>
      </c>
      <c r="K100" s="9" t="s">
        <v>36</v>
      </c>
      <c r="L100" s="64">
        <v>11.18</v>
      </c>
      <c r="M100" s="64">
        <v>38.200000000000003</v>
      </c>
      <c r="N100" s="64">
        <v>301.8</v>
      </c>
      <c r="O100" s="64">
        <v>0</v>
      </c>
      <c r="P100" s="64">
        <v>0.54</v>
      </c>
      <c r="Q100" s="64">
        <v>9.4600000000000009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2355</v>
      </c>
      <c r="B101" s="64">
        <v>7.81</v>
      </c>
      <c r="C101" s="64">
        <v>19.27</v>
      </c>
      <c r="D101" s="64">
        <v>24.9</v>
      </c>
      <c r="E101" s="64">
        <v>4.71</v>
      </c>
      <c r="F101" s="64">
        <v>10.210000000000001</v>
      </c>
      <c r="G101" s="64">
        <v>42.57</v>
      </c>
      <c r="H101" s="64">
        <v>9.4</v>
      </c>
      <c r="I101" s="64">
        <v>4.04</v>
      </c>
      <c r="J101" s="9" t="s">
        <v>36</v>
      </c>
      <c r="K101" s="9" t="s">
        <v>36</v>
      </c>
      <c r="L101" s="64">
        <v>11.18</v>
      </c>
      <c r="M101" s="64">
        <v>38.200000000000003</v>
      </c>
      <c r="N101" s="64">
        <v>301.8</v>
      </c>
      <c r="O101" s="64">
        <v>0</v>
      </c>
      <c r="P101" s="64">
        <v>0.49</v>
      </c>
      <c r="Q101" s="64">
        <v>9.44</v>
      </c>
      <c r="R101" s="198"/>
      <c r="S101" s="198"/>
      <c r="T101" s="198"/>
      <c r="U101" s="198"/>
    </row>
    <row r="102" spans="1:33" s="12" customFormat="1" x14ac:dyDescent="0.25">
      <c r="A102" s="214" t="s">
        <v>2356</v>
      </c>
      <c r="B102" s="64">
        <v>7.4</v>
      </c>
      <c r="C102" s="64">
        <v>18.54</v>
      </c>
      <c r="D102" s="64">
        <v>24.14</v>
      </c>
      <c r="E102" s="64">
        <v>5.04</v>
      </c>
      <c r="F102" s="64">
        <v>10.81</v>
      </c>
      <c r="G102" s="64">
        <v>41.95</v>
      </c>
      <c r="H102" s="64">
        <v>21.32</v>
      </c>
      <c r="I102" s="64">
        <v>3.85</v>
      </c>
      <c r="J102" s="9" t="s">
        <v>36</v>
      </c>
      <c r="K102" s="9" t="s">
        <v>36</v>
      </c>
      <c r="L102" s="64">
        <v>11.18</v>
      </c>
      <c r="M102" s="64">
        <v>38.200000000000003</v>
      </c>
      <c r="N102" s="64">
        <v>301.8</v>
      </c>
      <c r="O102" s="64">
        <v>0</v>
      </c>
      <c r="P102" s="64">
        <v>0.47</v>
      </c>
      <c r="Q102" s="64">
        <v>9.43</v>
      </c>
      <c r="R102" s="198"/>
      <c r="S102" s="198"/>
      <c r="T102" s="198"/>
      <c r="U102" s="198"/>
    </row>
    <row r="103" spans="1:33" s="12" customFormat="1" x14ac:dyDescent="0.25">
      <c r="A103" s="214" t="s">
        <v>2357</v>
      </c>
      <c r="B103" s="64">
        <v>8.17</v>
      </c>
      <c r="C103" s="64">
        <v>18.510000000000002</v>
      </c>
      <c r="D103" s="64">
        <v>22.89</v>
      </c>
      <c r="E103" s="64">
        <v>4.96</v>
      </c>
      <c r="F103" s="64">
        <v>7.98</v>
      </c>
      <c r="G103" s="64">
        <v>41.95</v>
      </c>
      <c r="H103" s="64">
        <v>21.32</v>
      </c>
      <c r="I103" s="64">
        <v>4.0199999999999996</v>
      </c>
      <c r="J103" s="9" t="s">
        <v>36</v>
      </c>
      <c r="K103" s="9" t="s">
        <v>36</v>
      </c>
      <c r="L103" s="64">
        <v>11.18</v>
      </c>
      <c r="M103" s="64">
        <v>38.200000000000003</v>
      </c>
      <c r="N103" s="64">
        <v>301.8</v>
      </c>
      <c r="O103" s="64">
        <v>0</v>
      </c>
      <c r="P103" s="64">
        <v>0.52</v>
      </c>
      <c r="Q103" s="64">
        <v>9.41</v>
      </c>
      <c r="R103" s="198"/>
      <c r="S103" s="198"/>
      <c r="T103" s="198"/>
      <c r="U103" s="198"/>
    </row>
    <row r="104" spans="1:33" s="12" customFormat="1" x14ac:dyDescent="0.25">
      <c r="A104" s="214" t="s">
        <v>2358</v>
      </c>
      <c r="B104" s="64">
        <v>7.1</v>
      </c>
      <c r="C104" s="64">
        <v>17.440000000000001</v>
      </c>
      <c r="D104" s="64">
        <v>22.48</v>
      </c>
      <c r="E104" s="64">
        <v>4.0199999999999996</v>
      </c>
      <c r="F104" s="64">
        <v>12.76</v>
      </c>
      <c r="G104" s="64">
        <v>41.95</v>
      </c>
      <c r="H104" s="64">
        <v>21.32</v>
      </c>
      <c r="I104" s="64">
        <v>3.8</v>
      </c>
      <c r="J104" s="9" t="s">
        <v>36</v>
      </c>
      <c r="K104" s="9" t="s">
        <v>36</v>
      </c>
      <c r="L104" s="64">
        <v>11.18</v>
      </c>
      <c r="M104" s="64">
        <v>38.200000000000003</v>
      </c>
      <c r="N104" s="64">
        <v>301.8</v>
      </c>
      <c r="O104" s="64">
        <v>0</v>
      </c>
      <c r="P104" s="64">
        <v>0.44</v>
      </c>
      <c r="Q104" s="64">
        <v>9.4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4.26</v>
      </c>
      <c r="C106" s="67">
        <f>MIN(C9:C104)</f>
        <v>13.61</v>
      </c>
      <c r="D106" s="67">
        <f t="shared" ref="D106:Q106" si="0">MIN(D9:D104)</f>
        <v>16.93</v>
      </c>
      <c r="E106" s="67">
        <f t="shared" si="0"/>
        <v>4.0199999999999996</v>
      </c>
      <c r="F106" s="67">
        <f t="shared" si="0"/>
        <v>3.01</v>
      </c>
      <c r="G106" s="67">
        <f t="shared" si="0"/>
        <v>2.2599999999999998</v>
      </c>
      <c r="H106" s="67">
        <f t="shared" si="0"/>
        <v>3.6</v>
      </c>
      <c r="I106" s="67">
        <f t="shared" si="0"/>
        <v>3.79</v>
      </c>
      <c r="J106" s="67">
        <f t="shared" si="0"/>
        <v>0.13</v>
      </c>
      <c r="K106" s="67">
        <f t="shared" si="0"/>
        <v>110.82</v>
      </c>
      <c r="L106" s="67">
        <f t="shared" si="0"/>
        <v>11.18</v>
      </c>
      <c r="M106" s="67">
        <f t="shared" si="0"/>
        <v>18.45</v>
      </c>
      <c r="N106" s="67">
        <f t="shared" si="0"/>
        <v>37.5</v>
      </c>
      <c r="O106" s="67">
        <f t="shared" si="0"/>
        <v>0</v>
      </c>
      <c r="P106" s="67">
        <f t="shared" si="0"/>
        <v>0.19</v>
      </c>
      <c r="Q106" s="67">
        <f t="shared" si="0"/>
        <v>9.23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19.739999999999998</v>
      </c>
      <c r="C107" s="66">
        <f t="shared" ref="C107:Q107" si="1">MAX(C9:C104)</f>
        <v>47.25</v>
      </c>
      <c r="D107" s="66">
        <f t="shared" si="1"/>
        <v>66.27</v>
      </c>
      <c r="E107" s="66">
        <f t="shared" si="1"/>
        <v>8.08</v>
      </c>
      <c r="F107" s="66">
        <f t="shared" si="1"/>
        <v>22.41</v>
      </c>
      <c r="G107" s="66">
        <f t="shared" si="1"/>
        <v>53.85</v>
      </c>
      <c r="H107" s="66">
        <f t="shared" si="1"/>
        <v>28.44</v>
      </c>
      <c r="I107" s="66">
        <f t="shared" si="1"/>
        <v>4.26</v>
      </c>
      <c r="J107" s="66">
        <f t="shared" si="1"/>
        <v>1.65</v>
      </c>
      <c r="K107" s="66">
        <f t="shared" si="1"/>
        <v>204.39</v>
      </c>
      <c r="L107" s="66">
        <f t="shared" si="1"/>
        <v>98.21</v>
      </c>
      <c r="M107" s="66">
        <f t="shared" si="1"/>
        <v>69.930000000000007</v>
      </c>
      <c r="N107" s="66">
        <f t="shared" si="1"/>
        <v>713.9</v>
      </c>
      <c r="O107" s="66">
        <f t="shared" si="1"/>
        <v>0</v>
      </c>
      <c r="P107" s="66">
        <f t="shared" si="1"/>
        <v>1.03</v>
      </c>
      <c r="Q107" s="66">
        <f t="shared" si="1"/>
        <v>9.57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8.8112499999999958</v>
      </c>
      <c r="C108" s="67">
        <f t="shared" ref="C108:Q108" si="2">AVERAGE(C9:C104)</f>
        <v>23.647708333333338</v>
      </c>
      <c r="D108" s="67">
        <f t="shared" si="2"/>
        <v>31.73770833333333</v>
      </c>
      <c r="E108" s="67">
        <f t="shared" si="2"/>
        <v>5.643749999999998</v>
      </c>
      <c r="F108" s="67">
        <f t="shared" si="2"/>
        <v>8.8794791666666661</v>
      </c>
      <c r="G108" s="67">
        <f t="shared" si="2"/>
        <v>26.229374999999987</v>
      </c>
      <c r="H108" s="67">
        <f t="shared" si="2"/>
        <v>10.755416666666671</v>
      </c>
      <c r="I108" s="67">
        <f t="shared" si="2"/>
        <v>3.9977083333333341</v>
      </c>
      <c r="J108" s="67">
        <f t="shared" si="2"/>
        <v>0.58571428571428563</v>
      </c>
      <c r="K108" s="67">
        <f t="shared" si="2"/>
        <v>168.52964285714282</v>
      </c>
      <c r="L108" s="67">
        <f t="shared" si="2"/>
        <v>49.317604166666833</v>
      </c>
      <c r="M108" s="67">
        <f t="shared" si="2"/>
        <v>45.005208333333222</v>
      </c>
      <c r="N108" s="67">
        <f t="shared" si="2"/>
        <v>201.51979166666641</v>
      </c>
      <c r="O108" s="67">
        <f t="shared" si="2"/>
        <v>0</v>
      </c>
      <c r="P108" s="67">
        <f t="shared" si="2"/>
        <v>0.44229166666666681</v>
      </c>
      <c r="Q108" s="67">
        <f t="shared" si="2"/>
        <v>9.3504166666666624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4.0483574966957576</v>
      </c>
      <c r="C109" s="67">
        <f t="shared" ref="C109:Q109" si="3">STDEV(C9:C104)</f>
        <v>8.5170105305319872</v>
      </c>
      <c r="D109" s="67">
        <f t="shared" si="3"/>
        <v>12.501488877996369</v>
      </c>
      <c r="E109" s="67">
        <f t="shared" si="3"/>
        <v>0.75984104986020162</v>
      </c>
      <c r="F109" s="67">
        <f t="shared" si="3"/>
        <v>5.5686852591388973</v>
      </c>
      <c r="G109" s="67">
        <f t="shared" si="3"/>
        <v>16.614641723650376</v>
      </c>
      <c r="H109" s="67">
        <f t="shared" si="3"/>
        <v>6.4917104901342473</v>
      </c>
      <c r="I109" s="67">
        <f t="shared" si="3"/>
        <v>9.1645531853833048E-2</v>
      </c>
      <c r="J109" s="67">
        <f t="shared" si="3"/>
        <v>0.36437087914120919</v>
      </c>
      <c r="K109" s="67">
        <f t="shared" si="3"/>
        <v>23.563314783184449</v>
      </c>
      <c r="L109" s="67">
        <f t="shared" si="3"/>
        <v>43.046604481160109</v>
      </c>
      <c r="M109" s="67">
        <f t="shared" si="3"/>
        <v>14.832916807181853</v>
      </c>
      <c r="N109" s="67">
        <f t="shared" si="3"/>
        <v>161.20499053251402</v>
      </c>
      <c r="O109" s="67">
        <f t="shared" si="3"/>
        <v>0</v>
      </c>
      <c r="P109" s="67">
        <f t="shared" si="3"/>
        <v>0.18386195718050377</v>
      </c>
      <c r="Q109" s="67">
        <f t="shared" si="3"/>
        <v>0.10436693030050694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COUNT(J9:J104)+68</f>
        <v>96</v>
      </c>
      <c r="K110" s="66">
        <f>COUNT(K9:K104)+68</f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K7" sqref="K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2359</v>
      </c>
      <c r="B9" s="64">
        <v>10.68</v>
      </c>
      <c r="C9" s="64">
        <v>20.38</v>
      </c>
      <c r="D9" s="64">
        <v>22.62</v>
      </c>
      <c r="E9" s="64">
        <v>4.6900000000000004</v>
      </c>
      <c r="F9" s="64">
        <v>6.42</v>
      </c>
      <c r="G9" s="64">
        <v>40.97</v>
      </c>
      <c r="H9" s="64">
        <v>47.67</v>
      </c>
      <c r="I9" s="64">
        <v>4.0199999999999996</v>
      </c>
      <c r="J9" s="9" t="s">
        <v>36</v>
      </c>
      <c r="K9" s="9" t="s">
        <v>36</v>
      </c>
      <c r="L9" s="64">
        <v>27.52</v>
      </c>
      <c r="M9" s="64">
        <v>78.47</v>
      </c>
      <c r="N9" s="64">
        <v>29.1</v>
      </c>
      <c r="O9" s="64">
        <v>0</v>
      </c>
      <c r="P9" s="64">
        <v>0.54</v>
      </c>
      <c r="Q9" s="64">
        <v>9.4</v>
      </c>
      <c r="S9" s="198"/>
      <c r="T9" s="198"/>
      <c r="U9" s="198"/>
    </row>
    <row r="10" spans="1:21" s="12" customFormat="1" x14ac:dyDescent="0.25">
      <c r="A10" s="214" t="s">
        <v>2360</v>
      </c>
      <c r="B10" s="64">
        <v>11.22</v>
      </c>
      <c r="C10" s="64">
        <v>21.57</v>
      </c>
      <c r="D10" s="64">
        <v>24.06</v>
      </c>
      <c r="E10" s="64">
        <v>4.75</v>
      </c>
      <c r="F10" s="64">
        <v>5.94</v>
      </c>
      <c r="G10" s="64">
        <v>36.799999999999997</v>
      </c>
      <c r="H10" s="64">
        <v>160.81</v>
      </c>
      <c r="I10" s="64">
        <v>4.0999999999999996</v>
      </c>
      <c r="J10" s="9" t="s">
        <v>36</v>
      </c>
      <c r="K10" s="9" t="s">
        <v>36</v>
      </c>
      <c r="L10" s="64">
        <v>27.74</v>
      </c>
      <c r="M10" s="64">
        <v>78.09</v>
      </c>
      <c r="N10" s="64">
        <v>29</v>
      </c>
      <c r="O10" s="64">
        <v>0</v>
      </c>
      <c r="P10" s="64">
        <v>0.51</v>
      </c>
      <c r="Q10" s="64">
        <v>9.39</v>
      </c>
      <c r="S10" s="198"/>
      <c r="T10" s="198"/>
      <c r="U10" s="198"/>
    </row>
    <row r="11" spans="1:21" s="12" customFormat="1" x14ac:dyDescent="0.25">
      <c r="A11" s="214" t="s">
        <v>2361</v>
      </c>
      <c r="B11" s="64">
        <v>8.77</v>
      </c>
      <c r="C11" s="64">
        <v>19.22</v>
      </c>
      <c r="D11" s="64">
        <v>23.34</v>
      </c>
      <c r="E11" s="64">
        <v>5.0999999999999996</v>
      </c>
      <c r="F11" s="64">
        <v>5.92</v>
      </c>
      <c r="G11" s="64">
        <v>36.799999999999997</v>
      </c>
      <c r="H11" s="64">
        <v>160.81</v>
      </c>
      <c r="I11" s="64">
        <v>3.93</v>
      </c>
      <c r="J11" s="9" t="s">
        <v>36</v>
      </c>
      <c r="K11" s="9" t="s">
        <v>36</v>
      </c>
      <c r="L11" s="64">
        <v>27.93</v>
      </c>
      <c r="M11" s="64">
        <v>76.14</v>
      </c>
      <c r="N11" s="64">
        <v>29.1</v>
      </c>
      <c r="O11" s="64">
        <v>0</v>
      </c>
      <c r="P11" s="64">
        <v>0.53</v>
      </c>
      <c r="Q11" s="64">
        <v>9.41</v>
      </c>
      <c r="S11" s="198"/>
      <c r="T11" s="198"/>
      <c r="U11" s="198"/>
    </row>
    <row r="12" spans="1:21" s="12" customFormat="1" x14ac:dyDescent="0.25">
      <c r="A12" s="214" t="s">
        <v>2362</v>
      </c>
      <c r="B12" s="64">
        <v>9.74</v>
      </c>
      <c r="C12" s="64">
        <v>19.63</v>
      </c>
      <c r="D12" s="64">
        <v>22.63</v>
      </c>
      <c r="E12" s="64">
        <v>4.96</v>
      </c>
      <c r="F12" s="64">
        <v>5.97</v>
      </c>
      <c r="G12" s="64">
        <v>36.799999999999997</v>
      </c>
      <c r="H12" s="64">
        <v>160.81</v>
      </c>
      <c r="I12" s="64">
        <v>4.03</v>
      </c>
      <c r="J12" s="9" t="s">
        <v>36</v>
      </c>
      <c r="K12" s="9" t="s">
        <v>36</v>
      </c>
      <c r="L12" s="64">
        <v>27.88</v>
      </c>
      <c r="M12" s="64">
        <v>75.150000000000006</v>
      </c>
      <c r="N12" s="64">
        <v>29.4</v>
      </c>
      <c r="O12" s="64">
        <v>0</v>
      </c>
      <c r="P12" s="64">
        <v>0.53</v>
      </c>
      <c r="Q12" s="64">
        <v>9.39</v>
      </c>
      <c r="S12" s="198"/>
      <c r="T12" s="198"/>
      <c r="U12" s="198"/>
    </row>
    <row r="13" spans="1:21" s="12" customFormat="1" x14ac:dyDescent="0.25">
      <c r="A13" s="214" t="s">
        <v>2363</v>
      </c>
      <c r="B13" s="64">
        <v>8.98</v>
      </c>
      <c r="C13" s="64">
        <v>18.27</v>
      </c>
      <c r="D13" s="64">
        <v>21.18</v>
      </c>
      <c r="E13" s="64">
        <v>4.8600000000000003</v>
      </c>
      <c r="F13" s="64">
        <v>5.6</v>
      </c>
      <c r="G13" s="64">
        <v>35.200000000000003</v>
      </c>
      <c r="H13" s="64">
        <v>162.88</v>
      </c>
      <c r="I13" s="64">
        <v>3.95</v>
      </c>
      <c r="J13" s="9" t="s">
        <v>36</v>
      </c>
      <c r="K13" s="9" t="s">
        <v>36</v>
      </c>
      <c r="L13" s="64">
        <v>27.44</v>
      </c>
      <c r="M13" s="64">
        <v>78.44</v>
      </c>
      <c r="N13" s="64">
        <v>30</v>
      </c>
      <c r="O13" s="64">
        <v>0</v>
      </c>
      <c r="P13" s="64">
        <v>0.5</v>
      </c>
      <c r="Q13" s="64">
        <v>9.3800000000000008</v>
      </c>
      <c r="S13" s="198"/>
      <c r="T13" s="198"/>
      <c r="U13" s="198"/>
    </row>
    <row r="14" spans="1:21" s="12" customFormat="1" x14ac:dyDescent="0.25">
      <c r="A14" s="214" t="s">
        <v>2364</v>
      </c>
      <c r="B14" s="64">
        <v>8.1999999999999993</v>
      </c>
      <c r="C14" s="64">
        <v>17.440000000000001</v>
      </c>
      <c r="D14" s="64">
        <v>20.78</v>
      </c>
      <c r="E14" s="64">
        <v>4.4400000000000004</v>
      </c>
      <c r="F14" s="64">
        <v>6.55</v>
      </c>
      <c r="G14" s="64">
        <v>28.35</v>
      </c>
      <c r="H14" s="64">
        <v>171.78</v>
      </c>
      <c r="I14" s="64">
        <v>3.96</v>
      </c>
      <c r="J14" s="9" t="s">
        <v>36</v>
      </c>
      <c r="K14" s="9" t="s">
        <v>36</v>
      </c>
      <c r="L14" s="64">
        <v>26.89</v>
      </c>
      <c r="M14" s="64">
        <v>82.67</v>
      </c>
      <c r="N14" s="64">
        <v>30.1</v>
      </c>
      <c r="O14" s="64">
        <v>0</v>
      </c>
      <c r="P14" s="64">
        <v>0.43</v>
      </c>
      <c r="Q14" s="64">
        <v>9.3800000000000008</v>
      </c>
      <c r="S14" s="198"/>
      <c r="T14" s="198"/>
      <c r="U14" s="198"/>
    </row>
    <row r="15" spans="1:21" s="12" customFormat="1" x14ac:dyDescent="0.25">
      <c r="A15" s="214" t="s">
        <v>2365</v>
      </c>
      <c r="B15" s="64">
        <v>8.2899999999999991</v>
      </c>
      <c r="C15" s="64">
        <v>17.14</v>
      </c>
      <c r="D15" s="64">
        <v>20.07</v>
      </c>
      <c r="E15" s="64">
        <v>4.7300000000000004</v>
      </c>
      <c r="F15" s="64">
        <v>5.0199999999999996</v>
      </c>
      <c r="G15" s="64">
        <v>28.35</v>
      </c>
      <c r="H15" s="64">
        <v>171.78</v>
      </c>
      <c r="I15" s="64">
        <v>4.0999999999999996</v>
      </c>
      <c r="J15" s="9" t="s">
        <v>36</v>
      </c>
      <c r="K15" s="9" t="s">
        <v>36</v>
      </c>
      <c r="L15" s="64">
        <v>26.46</v>
      </c>
      <c r="M15" s="64">
        <v>84.3</v>
      </c>
      <c r="N15" s="64">
        <v>29.5</v>
      </c>
      <c r="O15" s="64">
        <v>0</v>
      </c>
      <c r="P15" s="64">
        <v>0.49</v>
      </c>
      <c r="Q15" s="64">
        <v>9.36</v>
      </c>
      <c r="S15" s="198"/>
      <c r="T15" s="198"/>
      <c r="U15" s="198"/>
    </row>
    <row r="16" spans="1:21" s="12" customFormat="1" x14ac:dyDescent="0.25">
      <c r="A16" s="214" t="s">
        <v>2366</v>
      </c>
      <c r="B16" s="64">
        <v>7.39</v>
      </c>
      <c r="C16" s="64">
        <v>16.2</v>
      </c>
      <c r="D16" s="64">
        <v>19.670000000000002</v>
      </c>
      <c r="E16" s="64">
        <v>4.75</v>
      </c>
      <c r="F16" s="64">
        <v>6.24</v>
      </c>
      <c r="G16" s="64">
        <v>28.35</v>
      </c>
      <c r="H16" s="64">
        <v>171.78</v>
      </c>
      <c r="I16" s="64">
        <v>4.04</v>
      </c>
      <c r="J16" s="9" t="s">
        <v>36</v>
      </c>
      <c r="K16" s="9" t="s">
        <v>36</v>
      </c>
      <c r="L16" s="64">
        <v>26.59</v>
      </c>
      <c r="M16" s="64">
        <v>84.27</v>
      </c>
      <c r="N16" s="64">
        <v>28.9</v>
      </c>
      <c r="O16" s="64">
        <v>0</v>
      </c>
      <c r="P16" s="64">
        <v>0.39</v>
      </c>
      <c r="Q16" s="64">
        <v>9.36</v>
      </c>
      <c r="S16" s="198"/>
      <c r="T16" s="198"/>
      <c r="U16" s="198"/>
    </row>
    <row r="17" spans="1:21" s="12" customFormat="1" x14ac:dyDescent="0.25">
      <c r="A17" s="214" t="s">
        <v>2367</v>
      </c>
      <c r="B17" s="64">
        <v>7.85</v>
      </c>
      <c r="C17" s="64">
        <v>16.45</v>
      </c>
      <c r="D17" s="64">
        <v>19.440000000000001</v>
      </c>
      <c r="E17" s="64">
        <v>4.46</v>
      </c>
      <c r="F17" s="64">
        <v>4.8499999999999996</v>
      </c>
      <c r="G17" s="64">
        <v>27.57</v>
      </c>
      <c r="H17" s="64">
        <v>139.35</v>
      </c>
      <c r="I17" s="64">
        <v>3.87</v>
      </c>
      <c r="J17" s="9" t="s">
        <v>36</v>
      </c>
      <c r="K17" s="9" t="s">
        <v>36</v>
      </c>
      <c r="L17" s="64">
        <v>26.86</v>
      </c>
      <c r="M17" s="64">
        <v>82.79</v>
      </c>
      <c r="N17" s="64">
        <v>28.8</v>
      </c>
      <c r="O17" s="64">
        <v>0</v>
      </c>
      <c r="P17" s="64">
        <v>0.47</v>
      </c>
      <c r="Q17" s="64">
        <v>9.34</v>
      </c>
      <c r="S17" s="198"/>
      <c r="T17" s="198"/>
      <c r="U17" s="198"/>
    </row>
    <row r="18" spans="1:21" s="12" customFormat="1" x14ac:dyDescent="0.25">
      <c r="A18" s="214" t="s">
        <v>2368</v>
      </c>
      <c r="B18" s="64">
        <v>7.49</v>
      </c>
      <c r="C18" s="64">
        <v>16.34</v>
      </c>
      <c r="D18" s="64">
        <v>19.78</v>
      </c>
      <c r="E18" s="64">
        <v>4.5</v>
      </c>
      <c r="F18" s="64">
        <v>5.44</v>
      </c>
      <c r="G18" s="64">
        <v>24.25</v>
      </c>
      <c r="H18" s="64">
        <v>0.1</v>
      </c>
      <c r="I18" s="64">
        <v>4.0599999999999996</v>
      </c>
      <c r="J18" s="9" t="s">
        <v>36</v>
      </c>
      <c r="K18" s="9" t="s">
        <v>36</v>
      </c>
      <c r="L18" s="64">
        <v>27</v>
      </c>
      <c r="M18" s="64">
        <v>81.7</v>
      </c>
      <c r="N18" s="64">
        <v>29.1</v>
      </c>
      <c r="O18" s="64">
        <v>0</v>
      </c>
      <c r="P18" s="64">
        <v>0.4</v>
      </c>
      <c r="Q18" s="64">
        <v>9.33</v>
      </c>
      <c r="S18" s="198"/>
      <c r="T18" s="198"/>
      <c r="U18" s="198"/>
    </row>
    <row r="19" spans="1:21" s="12" customFormat="1" x14ac:dyDescent="0.25">
      <c r="A19" s="214" t="s">
        <v>2369</v>
      </c>
      <c r="B19" s="64">
        <v>7.36</v>
      </c>
      <c r="C19" s="64">
        <v>15.72</v>
      </c>
      <c r="D19" s="64">
        <v>18.8</v>
      </c>
      <c r="E19" s="64">
        <v>4.49</v>
      </c>
      <c r="F19" s="64">
        <v>6.9</v>
      </c>
      <c r="G19" s="64">
        <v>24.25</v>
      </c>
      <c r="H19" s="64">
        <v>0.1</v>
      </c>
      <c r="I19" s="64">
        <v>4.18</v>
      </c>
      <c r="J19" s="9" t="s">
        <v>36</v>
      </c>
      <c r="K19" s="9" t="s">
        <v>36</v>
      </c>
      <c r="L19" s="64">
        <v>26.93</v>
      </c>
      <c r="M19" s="64">
        <v>81.739999999999995</v>
      </c>
      <c r="N19" s="64">
        <v>29.1</v>
      </c>
      <c r="O19" s="64">
        <v>0</v>
      </c>
      <c r="P19" s="64">
        <v>0.37</v>
      </c>
      <c r="Q19" s="64">
        <v>9.32</v>
      </c>
      <c r="S19" s="198"/>
      <c r="T19" s="198"/>
      <c r="U19" s="198"/>
    </row>
    <row r="20" spans="1:21" s="12" customFormat="1" x14ac:dyDescent="0.25">
      <c r="A20" s="214" t="s">
        <v>2370</v>
      </c>
      <c r="B20" s="64">
        <v>6.21</v>
      </c>
      <c r="C20" s="64">
        <v>14.24</v>
      </c>
      <c r="D20" s="64">
        <v>17.739999999999998</v>
      </c>
      <c r="E20" s="64">
        <v>4.6399999999999997</v>
      </c>
      <c r="F20" s="64">
        <v>9.68</v>
      </c>
      <c r="G20" s="64">
        <v>24.25</v>
      </c>
      <c r="H20" s="64">
        <v>0.1</v>
      </c>
      <c r="I20" s="64">
        <v>3.9</v>
      </c>
      <c r="J20" s="9" t="s">
        <v>36</v>
      </c>
      <c r="K20" s="9" t="s">
        <v>36</v>
      </c>
      <c r="L20" s="64">
        <v>27.02</v>
      </c>
      <c r="M20" s="64">
        <v>81.34</v>
      </c>
      <c r="N20" s="64">
        <v>29.1</v>
      </c>
      <c r="O20" s="64">
        <v>0</v>
      </c>
      <c r="P20" s="64">
        <v>0.33</v>
      </c>
      <c r="Q20" s="64">
        <v>9.31</v>
      </c>
      <c r="S20" s="198"/>
      <c r="T20" s="198"/>
      <c r="U20" s="198"/>
    </row>
    <row r="21" spans="1:21" s="12" customFormat="1" x14ac:dyDescent="0.25">
      <c r="A21" s="214" t="s">
        <v>2371</v>
      </c>
      <c r="B21" s="64">
        <v>7.45</v>
      </c>
      <c r="C21" s="64">
        <v>15.76</v>
      </c>
      <c r="D21" s="64">
        <v>18.73</v>
      </c>
      <c r="E21" s="64">
        <v>4.55</v>
      </c>
      <c r="F21" s="64">
        <v>9.7799999999999994</v>
      </c>
      <c r="G21" s="64">
        <v>22.95</v>
      </c>
      <c r="H21" s="64">
        <v>3.36</v>
      </c>
      <c r="I21" s="64">
        <v>4.01</v>
      </c>
      <c r="J21" s="9" t="s">
        <v>36</v>
      </c>
      <c r="K21" s="9" t="s">
        <v>36</v>
      </c>
      <c r="L21" s="64">
        <v>27.11</v>
      </c>
      <c r="M21" s="64">
        <v>81.31</v>
      </c>
      <c r="N21" s="64">
        <v>29.1</v>
      </c>
      <c r="O21" s="64">
        <v>0</v>
      </c>
      <c r="P21" s="64">
        <v>0.33</v>
      </c>
      <c r="Q21" s="64">
        <v>9.3000000000000007</v>
      </c>
      <c r="S21" s="198"/>
      <c r="T21" s="198"/>
      <c r="U21" s="198"/>
    </row>
    <row r="22" spans="1:21" s="12" customFormat="1" x14ac:dyDescent="0.25">
      <c r="A22" s="214" t="s">
        <v>2372</v>
      </c>
      <c r="B22" s="64">
        <v>8.4600000000000009</v>
      </c>
      <c r="C22" s="64">
        <v>18.579999999999998</v>
      </c>
      <c r="D22" s="64">
        <v>22.58</v>
      </c>
      <c r="E22" s="64">
        <v>4.63</v>
      </c>
      <c r="F22" s="64">
        <v>5.97</v>
      </c>
      <c r="G22" s="64">
        <v>17.36</v>
      </c>
      <c r="H22" s="64">
        <v>17.350000000000001</v>
      </c>
      <c r="I22" s="64">
        <v>3.86</v>
      </c>
      <c r="J22" s="9" t="s">
        <v>36</v>
      </c>
      <c r="K22" s="9" t="s">
        <v>36</v>
      </c>
      <c r="L22" s="64">
        <v>27.09</v>
      </c>
      <c r="M22" s="64">
        <v>82.02</v>
      </c>
      <c r="N22" s="64">
        <v>29.1</v>
      </c>
      <c r="O22" s="64">
        <v>0</v>
      </c>
      <c r="P22" s="64">
        <v>0.34</v>
      </c>
      <c r="Q22" s="64">
        <v>9.3000000000000007</v>
      </c>
      <c r="S22" s="198"/>
      <c r="T22" s="198"/>
      <c r="U22" s="198"/>
    </row>
    <row r="23" spans="1:21" s="12" customFormat="1" x14ac:dyDescent="0.25">
      <c r="A23" s="214" t="s">
        <v>2373</v>
      </c>
      <c r="B23" s="64">
        <v>7.69</v>
      </c>
      <c r="C23" s="64">
        <v>17.510000000000002</v>
      </c>
      <c r="D23" s="64">
        <v>21.72</v>
      </c>
      <c r="E23" s="64">
        <v>4.72</v>
      </c>
      <c r="F23" s="64">
        <v>8.1300000000000008</v>
      </c>
      <c r="G23" s="64">
        <v>17.36</v>
      </c>
      <c r="H23" s="64">
        <v>17.350000000000001</v>
      </c>
      <c r="I23" s="64">
        <v>4.08</v>
      </c>
      <c r="J23" s="9" t="s">
        <v>36</v>
      </c>
      <c r="K23" s="9" t="s">
        <v>36</v>
      </c>
      <c r="L23" s="64">
        <v>27.06</v>
      </c>
      <c r="M23" s="64">
        <v>81.709999999999994</v>
      </c>
      <c r="N23" s="64">
        <v>29.2</v>
      </c>
      <c r="O23" s="64">
        <v>0</v>
      </c>
      <c r="P23" s="64">
        <v>0.3</v>
      </c>
      <c r="Q23" s="64">
        <v>9.3000000000000007</v>
      </c>
      <c r="S23" s="198"/>
      <c r="T23" s="198"/>
      <c r="U23" s="198"/>
    </row>
    <row r="24" spans="1:21" s="12" customFormat="1" x14ac:dyDescent="0.25">
      <c r="A24" s="214" t="s">
        <v>2374</v>
      </c>
      <c r="B24" s="64">
        <v>7.21</v>
      </c>
      <c r="C24" s="64">
        <v>15.07</v>
      </c>
      <c r="D24" s="64">
        <v>17.77</v>
      </c>
      <c r="E24" s="64">
        <v>4.6399999999999997</v>
      </c>
      <c r="F24" s="64">
        <v>7.03</v>
      </c>
      <c r="G24" s="64">
        <v>17.36</v>
      </c>
      <c r="H24" s="64">
        <v>17.350000000000001</v>
      </c>
      <c r="I24" s="64">
        <v>3.99</v>
      </c>
      <c r="J24" s="9" t="s">
        <v>36</v>
      </c>
      <c r="K24" s="9" t="s">
        <v>36</v>
      </c>
      <c r="L24" s="64">
        <v>26.78</v>
      </c>
      <c r="M24" s="64">
        <v>83.64</v>
      </c>
      <c r="N24" s="64">
        <v>29.5</v>
      </c>
      <c r="O24" s="64">
        <v>0</v>
      </c>
      <c r="P24" s="64">
        <v>0.35</v>
      </c>
      <c r="Q24" s="64">
        <v>9.2899999999999991</v>
      </c>
      <c r="S24" s="198"/>
      <c r="T24" s="198"/>
      <c r="U24" s="198"/>
    </row>
    <row r="25" spans="1:21" s="12" customFormat="1" x14ac:dyDescent="0.25">
      <c r="A25" s="214" t="s">
        <v>2375</v>
      </c>
      <c r="B25" s="64">
        <v>7.32</v>
      </c>
      <c r="C25" s="64">
        <v>14.99</v>
      </c>
      <c r="D25" s="64">
        <v>17.45</v>
      </c>
      <c r="E25" s="64">
        <v>4.29</v>
      </c>
      <c r="F25" s="64">
        <v>7.7</v>
      </c>
      <c r="G25" s="64">
        <v>17.21</v>
      </c>
      <c r="H25" s="64">
        <v>14.25</v>
      </c>
      <c r="I25" s="64">
        <v>4.0199999999999996</v>
      </c>
      <c r="J25" s="9" t="s">
        <v>36</v>
      </c>
      <c r="K25" s="9" t="s">
        <v>36</v>
      </c>
      <c r="L25" s="64">
        <v>26.66</v>
      </c>
      <c r="M25" s="64">
        <v>84.14</v>
      </c>
      <c r="N25" s="64">
        <v>29.4</v>
      </c>
      <c r="O25" s="64">
        <v>0</v>
      </c>
      <c r="P25" s="64">
        <v>0.35</v>
      </c>
      <c r="Q25" s="64">
        <v>9.31</v>
      </c>
      <c r="S25" s="198"/>
      <c r="T25" s="198"/>
      <c r="U25" s="198"/>
    </row>
    <row r="26" spans="1:21" s="12" customFormat="1" x14ac:dyDescent="0.25">
      <c r="A26" s="214" t="s">
        <v>2376</v>
      </c>
      <c r="B26" s="64">
        <v>6.36</v>
      </c>
      <c r="C26" s="64">
        <v>14.1</v>
      </c>
      <c r="D26" s="64">
        <v>17.22</v>
      </c>
      <c r="E26" s="64">
        <v>4.59</v>
      </c>
      <c r="F26" s="64">
        <v>8.9700000000000006</v>
      </c>
      <c r="G26" s="64">
        <v>16.54</v>
      </c>
      <c r="H26" s="64">
        <v>0.97</v>
      </c>
      <c r="I26" s="64">
        <v>4</v>
      </c>
      <c r="J26" s="9" t="s">
        <v>36</v>
      </c>
      <c r="K26" s="9" t="s">
        <v>36</v>
      </c>
      <c r="L26" s="64">
        <v>26.39</v>
      </c>
      <c r="M26" s="64">
        <v>85.04</v>
      </c>
      <c r="N26" s="64">
        <v>29.7</v>
      </c>
      <c r="O26" s="64">
        <v>0</v>
      </c>
      <c r="P26" s="64">
        <v>0.31</v>
      </c>
      <c r="Q26" s="64">
        <v>9.3000000000000007</v>
      </c>
      <c r="S26" s="198"/>
      <c r="T26" s="198"/>
      <c r="U26" s="198"/>
    </row>
    <row r="27" spans="1:21" s="12" customFormat="1" x14ac:dyDescent="0.25">
      <c r="A27" s="214" t="s">
        <v>2377</v>
      </c>
      <c r="B27" s="64">
        <v>7.87</v>
      </c>
      <c r="C27" s="64">
        <v>15.38</v>
      </c>
      <c r="D27" s="64">
        <v>17.350000000000001</v>
      </c>
      <c r="E27" s="64">
        <v>4.47</v>
      </c>
      <c r="F27" s="64">
        <v>3.42</v>
      </c>
      <c r="G27" s="64">
        <v>16.54</v>
      </c>
      <c r="H27" s="64">
        <v>0.97</v>
      </c>
      <c r="I27" s="64">
        <v>3.85</v>
      </c>
      <c r="J27" s="9" t="s">
        <v>36</v>
      </c>
      <c r="K27" s="9" t="s">
        <v>36</v>
      </c>
      <c r="L27" s="64">
        <v>26.31</v>
      </c>
      <c r="M27" s="64">
        <v>85.7</v>
      </c>
      <c r="N27" s="64">
        <v>29.4</v>
      </c>
      <c r="O27" s="64">
        <v>0</v>
      </c>
      <c r="P27" s="64">
        <v>0.39</v>
      </c>
      <c r="Q27" s="64">
        <v>9.31</v>
      </c>
      <c r="S27" s="198"/>
      <c r="T27" s="198"/>
      <c r="U27" s="198"/>
    </row>
    <row r="28" spans="1:21" s="12" customFormat="1" x14ac:dyDescent="0.25">
      <c r="A28" s="214" t="s">
        <v>2378</v>
      </c>
      <c r="B28" s="64">
        <v>8.26</v>
      </c>
      <c r="C28" s="64">
        <v>16.7</v>
      </c>
      <c r="D28" s="64">
        <v>19.29</v>
      </c>
      <c r="E28" s="64">
        <v>4.75</v>
      </c>
      <c r="F28" s="64">
        <v>4.54</v>
      </c>
      <c r="G28" s="64">
        <v>16.54</v>
      </c>
      <c r="H28" s="64">
        <v>0.97</v>
      </c>
      <c r="I28" s="64">
        <v>4.0999999999999996</v>
      </c>
      <c r="J28" s="9" t="s">
        <v>36</v>
      </c>
      <c r="K28" s="9" t="s">
        <v>36</v>
      </c>
      <c r="L28" s="64">
        <v>26.22</v>
      </c>
      <c r="M28" s="64">
        <v>86.2</v>
      </c>
      <c r="N28" s="64">
        <v>29.3</v>
      </c>
      <c r="O28" s="64">
        <v>0</v>
      </c>
      <c r="P28" s="64">
        <v>0.36</v>
      </c>
      <c r="Q28" s="64">
        <v>9.3000000000000007</v>
      </c>
      <c r="S28" s="198"/>
      <c r="T28" s="198"/>
      <c r="U28" s="198"/>
    </row>
    <row r="29" spans="1:21" s="12" customFormat="1" x14ac:dyDescent="0.25">
      <c r="A29" s="214" t="s">
        <v>2379</v>
      </c>
      <c r="B29" s="64">
        <v>8.43</v>
      </c>
      <c r="C29" s="64">
        <v>16.829999999999998</v>
      </c>
      <c r="D29" s="64">
        <v>19.28</v>
      </c>
      <c r="E29" s="64">
        <v>4.6900000000000004</v>
      </c>
      <c r="F29" s="64">
        <v>5.31</v>
      </c>
      <c r="G29" s="64">
        <v>16.75</v>
      </c>
      <c r="H29" s="64">
        <v>2.58</v>
      </c>
      <c r="I29" s="64">
        <v>4.07</v>
      </c>
      <c r="J29" s="9" t="s">
        <v>36</v>
      </c>
      <c r="K29" s="9" t="s">
        <v>36</v>
      </c>
      <c r="L29" s="64">
        <v>26.17</v>
      </c>
      <c r="M29" s="64">
        <v>86.15</v>
      </c>
      <c r="N29" s="64">
        <v>30.1</v>
      </c>
      <c r="O29" s="64">
        <v>0</v>
      </c>
      <c r="P29" s="64">
        <v>0.37</v>
      </c>
      <c r="Q29" s="64">
        <v>9.3000000000000007</v>
      </c>
      <c r="S29" s="198"/>
      <c r="T29" s="198"/>
      <c r="U29" s="198"/>
    </row>
    <row r="30" spans="1:21" s="12" customFormat="1" x14ac:dyDescent="0.25">
      <c r="A30" s="214" t="s">
        <v>2380</v>
      </c>
      <c r="B30" s="64">
        <v>7.94</v>
      </c>
      <c r="C30" s="64">
        <v>16.79</v>
      </c>
      <c r="D30" s="64">
        <v>19.95</v>
      </c>
      <c r="E30" s="64">
        <v>4.63</v>
      </c>
      <c r="F30" s="64">
        <v>4.42</v>
      </c>
      <c r="G30" s="64">
        <v>17.63</v>
      </c>
      <c r="H30" s="64">
        <v>9.5</v>
      </c>
      <c r="I30" s="64">
        <v>3.91</v>
      </c>
      <c r="J30" s="9" t="s">
        <v>36</v>
      </c>
      <c r="K30" s="9" t="s">
        <v>36</v>
      </c>
      <c r="L30" s="64">
        <v>26.03</v>
      </c>
      <c r="M30" s="64">
        <v>86.81</v>
      </c>
      <c r="N30" s="64">
        <v>32</v>
      </c>
      <c r="O30" s="64">
        <v>0</v>
      </c>
      <c r="P30" s="64">
        <v>0.36</v>
      </c>
      <c r="Q30" s="64">
        <v>9.31</v>
      </c>
      <c r="S30" s="198"/>
      <c r="T30" s="198"/>
      <c r="U30" s="198"/>
    </row>
    <row r="31" spans="1:21" s="12" customFormat="1" x14ac:dyDescent="0.25">
      <c r="A31" s="214" t="s">
        <v>2381</v>
      </c>
      <c r="B31" s="64">
        <v>8.58</v>
      </c>
      <c r="C31" s="64">
        <v>17</v>
      </c>
      <c r="D31" s="64">
        <v>19.37</v>
      </c>
      <c r="E31" s="64">
        <v>4.4400000000000004</v>
      </c>
      <c r="F31" s="64">
        <v>3.99</v>
      </c>
      <c r="G31" s="64">
        <v>17.63</v>
      </c>
      <c r="H31" s="64">
        <v>9.5</v>
      </c>
      <c r="I31" s="64">
        <v>4.08</v>
      </c>
      <c r="J31" s="9" t="s">
        <v>36</v>
      </c>
      <c r="K31" s="9" t="s">
        <v>36</v>
      </c>
      <c r="L31" s="64">
        <v>26.04</v>
      </c>
      <c r="M31" s="64">
        <v>86.77</v>
      </c>
      <c r="N31" s="64">
        <v>37.4</v>
      </c>
      <c r="O31" s="64">
        <v>0</v>
      </c>
      <c r="P31" s="64">
        <v>0.37</v>
      </c>
      <c r="Q31" s="64">
        <v>9.2899999999999991</v>
      </c>
      <c r="S31" s="198"/>
      <c r="T31" s="198"/>
      <c r="U31" s="198"/>
    </row>
    <row r="32" spans="1:21" s="12" customFormat="1" x14ac:dyDescent="0.25">
      <c r="A32" s="214" t="s">
        <v>2382</v>
      </c>
      <c r="B32" s="64">
        <v>8.81</v>
      </c>
      <c r="C32" s="64">
        <v>17.079999999999998</v>
      </c>
      <c r="D32" s="64">
        <v>19.16</v>
      </c>
      <c r="E32" s="64">
        <v>4.2699999999999996</v>
      </c>
      <c r="F32" s="64">
        <v>3.88</v>
      </c>
      <c r="G32" s="64">
        <v>17.63</v>
      </c>
      <c r="H32" s="64">
        <v>9.5</v>
      </c>
      <c r="I32" s="64">
        <v>3.79</v>
      </c>
      <c r="J32" s="9" t="s">
        <v>36</v>
      </c>
      <c r="K32" s="9" t="s">
        <v>36</v>
      </c>
      <c r="L32" s="64">
        <v>26.02</v>
      </c>
      <c r="M32" s="64">
        <v>86.56</v>
      </c>
      <c r="N32" s="64">
        <v>44</v>
      </c>
      <c r="O32" s="64">
        <v>0</v>
      </c>
      <c r="P32" s="64">
        <v>0.37</v>
      </c>
      <c r="Q32" s="64">
        <v>9.31</v>
      </c>
      <c r="S32" s="198"/>
      <c r="T32" s="198"/>
      <c r="U32" s="198"/>
    </row>
    <row r="33" spans="1:21" s="12" customFormat="1" x14ac:dyDescent="0.25">
      <c r="A33" s="214" t="s">
        <v>2383</v>
      </c>
      <c r="B33" s="64">
        <v>8.32</v>
      </c>
      <c r="C33" s="64">
        <v>17.239999999999998</v>
      </c>
      <c r="D33" s="64">
        <v>20.239999999999998</v>
      </c>
      <c r="E33" s="64">
        <v>4.4800000000000004</v>
      </c>
      <c r="F33" s="64">
        <v>4.97</v>
      </c>
      <c r="G33" s="64">
        <v>18.440000000000001</v>
      </c>
      <c r="H33" s="64">
        <v>8.8699999999999992</v>
      </c>
      <c r="I33" s="64">
        <v>4.1900000000000004</v>
      </c>
      <c r="J33" s="9" t="s">
        <v>36</v>
      </c>
      <c r="K33" s="9" t="s">
        <v>36</v>
      </c>
      <c r="L33" s="64">
        <v>25.94</v>
      </c>
      <c r="M33" s="64">
        <v>86.74</v>
      </c>
      <c r="N33" s="64">
        <v>51.1</v>
      </c>
      <c r="O33" s="64">
        <v>0</v>
      </c>
      <c r="P33" s="64">
        <v>0.36</v>
      </c>
      <c r="Q33" s="64">
        <v>9.33</v>
      </c>
      <c r="S33" s="198"/>
      <c r="T33" s="198"/>
      <c r="U33" s="198"/>
    </row>
    <row r="34" spans="1:21" s="12" customFormat="1" x14ac:dyDescent="0.25">
      <c r="A34" s="214" t="s">
        <v>2384</v>
      </c>
      <c r="B34" s="64">
        <v>9.1</v>
      </c>
      <c r="C34" s="64">
        <v>17.68</v>
      </c>
      <c r="D34" s="64">
        <v>19.88</v>
      </c>
      <c r="E34" s="64">
        <v>4.7699999999999996</v>
      </c>
      <c r="F34" s="64">
        <v>4.1100000000000003</v>
      </c>
      <c r="G34" s="64">
        <v>21.9</v>
      </c>
      <c r="H34" s="64">
        <v>6.19</v>
      </c>
      <c r="I34" s="64">
        <v>4.09</v>
      </c>
      <c r="J34" s="9" t="s">
        <v>36</v>
      </c>
      <c r="K34" s="9" t="s">
        <v>36</v>
      </c>
      <c r="L34" s="64">
        <v>26</v>
      </c>
      <c r="M34" s="64">
        <v>86.93</v>
      </c>
      <c r="N34" s="64">
        <v>59.4</v>
      </c>
      <c r="O34" s="64">
        <v>0</v>
      </c>
      <c r="P34" s="64">
        <v>0.37</v>
      </c>
      <c r="Q34" s="64">
        <v>9.32</v>
      </c>
      <c r="S34" s="198"/>
      <c r="T34" s="198"/>
      <c r="U34" s="198"/>
    </row>
    <row r="35" spans="1:21" s="12" customFormat="1" x14ac:dyDescent="0.25">
      <c r="A35" s="214" t="s">
        <v>2385</v>
      </c>
      <c r="B35" s="64">
        <v>9.15</v>
      </c>
      <c r="C35" s="64">
        <v>18.3</v>
      </c>
      <c r="D35" s="64">
        <v>20.97</v>
      </c>
      <c r="E35" s="64">
        <v>4.25</v>
      </c>
      <c r="F35" s="64">
        <v>4.37</v>
      </c>
      <c r="G35" s="64">
        <v>21.9</v>
      </c>
      <c r="H35" s="64">
        <v>6.19</v>
      </c>
      <c r="I35" s="64">
        <v>4.22</v>
      </c>
      <c r="J35" s="9" t="s">
        <v>36</v>
      </c>
      <c r="K35" s="9" t="s">
        <v>36</v>
      </c>
      <c r="L35" s="64">
        <v>26.09</v>
      </c>
      <c r="M35" s="64">
        <v>86.92</v>
      </c>
      <c r="N35" s="64">
        <v>67</v>
      </c>
      <c r="O35" s="64">
        <v>0</v>
      </c>
      <c r="P35" s="64">
        <v>0.36</v>
      </c>
      <c r="Q35" s="64">
        <v>9.32</v>
      </c>
      <c r="S35" s="198"/>
      <c r="T35" s="198"/>
      <c r="U35" s="198"/>
    </row>
    <row r="36" spans="1:21" s="12" customFormat="1" x14ac:dyDescent="0.25">
      <c r="A36" s="214" t="s">
        <v>2386</v>
      </c>
      <c r="B36" s="64">
        <v>9.61</v>
      </c>
      <c r="C36" s="64">
        <v>18.079999999999998</v>
      </c>
      <c r="D36" s="64">
        <v>19.84</v>
      </c>
      <c r="E36" s="64">
        <v>4.22</v>
      </c>
      <c r="F36" s="64">
        <v>3.98</v>
      </c>
      <c r="G36" s="64">
        <v>21.9</v>
      </c>
      <c r="H36" s="64">
        <v>6.19</v>
      </c>
      <c r="I36" s="64">
        <v>3.9</v>
      </c>
      <c r="J36" s="9" t="s">
        <v>36</v>
      </c>
      <c r="K36" s="9" t="s">
        <v>36</v>
      </c>
      <c r="L36" s="64">
        <v>26.3</v>
      </c>
      <c r="M36" s="64">
        <v>86.42</v>
      </c>
      <c r="N36" s="64">
        <v>84.7</v>
      </c>
      <c r="O36" s="64">
        <v>0</v>
      </c>
      <c r="P36" s="64">
        <v>0.37</v>
      </c>
      <c r="Q36" s="64">
        <v>9.34</v>
      </c>
      <c r="S36" s="198"/>
      <c r="T36" s="198"/>
      <c r="U36" s="198"/>
    </row>
    <row r="37" spans="1:21" s="12" customFormat="1" x14ac:dyDescent="0.25">
      <c r="A37" s="214" t="s">
        <v>2387</v>
      </c>
      <c r="B37" s="64">
        <v>8.7899999999999991</v>
      </c>
      <c r="C37" s="64">
        <v>18.059999999999999</v>
      </c>
      <c r="D37" s="64">
        <v>21.08</v>
      </c>
      <c r="E37" s="64">
        <v>4.43</v>
      </c>
      <c r="F37" s="64">
        <v>8.69</v>
      </c>
      <c r="G37" s="64">
        <v>21.54</v>
      </c>
      <c r="H37" s="64">
        <v>6.68</v>
      </c>
      <c r="I37" s="64">
        <v>4.1100000000000003</v>
      </c>
      <c r="J37" s="9" t="s">
        <v>36</v>
      </c>
      <c r="K37" s="9" t="s">
        <v>36</v>
      </c>
      <c r="L37" s="64">
        <v>26.49</v>
      </c>
      <c r="M37" s="64">
        <v>86.03</v>
      </c>
      <c r="N37" s="64">
        <v>114.9</v>
      </c>
      <c r="O37" s="64">
        <v>0</v>
      </c>
      <c r="P37" s="64">
        <v>0.26</v>
      </c>
      <c r="Q37" s="64">
        <v>9.35</v>
      </c>
      <c r="S37" s="198"/>
      <c r="T37" s="198"/>
      <c r="U37" s="198"/>
    </row>
    <row r="38" spans="1:21" s="12" customFormat="1" x14ac:dyDescent="0.25">
      <c r="A38" s="214" t="s">
        <v>2388</v>
      </c>
      <c r="B38" s="64">
        <v>9.4</v>
      </c>
      <c r="C38" s="64">
        <v>20.21</v>
      </c>
      <c r="D38" s="64">
        <v>24.26</v>
      </c>
      <c r="E38" s="64">
        <v>4.5199999999999996</v>
      </c>
      <c r="F38" s="64">
        <v>7.79</v>
      </c>
      <c r="G38" s="64">
        <v>19.98</v>
      </c>
      <c r="H38" s="64">
        <v>8.81</v>
      </c>
      <c r="I38" s="64">
        <v>3.97</v>
      </c>
      <c r="J38" s="9" t="s">
        <v>36</v>
      </c>
      <c r="K38" s="9" t="s">
        <v>36</v>
      </c>
      <c r="L38" s="64">
        <v>27.04</v>
      </c>
      <c r="M38" s="64">
        <v>84.9</v>
      </c>
      <c r="N38" s="64">
        <v>146</v>
      </c>
      <c r="O38" s="64">
        <v>0</v>
      </c>
      <c r="P38" s="64">
        <v>0.37</v>
      </c>
      <c r="Q38" s="64">
        <v>9.36</v>
      </c>
      <c r="S38" s="198"/>
      <c r="T38" s="198"/>
      <c r="U38" s="198"/>
    </row>
    <row r="39" spans="1:21" s="12" customFormat="1" x14ac:dyDescent="0.25">
      <c r="A39" s="214" t="s">
        <v>2389</v>
      </c>
      <c r="B39" s="64">
        <v>8.91</v>
      </c>
      <c r="C39" s="64">
        <v>18.73</v>
      </c>
      <c r="D39" s="64">
        <v>22.18</v>
      </c>
      <c r="E39" s="64">
        <v>4.3</v>
      </c>
      <c r="F39" s="64">
        <v>6.87</v>
      </c>
      <c r="G39" s="64">
        <v>19.98</v>
      </c>
      <c r="H39" s="64">
        <v>8.81</v>
      </c>
      <c r="I39" s="64">
        <v>3.99</v>
      </c>
      <c r="J39" s="9" t="s">
        <v>36</v>
      </c>
      <c r="K39" s="9" t="s">
        <v>36</v>
      </c>
      <c r="L39" s="64">
        <v>27.46</v>
      </c>
      <c r="M39" s="64">
        <v>83.24</v>
      </c>
      <c r="N39" s="64">
        <v>140.69999999999999</v>
      </c>
      <c r="O39" s="64">
        <v>0</v>
      </c>
      <c r="P39" s="64">
        <v>0.28999999999999998</v>
      </c>
      <c r="Q39" s="64">
        <v>9.36</v>
      </c>
      <c r="S39" s="198"/>
      <c r="T39" s="198"/>
      <c r="U39" s="198"/>
    </row>
    <row r="40" spans="1:21" s="12" customFormat="1" x14ac:dyDescent="0.25">
      <c r="A40" s="214" t="s">
        <v>2390</v>
      </c>
      <c r="B40" s="64">
        <v>8.6999999999999993</v>
      </c>
      <c r="C40" s="64">
        <v>17.52</v>
      </c>
      <c r="D40" s="64">
        <v>20.170000000000002</v>
      </c>
      <c r="E40" s="64">
        <v>4.96</v>
      </c>
      <c r="F40" s="64">
        <v>6.67</v>
      </c>
      <c r="G40" s="64">
        <v>19.98</v>
      </c>
      <c r="H40" s="64">
        <v>8.81</v>
      </c>
      <c r="I40" s="64">
        <v>3.96</v>
      </c>
      <c r="J40" s="9" t="s">
        <v>36</v>
      </c>
      <c r="K40" s="9" t="s">
        <v>36</v>
      </c>
      <c r="L40" s="64">
        <v>27.4</v>
      </c>
      <c r="M40" s="64">
        <v>84.4</v>
      </c>
      <c r="N40" s="64">
        <v>144.19999999999999</v>
      </c>
      <c r="O40" s="64">
        <v>0</v>
      </c>
      <c r="P40" s="64">
        <v>0.3</v>
      </c>
      <c r="Q40" s="64">
        <v>9.35</v>
      </c>
      <c r="S40" s="198"/>
      <c r="T40" s="198"/>
      <c r="U40" s="198"/>
    </row>
    <row r="41" spans="1:21" s="12" customFormat="1" x14ac:dyDescent="0.25">
      <c r="A41" s="214" t="s">
        <v>2391</v>
      </c>
      <c r="B41" s="64">
        <v>8.7100000000000009</v>
      </c>
      <c r="C41" s="64">
        <v>17.75</v>
      </c>
      <c r="D41" s="64">
        <v>20.59</v>
      </c>
      <c r="E41" s="64">
        <v>5.0199999999999996</v>
      </c>
      <c r="F41" s="64">
        <v>8.2799999999999994</v>
      </c>
      <c r="G41" s="64">
        <v>19.21</v>
      </c>
      <c r="H41" s="64">
        <v>16.2</v>
      </c>
      <c r="I41" s="64">
        <v>4.05</v>
      </c>
      <c r="J41" s="9" t="s">
        <v>36</v>
      </c>
      <c r="K41" s="9" t="s">
        <v>36</v>
      </c>
      <c r="L41" s="64">
        <v>27.52</v>
      </c>
      <c r="M41" s="64">
        <v>83.9</v>
      </c>
      <c r="N41" s="64">
        <v>166.5</v>
      </c>
      <c r="O41" s="64">
        <v>0</v>
      </c>
      <c r="P41" s="64">
        <v>0.28000000000000003</v>
      </c>
      <c r="Q41" s="64">
        <v>9.33</v>
      </c>
      <c r="S41" s="198"/>
      <c r="T41" s="198"/>
      <c r="U41" s="198"/>
    </row>
    <row r="42" spans="1:21" s="12" customFormat="1" x14ac:dyDescent="0.25">
      <c r="A42" s="214" t="s">
        <v>2392</v>
      </c>
      <c r="B42" s="64">
        <v>8.6999999999999993</v>
      </c>
      <c r="C42" s="64">
        <v>17.57</v>
      </c>
      <c r="D42" s="64">
        <v>20.27</v>
      </c>
      <c r="E42" s="64">
        <v>4.8899999999999997</v>
      </c>
      <c r="F42" s="64">
        <v>8.31</v>
      </c>
      <c r="G42" s="64">
        <v>15.93</v>
      </c>
      <c r="H42" s="64">
        <v>47.93</v>
      </c>
      <c r="I42" s="64">
        <v>3.95</v>
      </c>
      <c r="J42" s="9" t="s">
        <v>36</v>
      </c>
      <c r="K42" s="9" t="s">
        <v>36</v>
      </c>
      <c r="L42" s="64">
        <v>28.02</v>
      </c>
      <c r="M42" s="64">
        <v>81.849999999999994</v>
      </c>
      <c r="N42" s="64">
        <v>140</v>
      </c>
      <c r="O42" s="64">
        <v>0</v>
      </c>
      <c r="P42" s="64">
        <v>0.28999999999999998</v>
      </c>
      <c r="Q42" s="64">
        <v>9.33</v>
      </c>
      <c r="S42" s="198"/>
      <c r="T42" s="198"/>
      <c r="U42" s="198"/>
    </row>
    <row r="43" spans="1:21" s="12" customFormat="1" x14ac:dyDescent="0.25">
      <c r="A43" s="214" t="s">
        <v>2393</v>
      </c>
      <c r="B43" s="64">
        <v>8.07</v>
      </c>
      <c r="C43" s="64">
        <v>16.43</v>
      </c>
      <c r="D43" s="64">
        <v>19.05</v>
      </c>
      <c r="E43" s="64">
        <v>4.9800000000000004</v>
      </c>
      <c r="F43" s="64">
        <v>11.51</v>
      </c>
      <c r="G43" s="64">
        <v>15.93</v>
      </c>
      <c r="H43" s="64">
        <v>47.93</v>
      </c>
      <c r="I43" s="64">
        <v>3.93</v>
      </c>
      <c r="J43" s="9" t="s">
        <v>36</v>
      </c>
      <c r="K43" s="9" t="s">
        <v>36</v>
      </c>
      <c r="L43" s="64">
        <v>28.22</v>
      </c>
      <c r="M43" s="64">
        <v>80.73</v>
      </c>
      <c r="N43" s="64">
        <v>181</v>
      </c>
      <c r="O43" s="64">
        <v>0</v>
      </c>
      <c r="P43" s="64">
        <v>0.26</v>
      </c>
      <c r="Q43" s="64">
        <v>9.33</v>
      </c>
      <c r="S43" s="198"/>
      <c r="T43" s="198"/>
      <c r="U43" s="198"/>
    </row>
    <row r="44" spans="1:21" s="12" customFormat="1" x14ac:dyDescent="0.25">
      <c r="A44" s="214" t="s">
        <v>2394</v>
      </c>
      <c r="B44" s="64">
        <v>11.48</v>
      </c>
      <c r="C44" s="64">
        <v>20.9</v>
      </c>
      <c r="D44" s="64">
        <v>22.39</v>
      </c>
      <c r="E44" s="64">
        <v>5.17</v>
      </c>
      <c r="F44" s="64">
        <v>7.29</v>
      </c>
      <c r="G44" s="64">
        <v>15.93</v>
      </c>
      <c r="H44" s="64">
        <v>47.93</v>
      </c>
      <c r="I44" s="64">
        <v>4.08</v>
      </c>
      <c r="J44" s="9" t="s">
        <v>36</v>
      </c>
      <c r="K44" s="9" t="s">
        <v>36</v>
      </c>
      <c r="L44" s="64">
        <v>28.49</v>
      </c>
      <c r="M44" s="64">
        <v>79.650000000000006</v>
      </c>
      <c r="N44" s="64">
        <v>200.5</v>
      </c>
      <c r="O44" s="64">
        <v>0</v>
      </c>
      <c r="P44" s="64">
        <v>0.35</v>
      </c>
      <c r="Q44" s="64">
        <v>9.34</v>
      </c>
      <c r="S44" s="198"/>
      <c r="T44" s="198"/>
      <c r="U44" s="198"/>
    </row>
    <row r="45" spans="1:21" s="12" customFormat="1" x14ac:dyDescent="0.25">
      <c r="A45" s="214" t="s">
        <v>2395</v>
      </c>
      <c r="B45" s="64">
        <v>10.87</v>
      </c>
      <c r="C45" s="64">
        <v>19.5</v>
      </c>
      <c r="D45" s="64">
        <v>20.63</v>
      </c>
      <c r="E45" s="64">
        <v>5.08</v>
      </c>
      <c r="F45" s="64">
        <v>4.25</v>
      </c>
      <c r="G45" s="64">
        <v>16.309999999999999</v>
      </c>
      <c r="H45" s="64">
        <v>43.09</v>
      </c>
      <c r="I45" s="64">
        <v>3.94</v>
      </c>
      <c r="J45" s="9" t="s">
        <v>36</v>
      </c>
      <c r="K45" s="9" t="s">
        <v>36</v>
      </c>
      <c r="L45" s="64">
        <v>28.66</v>
      </c>
      <c r="M45" s="64">
        <v>79.010000000000005</v>
      </c>
      <c r="N45" s="64">
        <v>245.1</v>
      </c>
      <c r="O45" s="64">
        <v>0</v>
      </c>
      <c r="P45" s="64">
        <v>0.35</v>
      </c>
      <c r="Q45" s="64">
        <v>9.34</v>
      </c>
      <c r="S45" s="198"/>
      <c r="T45" s="198"/>
      <c r="U45" s="198"/>
    </row>
    <row r="46" spans="1:21" s="12" customFormat="1" x14ac:dyDescent="0.25">
      <c r="A46" s="214" t="s">
        <v>2396</v>
      </c>
      <c r="B46" s="64">
        <v>11.55</v>
      </c>
      <c r="C46" s="64">
        <v>20.57</v>
      </c>
      <c r="D46" s="64">
        <v>21.65</v>
      </c>
      <c r="E46" s="64">
        <v>5.0199999999999996</v>
      </c>
      <c r="F46" s="64">
        <v>4.09</v>
      </c>
      <c r="G46" s="64">
        <v>17.93</v>
      </c>
      <c r="H46" s="64">
        <v>22.31</v>
      </c>
      <c r="I46" s="64">
        <v>4.0199999999999996</v>
      </c>
      <c r="J46" s="9" t="s">
        <v>36</v>
      </c>
      <c r="K46" s="9" t="s">
        <v>36</v>
      </c>
      <c r="L46" s="64">
        <v>29.45</v>
      </c>
      <c r="M46" s="64">
        <v>77.11</v>
      </c>
      <c r="N46" s="64">
        <v>397.8</v>
      </c>
      <c r="O46" s="64">
        <v>0</v>
      </c>
      <c r="P46" s="64">
        <v>0.35</v>
      </c>
      <c r="Q46" s="64">
        <v>9.36</v>
      </c>
      <c r="S46" s="198"/>
      <c r="T46" s="198"/>
      <c r="U46" s="198"/>
    </row>
    <row r="47" spans="1:21" s="12" customFormat="1" x14ac:dyDescent="0.25">
      <c r="A47" s="214" t="s">
        <v>2397</v>
      </c>
      <c r="B47" s="64">
        <v>11.04</v>
      </c>
      <c r="C47" s="64">
        <v>20.86</v>
      </c>
      <c r="D47" s="64">
        <v>22.99</v>
      </c>
      <c r="E47" s="64">
        <v>5.12</v>
      </c>
      <c r="F47" s="64">
        <v>4.1500000000000004</v>
      </c>
      <c r="G47" s="64">
        <v>17.93</v>
      </c>
      <c r="H47" s="64">
        <v>22.31</v>
      </c>
      <c r="I47" s="64">
        <v>4</v>
      </c>
      <c r="J47" s="9" t="s">
        <v>36</v>
      </c>
      <c r="K47" s="9" t="s">
        <v>36</v>
      </c>
      <c r="L47" s="64">
        <v>31.82</v>
      </c>
      <c r="M47" s="64">
        <v>67.290000000000006</v>
      </c>
      <c r="N47" s="64">
        <v>605.70000000000005</v>
      </c>
      <c r="O47" s="64">
        <v>0</v>
      </c>
      <c r="P47" s="64">
        <v>0.36</v>
      </c>
      <c r="Q47" s="64">
        <v>9.3699999999999992</v>
      </c>
      <c r="S47" s="198"/>
      <c r="T47" s="198"/>
      <c r="U47" s="198"/>
    </row>
    <row r="48" spans="1:21" s="12" customFormat="1" x14ac:dyDescent="0.25">
      <c r="A48" s="214" t="s">
        <v>2398</v>
      </c>
      <c r="B48" s="64">
        <v>11.48</v>
      </c>
      <c r="C48" s="64">
        <v>21.55</v>
      </c>
      <c r="D48" s="64">
        <v>23.63</v>
      </c>
      <c r="E48" s="64">
        <v>5.26</v>
      </c>
      <c r="F48" s="64">
        <v>4.79</v>
      </c>
      <c r="G48" s="64">
        <v>17.93</v>
      </c>
      <c r="H48" s="64">
        <v>22.31</v>
      </c>
      <c r="I48" s="64">
        <v>3.93</v>
      </c>
      <c r="J48" s="9" t="s">
        <v>36</v>
      </c>
      <c r="K48" s="9" t="s">
        <v>36</v>
      </c>
      <c r="L48" s="64">
        <v>31.54</v>
      </c>
      <c r="M48" s="64">
        <v>67.319999999999993</v>
      </c>
      <c r="N48" s="64">
        <v>615.79999999999995</v>
      </c>
      <c r="O48" s="64">
        <v>0</v>
      </c>
      <c r="P48" s="64">
        <v>0.35</v>
      </c>
      <c r="Q48" s="64">
        <v>9.3800000000000008</v>
      </c>
      <c r="S48" s="198"/>
      <c r="T48" s="198"/>
      <c r="U48" s="198"/>
    </row>
    <row r="49" spans="1:21" s="12" customFormat="1" x14ac:dyDescent="0.25">
      <c r="A49" s="214" t="s">
        <v>2399</v>
      </c>
      <c r="B49" s="64">
        <v>12.93</v>
      </c>
      <c r="C49" s="64">
        <v>23.41</v>
      </c>
      <c r="D49" s="64">
        <v>24.97</v>
      </c>
      <c r="E49" s="64">
        <v>4.97</v>
      </c>
      <c r="F49" s="64">
        <v>4.12</v>
      </c>
      <c r="G49" s="64">
        <v>18.63</v>
      </c>
      <c r="H49" s="64">
        <v>19.510000000000002</v>
      </c>
      <c r="I49" s="64">
        <v>3.9</v>
      </c>
      <c r="J49" s="9" t="s">
        <v>36</v>
      </c>
      <c r="K49" s="9" t="s">
        <v>36</v>
      </c>
      <c r="L49" s="64">
        <v>32.89</v>
      </c>
      <c r="M49" s="64">
        <v>62.4</v>
      </c>
      <c r="N49" s="64">
        <v>650.9</v>
      </c>
      <c r="O49" s="64">
        <v>0</v>
      </c>
      <c r="P49" s="64">
        <v>0.38</v>
      </c>
      <c r="Q49" s="64">
        <v>9.3699999999999992</v>
      </c>
      <c r="S49" s="198"/>
      <c r="T49" s="198"/>
      <c r="U49" s="198"/>
    </row>
    <row r="50" spans="1:21" s="12" customFormat="1" x14ac:dyDescent="0.25">
      <c r="A50" s="214" t="s">
        <v>2400</v>
      </c>
      <c r="B50" s="64">
        <v>12.96</v>
      </c>
      <c r="C50" s="64">
        <v>22.91</v>
      </c>
      <c r="D50" s="64">
        <v>23.96</v>
      </c>
      <c r="E50" s="64">
        <v>5.0999999999999996</v>
      </c>
      <c r="F50" s="64">
        <v>4.54</v>
      </c>
      <c r="G50" s="64">
        <v>21.64</v>
      </c>
      <c r="H50" s="64">
        <v>7.5</v>
      </c>
      <c r="I50" s="64">
        <v>4.08</v>
      </c>
      <c r="J50" s="9" t="s">
        <v>36</v>
      </c>
      <c r="K50" s="9" t="s">
        <v>36</v>
      </c>
      <c r="L50" s="64">
        <v>34.270000000000003</v>
      </c>
      <c r="M50" s="64">
        <v>57.55</v>
      </c>
      <c r="N50" s="64">
        <v>725</v>
      </c>
      <c r="O50" s="64">
        <v>0</v>
      </c>
      <c r="P50" s="64">
        <v>0.37</v>
      </c>
      <c r="Q50" s="64">
        <v>9.39</v>
      </c>
      <c r="S50" s="198"/>
      <c r="T50" s="198"/>
      <c r="U50" s="198"/>
    </row>
    <row r="51" spans="1:21" s="12" customFormat="1" x14ac:dyDescent="0.25">
      <c r="A51" s="214" t="s">
        <v>2401</v>
      </c>
      <c r="B51" s="64">
        <v>11.48</v>
      </c>
      <c r="C51" s="64">
        <v>21.31</v>
      </c>
      <c r="D51" s="64">
        <v>23.18</v>
      </c>
      <c r="E51" s="64">
        <v>4.83</v>
      </c>
      <c r="F51" s="64">
        <v>5.23</v>
      </c>
      <c r="G51" s="64">
        <v>21.64</v>
      </c>
      <c r="H51" s="64">
        <v>7.5</v>
      </c>
      <c r="I51" s="64">
        <v>4.13</v>
      </c>
      <c r="J51" s="9" t="s">
        <v>36</v>
      </c>
      <c r="K51" s="9" t="s">
        <v>36</v>
      </c>
      <c r="L51" s="64">
        <v>33.68</v>
      </c>
      <c r="M51" s="64">
        <v>58.19</v>
      </c>
      <c r="N51" s="64">
        <v>627.20000000000005</v>
      </c>
      <c r="O51" s="64">
        <v>0</v>
      </c>
      <c r="P51" s="64">
        <v>0.38</v>
      </c>
      <c r="Q51" s="64">
        <v>9.4</v>
      </c>
      <c r="S51" s="198"/>
      <c r="T51" s="198"/>
      <c r="U51" s="198"/>
    </row>
    <row r="52" spans="1:21" s="12" customFormat="1" x14ac:dyDescent="0.25">
      <c r="A52" s="214" t="s">
        <v>2402</v>
      </c>
      <c r="B52" s="64">
        <v>11.58</v>
      </c>
      <c r="C52" s="64">
        <v>22.38</v>
      </c>
      <c r="D52" s="64">
        <v>25.07</v>
      </c>
      <c r="E52" s="64">
        <v>5.24</v>
      </c>
      <c r="F52" s="64">
        <v>5.4</v>
      </c>
      <c r="G52" s="64">
        <v>21.64</v>
      </c>
      <c r="H52" s="64">
        <v>7.5</v>
      </c>
      <c r="I52" s="64">
        <v>4.1399999999999997</v>
      </c>
      <c r="J52" s="9" t="s">
        <v>36</v>
      </c>
      <c r="K52" s="9" t="s">
        <v>36</v>
      </c>
      <c r="L52" s="64">
        <v>34.630000000000003</v>
      </c>
      <c r="M52" s="64">
        <v>55.19</v>
      </c>
      <c r="N52" s="64">
        <v>619.29999999999995</v>
      </c>
      <c r="O52" s="64">
        <v>0</v>
      </c>
      <c r="P52" s="64">
        <v>0.37</v>
      </c>
      <c r="Q52" s="64">
        <v>9.4</v>
      </c>
      <c r="S52" s="198"/>
      <c r="T52" s="198"/>
      <c r="U52" s="198"/>
    </row>
    <row r="53" spans="1:21" s="12" customFormat="1" x14ac:dyDescent="0.25">
      <c r="A53" s="214" t="s">
        <v>2403</v>
      </c>
      <c r="B53" s="64">
        <v>11.12</v>
      </c>
      <c r="C53" s="64">
        <v>22.56</v>
      </c>
      <c r="D53" s="64">
        <v>26.1</v>
      </c>
      <c r="E53" s="64">
        <v>5</v>
      </c>
      <c r="F53" s="64">
        <v>5.0999999999999996</v>
      </c>
      <c r="G53" s="64">
        <v>21.43</v>
      </c>
      <c r="H53" s="64">
        <v>6.27</v>
      </c>
      <c r="I53" s="64">
        <v>3.92</v>
      </c>
      <c r="J53" s="9" t="s">
        <v>36</v>
      </c>
      <c r="K53" s="9" t="s">
        <v>36</v>
      </c>
      <c r="L53" s="64">
        <v>33.86</v>
      </c>
      <c r="M53" s="64">
        <v>56.26</v>
      </c>
      <c r="N53" s="64">
        <v>443.9</v>
      </c>
      <c r="O53" s="64">
        <v>0</v>
      </c>
      <c r="P53" s="64">
        <v>0.38</v>
      </c>
      <c r="Q53" s="64">
        <v>9.39</v>
      </c>
      <c r="S53" s="198"/>
      <c r="T53" s="198"/>
      <c r="U53" s="198"/>
    </row>
    <row r="54" spans="1:21" s="12" customFormat="1" x14ac:dyDescent="0.25">
      <c r="A54" s="214" t="s">
        <v>2404</v>
      </c>
      <c r="B54" s="64">
        <v>11.16</v>
      </c>
      <c r="C54" s="64">
        <v>22.13</v>
      </c>
      <c r="D54" s="64">
        <v>25.23</v>
      </c>
      <c r="E54" s="64">
        <v>5.03</v>
      </c>
      <c r="F54" s="64">
        <v>5.73</v>
      </c>
      <c r="G54" s="64">
        <v>20.53</v>
      </c>
      <c r="H54" s="64">
        <v>1.35</v>
      </c>
      <c r="I54" s="64">
        <v>4.21</v>
      </c>
      <c r="J54" s="9" t="s">
        <v>36</v>
      </c>
      <c r="K54" s="9" t="s">
        <v>36</v>
      </c>
      <c r="L54" s="64">
        <v>34.25</v>
      </c>
      <c r="M54" s="64">
        <v>54.86</v>
      </c>
      <c r="N54" s="64">
        <v>355.3</v>
      </c>
      <c r="O54" s="64">
        <v>0</v>
      </c>
      <c r="P54" s="64">
        <v>0.39</v>
      </c>
      <c r="Q54" s="64">
        <v>9.3800000000000008</v>
      </c>
      <c r="S54" s="198"/>
      <c r="T54" s="198"/>
      <c r="U54" s="198"/>
    </row>
    <row r="55" spans="1:21" s="12" customFormat="1" x14ac:dyDescent="0.25">
      <c r="A55" s="214" t="s">
        <v>2405</v>
      </c>
      <c r="B55" s="64">
        <v>11.95</v>
      </c>
      <c r="C55" s="64">
        <v>23.58</v>
      </c>
      <c r="D55" s="64">
        <v>26.8</v>
      </c>
      <c r="E55" s="64">
        <v>5.08</v>
      </c>
      <c r="F55" s="64">
        <v>7.8</v>
      </c>
      <c r="G55" s="64">
        <v>20.53</v>
      </c>
      <c r="H55" s="64">
        <v>1.35</v>
      </c>
      <c r="I55" s="64">
        <v>4.09</v>
      </c>
      <c r="J55" s="9" t="s">
        <v>36</v>
      </c>
      <c r="K55" s="9" t="s">
        <v>36</v>
      </c>
      <c r="L55" s="64">
        <v>33.24</v>
      </c>
      <c r="M55" s="64">
        <v>57.48</v>
      </c>
      <c r="N55" s="64">
        <v>343.7</v>
      </c>
      <c r="O55" s="64">
        <v>0</v>
      </c>
      <c r="P55" s="64">
        <v>0.39</v>
      </c>
      <c r="Q55" s="64">
        <v>9.3800000000000008</v>
      </c>
      <c r="S55" s="198"/>
      <c r="T55" s="198"/>
      <c r="U55" s="198"/>
    </row>
    <row r="56" spans="1:21" s="12" customFormat="1" x14ac:dyDescent="0.25">
      <c r="A56" s="214" t="s">
        <v>2406</v>
      </c>
      <c r="B56" s="64">
        <v>8.81</v>
      </c>
      <c r="C56" s="64">
        <v>19.12</v>
      </c>
      <c r="D56" s="64">
        <v>23.07</v>
      </c>
      <c r="E56" s="64">
        <v>5.33</v>
      </c>
      <c r="F56" s="64">
        <v>12.97</v>
      </c>
      <c r="G56" s="64">
        <v>20.53</v>
      </c>
      <c r="H56" s="64">
        <v>1.35</v>
      </c>
      <c r="I56" s="64">
        <v>4.13</v>
      </c>
      <c r="J56" s="9" t="s">
        <v>36</v>
      </c>
      <c r="K56" s="9" t="s">
        <v>36</v>
      </c>
      <c r="L56" s="64">
        <v>33.35</v>
      </c>
      <c r="M56" s="64">
        <v>57.79</v>
      </c>
      <c r="N56" s="64">
        <v>469.5</v>
      </c>
      <c r="O56" s="64">
        <v>0</v>
      </c>
      <c r="P56" s="64">
        <v>0.34</v>
      </c>
      <c r="Q56" s="64">
        <v>9.3800000000000008</v>
      </c>
      <c r="S56" s="198"/>
      <c r="T56" s="198"/>
      <c r="U56" s="198"/>
    </row>
    <row r="57" spans="1:21" s="12" customFormat="1" x14ac:dyDescent="0.25">
      <c r="A57" s="214" t="s">
        <v>2407</v>
      </c>
      <c r="B57" s="64">
        <v>10.27</v>
      </c>
      <c r="C57" s="64">
        <v>24.24</v>
      </c>
      <c r="D57" s="64">
        <v>30.62</v>
      </c>
      <c r="E57" s="64">
        <v>5.12</v>
      </c>
      <c r="F57" s="64">
        <v>7.6</v>
      </c>
      <c r="G57" s="64">
        <v>20.34</v>
      </c>
      <c r="H57" s="64">
        <v>50.36</v>
      </c>
      <c r="I57" s="64">
        <v>3.99</v>
      </c>
      <c r="J57" s="9" t="s">
        <v>36</v>
      </c>
      <c r="K57" s="9" t="s">
        <v>36</v>
      </c>
      <c r="L57" s="64">
        <v>35.200000000000003</v>
      </c>
      <c r="M57" s="64">
        <v>51.86</v>
      </c>
      <c r="N57" s="64">
        <v>553.29999999999995</v>
      </c>
      <c r="O57" s="64">
        <v>0</v>
      </c>
      <c r="P57" s="64">
        <v>0.4</v>
      </c>
      <c r="Q57" s="64">
        <v>9.36</v>
      </c>
      <c r="S57" s="198"/>
      <c r="T57" s="198"/>
      <c r="U57" s="198"/>
    </row>
    <row r="58" spans="1:21" s="12" customFormat="1" x14ac:dyDescent="0.25">
      <c r="A58" s="214" t="s">
        <v>2408</v>
      </c>
      <c r="B58" s="64">
        <v>9.5</v>
      </c>
      <c r="C58" s="64">
        <v>22.51</v>
      </c>
      <c r="D58" s="64">
        <v>28.51</v>
      </c>
      <c r="E58" s="64">
        <v>5.17</v>
      </c>
      <c r="F58" s="64">
        <v>5.42</v>
      </c>
      <c r="G58" s="64">
        <v>19.52</v>
      </c>
      <c r="H58" s="64">
        <v>260.81</v>
      </c>
      <c r="I58" s="64">
        <v>4.04</v>
      </c>
      <c r="J58" s="9" t="s">
        <v>36</v>
      </c>
      <c r="K58" s="9" t="s">
        <v>36</v>
      </c>
      <c r="L58" s="64">
        <v>36.47</v>
      </c>
      <c r="M58" s="64">
        <v>48.76</v>
      </c>
      <c r="N58" s="64">
        <v>646.29999999999995</v>
      </c>
      <c r="O58" s="64">
        <v>0</v>
      </c>
      <c r="P58" s="64">
        <v>0.38</v>
      </c>
      <c r="Q58" s="64">
        <v>9.33</v>
      </c>
      <c r="S58" s="198"/>
      <c r="T58" s="198"/>
      <c r="U58" s="198"/>
    </row>
    <row r="59" spans="1:21" s="12" customFormat="1" x14ac:dyDescent="0.25">
      <c r="A59" s="214" t="s">
        <v>2409</v>
      </c>
      <c r="B59" s="64">
        <v>8.5299999999999994</v>
      </c>
      <c r="C59" s="64">
        <v>20.14</v>
      </c>
      <c r="D59" s="64">
        <v>25.46</v>
      </c>
      <c r="E59" s="64">
        <v>5.22</v>
      </c>
      <c r="F59" s="64">
        <v>7.54</v>
      </c>
      <c r="G59" s="64">
        <v>19.52</v>
      </c>
      <c r="H59" s="64">
        <v>260.81</v>
      </c>
      <c r="I59" s="64">
        <v>4.1500000000000004</v>
      </c>
      <c r="J59" s="9" t="s">
        <v>36</v>
      </c>
      <c r="K59" s="9" t="s">
        <v>36</v>
      </c>
      <c r="L59" s="64">
        <v>37.35</v>
      </c>
      <c r="M59" s="64">
        <v>46.33</v>
      </c>
      <c r="N59" s="64">
        <v>460.8</v>
      </c>
      <c r="O59" s="64">
        <v>0</v>
      </c>
      <c r="P59" s="64">
        <v>0.35</v>
      </c>
      <c r="Q59" s="64">
        <v>9.32</v>
      </c>
      <c r="S59" s="198"/>
      <c r="T59" s="198"/>
      <c r="U59" s="198"/>
    </row>
    <row r="60" spans="1:21" s="12" customFormat="1" x14ac:dyDescent="0.25">
      <c r="A60" s="214" t="s">
        <v>2410</v>
      </c>
      <c r="B60" s="64">
        <v>8.08</v>
      </c>
      <c r="C60" s="64">
        <v>21.27</v>
      </c>
      <c r="D60" s="64">
        <v>28.3</v>
      </c>
      <c r="E60" s="64">
        <v>5.55</v>
      </c>
      <c r="F60" s="64">
        <v>6.24</v>
      </c>
      <c r="G60" s="64">
        <v>19.52</v>
      </c>
      <c r="H60" s="64">
        <v>260.81</v>
      </c>
      <c r="I60" s="64">
        <v>4.08</v>
      </c>
      <c r="J60" s="9" t="s">
        <v>36</v>
      </c>
      <c r="K60" s="9" t="s">
        <v>36</v>
      </c>
      <c r="L60" s="64">
        <v>37.9</v>
      </c>
      <c r="M60" s="64">
        <v>45.91</v>
      </c>
      <c r="N60" s="64">
        <v>595.6</v>
      </c>
      <c r="O60" s="64">
        <v>0</v>
      </c>
      <c r="P60" s="64">
        <v>0.38</v>
      </c>
      <c r="Q60" s="64">
        <v>9.2899999999999991</v>
      </c>
      <c r="S60" s="198"/>
      <c r="T60" s="198"/>
      <c r="U60" s="198"/>
    </row>
    <row r="61" spans="1:21" s="12" customFormat="1" x14ac:dyDescent="0.25">
      <c r="A61" s="214" t="s">
        <v>2411</v>
      </c>
      <c r="B61" s="64">
        <v>7.32</v>
      </c>
      <c r="C61" s="64">
        <v>19.82</v>
      </c>
      <c r="D61" s="64">
        <v>26.7</v>
      </c>
      <c r="E61" s="64">
        <v>5.4</v>
      </c>
      <c r="F61" s="64">
        <v>8.0299999999999994</v>
      </c>
      <c r="G61" s="64">
        <v>19.68</v>
      </c>
      <c r="H61" s="64">
        <v>208.65</v>
      </c>
      <c r="I61" s="64">
        <v>4</v>
      </c>
      <c r="J61" s="9" t="s">
        <v>36</v>
      </c>
      <c r="K61" s="9" t="s">
        <v>36</v>
      </c>
      <c r="L61" s="64">
        <v>38.5</v>
      </c>
      <c r="M61" s="64">
        <v>44.04</v>
      </c>
      <c r="N61" s="64">
        <v>520.6</v>
      </c>
      <c r="O61" s="64">
        <v>0</v>
      </c>
      <c r="P61" s="64">
        <v>0.38</v>
      </c>
      <c r="Q61" s="64">
        <v>9.27</v>
      </c>
      <c r="S61" s="198"/>
      <c r="T61" s="198"/>
      <c r="U61" s="198"/>
    </row>
    <row r="62" spans="1:21" s="12" customFormat="1" x14ac:dyDescent="0.25">
      <c r="A62" s="214" t="s">
        <v>2412</v>
      </c>
      <c r="B62" s="64">
        <v>6.86</v>
      </c>
      <c r="C62" s="64">
        <v>18.79</v>
      </c>
      <c r="D62" s="64">
        <v>25.44</v>
      </c>
      <c r="E62" s="64">
        <v>5.53</v>
      </c>
      <c r="F62" s="64">
        <v>4.74</v>
      </c>
      <c r="G62" s="64">
        <v>20.38</v>
      </c>
      <c r="H62" s="64">
        <v>208.65</v>
      </c>
      <c r="I62" s="64">
        <v>3.98</v>
      </c>
      <c r="J62" s="9" t="s">
        <v>36</v>
      </c>
      <c r="K62" s="9" t="s">
        <v>36</v>
      </c>
      <c r="L62" s="64">
        <v>38.47</v>
      </c>
      <c r="M62" s="64">
        <v>44.2</v>
      </c>
      <c r="N62" s="64">
        <v>433.4</v>
      </c>
      <c r="O62" s="64">
        <v>0</v>
      </c>
      <c r="P62" s="64">
        <v>0.43</v>
      </c>
      <c r="Q62" s="64">
        <v>9.26</v>
      </c>
      <c r="S62" s="198"/>
      <c r="T62" s="198"/>
      <c r="U62" s="198"/>
    </row>
    <row r="63" spans="1:21" s="12" customFormat="1" x14ac:dyDescent="0.25">
      <c r="A63" s="214" t="s">
        <v>2413</v>
      </c>
      <c r="B63" s="64">
        <v>7.59</v>
      </c>
      <c r="C63" s="64">
        <v>20.51</v>
      </c>
      <c r="D63" s="64">
        <v>27.61</v>
      </c>
      <c r="E63" s="64">
        <v>5.18</v>
      </c>
      <c r="F63" s="64">
        <v>10.82</v>
      </c>
      <c r="G63" s="64">
        <v>20.38</v>
      </c>
      <c r="H63" s="64">
        <v>208.65</v>
      </c>
      <c r="I63" s="64">
        <v>4.21</v>
      </c>
      <c r="J63" s="9" t="s">
        <v>36</v>
      </c>
      <c r="K63" s="9" t="s">
        <v>36</v>
      </c>
      <c r="L63" s="64">
        <v>38.229999999999997</v>
      </c>
      <c r="M63" s="64">
        <v>43.13</v>
      </c>
      <c r="N63" s="64">
        <v>307.2</v>
      </c>
      <c r="O63" s="64">
        <v>0</v>
      </c>
      <c r="P63" s="64">
        <v>0.43</v>
      </c>
      <c r="Q63" s="64">
        <v>9.24</v>
      </c>
      <c r="S63" s="198"/>
      <c r="T63" s="198"/>
      <c r="U63" s="198"/>
    </row>
    <row r="64" spans="1:21" s="12" customFormat="1" x14ac:dyDescent="0.25">
      <c r="A64" s="214" t="s">
        <v>2414</v>
      </c>
      <c r="B64" s="64">
        <v>6.57</v>
      </c>
      <c r="C64" s="64">
        <v>19.64</v>
      </c>
      <c r="D64" s="64">
        <v>27.52</v>
      </c>
      <c r="E64" s="64">
        <v>4.84</v>
      </c>
      <c r="F64" s="64">
        <v>8.32</v>
      </c>
      <c r="G64" s="64">
        <v>20.38</v>
      </c>
      <c r="H64" s="64">
        <v>208.65</v>
      </c>
      <c r="I64" s="64">
        <v>3.97</v>
      </c>
      <c r="J64" s="9" t="s">
        <v>36</v>
      </c>
      <c r="K64" s="9" t="s">
        <v>36</v>
      </c>
      <c r="L64" s="64">
        <v>37.31</v>
      </c>
      <c r="M64" s="64">
        <v>44.94</v>
      </c>
      <c r="N64" s="64">
        <v>452.4</v>
      </c>
      <c r="O64" s="64">
        <v>0</v>
      </c>
      <c r="P64" s="64">
        <v>0.41</v>
      </c>
      <c r="Q64" s="64">
        <v>9.23</v>
      </c>
      <c r="S64" s="198"/>
      <c r="T64" s="198"/>
      <c r="U64" s="198"/>
    </row>
    <row r="65" spans="1:21" s="12" customFormat="1" x14ac:dyDescent="0.25">
      <c r="A65" s="214" t="s">
        <v>2415</v>
      </c>
      <c r="B65" s="64">
        <v>6.6</v>
      </c>
      <c r="C65" s="64">
        <v>20.6</v>
      </c>
      <c r="D65" s="64">
        <v>29.31</v>
      </c>
      <c r="E65" s="64">
        <v>5.17</v>
      </c>
      <c r="F65" s="64">
        <v>8.8000000000000007</v>
      </c>
      <c r="G65" s="64">
        <v>22.53</v>
      </c>
      <c r="H65" s="64">
        <v>51.99</v>
      </c>
      <c r="I65" s="64">
        <v>3.97</v>
      </c>
      <c r="J65" s="9" t="s">
        <v>36</v>
      </c>
      <c r="K65" s="9" t="s">
        <v>36</v>
      </c>
      <c r="L65" s="64">
        <v>36.71</v>
      </c>
      <c r="M65" s="64">
        <v>46.92</v>
      </c>
      <c r="N65" s="64">
        <v>362</v>
      </c>
      <c r="O65" s="64">
        <v>0</v>
      </c>
      <c r="P65" s="64">
        <v>0.46</v>
      </c>
      <c r="Q65" s="64">
        <v>9.2200000000000006</v>
      </c>
      <c r="S65" s="198"/>
      <c r="T65" s="198"/>
      <c r="U65" s="198"/>
    </row>
    <row r="66" spans="1:21" s="12" customFormat="1" x14ac:dyDescent="0.25">
      <c r="A66" s="214" t="s">
        <v>2416</v>
      </c>
      <c r="B66" s="64">
        <v>6.72</v>
      </c>
      <c r="C66" s="64">
        <v>21.53</v>
      </c>
      <c r="D66" s="64">
        <v>30.9</v>
      </c>
      <c r="E66" s="64">
        <v>5.23</v>
      </c>
      <c r="F66" s="64">
        <v>5.27</v>
      </c>
      <c r="G66" s="64">
        <v>31.8</v>
      </c>
      <c r="H66" s="64">
        <v>275.23</v>
      </c>
      <c r="I66" s="64">
        <v>3.98</v>
      </c>
      <c r="J66" s="9" t="s">
        <v>36</v>
      </c>
      <c r="K66" s="9" t="s">
        <v>36</v>
      </c>
      <c r="L66" s="64">
        <v>37.43</v>
      </c>
      <c r="M66" s="64">
        <v>45.19</v>
      </c>
      <c r="N66" s="64">
        <v>264.7</v>
      </c>
      <c r="O66" s="64">
        <v>0</v>
      </c>
      <c r="P66" s="64">
        <v>0.43</v>
      </c>
      <c r="Q66" s="64">
        <v>9.23</v>
      </c>
      <c r="S66" s="198"/>
      <c r="T66" s="198"/>
      <c r="U66" s="198"/>
    </row>
    <row r="67" spans="1:21" s="12" customFormat="1" x14ac:dyDescent="0.25">
      <c r="A67" s="214" t="s">
        <v>2417</v>
      </c>
      <c r="B67" s="64">
        <v>5.93</v>
      </c>
      <c r="C67" s="64">
        <v>19.16</v>
      </c>
      <c r="D67" s="64">
        <v>27.57</v>
      </c>
      <c r="E67" s="64">
        <v>4.84</v>
      </c>
      <c r="F67" s="64">
        <v>11.12</v>
      </c>
      <c r="G67" s="64">
        <v>31.8</v>
      </c>
      <c r="H67" s="64">
        <v>275.23</v>
      </c>
      <c r="I67" s="64">
        <v>3.95</v>
      </c>
      <c r="J67" s="9" t="s">
        <v>36</v>
      </c>
      <c r="K67" s="9" t="s">
        <v>36</v>
      </c>
      <c r="L67" s="64">
        <v>38.130000000000003</v>
      </c>
      <c r="M67" s="64">
        <v>42.9</v>
      </c>
      <c r="N67" s="64">
        <v>282</v>
      </c>
      <c r="O67" s="64">
        <v>0</v>
      </c>
      <c r="P67" s="64">
        <v>0.41</v>
      </c>
      <c r="Q67" s="64">
        <v>9.2200000000000006</v>
      </c>
      <c r="S67" s="198"/>
      <c r="T67" s="198"/>
      <c r="U67" s="198"/>
    </row>
    <row r="68" spans="1:21" s="12" customFormat="1" x14ac:dyDescent="0.25">
      <c r="A68" s="214" t="s">
        <v>2418</v>
      </c>
      <c r="B68" s="64">
        <v>5.54</v>
      </c>
      <c r="C68" s="64">
        <v>18.82</v>
      </c>
      <c r="D68" s="64">
        <v>27.52</v>
      </c>
      <c r="E68" s="64">
        <v>5.17</v>
      </c>
      <c r="F68" s="64">
        <v>13.35</v>
      </c>
      <c r="G68" s="64">
        <v>31.8</v>
      </c>
      <c r="H68" s="64">
        <v>275.23</v>
      </c>
      <c r="I68" s="64">
        <v>3.81</v>
      </c>
      <c r="J68" s="9" t="s">
        <v>36</v>
      </c>
      <c r="K68" s="9" t="s">
        <v>36</v>
      </c>
      <c r="L68" s="64">
        <v>39.19</v>
      </c>
      <c r="M68" s="64">
        <v>40.29</v>
      </c>
      <c r="N68" s="64">
        <v>264.10000000000002</v>
      </c>
      <c r="O68" s="64">
        <v>0</v>
      </c>
      <c r="P68" s="64">
        <v>0.37</v>
      </c>
      <c r="Q68" s="64">
        <v>9.1999999999999993</v>
      </c>
      <c r="S68" s="198"/>
      <c r="T68" s="198"/>
      <c r="U68" s="198"/>
    </row>
    <row r="69" spans="1:21" s="12" customFormat="1" x14ac:dyDescent="0.25">
      <c r="A69" s="214" t="s">
        <v>2419</v>
      </c>
      <c r="B69" s="64">
        <v>7.91</v>
      </c>
      <c r="C69" s="64">
        <v>20.260000000000002</v>
      </c>
      <c r="D69" s="64">
        <v>26.63</v>
      </c>
      <c r="E69" s="64">
        <v>5.25</v>
      </c>
      <c r="F69" s="64">
        <v>21.44</v>
      </c>
      <c r="G69" s="64">
        <v>31.42</v>
      </c>
      <c r="H69" s="64">
        <v>223.24</v>
      </c>
      <c r="I69" s="64">
        <v>3.97</v>
      </c>
      <c r="J69" s="9" t="s">
        <v>36</v>
      </c>
      <c r="K69" s="9" t="s">
        <v>36</v>
      </c>
      <c r="L69" s="64">
        <v>39.44</v>
      </c>
      <c r="M69" s="64">
        <v>39.35</v>
      </c>
      <c r="N69" s="64">
        <v>264.2</v>
      </c>
      <c r="O69" s="64">
        <v>0</v>
      </c>
      <c r="P69" s="64">
        <v>0.33</v>
      </c>
      <c r="Q69" s="64">
        <v>9.18</v>
      </c>
      <c r="S69" s="198"/>
      <c r="T69" s="198"/>
      <c r="U69" s="198"/>
    </row>
    <row r="70" spans="1:21" s="12" customFormat="1" x14ac:dyDescent="0.25">
      <c r="A70" s="214" t="s">
        <v>2420</v>
      </c>
      <c r="B70" s="64">
        <v>6.07</v>
      </c>
      <c r="C70" s="64">
        <v>20.89</v>
      </c>
      <c r="D70" s="64">
        <v>30.67</v>
      </c>
      <c r="E70" s="64">
        <v>5.0999999999999996</v>
      </c>
      <c r="F70" s="64">
        <v>16.3</v>
      </c>
      <c r="G70" s="64">
        <v>29.8</v>
      </c>
      <c r="H70" s="6" t="s">
        <v>42</v>
      </c>
      <c r="I70" s="64">
        <v>3.94</v>
      </c>
      <c r="J70" s="9" t="s">
        <v>36</v>
      </c>
      <c r="K70" s="9" t="s">
        <v>36</v>
      </c>
      <c r="L70" s="64">
        <v>38.549999999999997</v>
      </c>
      <c r="M70" s="64">
        <v>40.9</v>
      </c>
      <c r="N70" s="64">
        <v>249.4</v>
      </c>
      <c r="O70" s="64">
        <v>0</v>
      </c>
      <c r="P70" s="64">
        <v>0.34</v>
      </c>
      <c r="Q70" s="64">
        <v>9.19</v>
      </c>
      <c r="S70" s="198"/>
      <c r="T70" s="198"/>
      <c r="U70" s="198"/>
    </row>
    <row r="71" spans="1:21" s="12" customFormat="1" x14ac:dyDescent="0.25">
      <c r="A71" s="214" t="s">
        <v>2421</v>
      </c>
      <c r="B71" s="64">
        <v>5.52</v>
      </c>
      <c r="C71" s="64">
        <v>17.54</v>
      </c>
      <c r="D71" s="64">
        <v>25.1</v>
      </c>
      <c r="E71" s="64">
        <v>5.23</v>
      </c>
      <c r="F71" s="64">
        <v>15.86</v>
      </c>
      <c r="G71" s="64">
        <v>29.8</v>
      </c>
      <c r="H71" s="6" t="s">
        <v>42</v>
      </c>
      <c r="I71" s="64">
        <v>4.07</v>
      </c>
      <c r="J71" s="9" t="s">
        <v>36</v>
      </c>
      <c r="K71" s="9" t="s">
        <v>36</v>
      </c>
      <c r="L71" s="64">
        <v>37.28</v>
      </c>
      <c r="M71" s="64">
        <v>42.37</v>
      </c>
      <c r="N71" s="64">
        <v>231.3</v>
      </c>
      <c r="O71" s="64">
        <v>0</v>
      </c>
      <c r="P71" s="64">
        <v>0.33</v>
      </c>
      <c r="Q71" s="64">
        <v>9.1999999999999993</v>
      </c>
      <c r="S71" s="198"/>
      <c r="T71" s="198"/>
      <c r="U71" s="198"/>
    </row>
    <row r="72" spans="1:21" s="12" customFormat="1" x14ac:dyDescent="0.25">
      <c r="A72" s="214" t="s">
        <v>2422</v>
      </c>
      <c r="B72" s="64">
        <v>5.27</v>
      </c>
      <c r="C72" s="64">
        <v>16.190000000000001</v>
      </c>
      <c r="D72" s="64">
        <v>22.9</v>
      </c>
      <c r="E72" s="64">
        <v>4.9400000000000004</v>
      </c>
      <c r="F72" s="64">
        <v>16.62</v>
      </c>
      <c r="G72" s="64">
        <v>29.8</v>
      </c>
      <c r="H72" s="6" t="s">
        <v>42</v>
      </c>
      <c r="I72" s="64">
        <v>3.88</v>
      </c>
      <c r="J72" s="9" t="s">
        <v>36</v>
      </c>
      <c r="K72" s="9" t="s">
        <v>36</v>
      </c>
      <c r="L72" s="64">
        <v>36.86</v>
      </c>
      <c r="M72" s="64">
        <v>43.58</v>
      </c>
      <c r="N72" s="64">
        <v>188.5</v>
      </c>
      <c r="O72" s="64">
        <v>0</v>
      </c>
      <c r="P72" s="64">
        <v>0.33</v>
      </c>
      <c r="Q72" s="64">
        <v>9.1999999999999993</v>
      </c>
      <c r="S72" s="198"/>
      <c r="T72" s="198"/>
      <c r="U72" s="198"/>
    </row>
    <row r="73" spans="1:21" s="12" customFormat="1" x14ac:dyDescent="0.25">
      <c r="A73" s="214" t="s">
        <v>2423</v>
      </c>
      <c r="B73" s="64">
        <v>5.37</v>
      </c>
      <c r="C73" s="64">
        <v>17.149999999999999</v>
      </c>
      <c r="D73" s="64">
        <v>24.58</v>
      </c>
      <c r="E73" s="64">
        <v>5.32</v>
      </c>
      <c r="F73" s="64">
        <v>13.04</v>
      </c>
      <c r="G73" s="64">
        <v>29.09</v>
      </c>
      <c r="H73" s="6" t="s">
        <v>42</v>
      </c>
      <c r="I73" s="64">
        <v>3.93</v>
      </c>
      <c r="J73" s="9" t="s">
        <v>36</v>
      </c>
      <c r="K73" s="9" t="s">
        <v>36</v>
      </c>
      <c r="L73" s="64">
        <v>36.57</v>
      </c>
      <c r="M73" s="64">
        <v>45.59</v>
      </c>
      <c r="N73" s="64">
        <v>188.2</v>
      </c>
      <c r="O73" s="64">
        <v>0</v>
      </c>
      <c r="P73" s="64">
        <v>0.3</v>
      </c>
      <c r="Q73" s="64">
        <v>9.1999999999999993</v>
      </c>
      <c r="S73" s="198"/>
      <c r="T73" s="198"/>
      <c r="U73" s="198"/>
    </row>
    <row r="74" spans="1:21" s="12" customFormat="1" x14ac:dyDescent="0.25">
      <c r="A74" s="214" t="s">
        <v>2424</v>
      </c>
      <c r="B74" s="64">
        <v>5.96</v>
      </c>
      <c r="C74" s="64">
        <v>20.61</v>
      </c>
      <c r="D74" s="64">
        <v>30.3</v>
      </c>
      <c r="E74" s="64">
        <v>5.07</v>
      </c>
      <c r="F74" s="64">
        <v>19.239999999999998</v>
      </c>
      <c r="G74" s="64">
        <v>26.24</v>
      </c>
      <c r="H74" s="6" t="s">
        <v>42</v>
      </c>
      <c r="I74" s="64">
        <v>4.0199999999999996</v>
      </c>
      <c r="J74" s="9" t="s">
        <v>36</v>
      </c>
      <c r="K74" s="9" t="s">
        <v>36</v>
      </c>
      <c r="L74" s="64">
        <v>36.479999999999997</v>
      </c>
      <c r="M74" s="64">
        <v>46.4</v>
      </c>
      <c r="N74" s="64">
        <v>151.9</v>
      </c>
      <c r="O74" s="64">
        <v>0</v>
      </c>
      <c r="P74" s="64">
        <v>0.28000000000000003</v>
      </c>
      <c r="Q74" s="64">
        <v>9.19</v>
      </c>
      <c r="S74" s="198"/>
      <c r="T74" s="198"/>
      <c r="U74" s="198"/>
    </row>
    <row r="75" spans="1:21" s="12" customFormat="1" x14ac:dyDescent="0.25">
      <c r="A75" s="214" t="s">
        <v>2425</v>
      </c>
      <c r="B75" s="64">
        <v>5.37</v>
      </c>
      <c r="C75" s="64">
        <v>17.12</v>
      </c>
      <c r="D75" s="64">
        <v>24.53</v>
      </c>
      <c r="E75" s="64">
        <v>5.2</v>
      </c>
      <c r="F75" s="64">
        <v>10.130000000000001</v>
      </c>
      <c r="G75" s="64">
        <v>26.24</v>
      </c>
      <c r="H75" s="6" t="s">
        <v>42</v>
      </c>
      <c r="I75" s="64">
        <v>3.92</v>
      </c>
      <c r="J75" s="9" t="s">
        <v>36</v>
      </c>
      <c r="K75" s="9" t="s">
        <v>36</v>
      </c>
      <c r="L75" s="64">
        <v>36.15</v>
      </c>
      <c r="M75" s="64">
        <v>48.23</v>
      </c>
      <c r="N75" s="64">
        <v>134.80000000000001</v>
      </c>
      <c r="O75" s="64">
        <v>0</v>
      </c>
      <c r="P75" s="64">
        <v>0.33</v>
      </c>
      <c r="Q75" s="64">
        <v>9.1999999999999993</v>
      </c>
      <c r="S75" s="198"/>
      <c r="T75" s="198"/>
      <c r="U75" s="198"/>
    </row>
    <row r="76" spans="1:21" s="12" customFormat="1" x14ac:dyDescent="0.25">
      <c r="A76" s="214" t="s">
        <v>2426</v>
      </c>
      <c r="B76" s="64">
        <v>5.36</v>
      </c>
      <c r="C76" s="64">
        <v>16.010000000000002</v>
      </c>
      <c r="D76" s="64">
        <v>22.41</v>
      </c>
      <c r="E76" s="64">
        <v>4.74</v>
      </c>
      <c r="F76" s="64">
        <v>9.35</v>
      </c>
      <c r="G76" s="64">
        <v>26.24</v>
      </c>
      <c r="H76" s="6" t="s">
        <v>42</v>
      </c>
      <c r="I76" s="64">
        <v>3.89</v>
      </c>
      <c r="J76" s="9" t="s">
        <v>36</v>
      </c>
      <c r="K76" s="9" t="s">
        <v>36</v>
      </c>
      <c r="L76" s="64">
        <v>35.85</v>
      </c>
      <c r="M76" s="64">
        <v>49.37</v>
      </c>
      <c r="N76" s="64">
        <v>108.9</v>
      </c>
      <c r="O76" s="64">
        <v>0</v>
      </c>
      <c r="P76" s="64">
        <v>0.32</v>
      </c>
      <c r="Q76" s="64">
        <v>9.19</v>
      </c>
      <c r="S76" s="198"/>
      <c r="T76" s="198"/>
      <c r="U76" s="198"/>
    </row>
    <row r="77" spans="1:21" s="12" customFormat="1" x14ac:dyDescent="0.25">
      <c r="A77" s="214" t="s">
        <v>2427</v>
      </c>
      <c r="B77" s="64">
        <v>5.34</v>
      </c>
      <c r="C77" s="64">
        <v>15.94</v>
      </c>
      <c r="D77" s="64">
        <v>22.32</v>
      </c>
      <c r="E77" s="64">
        <v>5.18</v>
      </c>
      <c r="F77" s="64">
        <v>8.9499999999999993</v>
      </c>
      <c r="G77" s="64">
        <v>25.47</v>
      </c>
      <c r="H77" s="6" t="s">
        <v>42</v>
      </c>
      <c r="I77" s="64">
        <v>3.92</v>
      </c>
      <c r="J77" s="9" t="s">
        <v>36</v>
      </c>
      <c r="K77" s="9" t="s">
        <v>36</v>
      </c>
      <c r="L77" s="64">
        <v>35.700000000000003</v>
      </c>
      <c r="M77" s="64">
        <v>49.81</v>
      </c>
      <c r="N77" s="64">
        <v>94.6</v>
      </c>
      <c r="O77" s="64">
        <v>0</v>
      </c>
      <c r="P77" s="64">
        <v>0.31</v>
      </c>
      <c r="Q77" s="64">
        <v>9.19</v>
      </c>
      <c r="S77" s="198"/>
      <c r="T77" s="198"/>
      <c r="U77" s="198"/>
    </row>
    <row r="78" spans="1:21" s="12" customFormat="1" x14ac:dyDescent="0.25">
      <c r="A78" s="214" t="s">
        <v>2428</v>
      </c>
      <c r="B78" s="64">
        <v>5.45</v>
      </c>
      <c r="C78" s="64">
        <v>16.579999999999998</v>
      </c>
      <c r="D78" s="64">
        <v>23.38</v>
      </c>
      <c r="E78" s="64">
        <v>4.8099999999999996</v>
      </c>
      <c r="F78" s="64">
        <v>5.32</v>
      </c>
      <c r="G78" s="64">
        <v>22.18</v>
      </c>
      <c r="H78" s="6" t="s">
        <v>42</v>
      </c>
      <c r="I78" s="64">
        <v>4.07</v>
      </c>
      <c r="J78" s="9" t="s">
        <v>36</v>
      </c>
      <c r="K78" s="9" t="s">
        <v>36</v>
      </c>
      <c r="L78" s="64">
        <v>35.590000000000003</v>
      </c>
      <c r="M78" s="64">
        <v>49.71</v>
      </c>
      <c r="N78" s="64">
        <v>83.4</v>
      </c>
      <c r="O78" s="64">
        <v>0</v>
      </c>
      <c r="P78" s="64">
        <v>0.34</v>
      </c>
      <c r="Q78" s="64">
        <v>9.19</v>
      </c>
      <c r="S78" s="198"/>
      <c r="T78" s="198"/>
      <c r="U78" s="198"/>
    </row>
    <row r="79" spans="1:21" s="12" customFormat="1" x14ac:dyDescent="0.25">
      <c r="A79" s="214" t="s">
        <v>2429</v>
      </c>
      <c r="B79" s="64">
        <v>5.47</v>
      </c>
      <c r="C79" s="64">
        <v>16.55</v>
      </c>
      <c r="D79" s="64">
        <v>23.28</v>
      </c>
      <c r="E79" s="64">
        <v>5.09</v>
      </c>
      <c r="F79" s="64">
        <v>4.3099999999999996</v>
      </c>
      <c r="G79" s="64">
        <v>22.18</v>
      </c>
      <c r="H79" s="6" t="s">
        <v>42</v>
      </c>
      <c r="I79" s="64">
        <v>3.99</v>
      </c>
      <c r="J79" s="9" t="s">
        <v>36</v>
      </c>
      <c r="K79" s="9" t="s">
        <v>36</v>
      </c>
      <c r="L79" s="64">
        <v>35.409999999999997</v>
      </c>
      <c r="M79" s="64">
        <v>49.68</v>
      </c>
      <c r="N79" s="64">
        <v>68.7</v>
      </c>
      <c r="O79" s="64">
        <v>0</v>
      </c>
      <c r="P79" s="64">
        <v>0.32</v>
      </c>
      <c r="Q79" s="64">
        <v>9.1999999999999993</v>
      </c>
      <c r="S79" s="198"/>
      <c r="T79" s="198"/>
      <c r="U79" s="198"/>
    </row>
    <row r="80" spans="1:21" s="12" customFormat="1" x14ac:dyDescent="0.25">
      <c r="A80" s="214" t="s">
        <v>2430</v>
      </c>
      <c r="B80" s="64">
        <v>5.4</v>
      </c>
      <c r="C80" s="64">
        <v>15.57</v>
      </c>
      <c r="D80" s="64">
        <v>21.5</v>
      </c>
      <c r="E80" s="64">
        <v>4.8</v>
      </c>
      <c r="F80" s="64">
        <v>4.29</v>
      </c>
      <c r="G80" s="64">
        <v>22.18</v>
      </c>
      <c r="H80" s="6" t="s">
        <v>42</v>
      </c>
      <c r="I80" s="64">
        <v>3.91</v>
      </c>
      <c r="J80" s="9" t="s">
        <v>36</v>
      </c>
      <c r="K80" s="9" t="s">
        <v>36</v>
      </c>
      <c r="L80" s="64">
        <v>35.14</v>
      </c>
      <c r="M80" s="64">
        <v>50.08</v>
      </c>
      <c r="N80" s="64">
        <v>54.4</v>
      </c>
      <c r="O80" s="64">
        <v>0</v>
      </c>
      <c r="P80" s="64">
        <v>0.31</v>
      </c>
      <c r="Q80" s="64">
        <v>9.1999999999999993</v>
      </c>
      <c r="S80" s="198"/>
      <c r="T80" s="198"/>
      <c r="U80" s="198"/>
    </row>
    <row r="81" spans="1:26" s="12" customFormat="1" x14ac:dyDescent="0.25">
      <c r="A81" s="214" t="s">
        <v>2431</v>
      </c>
      <c r="B81" s="64">
        <v>5.48</v>
      </c>
      <c r="C81" s="64">
        <v>15.88</v>
      </c>
      <c r="D81" s="64">
        <v>21.98</v>
      </c>
      <c r="E81" s="64">
        <v>4.3099999999999996</v>
      </c>
      <c r="F81" s="64">
        <v>3.21</v>
      </c>
      <c r="G81" s="64">
        <v>22.31</v>
      </c>
      <c r="H81" s="64">
        <v>20.329999999999998</v>
      </c>
      <c r="I81" s="64">
        <v>3.99</v>
      </c>
      <c r="J81" s="9" t="s">
        <v>36</v>
      </c>
      <c r="K81" s="9" t="s">
        <v>36</v>
      </c>
      <c r="L81" s="64">
        <v>34.79</v>
      </c>
      <c r="M81" s="64">
        <v>51.79</v>
      </c>
      <c r="N81" s="64">
        <v>42.7</v>
      </c>
      <c r="O81" s="64">
        <v>0</v>
      </c>
      <c r="P81" s="64">
        <v>0.31</v>
      </c>
      <c r="Q81" s="64">
        <v>9.1999999999999993</v>
      </c>
      <c r="S81" s="198"/>
      <c r="T81" s="198"/>
      <c r="U81" s="198"/>
    </row>
    <row r="82" spans="1:26" s="12" customFormat="1" x14ac:dyDescent="0.25">
      <c r="A82" s="214" t="s">
        <v>2432</v>
      </c>
      <c r="B82" s="64">
        <v>5.58</v>
      </c>
      <c r="C82" s="64">
        <v>15.51</v>
      </c>
      <c r="D82" s="64">
        <v>21.12</v>
      </c>
      <c r="E82" s="64">
        <v>4.45</v>
      </c>
      <c r="F82" s="64">
        <v>4.7300000000000004</v>
      </c>
      <c r="G82" s="64">
        <v>22.9</v>
      </c>
      <c r="H82" s="64">
        <v>101.65</v>
      </c>
      <c r="I82" s="64">
        <v>4.08</v>
      </c>
      <c r="J82" s="9" t="s">
        <v>36</v>
      </c>
      <c r="K82" s="9" t="s">
        <v>36</v>
      </c>
      <c r="L82" s="64">
        <v>34.229999999999997</v>
      </c>
      <c r="M82" s="64">
        <v>56</v>
      </c>
      <c r="N82" s="64">
        <v>33.700000000000003</v>
      </c>
      <c r="O82" s="64">
        <v>0</v>
      </c>
      <c r="P82" s="64">
        <v>0.3</v>
      </c>
      <c r="Q82" s="64">
        <v>9.2100000000000009</v>
      </c>
      <c r="S82" s="198"/>
      <c r="T82" s="198"/>
      <c r="U82" s="198"/>
    </row>
    <row r="83" spans="1:26" s="12" customFormat="1" x14ac:dyDescent="0.25">
      <c r="A83" s="214" t="s">
        <v>2433</v>
      </c>
      <c r="B83" s="64">
        <v>5.73</v>
      </c>
      <c r="C83" s="64">
        <v>15.75</v>
      </c>
      <c r="D83" s="64">
        <v>21.36</v>
      </c>
      <c r="E83" s="64">
        <v>4.84</v>
      </c>
      <c r="F83" s="64">
        <v>3.66</v>
      </c>
      <c r="G83" s="64">
        <v>22.9</v>
      </c>
      <c r="H83" s="64">
        <v>101.65</v>
      </c>
      <c r="I83" s="64">
        <v>3.96</v>
      </c>
      <c r="J83" s="9" t="s">
        <v>36</v>
      </c>
      <c r="K83" s="9" t="s">
        <v>36</v>
      </c>
      <c r="L83" s="64">
        <v>33.83</v>
      </c>
      <c r="M83" s="64">
        <v>58</v>
      </c>
      <c r="N83" s="64">
        <v>30</v>
      </c>
      <c r="O83" s="64">
        <v>0</v>
      </c>
      <c r="P83" s="64">
        <v>0.28999999999999998</v>
      </c>
      <c r="Q83" s="64">
        <v>9.2100000000000009</v>
      </c>
      <c r="S83" s="198"/>
      <c r="T83" s="198"/>
      <c r="U83" s="198"/>
    </row>
    <row r="84" spans="1:26" s="12" customFormat="1" x14ac:dyDescent="0.25">
      <c r="A84" s="214" t="s">
        <v>2434</v>
      </c>
      <c r="B84" s="64">
        <v>6</v>
      </c>
      <c r="C84" s="64">
        <v>15.7</v>
      </c>
      <c r="D84" s="64">
        <v>20.84</v>
      </c>
      <c r="E84" s="64">
        <v>4.51</v>
      </c>
      <c r="F84" s="64">
        <v>4.13</v>
      </c>
      <c r="G84" s="64">
        <v>22.9</v>
      </c>
      <c r="H84" s="64">
        <v>101.65</v>
      </c>
      <c r="I84" s="64">
        <v>4.09</v>
      </c>
      <c r="J84" s="9" t="s">
        <v>36</v>
      </c>
      <c r="K84" s="9" t="s">
        <v>36</v>
      </c>
      <c r="L84" s="64">
        <v>33.54</v>
      </c>
      <c r="M84" s="64">
        <v>58.67</v>
      </c>
      <c r="N84" s="64">
        <v>29.4</v>
      </c>
      <c r="O84" s="64">
        <v>0</v>
      </c>
      <c r="P84" s="64">
        <v>0.28999999999999998</v>
      </c>
      <c r="Q84" s="64">
        <v>9.2100000000000009</v>
      </c>
      <c r="S84" s="198"/>
      <c r="T84" s="198"/>
      <c r="U84" s="198"/>
    </row>
    <row r="85" spans="1:26" s="12" customFormat="1" x14ac:dyDescent="0.25">
      <c r="A85" s="214" t="s">
        <v>2435</v>
      </c>
      <c r="B85" s="64">
        <v>6.19</v>
      </c>
      <c r="C85" s="64">
        <v>16.04</v>
      </c>
      <c r="D85" s="64">
        <v>21.2</v>
      </c>
      <c r="E85" s="64">
        <v>4.6900000000000004</v>
      </c>
      <c r="F85" s="64">
        <v>3.48</v>
      </c>
      <c r="G85" s="64">
        <v>21.98</v>
      </c>
      <c r="H85" s="64">
        <v>82.45</v>
      </c>
      <c r="I85" s="64">
        <v>3.75</v>
      </c>
      <c r="J85" s="9" t="s">
        <v>36</v>
      </c>
      <c r="K85" s="9" t="s">
        <v>36</v>
      </c>
      <c r="L85" s="64">
        <v>33.35</v>
      </c>
      <c r="M85" s="64">
        <v>59.31</v>
      </c>
      <c r="N85" s="64">
        <v>29.2</v>
      </c>
      <c r="O85" s="64">
        <v>0</v>
      </c>
      <c r="P85" s="64">
        <v>0.31</v>
      </c>
      <c r="Q85" s="64">
        <v>9.2100000000000009</v>
      </c>
      <c r="S85" s="198"/>
      <c r="T85" s="198"/>
      <c r="U85" s="198"/>
    </row>
    <row r="86" spans="1:26" s="12" customFormat="1" x14ac:dyDescent="0.25">
      <c r="A86" s="214" t="s">
        <v>2436</v>
      </c>
      <c r="B86" s="64">
        <v>6.79</v>
      </c>
      <c r="C86" s="64">
        <v>16.64</v>
      </c>
      <c r="D86" s="64">
        <v>21.43</v>
      </c>
      <c r="E86" s="64">
        <v>4.55</v>
      </c>
      <c r="F86" s="64">
        <v>4.93</v>
      </c>
      <c r="G86" s="64">
        <v>18.329999999999998</v>
      </c>
      <c r="H86" s="6" t="s">
        <v>42</v>
      </c>
      <c r="I86" s="64">
        <v>4.0199999999999996</v>
      </c>
      <c r="J86" s="9" t="s">
        <v>36</v>
      </c>
      <c r="K86" s="9" t="s">
        <v>36</v>
      </c>
      <c r="L86" s="64">
        <v>33.03</v>
      </c>
      <c r="M86" s="64">
        <v>60.91</v>
      </c>
      <c r="N86" s="64">
        <v>29.3</v>
      </c>
      <c r="O86" s="64">
        <v>0</v>
      </c>
      <c r="P86" s="64">
        <v>0.31</v>
      </c>
      <c r="Q86" s="64">
        <v>9.23</v>
      </c>
      <c r="S86" s="198"/>
      <c r="T86" s="198"/>
      <c r="U86" s="198"/>
    </row>
    <row r="87" spans="1:26" s="12" customFormat="1" x14ac:dyDescent="0.25">
      <c r="A87" s="214" t="s">
        <v>2437</v>
      </c>
      <c r="B87" s="64">
        <v>7.18</v>
      </c>
      <c r="C87" s="64">
        <v>16.63</v>
      </c>
      <c r="D87" s="64">
        <v>20.81</v>
      </c>
      <c r="E87" s="64">
        <v>4.58</v>
      </c>
      <c r="F87" s="64">
        <v>5.39</v>
      </c>
      <c r="G87" s="64">
        <v>18.329999999999998</v>
      </c>
      <c r="H87" s="6" t="s">
        <v>42</v>
      </c>
      <c r="I87" s="64">
        <v>3.97</v>
      </c>
      <c r="J87" s="9" t="s">
        <v>36</v>
      </c>
      <c r="K87" s="9" t="s">
        <v>36</v>
      </c>
      <c r="L87" s="64">
        <v>32.880000000000003</v>
      </c>
      <c r="M87" s="64">
        <v>61.56</v>
      </c>
      <c r="N87" s="64">
        <v>29.1</v>
      </c>
      <c r="O87" s="64">
        <v>0</v>
      </c>
      <c r="P87" s="64">
        <v>0.32</v>
      </c>
      <c r="Q87" s="64">
        <v>9.25</v>
      </c>
      <c r="S87" s="198"/>
      <c r="T87" s="198"/>
      <c r="U87" s="198"/>
    </row>
    <row r="88" spans="1:26" s="12" customFormat="1" x14ac:dyDescent="0.25">
      <c r="A88" s="214" t="s">
        <v>2438</v>
      </c>
      <c r="B88" s="64">
        <v>7.68</v>
      </c>
      <c r="C88" s="64">
        <v>17.28</v>
      </c>
      <c r="D88" s="64">
        <v>21.28</v>
      </c>
      <c r="E88" s="64">
        <v>4.5999999999999996</v>
      </c>
      <c r="F88" s="64">
        <v>4.9400000000000004</v>
      </c>
      <c r="G88" s="64">
        <v>18.329999999999998</v>
      </c>
      <c r="H88" s="6" t="s">
        <v>42</v>
      </c>
      <c r="I88" s="64">
        <v>4.04</v>
      </c>
      <c r="J88" s="9" t="s">
        <v>36</v>
      </c>
      <c r="K88" s="9" t="s">
        <v>36</v>
      </c>
      <c r="L88" s="64">
        <v>32.68</v>
      </c>
      <c r="M88" s="64">
        <v>62.43</v>
      </c>
      <c r="N88" s="64">
        <v>28.9</v>
      </c>
      <c r="O88" s="64">
        <v>0</v>
      </c>
      <c r="P88" s="64">
        <v>0.31</v>
      </c>
      <c r="Q88" s="64">
        <v>9.25</v>
      </c>
      <c r="S88" s="198"/>
      <c r="T88" s="198"/>
      <c r="U88" s="198"/>
    </row>
    <row r="89" spans="1:26" s="12" customFormat="1" x14ac:dyDescent="0.25">
      <c r="A89" s="214" t="s">
        <v>2439</v>
      </c>
      <c r="B89" s="64">
        <v>8.49</v>
      </c>
      <c r="C89" s="64">
        <v>17.57</v>
      </c>
      <c r="D89" s="64">
        <v>20.6</v>
      </c>
      <c r="E89" s="64">
        <v>4.59</v>
      </c>
      <c r="F89" s="64">
        <v>4.3600000000000003</v>
      </c>
      <c r="G89" s="64">
        <v>17.760000000000002</v>
      </c>
      <c r="H89" s="64">
        <v>191.68</v>
      </c>
      <c r="I89" s="64">
        <v>4.04</v>
      </c>
      <c r="J89" s="9" t="s">
        <v>36</v>
      </c>
      <c r="K89" s="9" t="s">
        <v>36</v>
      </c>
      <c r="L89" s="64">
        <v>32.67</v>
      </c>
      <c r="M89" s="64">
        <v>62.48</v>
      </c>
      <c r="N89" s="64">
        <v>28.9</v>
      </c>
      <c r="O89" s="64">
        <v>0</v>
      </c>
      <c r="P89" s="64">
        <v>0.31</v>
      </c>
      <c r="Q89" s="64">
        <v>9.2799999999999994</v>
      </c>
      <c r="S89" s="198"/>
      <c r="T89" s="198"/>
      <c r="U89" s="198"/>
    </row>
    <row r="90" spans="1:26" s="12" customFormat="1" x14ac:dyDescent="0.25">
      <c r="A90" s="214" t="s">
        <v>2440</v>
      </c>
      <c r="B90" s="64">
        <v>9.2100000000000009</v>
      </c>
      <c r="C90" s="64">
        <v>17.84</v>
      </c>
      <c r="D90" s="64">
        <v>20.010000000000002</v>
      </c>
      <c r="E90" s="64">
        <v>4.53</v>
      </c>
      <c r="F90" s="64">
        <v>4.22</v>
      </c>
      <c r="G90" s="64">
        <v>15.31</v>
      </c>
      <c r="H90" s="64">
        <v>1014.77</v>
      </c>
      <c r="I90" s="64">
        <v>3.86</v>
      </c>
      <c r="J90" s="9" t="s">
        <v>36</v>
      </c>
      <c r="K90" s="9" t="s">
        <v>36</v>
      </c>
      <c r="L90" s="64">
        <v>32.549999999999997</v>
      </c>
      <c r="M90" s="64">
        <v>63.31</v>
      </c>
      <c r="N90" s="64">
        <v>29.1</v>
      </c>
      <c r="O90" s="64">
        <v>0</v>
      </c>
      <c r="P90" s="64">
        <v>0.31</v>
      </c>
      <c r="Q90" s="64">
        <v>9.3000000000000007</v>
      </c>
      <c r="S90" s="198"/>
      <c r="T90" s="198"/>
      <c r="U90" s="198"/>
    </row>
    <row r="91" spans="1:26" s="12" customFormat="1" x14ac:dyDescent="0.25">
      <c r="A91" s="214" t="s">
        <v>2441</v>
      </c>
      <c r="B91" s="64">
        <v>9.07</v>
      </c>
      <c r="C91" s="64">
        <v>17.989999999999998</v>
      </c>
      <c r="D91" s="64">
        <v>20.5</v>
      </c>
      <c r="E91" s="64">
        <v>4.3499999999999996</v>
      </c>
      <c r="F91" s="64">
        <v>6.82</v>
      </c>
      <c r="G91" s="64">
        <v>15.31</v>
      </c>
      <c r="H91" s="64">
        <v>1014.77</v>
      </c>
      <c r="I91" s="64">
        <v>3.94</v>
      </c>
      <c r="J91" s="9" t="s">
        <v>36</v>
      </c>
      <c r="K91" s="9" t="s">
        <v>36</v>
      </c>
      <c r="L91" s="64">
        <v>32.42</v>
      </c>
      <c r="M91" s="64">
        <v>63.9</v>
      </c>
      <c r="N91" s="64">
        <v>29</v>
      </c>
      <c r="O91" s="64">
        <v>0</v>
      </c>
      <c r="P91" s="64">
        <v>0.31</v>
      </c>
      <c r="Q91" s="64">
        <v>9.33</v>
      </c>
      <c r="S91" s="198"/>
      <c r="T91" s="198"/>
      <c r="U91" s="198"/>
    </row>
    <row r="92" spans="1:26" s="12" customFormat="1" x14ac:dyDescent="0.25">
      <c r="A92" s="214" t="s">
        <v>2442</v>
      </c>
      <c r="B92" s="64">
        <v>8.44</v>
      </c>
      <c r="C92" s="64">
        <v>18.5</v>
      </c>
      <c r="D92" s="64">
        <v>22.46</v>
      </c>
      <c r="E92" s="64">
        <v>4.3499999999999996</v>
      </c>
      <c r="F92" s="64">
        <v>6.45</v>
      </c>
      <c r="G92" s="64">
        <v>15.31</v>
      </c>
      <c r="H92" s="64">
        <v>1014.77</v>
      </c>
      <c r="I92" s="64">
        <v>3.83</v>
      </c>
      <c r="J92" s="9" t="s">
        <v>36</v>
      </c>
      <c r="K92" s="9" t="s">
        <v>36</v>
      </c>
      <c r="L92" s="64">
        <v>32.25</v>
      </c>
      <c r="M92" s="64">
        <v>64.81</v>
      </c>
      <c r="N92" s="64">
        <v>29.1</v>
      </c>
      <c r="O92" s="64">
        <v>0</v>
      </c>
      <c r="P92" s="64">
        <v>0.31</v>
      </c>
      <c r="Q92" s="64">
        <v>9.34</v>
      </c>
      <c r="S92" s="198"/>
      <c r="T92" s="198"/>
      <c r="U92" s="198"/>
    </row>
    <row r="93" spans="1:26" s="12" customFormat="1" x14ac:dyDescent="0.25">
      <c r="A93" s="214" t="s">
        <v>2443</v>
      </c>
      <c r="B93" s="64">
        <v>9.07</v>
      </c>
      <c r="C93" s="64">
        <v>18.579999999999998</v>
      </c>
      <c r="D93" s="64">
        <v>21.64</v>
      </c>
      <c r="E93" s="64">
        <v>4.6500000000000004</v>
      </c>
      <c r="F93" s="64">
        <v>4.5</v>
      </c>
      <c r="G93" s="64">
        <v>15.33</v>
      </c>
      <c r="H93" s="64">
        <v>814.17</v>
      </c>
      <c r="I93" s="64">
        <v>4.0599999999999996</v>
      </c>
      <c r="J93" s="9" t="s">
        <v>36</v>
      </c>
      <c r="K93" s="9" t="s">
        <v>36</v>
      </c>
      <c r="L93" s="64">
        <v>32.32</v>
      </c>
      <c r="M93" s="64">
        <v>64.27</v>
      </c>
      <c r="N93" s="64">
        <v>28.9</v>
      </c>
      <c r="O93" s="64">
        <v>0</v>
      </c>
      <c r="P93" s="64">
        <v>0.32</v>
      </c>
      <c r="Q93" s="64">
        <v>9.32</v>
      </c>
      <c r="S93" s="198"/>
      <c r="T93" s="198"/>
      <c r="U93" s="198"/>
    </row>
    <row r="94" spans="1:26" s="12" customFormat="1" x14ac:dyDescent="0.25">
      <c r="A94" s="214" t="s">
        <v>2444</v>
      </c>
      <c r="B94" s="64">
        <v>9.31</v>
      </c>
      <c r="C94" s="64">
        <v>18.93</v>
      </c>
      <c r="D94" s="64">
        <v>21.94</v>
      </c>
      <c r="E94" s="64">
        <v>4.8099999999999996</v>
      </c>
      <c r="F94" s="64">
        <v>3.69</v>
      </c>
      <c r="G94" s="64">
        <v>15.44</v>
      </c>
      <c r="H94" s="64">
        <v>11.78</v>
      </c>
      <c r="I94" s="64">
        <v>3.74</v>
      </c>
      <c r="J94" s="9" t="s">
        <v>36</v>
      </c>
      <c r="K94" s="9" t="s">
        <v>36</v>
      </c>
      <c r="L94" s="64">
        <v>32.43</v>
      </c>
      <c r="M94" s="64">
        <v>62.84</v>
      </c>
      <c r="N94" s="64">
        <v>29.1</v>
      </c>
      <c r="O94" s="64">
        <v>0</v>
      </c>
      <c r="P94" s="64">
        <v>0.31</v>
      </c>
      <c r="Q94" s="64">
        <v>9.31</v>
      </c>
      <c r="S94" s="198"/>
      <c r="T94" s="198"/>
      <c r="U94" s="198"/>
    </row>
    <row r="95" spans="1:26" s="12" customFormat="1" x14ac:dyDescent="0.25">
      <c r="A95" s="214" t="s">
        <v>2445</v>
      </c>
      <c r="B95" s="64">
        <v>9.4</v>
      </c>
      <c r="C95" s="64">
        <v>18.54</v>
      </c>
      <c r="D95" s="64">
        <v>21.06</v>
      </c>
      <c r="E95" s="64">
        <v>4.9400000000000004</v>
      </c>
      <c r="F95" s="64">
        <v>3.85</v>
      </c>
      <c r="G95" s="64">
        <v>15.44</v>
      </c>
      <c r="H95" s="64">
        <v>11.78</v>
      </c>
      <c r="I95" s="64">
        <v>3.96</v>
      </c>
      <c r="J95" s="9" t="s">
        <v>36</v>
      </c>
      <c r="K95" s="9" t="s">
        <v>36</v>
      </c>
      <c r="L95" s="64">
        <v>32.42</v>
      </c>
      <c r="M95" s="64">
        <v>61.09</v>
      </c>
      <c r="N95" s="64">
        <v>29.2</v>
      </c>
      <c r="O95" s="64">
        <v>0</v>
      </c>
      <c r="P95" s="64">
        <v>0.3</v>
      </c>
      <c r="Q95" s="64">
        <v>9.31</v>
      </c>
      <c r="S95" s="198"/>
      <c r="T95" s="198"/>
      <c r="U95" s="198"/>
    </row>
    <row r="96" spans="1:26" s="12" customFormat="1" x14ac:dyDescent="0.25">
      <c r="A96" s="214" t="s">
        <v>2446</v>
      </c>
      <c r="B96" s="64">
        <v>9.43</v>
      </c>
      <c r="C96" s="64">
        <v>18.579999999999998</v>
      </c>
      <c r="D96" s="64">
        <v>21.08</v>
      </c>
      <c r="E96" s="64">
        <v>4.54</v>
      </c>
      <c r="F96" s="64">
        <v>3.41</v>
      </c>
      <c r="G96" s="64">
        <v>15.44</v>
      </c>
      <c r="H96" s="64">
        <v>11.78</v>
      </c>
      <c r="I96" s="64">
        <v>4</v>
      </c>
      <c r="J96" s="9" t="s">
        <v>36</v>
      </c>
      <c r="K96" s="9" t="s">
        <v>36</v>
      </c>
      <c r="L96" s="64">
        <v>32.450000000000003</v>
      </c>
      <c r="M96" s="64">
        <v>59.08</v>
      </c>
      <c r="N96" s="64">
        <v>29.2</v>
      </c>
      <c r="O96" s="64">
        <v>0</v>
      </c>
      <c r="P96" s="64">
        <v>0.31</v>
      </c>
      <c r="Q96" s="64">
        <v>9.32</v>
      </c>
      <c r="S96" s="198"/>
      <c r="T96" s="198"/>
      <c r="U96" s="198"/>
      <c r="Z96" s="109"/>
    </row>
    <row r="97" spans="1:33" s="12" customFormat="1" x14ac:dyDescent="0.25">
      <c r="A97" s="214" t="s">
        <v>2447</v>
      </c>
      <c r="B97" s="64">
        <v>9.32</v>
      </c>
      <c r="C97" s="64">
        <v>18.27</v>
      </c>
      <c r="D97" s="64">
        <v>20.66</v>
      </c>
      <c r="E97" s="64">
        <v>4.6100000000000003</v>
      </c>
      <c r="F97" s="64">
        <v>4.04</v>
      </c>
      <c r="G97" s="64">
        <v>14.94</v>
      </c>
      <c r="H97" s="64">
        <v>10.33</v>
      </c>
      <c r="I97" s="64">
        <v>3.91</v>
      </c>
      <c r="J97" s="9" t="s">
        <v>36</v>
      </c>
      <c r="K97" s="9" t="s">
        <v>36</v>
      </c>
      <c r="L97" s="64">
        <v>32.36</v>
      </c>
      <c r="M97" s="64">
        <v>59.28</v>
      </c>
      <c r="N97" s="64">
        <v>29.4</v>
      </c>
      <c r="O97" s="64">
        <v>0</v>
      </c>
      <c r="P97" s="64">
        <v>0.31</v>
      </c>
      <c r="Q97" s="64">
        <v>9.32</v>
      </c>
      <c r="S97" s="198"/>
      <c r="T97" s="198"/>
      <c r="U97" s="198"/>
    </row>
    <row r="98" spans="1:33" s="12" customFormat="1" x14ac:dyDescent="0.25">
      <c r="A98" s="214" t="s">
        <v>2448</v>
      </c>
      <c r="B98" s="64">
        <v>9.23</v>
      </c>
      <c r="C98" s="64">
        <v>18.329999999999998</v>
      </c>
      <c r="D98" s="64">
        <v>20.92</v>
      </c>
      <c r="E98" s="64">
        <v>4.67</v>
      </c>
      <c r="F98" s="64">
        <v>3.13</v>
      </c>
      <c r="G98" s="64">
        <v>12.95</v>
      </c>
      <c r="H98" s="64">
        <v>4.0999999999999996</v>
      </c>
      <c r="I98" s="64">
        <v>4.05</v>
      </c>
      <c r="J98" s="9" t="s">
        <v>36</v>
      </c>
      <c r="K98" s="9" t="s">
        <v>36</v>
      </c>
      <c r="L98" s="64">
        <v>32.18</v>
      </c>
      <c r="M98" s="64">
        <v>60.25</v>
      </c>
      <c r="N98" s="64">
        <v>29.3</v>
      </c>
      <c r="O98" s="64">
        <v>0</v>
      </c>
      <c r="P98" s="64">
        <v>0.3</v>
      </c>
      <c r="Q98" s="64">
        <v>9.33</v>
      </c>
      <c r="S98" s="198"/>
      <c r="T98" s="198"/>
      <c r="U98" s="198"/>
    </row>
    <row r="99" spans="1:33" s="12" customFormat="1" x14ac:dyDescent="0.25">
      <c r="A99" s="214" t="s">
        <v>2449</v>
      </c>
      <c r="B99" s="64">
        <v>9.3000000000000007</v>
      </c>
      <c r="C99" s="64">
        <v>17.97</v>
      </c>
      <c r="D99" s="64">
        <v>20.13</v>
      </c>
      <c r="E99" s="64">
        <v>4.5599999999999996</v>
      </c>
      <c r="F99" s="64">
        <v>3.37</v>
      </c>
      <c r="G99" s="64">
        <v>12.95</v>
      </c>
      <c r="H99" s="64">
        <v>4.0999999999999996</v>
      </c>
      <c r="I99" s="64">
        <v>4.0999999999999996</v>
      </c>
      <c r="J99" s="9" t="s">
        <v>36</v>
      </c>
      <c r="K99" s="9" t="s">
        <v>36</v>
      </c>
      <c r="L99" s="64">
        <v>32.130000000000003</v>
      </c>
      <c r="M99" s="64">
        <v>59.38</v>
      </c>
      <c r="N99" s="64">
        <v>29.2</v>
      </c>
      <c r="O99" s="64">
        <v>0</v>
      </c>
      <c r="P99" s="64">
        <v>0.28999999999999998</v>
      </c>
      <c r="Q99" s="64">
        <v>9.35</v>
      </c>
      <c r="S99" s="198"/>
      <c r="T99" s="198"/>
      <c r="U99" s="198"/>
    </row>
    <row r="100" spans="1:33" s="12" customFormat="1" x14ac:dyDescent="0.25">
      <c r="A100" s="214" t="s">
        <v>2450</v>
      </c>
      <c r="B100" s="64">
        <v>9.16</v>
      </c>
      <c r="C100" s="64">
        <v>17.96</v>
      </c>
      <c r="D100" s="64">
        <v>20.32</v>
      </c>
      <c r="E100" s="64">
        <v>4.5599999999999996</v>
      </c>
      <c r="F100" s="64">
        <v>3.43</v>
      </c>
      <c r="G100" s="64">
        <v>12.95</v>
      </c>
      <c r="H100" s="64">
        <v>4.0999999999999996</v>
      </c>
      <c r="I100" s="64">
        <v>3.89</v>
      </c>
      <c r="J100" s="9" t="s">
        <v>36</v>
      </c>
      <c r="K100" s="9" t="s">
        <v>36</v>
      </c>
      <c r="L100" s="64">
        <v>32.200000000000003</v>
      </c>
      <c r="M100" s="64">
        <v>59.11</v>
      </c>
      <c r="N100" s="64">
        <v>28.9</v>
      </c>
      <c r="O100" s="64">
        <v>0</v>
      </c>
      <c r="P100" s="64">
        <v>0.3</v>
      </c>
      <c r="Q100" s="64">
        <v>9.34</v>
      </c>
      <c r="S100" s="198"/>
      <c r="T100" s="198"/>
      <c r="U100" s="198"/>
      <c r="AB100" s="110"/>
      <c r="AG100" s="109"/>
    </row>
    <row r="101" spans="1:33" s="12" customFormat="1" x14ac:dyDescent="0.25">
      <c r="A101" s="214" t="s">
        <v>2451</v>
      </c>
      <c r="B101" s="64">
        <v>9.02</v>
      </c>
      <c r="C101" s="64">
        <v>18.059999999999999</v>
      </c>
      <c r="D101" s="64">
        <v>20.73</v>
      </c>
      <c r="E101" s="64">
        <v>4.41</v>
      </c>
      <c r="F101" s="64">
        <v>4.07</v>
      </c>
      <c r="G101" s="64">
        <v>12.86</v>
      </c>
      <c r="H101" s="64">
        <v>4.1399999999999997</v>
      </c>
      <c r="I101" s="64">
        <v>4.1500000000000004</v>
      </c>
      <c r="J101" s="9" t="s">
        <v>36</v>
      </c>
      <c r="K101" s="9" t="s">
        <v>36</v>
      </c>
      <c r="L101" s="64">
        <v>32.229999999999997</v>
      </c>
      <c r="M101" s="64">
        <v>58.36</v>
      </c>
      <c r="N101" s="64">
        <v>29.2</v>
      </c>
      <c r="O101" s="64">
        <v>0</v>
      </c>
      <c r="P101" s="64">
        <v>0.28999999999999998</v>
      </c>
      <c r="Q101" s="64">
        <v>9.32</v>
      </c>
      <c r="S101" s="198"/>
      <c r="T101" s="198"/>
      <c r="U101" s="198"/>
    </row>
    <row r="102" spans="1:33" s="12" customFormat="1" x14ac:dyDescent="0.25">
      <c r="A102" s="214" t="s">
        <v>2452</v>
      </c>
      <c r="B102" s="64">
        <v>8.85</v>
      </c>
      <c r="C102" s="64">
        <v>17.690000000000001</v>
      </c>
      <c r="D102" s="64">
        <v>20.28</v>
      </c>
      <c r="E102" s="64">
        <v>4.37</v>
      </c>
      <c r="F102" s="64">
        <v>4.24</v>
      </c>
      <c r="G102" s="64">
        <v>12.5</v>
      </c>
      <c r="H102" s="64">
        <v>4.33</v>
      </c>
      <c r="I102" s="64">
        <v>4.04</v>
      </c>
      <c r="J102" s="9" t="s">
        <v>36</v>
      </c>
      <c r="K102" s="9" t="s">
        <v>36</v>
      </c>
      <c r="L102" s="64">
        <v>32.19</v>
      </c>
      <c r="M102" s="64">
        <v>57.83</v>
      </c>
      <c r="N102" s="64">
        <v>29.3</v>
      </c>
      <c r="O102" s="64">
        <v>0</v>
      </c>
      <c r="P102" s="64">
        <v>0.28999999999999998</v>
      </c>
      <c r="Q102" s="64">
        <v>9.31</v>
      </c>
      <c r="S102" s="198"/>
      <c r="T102" s="198"/>
      <c r="U102" s="198"/>
    </row>
    <row r="103" spans="1:33" s="12" customFormat="1" x14ac:dyDescent="0.25">
      <c r="A103" s="214" t="s">
        <v>2453</v>
      </c>
      <c r="B103" s="64">
        <v>7.48</v>
      </c>
      <c r="C103" s="64">
        <v>17.04</v>
      </c>
      <c r="D103" s="64">
        <v>21.13</v>
      </c>
      <c r="E103" s="64">
        <v>5.23</v>
      </c>
      <c r="F103" s="64">
        <v>8.2799999999999994</v>
      </c>
      <c r="G103" s="64">
        <v>12.5</v>
      </c>
      <c r="H103" s="64">
        <v>4.33</v>
      </c>
      <c r="I103" s="64">
        <v>4.08</v>
      </c>
      <c r="J103" s="9" t="s">
        <v>36</v>
      </c>
      <c r="K103" s="9" t="s">
        <v>36</v>
      </c>
      <c r="L103" s="64">
        <v>32.06</v>
      </c>
      <c r="M103" s="64">
        <v>63.06</v>
      </c>
      <c r="N103" s="64">
        <v>29.7</v>
      </c>
      <c r="O103" s="64">
        <v>0</v>
      </c>
      <c r="P103" s="64">
        <v>0.25</v>
      </c>
      <c r="Q103" s="64">
        <v>9.32</v>
      </c>
      <c r="S103" s="198"/>
      <c r="T103" s="198"/>
      <c r="U103" s="198"/>
    </row>
    <row r="104" spans="1:33" s="12" customFormat="1" x14ac:dyDescent="0.25">
      <c r="A104" s="214" t="s">
        <v>2454</v>
      </c>
      <c r="B104" s="64">
        <v>7.32</v>
      </c>
      <c r="C104" s="64">
        <v>16.489999999999998</v>
      </c>
      <c r="D104" s="64">
        <v>20.329999999999998</v>
      </c>
      <c r="E104" s="64">
        <v>4.3099999999999996</v>
      </c>
      <c r="F104" s="64">
        <v>8.6999999999999993</v>
      </c>
      <c r="G104" s="64">
        <v>12.5</v>
      </c>
      <c r="H104" s="64">
        <v>4.33</v>
      </c>
      <c r="I104" s="64">
        <v>3.84</v>
      </c>
      <c r="J104" s="9" t="s">
        <v>36</v>
      </c>
      <c r="K104" s="9" t="s">
        <v>36</v>
      </c>
      <c r="L104" s="64">
        <v>31.72</v>
      </c>
      <c r="M104" s="64">
        <v>62.64</v>
      </c>
      <c r="N104" s="64">
        <v>29.3</v>
      </c>
      <c r="O104" s="64">
        <v>0</v>
      </c>
      <c r="P104" s="64">
        <v>0.24</v>
      </c>
      <c r="Q104" s="64">
        <v>9.32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5.27</v>
      </c>
      <c r="C106" s="67">
        <f>MIN(C9:C104)</f>
        <v>14.1</v>
      </c>
      <c r="D106" s="67">
        <f t="shared" ref="D106:Q106" si="0">MIN(D9:D104)</f>
        <v>17.22</v>
      </c>
      <c r="E106" s="67">
        <f t="shared" si="0"/>
        <v>4.22</v>
      </c>
      <c r="F106" s="67">
        <f t="shared" si="0"/>
        <v>3.13</v>
      </c>
      <c r="G106" s="67">
        <f t="shared" si="0"/>
        <v>12.5</v>
      </c>
      <c r="H106" s="67">
        <f t="shared" si="0"/>
        <v>0.1</v>
      </c>
      <c r="I106" s="67">
        <f t="shared" si="0"/>
        <v>3.74</v>
      </c>
      <c r="J106" s="67">
        <f t="shared" si="0"/>
        <v>0</v>
      </c>
      <c r="K106" s="67">
        <f t="shared" si="0"/>
        <v>0</v>
      </c>
      <c r="L106" s="67">
        <f t="shared" si="0"/>
        <v>25.94</v>
      </c>
      <c r="M106" s="67">
        <f t="shared" si="0"/>
        <v>39.35</v>
      </c>
      <c r="N106" s="67">
        <f t="shared" si="0"/>
        <v>28.8</v>
      </c>
      <c r="O106" s="67">
        <f t="shared" si="0"/>
        <v>0</v>
      </c>
      <c r="P106" s="67">
        <f t="shared" si="0"/>
        <v>0.24</v>
      </c>
      <c r="Q106" s="67">
        <f t="shared" si="0"/>
        <v>9.18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12.96</v>
      </c>
      <c r="C107" s="66">
        <f t="shared" ref="C107:Q107" si="1">MAX(C9:C104)</f>
        <v>24.24</v>
      </c>
      <c r="D107" s="66">
        <f t="shared" si="1"/>
        <v>30.9</v>
      </c>
      <c r="E107" s="66">
        <f t="shared" si="1"/>
        <v>5.55</v>
      </c>
      <c r="F107" s="66">
        <f t="shared" si="1"/>
        <v>21.44</v>
      </c>
      <c r="G107" s="66">
        <f t="shared" si="1"/>
        <v>40.97</v>
      </c>
      <c r="H107" s="66">
        <f t="shared" si="1"/>
        <v>1014.77</v>
      </c>
      <c r="I107" s="66">
        <f t="shared" si="1"/>
        <v>4.22</v>
      </c>
      <c r="J107" s="66">
        <f t="shared" si="1"/>
        <v>0</v>
      </c>
      <c r="K107" s="66">
        <f t="shared" si="1"/>
        <v>0</v>
      </c>
      <c r="L107" s="66">
        <f t="shared" si="1"/>
        <v>39.44</v>
      </c>
      <c r="M107" s="66">
        <f t="shared" si="1"/>
        <v>86.93</v>
      </c>
      <c r="N107" s="66">
        <f t="shared" si="1"/>
        <v>725</v>
      </c>
      <c r="O107" s="66">
        <f t="shared" si="1"/>
        <v>0</v>
      </c>
      <c r="P107" s="66">
        <f t="shared" si="1"/>
        <v>0.54</v>
      </c>
      <c r="Q107" s="66">
        <f t="shared" si="1"/>
        <v>9.41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8.2620833333333348</v>
      </c>
      <c r="C108" s="67">
        <f t="shared" ref="C108:Q108" si="2">AVERAGE(C9:C104)</f>
        <v>18.353645833333328</v>
      </c>
      <c r="D108" s="67">
        <f t="shared" si="2"/>
        <v>22.448437500000001</v>
      </c>
      <c r="E108" s="67">
        <f t="shared" si="2"/>
        <v>4.8046875000000009</v>
      </c>
      <c r="F108" s="67">
        <f t="shared" si="2"/>
        <v>6.7896875000000039</v>
      </c>
      <c r="G108" s="67">
        <f t="shared" si="2"/>
        <v>21.338437499999998</v>
      </c>
      <c r="H108" s="67">
        <f t="shared" si="2"/>
        <v>111.41231707317073</v>
      </c>
      <c r="I108" s="67">
        <f t="shared" si="2"/>
        <v>3.9985416666666667</v>
      </c>
      <c r="J108" s="67" t="e">
        <f t="shared" si="2"/>
        <v>#DIV/0!</v>
      </c>
      <c r="K108" s="67" t="e">
        <f t="shared" si="2"/>
        <v>#DIV/0!</v>
      </c>
      <c r="L108" s="67">
        <f t="shared" si="2"/>
        <v>31.620520833333327</v>
      </c>
      <c r="M108" s="67">
        <f t="shared" si="2"/>
        <v>65.554270833333348</v>
      </c>
      <c r="N108" s="67">
        <f t="shared" si="2"/>
        <v>166.71250000000001</v>
      </c>
      <c r="O108" s="67">
        <f t="shared" si="2"/>
        <v>0</v>
      </c>
      <c r="P108" s="67">
        <f t="shared" si="2"/>
        <v>0.35229166666666628</v>
      </c>
      <c r="Q108" s="67">
        <f t="shared" si="2"/>
        <v>9.3018750000000097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1.8919057040408795</v>
      </c>
      <c r="C109" s="67">
        <f t="shared" ref="C109:Q109" si="3">STDEV(C9:C104)</f>
        <v>2.2458017533502761</v>
      </c>
      <c r="D109" s="67">
        <f t="shared" si="3"/>
        <v>3.1925852675832105</v>
      </c>
      <c r="E109" s="67">
        <f t="shared" si="3"/>
        <v>0.32662533864062854</v>
      </c>
      <c r="F109" s="67">
        <f t="shared" si="3"/>
        <v>3.5465762446633589</v>
      </c>
      <c r="G109" s="67">
        <f t="shared" si="3"/>
        <v>6.1149307054859685</v>
      </c>
      <c r="H109" s="67">
        <f t="shared" si="3"/>
        <v>213.66092725462377</v>
      </c>
      <c r="I109" s="67">
        <f t="shared" si="3"/>
        <v>0.10094270565306539</v>
      </c>
      <c r="J109" s="67" t="e">
        <f t="shared" si="3"/>
        <v>#DIV/0!</v>
      </c>
      <c r="K109" s="67" t="e">
        <f t="shared" si="3"/>
        <v>#DIV/0!</v>
      </c>
      <c r="L109" s="67">
        <f t="shared" si="3"/>
        <v>4.1790478315651063</v>
      </c>
      <c r="M109" s="67">
        <f t="shared" si="3"/>
        <v>15.496638124023061</v>
      </c>
      <c r="N109" s="67">
        <f t="shared" si="3"/>
        <v>196.65689772050362</v>
      </c>
      <c r="O109" s="67">
        <f t="shared" si="3"/>
        <v>0</v>
      </c>
      <c r="P109" s="67">
        <f t="shared" si="3"/>
        <v>6.226394017097113E-2</v>
      </c>
      <c r="Q109" s="67">
        <f t="shared" si="3"/>
        <v>6.4861187810666424E-2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COUNT(H9:H104)+14</f>
        <v>96</v>
      </c>
      <c r="I110" s="66">
        <f>COUNT(I9:I104)</f>
        <v>96</v>
      </c>
      <c r="J110" s="66">
        <f>COUNT(J9:J104)+96</f>
        <v>96</v>
      </c>
      <c r="K110" s="66">
        <f>COUNT(K9:K104)+96</f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30" sqref="H30:H3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2455</v>
      </c>
      <c r="B9" s="64">
        <v>7.45</v>
      </c>
      <c r="C9" s="64">
        <v>16.09</v>
      </c>
      <c r="D9" s="64">
        <v>19.37</v>
      </c>
      <c r="E9" s="64">
        <v>4.1399999999999997</v>
      </c>
      <c r="F9" s="64">
        <v>6.61</v>
      </c>
      <c r="G9" s="64">
        <v>12.25</v>
      </c>
      <c r="H9" s="64">
        <v>3.69</v>
      </c>
      <c r="I9" s="64">
        <v>3.9</v>
      </c>
      <c r="J9" s="210" t="s">
        <v>36</v>
      </c>
      <c r="K9" s="210" t="s">
        <v>36</v>
      </c>
      <c r="L9" s="210" t="s">
        <v>36</v>
      </c>
      <c r="M9" s="210" t="s">
        <v>36</v>
      </c>
      <c r="N9" s="210" t="s">
        <v>36</v>
      </c>
      <c r="O9" s="64">
        <v>0</v>
      </c>
      <c r="P9" s="64">
        <v>0.25</v>
      </c>
      <c r="Q9" s="64">
        <v>9.33</v>
      </c>
      <c r="R9" s="198"/>
      <c r="S9" s="198"/>
      <c r="T9" s="198"/>
      <c r="U9" s="198"/>
    </row>
    <row r="10" spans="1:21" s="12" customFormat="1" x14ac:dyDescent="0.25">
      <c r="A10" s="214" t="s">
        <v>2456</v>
      </c>
      <c r="B10" s="64">
        <v>8.3699999999999992</v>
      </c>
      <c r="C10" s="64">
        <v>16.64</v>
      </c>
      <c r="D10" s="64">
        <v>19</v>
      </c>
      <c r="E10" s="64">
        <v>4.2300000000000004</v>
      </c>
      <c r="F10" s="64">
        <v>5.16</v>
      </c>
      <c r="G10" s="64">
        <v>11.23</v>
      </c>
      <c r="H10" s="64">
        <v>1.1299999999999999</v>
      </c>
      <c r="I10" s="64">
        <v>3.94</v>
      </c>
      <c r="J10" s="210" t="s">
        <v>36</v>
      </c>
      <c r="K10" s="210" t="s">
        <v>36</v>
      </c>
      <c r="L10" s="210" t="s">
        <v>36</v>
      </c>
      <c r="M10" s="210" t="s">
        <v>36</v>
      </c>
      <c r="N10" s="210" t="s">
        <v>36</v>
      </c>
      <c r="O10" s="64">
        <v>0</v>
      </c>
      <c r="P10" s="64">
        <v>0.26</v>
      </c>
      <c r="Q10" s="64">
        <v>9.32</v>
      </c>
      <c r="R10" s="198"/>
      <c r="S10" s="198"/>
      <c r="T10" s="198"/>
      <c r="U10" s="198"/>
    </row>
    <row r="11" spans="1:21" s="12" customFormat="1" x14ac:dyDescent="0.25">
      <c r="A11" s="214" t="s">
        <v>2457</v>
      </c>
      <c r="B11" s="64">
        <v>8.5500000000000007</v>
      </c>
      <c r="C11" s="64">
        <v>16.62</v>
      </c>
      <c r="D11" s="64">
        <v>18.68</v>
      </c>
      <c r="E11" s="64">
        <v>4.08</v>
      </c>
      <c r="F11" s="64">
        <v>6.19</v>
      </c>
      <c r="G11" s="64">
        <v>11.23</v>
      </c>
      <c r="H11" s="64">
        <v>1.1299999999999999</v>
      </c>
      <c r="I11" s="64">
        <v>4.1500000000000004</v>
      </c>
      <c r="J11" s="210" t="s">
        <v>36</v>
      </c>
      <c r="K11" s="210" t="s">
        <v>36</v>
      </c>
      <c r="L11" s="210" t="s">
        <v>36</v>
      </c>
      <c r="M11" s="210" t="s">
        <v>36</v>
      </c>
      <c r="N11" s="210" t="s">
        <v>36</v>
      </c>
      <c r="O11" s="64">
        <v>0</v>
      </c>
      <c r="P11" s="64">
        <v>0.25</v>
      </c>
      <c r="Q11" s="64">
        <v>9.32</v>
      </c>
      <c r="R11" s="198"/>
      <c r="S11" s="198"/>
      <c r="T11" s="198"/>
      <c r="U11" s="198"/>
    </row>
    <row r="12" spans="1:21" s="12" customFormat="1" x14ac:dyDescent="0.25">
      <c r="A12" s="214" t="s">
        <v>2458</v>
      </c>
      <c r="B12" s="64">
        <v>7.93</v>
      </c>
      <c r="C12" s="64">
        <v>15.88</v>
      </c>
      <c r="D12" s="64">
        <v>18.23</v>
      </c>
      <c r="E12" s="64">
        <v>4</v>
      </c>
      <c r="F12" s="64">
        <v>7.8</v>
      </c>
      <c r="G12" s="64">
        <v>11.23</v>
      </c>
      <c r="H12" s="64">
        <v>1.1299999999999999</v>
      </c>
      <c r="I12" s="64">
        <v>4.03</v>
      </c>
      <c r="J12" s="210" t="s">
        <v>36</v>
      </c>
      <c r="K12" s="210" t="s">
        <v>36</v>
      </c>
      <c r="L12" s="210" t="s">
        <v>36</v>
      </c>
      <c r="M12" s="210" t="s">
        <v>36</v>
      </c>
      <c r="N12" s="210" t="s">
        <v>36</v>
      </c>
      <c r="O12" s="64">
        <v>0</v>
      </c>
      <c r="P12" s="64">
        <v>0.25</v>
      </c>
      <c r="Q12" s="64">
        <v>9.32</v>
      </c>
      <c r="R12" s="198"/>
      <c r="S12" s="198"/>
      <c r="T12" s="198"/>
      <c r="U12" s="198"/>
    </row>
    <row r="13" spans="1:21" s="12" customFormat="1" x14ac:dyDescent="0.25">
      <c r="A13" s="214" t="s">
        <v>2459</v>
      </c>
      <c r="B13" s="64">
        <v>8.0500000000000007</v>
      </c>
      <c r="C13" s="64">
        <v>15.56</v>
      </c>
      <c r="D13" s="64">
        <v>17.43</v>
      </c>
      <c r="E13" s="64">
        <v>4.0999999999999996</v>
      </c>
      <c r="F13" s="64">
        <v>7.2</v>
      </c>
      <c r="G13" s="64">
        <v>11.36</v>
      </c>
      <c r="H13" s="64">
        <v>1.05</v>
      </c>
      <c r="I13" s="64">
        <v>3.93</v>
      </c>
      <c r="J13" s="210" t="s">
        <v>36</v>
      </c>
      <c r="K13" s="210" t="s">
        <v>36</v>
      </c>
      <c r="L13" s="210" t="s">
        <v>36</v>
      </c>
      <c r="M13" s="210" t="s">
        <v>36</v>
      </c>
      <c r="N13" s="210" t="s">
        <v>36</v>
      </c>
      <c r="O13" s="64">
        <v>0</v>
      </c>
      <c r="P13" s="64">
        <v>0.24</v>
      </c>
      <c r="Q13" s="64">
        <v>9.33</v>
      </c>
      <c r="R13" s="198"/>
      <c r="S13" s="198"/>
      <c r="T13" s="198"/>
      <c r="U13" s="198"/>
    </row>
    <row r="14" spans="1:21" s="12" customFormat="1" x14ac:dyDescent="0.25">
      <c r="A14" s="214" t="s">
        <v>2460</v>
      </c>
      <c r="B14" s="64">
        <v>8.15</v>
      </c>
      <c r="C14" s="64">
        <v>15.52</v>
      </c>
      <c r="D14" s="64">
        <v>17.2</v>
      </c>
      <c r="E14" s="64">
        <v>4.18</v>
      </c>
      <c r="F14" s="64">
        <v>5.88</v>
      </c>
      <c r="G14" s="64">
        <v>11.9</v>
      </c>
      <c r="H14" s="64">
        <v>4.12</v>
      </c>
      <c r="I14" s="64">
        <v>3.94</v>
      </c>
      <c r="J14" s="210" t="s">
        <v>36</v>
      </c>
      <c r="K14" s="210" t="s">
        <v>36</v>
      </c>
      <c r="L14" s="210" t="s">
        <v>36</v>
      </c>
      <c r="M14" s="210" t="s">
        <v>36</v>
      </c>
      <c r="N14" s="210" t="s">
        <v>36</v>
      </c>
      <c r="O14" s="64">
        <v>0</v>
      </c>
      <c r="P14" s="64">
        <v>0.25</v>
      </c>
      <c r="Q14" s="64">
        <v>9.33</v>
      </c>
      <c r="R14" s="198"/>
      <c r="S14" s="198"/>
      <c r="T14" s="198"/>
      <c r="U14" s="198"/>
    </row>
    <row r="15" spans="1:21" s="12" customFormat="1" x14ac:dyDescent="0.25">
      <c r="A15" s="214" t="s">
        <v>2461</v>
      </c>
      <c r="B15" s="64">
        <v>9.75</v>
      </c>
      <c r="C15" s="64">
        <v>16.97</v>
      </c>
      <c r="D15" s="64">
        <v>17.510000000000002</v>
      </c>
      <c r="E15" s="64">
        <v>4.1500000000000004</v>
      </c>
      <c r="F15" s="64">
        <v>4.4000000000000004</v>
      </c>
      <c r="G15" s="64">
        <v>11.9</v>
      </c>
      <c r="H15" s="64">
        <v>4.12</v>
      </c>
      <c r="I15" s="64">
        <v>3.96</v>
      </c>
      <c r="J15" s="210" t="s">
        <v>36</v>
      </c>
      <c r="K15" s="210" t="s">
        <v>36</v>
      </c>
      <c r="L15" s="210" t="s">
        <v>36</v>
      </c>
      <c r="M15" s="210" t="s">
        <v>36</v>
      </c>
      <c r="N15" s="210" t="s">
        <v>36</v>
      </c>
      <c r="O15" s="64">
        <v>0</v>
      </c>
      <c r="P15" s="64">
        <v>0.27</v>
      </c>
      <c r="Q15" s="64">
        <v>9.32</v>
      </c>
      <c r="R15" s="198"/>
      <c r="S15" s="198"/>
      <c r="T15" s="198"/>
      <c r="U15" s="198"/>
    </row>
    <row r="16" spans="1:21" s="12" customFormat="1" x14ac:dyDescent="0.25">
      <c r="A16" s="214" t="s">
        <v>2462</v>
      </c>
      <c r="B16" s="64">
        <v>9.5500000000000007</v>
      </c>
      <c r="C16" s="64">
        <v>17.38</v>
      </c>
      <c r="D16" s="64">
        <v>18.61</v>
      </c>
      <c r="E16" s="64">
        <v>4.22</v>
      </c>
      <c r="F16" s="64">
        <v>3.6</v>
      </c>
      <c r="G16" s="64">
        <v>11.9</v>
      </c>
      <c r="H16" s="64">
        <v>4.12</v>
      </c>
      <c r="I16" s="64">
        <v>4.01</v>
      </c>
      <c r="J16" s="210" t="s">
        <v>36</v>
      </c>
      <c r="K16" s="210" t="s">
        <v>36</v>
      </c>
      <c r="L16" s="210" t="s">
        <v>36</v>
      </c>
      <c r="M16" s="210" t="s">
        <v>36</v>
      </c>
      <c r="N16" s="210" t="s">
        <v>36</v>
      </c>
      <c r="O16" s="64">
        <v>0</v>
      </c>
      <c r="P16" s="64">
        <v>0.26</v>
      </c>
      <c r="Q16" s="64">
        <v>9.31</v>
      </c>
      <c r="R16" s="198"/>
      <c r="S16" s="198"/>
      <c r="T16" s="198"/>
      <c r="U16" s="198"/>
    </row>
    <row r="17" spans="1:21" s="12" customFormat="1" x14ac:dyDescent="0.25">
      <c r="A17" s="214" t="s">
        <v>2463</v>
      </c>
      <c r="B17" s="64">
        <v>9.17</v>
      </c>
      <c r="C17" s="64">
        <v>16.850000000000001</v>
      </c>
      <c r="D17" s="64">
        <v>18.18</v>
      </c>
      <c r="E17" s="64">
        <v>4.53</v>
      </c>
      <c r="F17" s="64">
        <v>5.08</v>
      </c>
      <c r="G17" s="64">
        <v>11.62</v>
      </c>
      <c r="H17" s="64">
        <v>4.12</v>
      </c>
      <c r="I17" s="64">
        <v>3.93</v>
      </c>
      <c r="J17" s="210" t="s">
        <v>36</v>
      </c>
      <c r="K17" s="210" t="s">
        <v>36</v>
      </c>
      <c r="L17" s="210" t="s">
        <v>36</v>
      </c>
      <c r="M17" s="210" t="s">
        <v>36</v>
      </c>
      <c r="N17" s="210" t="s">
        <v>36</v>
      </c>
      <c r="O17" s="64">
        <v>0</v>
      </c>
      <c r="P17" s="64">
        <v>0.25</v>
      </c>
      <c r="Q17" s="64">
        <v>9.32</v>
      </c>
      <c r="R17" s="198"/>
      <c r="S17" s="198"/>
      <c r="T17" s="198"/>
      <c r="U17" s="198"/>
    </row>
    <row r="18" spans="1:21" s="12" customFormat="1" x14ac:dyDescent="0.25">
      <c r="A18" s="214" t="s">
        <v>2464</v>
      </c>
      <c r="B18" s="64">
        <v>8.7100000000000009</v>
      </c>
      <c r="C18" s="64">
        <v>16.52</v>
      </c>
      <c r="D18" s="64">
        <v>18.25</v>
      </c>
      <c r="E18" s="64">
        <v>4.08</v>
      </c>
      <c r="F18" s="64">
        <v>5.37</v>
      </c>
      <c r="G18" s="64">
        <v>10.43</v>
      </c>
      <c r="H18" s="64">
        <v>4.12</v>
      </c>
      <c r="I18" s="64">
        <v>3.87</v>
      </c>
      <c r="J18" s="210" t="s">
        <v>36</v>
      </c>
      <c r="K18" s="210" t="s">
        <v>36</v>
      </c>
      <c r="L18" s="210" t="s">
        <v>36</v>
      </c>
      <c r="M18" s="210" t="s">
        <v>36</v>
      </c>
      <c r="N18" s="210" t="s">
        <v>36</v>
      </c>
      <c r="O18" s="64">
        <v>0</v>
      </c>
      <c r="P18" s="64">
        <v>0.25</v>
      </c>
      <c r="Q18" s="64">
        <v>9.31</v>
      </c>
      <c r="R18" s="198"/>
      <c r="S18" s="198"/>
      <c r="T18" s="198"/>
      <c r="U18" s="198"/>
    </row>
    <row r="19" spans="1:21" s="12" customFormat="1" x14ac:dyDescent="0.25">
      <c r="A19" s="214" t="s">
        <v>2465</v>
      </c>
      <c r="B19" s="64">
        <v>9.31</v>
      </c>
      <c r="C19" s="64">
        <v>16.86</v>
      </c>
      <c r="D19" s="64">
        <v>17.989999999999998</v>
      </c>
      <c r="E19" s="64">
        <v>3.88</v>
      </c>
      <c r="F19" s="64">
        <v>4.4000000000000004</v>
      </c>
      <c r="G19" s="64">
        <v>10.43</v>
      </c>
      <c r="H19" s="64">
        <v>4.12</v>
      </c>
      <c r="I19" s="64">
        <v>4.07</v>
      </c>
      <c r="J19" s="210" t="s">
        <v>36</v>
      </c>
      <c r="K19" s="210" t="s">
        <v>36</v>
      </c>
      <c r="L19" s="210" t="s">
        <v>36</v>
      </c>
      <c r="M19" s="210" t="s">
        <v>36</v>
      </c>
      <c r="N19" s="210" t="s">
        <v>36</v>
      </c>
      <c r="O19" s="64">
        <v>0</v>
      </c>
      <c r="P19" s="64">
        <v>0.25</v>
      </c>
      <c r="Q19" s="64">
        <v>9.31</v>
      </c>
      <c r="R19" s="198"/>
      <c r="S19" s="198"/>
      <c r="T19" s="198"/>
      <c r="U19" s="198"/>
    </row>
    <row r="20" spans="1:21" s="12" customFormat="1" x14ac:dyDescent="0.25">
      <c r="A20" s="214" t="s">
        <v>2466</v>
      </c>
      <c r="B20" s="64">
        <v>9.32</v>
      </c>
      <c r="C20" s="64">
        <v>16.920000000000002</v>
      </c>
      <c r="D20" s="64">
        <v>18.09</v>
      </c>
      <c r="E20" s="64">
        <v>3.59</v>
      </c>
      <c r="F20" s="64">
        <v>4.29</v>
      </c>
      <c r="G20" s="64">
        <v>10.43</v>
      </c>
      <c r="H20" s="64">
        <v>4.12</v>
      </c>
      <c r="I20" s="64">
        <v>4.0999999999999996</v>
      </c>
      <c r="J20" s="210" t="s">
        <v>36</v>
      </c>
      <c r="K20" s="210" t="s">
        <v>36</v>
      </c>
      <c r="L20" s="210" t="s">
        <v>36</v>
      </c>
      <c r="M20" s="210" t="s">
        <v>36</v>
      </c>
      <c r="N20" s="210" t="s">
        <v>36</v>
      </c>
      <c r="O20" s="64">
        <v>0</v>
      </c>
      <c r="P20" s="64">
        <v>0.24</v>
      </c>
      <c r="Q20" s="64">
        <v>9.32</v>
      </c>
      <c r="R20" s="198"/>
      <c r="S20" s="198"/>
      <c r="T20" s="198"/>
      <c r="U20" s="198"/>
    </row>
    <row r="21" spans="1:21" s="12" customFormat="1" x14ac:dyDescent="0.25">
      <c r="A21" s="214" t="s">
        <v>2467</v>
      </c>
      <c r="B21" s="64">
        <v>10.130000000000001</v>
      </c>
      <c r="C21" s="64">
        <v>17.53</v>
      </c>
      <c r="D21" s="64">
        <v>18.010000000000002</v>
      </c>
      <c r="E21" s="64">
        <v>3.87</v>
      </c>
      <c r="F21" s="64">
        <v>3.62</v>
      </c>
      <c r="G21" s="64">
        <v>9.91</v>
      </c>
      <c r="H21" s="64">
        <v>4.12</v>
      </c>
      <c r="I21" s="64">
        <v>3.99</v>
      </c>
      <c r="J21" s="210" t="s">
        <v>36</v>
      </c>
      <c r="K21" s="210" t="s">
        <v>36</v>
      </c>
      <c r="L21" s="210" t="s">
        <v>36</v>
      </c>
      <c r="M21" s="210" t="s">
        <v>36</v>
      </c>
      <c r="N21" s="210" t="s">
        <v>36</v>
      </c>
      <c r="O21" s="64">
        <v>0</v>
      </c>
      <c r="P21" s="64">
        <v>0.26</v>
      </c>
      <c r="Q21" s="64">
        <v>9.32</v>
      </c>
      <c r="R21" s="198"/>
      <c r="S21" s="198"/>
      <c r="T21" s="198"/>
      <c r="U21" s="198"/>
    </row>
    <row r="22" spans="1:21" s="12" customFormat="1" x14ac:dyDescent="0.25">
      <c r="A22" s="214" t="s">
        <v>2468</v>
      </c>
      <c r="B22" s="64">
        <v>10.11</v>
      </c>
      <c r="C22" s="64">
        <v>17.77</v>
      </c>
      <c r="D22" s="64">
        <v>18.5</v>
      </c>
      <c r="E22" s="64">
        <v>4.1500000000000004</v>
      </c>
      <c r="F22" s="64">
        <v>4.28</v>
      </c>
      <c r="G22" s="64">
        <v>7.68</v>
      </c>
      <c r="H22" s="64">
        <v>4.12</v>
      </c>
      <c r="I22" s="64">
        <v>4.04</v>
      </c>
      <c r="J22" s="210" t="s">
        <v>36</v>
      </c>
      <c r="K22" s="210" t="s">
        <v>36</v>
      </c>
      <c r="L22" s="210" t="s">
        <v>36</v>
      </c>
      <c r="M22" s="210" t="s">
        <v>36</v>
      </c>
      <c r="N22" s="210" t="s">
        <v>36</v>
      </c>
      <c r="O22" s="64">
        <v>0</v>
      </c>
      <c r="P22" s="64">
        <v>0.25</v>
      </c>
      <c r="Q22" s="64">
        <v>9.32</v>
      </c>
      <c r="R22" s="198"/>
      <c r="S22" s="198"/>
      <c r="T22" s="198"/>
      <c r="U22" s="198"/>
    </row>
    <row r="23" spans="1:21" s="12" customFormat="1" x14ac:dyDescent="0.25">
      <c r="A23" s="214" t="s">
        <v>2469</v>
      </c>
      <c r="B23" s="64">
        <v>10.14</v>
      </c>
      <c r="C23" s="64">
        <v>18.05</v>
      </c>
      <c r="D23" s="64">
        <v>18.989999999999998</v>
      </c>
      <c r="E23" s="64">
        <v>4.1900000000000004</v>
      </c>
      <c r="F23" s="64">
        <v>3.38</v>
      </c>
      <c r="G23" s="64">
        <v>7.68</v>
      </c>
      <c r="H23" s="64">
        <v>4.12</v>
      </c>
      <c r="I23" s="64">
        <v>4.01</v>
      </c>
      <c r="J23" s="210" t="s">
        <v>36</v>
      </c>
      <c r="K23" s="210" t="s">
        <v>36</v>
      </c>
      <c r="L23" s="210" t="s">
        <v>36</v>
      </c>
      <c r="M23" s="210" t="s">
        <v>36</v>
      </c>
      <c r="N23" s="210" t="s">
        <v>36</v>
      </c>
      <c r="O23" s="64">
        <v>0</v>
      </c>
      <c r="P23" s="64">
        <v>0.24</v>
      </c>
      <c r="Q23" s="64">
        <v>9.33</v>
      </c>
      <c r="R23" s="198"/>
      <c r="S23" s="198"/>
      <c r="T23" s="198"/>
      <c r="U23" s="198"/>
    </row>
    <row r="24" spans="1:21" s="12" customFormat="1" x14ac:dyDescent="0.25">
      <c r="A24" s="214" t="s">
        <v>2470</v>
      </c>
      <c r="B24" s="64">
        <v>10.45</v>
      </c>
      <c r="C24" s="64">
        <v>18.11</v>
      </c>
      <c r="D24" s="64">
        <v>18.61</v>
      </c>
      <c r="E24" s="64">
        <v>4.2699999999999996</v>
      </c>
      <c r="F24" s="64">
        <v>4.2300000000000004</v>
      </c>
      <c r="G24" s="64">
        <v>7.68</v>
      </c>
      <c r="H24" s="64">
        <v>4.12</v>
      </c>
      <c r="I24" s="64">
        <v>3.85</v>
      </c>
      <c r="J24" s="210" t="s">
        <v>36</v>
      </c>
      <c r="K24" s="210" t="s">
        <v>36</v>
      </c>
      <c r="L24" s="210" t="s">
        <v>36</v>
      </c>
      <c r="M24" s="210" t="s">
        <v>36</v>
      </c>
      <c r="N24" s="210" t="s">
        <v>36</v>
      </c>
      <c r="O24" s="64">
        <v>0</v>
      </c>
      <c r="P24" s="64">
        <v>0.24</v>
      </c>
      <c r="Q24" s="64">
        <v>9.34</v>
      </c>
      <c r="R24" s="198"/>
      <c r="S24" s="198"/>
      <c r="T24" s="198"/>
      <c r="U24" s="198"/>
    </row>
    <row r="25" spans="1:21" s="12" customFormat="1" x14ac:dyDescent="0.25">
      <c r="A25" s="214" t="s">
        <v>2471</v>
      </c>
      <c r="B25" s="64">
        <v>9.1300000000000008</v>
      </c>
      <c r="C25" s="64">
        <v>17.29</v>
      </c>
      <c r="D25" s="64">
        <v>19.07</v>
      </c>
      <c r="E25" s="64">
        <v>3.95</v>
      </c>
      <c r="F25" s="64">
        <v>6.72</v>
      </c>
      <c r="G25" s="64">
        <v>7.64</v>
      </c>
      <c r="H25" s="64">
        <v>4.12</v>
      </c>
      <c r="I25" s="64">
        <v>3.95</v>
      </c>
      <c r="J25" s="210" t="s">
        <v>36</v>
      </c>
      <c r="K25" s="210" t="s">
        <v>36</v>
      </c>
      <c r="L25" s="210" t="s">
        <v>36</v>
      </c>
      <c r="M25" s="210" t="s">
        <v>36</v>
      </c>
      <c r="N25" s="210" t="s">
        <v>36</v>
      </c>
      <c r="O25" s="64">
        <v>0</v>
      </c>
      <c r="P25" s="64">
        <v>0.22</v>
      </c>
      <c r="Q25" s="64">
        <v>9.36</v>
      </c>
      <c r="R25" s="198"/>
      <c r="S25" s="198"/>
      <c r="T25" s="198"/>
      <c r="U25" s="198"/>
    </row>
    <row r="26" spans="1:21" s="12" customFormat="1" x14ac:dyDescent="0.25">
      <c r="A26" s="214" t="s">
        <v>2472</v>
      </c>
      <c r="B26" s="64">
        <v>8.01</v>
      </c>
      <c r="C26" s="64">
        <v>16.2</v>
      </c>
      <c r="D26" s="64">
        <v>18.71</v>
      </c>
      <c r="E26" s="64">
        <v>3.99</v>
      </c>
      <c r="F26" s="64">
        <v>7.82</v>
      </c>
      <c r="G26" s="64">
        <v>7.44</v>
      </c>
      <c r="H26" s="64">
        <v>2.86</v>
      </c>
      <c r="I26" s="64">
        <v>3.96</v>
      </c>
      <c r="J26" s="210" t="s">
        <v>36</v>
      </c>
      <c r="K26" s="210" t="s">
        <v>36</v>
      </c>
      <c r="L26" s="210" t="s">
        <v>36</v>
      </c>
      <c r="M26" s="210" t="s">
        <v>36</v>
      </c>
      <c r="N26" s="210" t="s">
        <v>36</v>
      </c>
      <c r="O26" s="64">
        <v>0</v>
      </c>
      <c r="P26" s="64">
        <v>0.21</v>
      </c>
      <c r="Q26" s="64">
        <v>9.36</v>
      </c>
      <c r="R26" s="198"/>
      <c r="S26" s="198"/>
      <c r="T26" s="198"/>
      <c r="U26" s="198"/>
    </row>
    <row r="27" spans="1:21" s="12" customFormat="1" x14ac:dyDescent="0.25">
      <c r="A27" s="214" t="s">
        <v>2473</v>
      </c>
      <c r="B27" s="64">
        <v>10.33</v>
      </c>
      <c r="C27" s="64">
        <v>20.82</v>
      </c>
      <c r="D27" s="64">
        <v>23.99</v>
      </c>
      <c r="E27" s="64">
        <v>3.72</v>
      </c>
      <c r="F27" s="64">
        <v>6.77</v>
      </c>
      <c r="G27" s="64">
        <v>7.44</v>
      </c>
      <c r="H27" s="64">
        <v>2.86</v>
      </c>
      <c r="I27" s="64">
        <v>3.93</v>
      </c>
      <c r="J27" s="210" t="s">
        <v>36</v>
      </c>
      <c r="K27" s="210" t="s">
        <v>36</v>
      </c>
      <c r="L27" s="210" t="s">
        <v>36</v>
      </c>
      <c r="M27" s="210" t="s">
        <v>36</v>
      </c>
      <c r="N27" s="210" t="s">
        <v>36</v>
      </c>
      <c r="O27" s="64">
        <v>0</v>
      </c>
      <c r="P27" s="64">
        <v>0.23</v>
      </c>
      <c r="Q27" s="64">
        <v>9.3699999999999992</v>
      </c>
      <c r="R27" s="198"/>
      <c r="S27" s="198"/>
      <c r="T27" s="198"/>
      <c r="U27" s="198"/>
    </row>
    <row r="28" spans="1:21" s="12" customFormat="1" x14ac:dyDescent="0.25">
      <c r="A28" s="214" t="s">
        <v>2474</v>
      </c>
      <c r="B28" s="64">
        <v>10.17</v>
      </c>
      <c r="C28" s="64">
        <v>20.29</v>
      </c>
      <c r="D28" s="64">
        <v>23.22</v>
      </c>
      <c r="E28" s="64">
        <v>3.86</v>
      </c>
      <c r="F28" s="64">
        <v>7.08</v>
      </c>
      <c r="G28" s="64">
        <v>7.44</v>
      </c>
      <c r="H28" s="64">
        <v>2.86</v>
      </c>
      <c r="I28" s="64">
        <v>3.83</v>
      </c>
      <c r="J28" s="210" t="s">
        <v>36</v>
      </c>
      <c r="K28" s="210" t="s">
        <v>36</v>
      </c>
      <c r="L28" s="210" t="s">
        <v>36</v>
      </c>
      <c r="M28" s="210" t="s">
        <v>36</v>
      </c>
      <c r="N28" s="210" t="s">
        <v>36</v>
      </c>
      <c r="O28" s="64">
        <v>0</v>
      </c>
      <c r="P28" s="64">
        <v>0.22</v>
      </c>
      <c r="Q28" s="64">
        <v>9.3800000000000008</v>
      </c>
      <c r="R28" s="198"/>
      <c r="S28" s="198"/>
      <c r="T28" s="198"/>
      <c r="U28" s="198"/>
    </row>
    <row r="29" spans="1:21" s="12" customFormat="1" x14ac:dyDescent="0.25">
      <c r="A29" s="214" t="s">
        <v>2475</v>
      </c>
      <c r="B29" s="64">
        <v>10.08</v>
      </c>
      <c r="C29" s="64">
        <v>19.579999999999998</v>
      </c>
      <c r="D29" s="64">
        <v>22</v>
      </c>
      <c r="E29" s="64">
        <v>4.1399999999999997</v>
      </c>
      <c r="F29" s="64">
        <v>7.8</v>
      </c>
      <c r="G29" s="64">
        <v>7.31</v>
      </c>
      <c r="H29" s="64">
        <v>2.86</v>
      </c>
      <c r="I29" s="64">
        <v>4.09</v>
      </c>
      <c r="J29" s="210" t="s">
        <v>36</v>
      </c>
      <c r="K29" s="210" t="s">
        <v>36</v>
      </c>
      <c r="L29" s="210" t="s">
        <v>36</v>
      </c>
      <c r="M29" s="210" t="s">
        <v>36</v>
      </c>
      <c r="N29" s="210" t="s">
        <v>36</v>
      </c>
      <c r="O29" s="64">
        <v>0</v>
      </c>
      <c r="P29" s="64">
        <v>0.23</v>
      </c>
      <c r="Q29" s="64">
        <v>9.3800000000000008</v>
      </c>
      <c r="R29" s="198"/>
      <c r="S29" s="198"/>
      <c r="T29" s="198"/>
      <c r="U29" s="198"/>
    </row>
    <row r="30" spans="1:21" s="12" customFormat="1" x14ac:dyDescent="0.25">
      <c r="A30" s="214" t="s">
        <v>2476</v>
      </c>
      <c r="B30" s="64">
        <v>8.67</v>
      </c>
      <c r="C30" s="64">
        <v>17.59</v>
      </c>
      <c r="D30" s="64">
        <v>20.350000000000001</v>
      </c>
      <c r="E30" s="64">
        <v>4.2699999999999996</v>
      </c>
      <c r="F30" s="64">
        <v>6.85</v>
      </c>
      <c r="G30" s="64">
        <v>6.79</v>
      </c>
      <c r="H30" s="64">
        <v>2.1800000000000002</v>
      </c>
      <c r="I30" s="64">
        <v>3.92</v>
      </c>
      <c r="J30" s="210" t="s">
        <v>36</v>
      </c>
      <c r="K30" s="210" t="s">
        <v>36</v>
      </c>
      <c r="L30" s="210" t="s">
        <v>36</v>
      </c>
      <c r="M30" s="210" t="s">
        <v>36</v>
      </c>
      <c r="N30" s="210" t="s">
        <v>36</v>
      </c>
      <c r="O30" s="64">
        <v>0</v>
      </c>
      <c r="P30" s="64">
        <v>0.23</v>
      </c>
      <c r="Q30" s="64">
        <v>9.3699999999999992</v>
      </c>
      <c r="R30" s="198"/>
      <c r="S30" s="198"/>
      <c r="T30" s="198"/>
      <c r="U30" s="198"/>
    </row>
    <row r="31" spans="1:21" s="12" customFormat="1" x14ac:dyDescent="0.25">
      <c r="A31" s="214" t="s">
        <v>2477</v>
      </c>
      <c r="B31" s="64">
        <v>9.9600000000000009</v>
      </c>
      <c r="C31" s="64">
        <v>19.96</v>
      </c>
      <c r="D31" s="64">
        <v>22.91</v>
      </c>
      <c r="E31" s="64">
        <v>4.13</v>
      </c>
      <c r="F31" s="64">
        <v>6.48</v>
      </c>
      <c r="G31" s="64">
        <v>6.79</v>
      </c>
      <c r="H31" s="64">
        <v>2.1800000000000002</v>
      </c>
      <c r="I31" s="64">
        <v>4.0999999999999996</v>
      </c>
      <c r="J31" s="210" t="s">
        <v>36</v>
      </c>
      <c r="K31" s="210" t="s">
        <v>36</v>
      </c>
      <c r="L31" s="210" t="s">
        <v>36</v>
      </c>
      <c r="M31" s="210" t="s">
        <v>36</v>
      </c>
      <c r="N31" s="210" t="s">
        <v>36</v>
      </c>
      <c r="O31" s="64">
        <v>0</v>
      </c>
      <c r="P31" s="64">
        <v>0.23</v>
      </c>
      <c r="Q31" s="64">
        <v>9.39</v>
      </c>
      <c r="R31" s="198"/>
      <c r="S31" s="198"/>
      <c r="T31" s="198"/>
      <c r="U31" s="198"/>
    </row>
    <row r="32" spans="1:21" s="12" customFormat="1" x14ac:dyDescent="0.25">
      <c r="A32" s="214" t="s">
        <v>2478</v>
      </c>
      <c r="B32" s="64">
        <v>10.83</v>
      </c>
      <c r="C32" s="64">
        <v>20.010000000000002</v>
      </c>
      <c r="D32" s="64">
        <v>21.67</v>
      </c>
      <c r="E32" s="64">
        <v>4.3499999999999996</v>
      </c>
      <c r="F32" s="64">
        <v>4.78</v>
      </c>
      <c r="G32" s="64">
        <v>6.79</v>
      </c>
      <c r="H32" s="64">
        <v>2.1800000000000002</v>
      </c>
      <c r="I32" s="64">
        <v>4.05</v>
      </c>
      <c r="J32" s="210" t="s">
        <v>36</v>
      </c>
      <c r="K32" s="210" t="s">
        <v>36</v>
      </c>
      <c r="L32" s="210" t="s">
        <v>36</v>
      </c>
      <c r="M32" s="210" t="s">
        <v>36</v>
      </c>
      <c r="N32" s="210" t="s">
        <v>36</v>
      </c>
      <c r="O32" s="64">
        <v>0</v>
      </c>
      <c r="P32" s="64">
        <v>0.23</v>
      </c>
      <c r="Q32" s="64">
        <v>9.4</v>
      </c>
      <c r="R32" s="198"/>
      <c r="S32" s="198"/>
      <c r="T32" s="198"/>
      <c r="U32" s="198"/>
    </row>
    <row r="33" spans="1:21" s="12" customFormat="1" x14ac:dyDescent="0.25">
      <c r="A33" s="214" t="s">
        <v>2479</v>
      </c>
      <c r="B33" s="64">
        <v>12.53</v>
      </c>
      <c r="C33" s="64">
        <v>21</v>
      </c>
      <c r="D33" s="64">
        <v>20.97</v>
      </c>
      <c r="E33" s="64">
        <v>4.16</v>
      </c>
      <c r="F33" s="64">
        <v>3.96</v>
      </c>
      <c r="G33" s="64">
        <v>7.29</v>
      </c>
      <c r="H33" s="64">
        <v>6.3</v>
      </c>
      <c r="I33" s="64">
        <v>3.96</v>
      </c>
      <c r="J33" s="210" t="s">
        <v>36</v>
      </c>
      <c r="K33" s="210" t="s">
        <v>36</v>
      </c>
      <c r="L33" s="210" t="s">
        <v>36</v>
      </c>
      <c r="M33" s="210" t="s">
        <v>36</v>
      </c>
      <c r="N33" s="210" t="s">
        <v>36</v>
      </c>
      <c r="O33" s="64">
        <v>0</v>
      </c>
      <c r="P33" s="64">
        <v>0.24</v>
      </c>
      <c r="Q33" s="64">
        <v>9.39</v>
      </c>
      <c r="R33" s="198"/>
      <c r="S33" s="198"/>
      <c r="T33" s="198"/>
      <c r="U33" s="198"/>
    </row>
    <row r="34" spans="1:21" s="12" customFormat="1" x14ac:dyDescent="0.25">
      <c r="A34" s="214" t="s">
        <v>2480</v>
      </c>
      <c r="B34" s="64">
        <v>12.9</v>
      </c>
      <c r="C34" s="64">
        <v>21.39</v>
      </c>
      <c r="D34" s="64">
        <v>21.14</v>
      </c>
      <c r="E34" s="64">
        <v>3.91</v>
      </c>
      <c r="F34" s="64">
        <v>4.1900000000000004</v>
      </c>
      <c r="G34" s="64">
        <v>9.41</v>
      </c>
      <c r="H34" s="64">
        <v>2.54</v>
      </c>
      <c r="I34" s="64">
        <v>4.1399999999999997</v>
      </c>
      <c r="J34" s="210" t="s">
        <v>36</v>
      </c>
      <c r="K34" s="210" t="s">
        <v>36</v>
      </c>
      <c r="L34" s="210" t="s">
        <v>36</v>
      </c>
      <c r="M34" s="210" t="s">
        <v>36</v>
      </c>
      <c r="N34" s="210" t="s">
        <v>36</v>
      </c>
      <c r="O34" s="64">
        <v>0</v>
      </c>
      <c r="P34" s="64">
        <v>0.24</v>
      </c>
      <c r="Q34" s="64">
        <v>9.39</v>
      </c>
      <c r="R34" s="198"/>
      <c r="S34" s="198"/>
      <c r="T34" s="198"/>
      <c r="U34" s="198"/>
    </row>
    <row r="35" spans="1:21" s="12" customFormat="1" x14ac:dyDescent="0.25">
      <c r="A35" s="214" t="s">
        <v>2481</v>
      </c>
      <c r="B35" s="64">
        <v>12.94</v>
      </c>
      <c r="C35" s="64">
        <v>21.81</v>
      </c>
      <c r="D35" s="64">
        <v>21.88</v>
      </c>
      <c r="E35" s="64">
        <v>4.0199999999999996</v>
      </c>
      <c r="F35" s="64">
        <v>4.55</v>
      </c>
      <c r="G35" s="64">
        <v>9.41</v>
      </c>
      <c r="H35" s="64">
        <v>2.54</v>
      </c>
      <c r="I35" s="64">
        <v>3.91</v>
      </c>
      <c r="J35" s="210" t="s">
        <v>36</v>
      </c>
      <c r="K35" s="210" t="s">
        <v>36</v>
      </c>
      <c r="L35" s="210" t="s">
        <v>36</v>
      </c>
      <c r="M35" s="210" t="s">
        <v>36</v>
      </c>
      <c r="N35" s="210" t="s">
        <v>36</v>
      </c>
      <c r="O35" s="64">
        <v>0</v>
      </c>
      <c r="P35" s="64">
        <v>0.25</v>
      </c>
      <c r="Q35" s="64">
        <v>9.39</v>
      </c>
      <c r="R35" s="198"/>
      <c r="S35" s="198"/>
      <c r="T35" s="198"/>
      <c r="U35" s="198"/>
    </row>
    <row r="36" spans="1:21" s="12" customFormat="1" x14ac:dyDescent="0.25">
      <c r="A36" s="214" t="s">
        <v>2482</v>
      </c>
      <c r="B36" s="64">
        <v>13.87</v>
      </c>
      <c r="C36" s="64">
        <v>22.4</v>
      </c>
      <c r="D36" s="64">
        <v>21.59</v>
      </c>
      <c r="E36" s="64">
        <v>4.0599999999999996</v>
      </c>
      <c r="F36" s="64">
        <v>3.14</v>
      </c>
      <c r="G36" s="64">
        <v>9.41</v>
      </c>
      <c r="H36" s="64">
        <v>2.54</v>
      </c>
      <c r="I36" s="64">
        <v>4.03</v>
      </c>
      <c r="J36" s="210" t="s">
        <v>36</v>
      </c>
      <c r="K36" s="210" t="s">
        <v>36</v>
      </c>
      <c r="L36" s="210" t="s">
        <v>36</v>
      </c>
      <c r="M36" s="210" t="s">
        <v>36</v>
      </c>
      <c r="N36" s="210" t="s">
        <v>36</v>
      </c>
      <c r="O36" s="64">
        <v>0</v>
      </c>
      <c r="P36" s="64">
        <v>0.25</v>
      </c>
      <c r="Q36" s="64">
        <v>9.41</v>
      </c>
      <c r="R36" s="198"/>
      <c r="S36" s="198"/>
      <c r="T36" s="198"/>
      <c r="U36" s="198"/>
    </row>
    <row r="37" spans="1:21" s="12" customFormat="1" x14ac:dyDescent="0.25">
      <c r="A37" s="214" t="s">
        <v>2483</v>
      </c>
      <c r="B37" s="64">
        <v>14.31</v>
      </c>
      <c r="C37" s="64">
        <v>22.52</v>
      </c>
      <c r="D37" s="64">
        <v>21.13</v>
      </c>
      <c r="E37" s="64">
        <v>3.54</v>
      </c>
      <c r="F37" s="64">
        <v>3.13</v>
      </c>
      <c r="G37" s="64">
        <v>9.64</v>
      </c>
      <c r="H37" s="64">
        <v>2.44</v>
      </c>
      <c r="I37" s="64">
        <v>4.03</v>
      </c>
      <c r="J37" s="210" t="s">
        <v>36</v>
      </c>
      <c r="K37" s="210" t="s">
        <v>36</v>
      </c>
      <c r="L37" s="210" t="s">
        <v>36</v>
      </c>
      <c r="M37" s="210" t="s">
        <v>36</v>
      </c>
      <c r="N37" s="210" t="s">
        <v>36</v>
      </c>
      <c r="O37" s="64">
        <v>0</v>
      </c>
      <c r="P37" s="64">
        <v>0.28999999999999998</v>
      </c>
      <c r="Q37" s="64">
        <v>9.44</v>
      </c>
      <c r="R37" s="198"/>
      <c r="S37" s="198"/>
      <c r="T37" s="198"/>
      <c r="U37" s="198"/>
    </row>
    <row r="38" spans="1:21" s="12" customFormat="1" x14ac:dyDescent="0.25">
      <c r="A38" s="214" t="s">
        <v>2484</v>
      </c>
      <c r="B38" s="64">
        <v>14.79</v>
      </c>
      <c r="C38" s="64">
        <v>23.25</v>
      </c>
      <c r="D38" s="64">
        <v>21.79</v>
      </c>
      <c r="E38" s="64">
        <v>3.72</v>
      </c>
      <c r="F38" s="64">
        <v>2.37</v>
      </c>
      <c r="G38" s="64">
        <v>10.61</v>
      </c>
      <c r="H38" s="64">
        <v>2.0099999999999998</v>
      </c>
      <c r="I38" s="64">
        <v>4.01</v>
      </c>
      <c r="J38" s="210" t="s">
        <v>36</v>
      </c>
      <c r="K38" s="210" t="s">
        <v>36</v>
      </c>
      <c r="L38" s="210" t="s">
        <v>36</v>
      </c>
      <c r="M38" s="210" t="s">
        <v>36</v>
      </c>
      <c r="N38" s="210" t="s">
        <v>36</v>
      </c>
      <c r="O38" s="64">
        <v>0</v>
      </c>
      <c r="P38" s="64">
        <v>0.31</v>
      </c>
      <c r="Q38" s="64">
        <v>9.4700000000000006</v>
      </c>
      <c r="R38" s="198"/>
      <c r="S38" s="198"/>
      <c r="T38" s="198"/>
      <c r="U38" s="198"/>
    </row>
    <row r="39" spans="1:21" s="12" customFormat="1" x14ac:dyDescent="0.25">
      <c r="A39" s="214" t="s">
        <v>2485</v>
      </c>
      <c r="B39" s="64">
        <v>15.04</v>
      </c>
      <c r="C39" s="64">
        <v>23.59</v>
      </c>
      <c r="D39" s="64">
        <v>22.08</v>
      </c>
      <c r="E39" s="64">
        <v>3.9</v>
      </c>
      <c r="F39" s="64">
        <v>4.22</v>
      </c>
      <c r="G39" s="64">
        <v>10.61</v>
      </c>
      <c r="H39" s="64">
        <v>2.0099999999999998</v>
      </c>
      <c r="I39" s="64">
        <v>3.97</v>
      </c>
      <c r="J39" s="210" t="s">
        <v>36</v>
      </c>
      <c r="K39" s="210" t="s">
        <v>36</v>
      </c>
      <c r="L39" s="210" t="s">
        <v>36</v>
      </c>
      <c r="M39" s="210" t="s">
        <v>36</v>
      </c>
      <c r="N39" s="210" t="s">
        <v>36</v>
      </c>
      <c r="O39" s="64">
        <v>0</v>
      </c>
      <c r="P39" s="64">
        <v>0.35</v>
      </c>
      <c r="Q39" s="64">
        <v>9.48</v>
      </c>
      <c r="R39" s="198"/>
      <c r="S39" s="198"/>
      <c r="T39" s="198"/>
      <c r="U39" s="198"/>
    </row>
    <row r="40" spans="1:21" s="12" customFormat="1" x14ac:dyDescent="0.25">
      <c r="A40" s="214" t="s">
        <v>2486</v>
      </c>
      <c r="B40" s="64">
        <v>15.11</v>
      </c>
      <c r="C40" s="64">
        <v>26.25</v>
      </c>
      <c r="D40" s="64">
        <v>27.05</v>
      </c>
      <c r="E40" s="64">
        <v>4.92</v>
      </c>
      <c r="F40" s="64">
        <v>4.26</v>
      </c>
      <c r="G40" s="64">
        <v>10.61</v>
      </c>
      <c r="H40" s="64">
        <v>2.0099999999999998</v>
      </c>
      <c r="I40" s="64">
        <v>3.99</v>
      </c>
      <c r="J40" s="210" t="s">
        <v>36</v>
      </c>
      <c r="K40" s="210" t="s">
        <v>36</v>
      </c>
      <c r="L40" s="210" t="s">
        <v>36</v>
      </c>
      <c r="M40" s="210" t="s">
        <v>36</v>
      </c>
      <c r="N40" s="210" t="s">
        <v>36</v>
      </c>
      <c r="O40" s="64">
        <v>0</v>
      </c>
      <c r="P40" s="64">
        <v>0.37</v>
      </c>
      <c r="Q40" s="64">
        <v>9.5</v>
      </c>
      <c r="R40" s="198"/>
      <c r="S40" s="198"/>
      <c r="T40" s="198"/>
      <c r="U40" s="198"/>
    </row>
    <row r="41" spans="1:21" s="12" customFormat="1" x14ac:dyDescent="0.25">
      <c r="A41" s="214" t="s">
        <v>2487</v>
      </c>
      <c r="B41" s="64">
        <v>15.82</v>
      </c>
      <c r="C41" s="64">
        <v>24.83</v>
      </c>
      <c r="D41" s="64">
        <v>23.25</v>
      </c>
      <c r="E41" s="64">
        <v>5.09</v>
      </c>
      <c r="F41" s="64">
        <v>4.37</v>
      </c>
      <c r="G41" s="64">
        <v>10.78</v>
      </c>
      <c r="H41" s="64">
        <v>2.77</v>
      </c>
      <c r="I41" s="64">
        <v>3.95</v>
      </c>
      <c r="J41" s="210" t="s">
        <v>36</v>
      </c>
      <c r="K41" s="210" t="s">
        <v>36</v>
      </c>
      <c r="L41" s="210" t="s">
        <v>36</v>
      </c>
      <c r="M41" s="210" t="s">
        <v>36</v>
      </c>
      <c r="N41" s="210" t="s">
        <v>36</v>
      </c>
      <c r="O41" s="64">
        <v>0</v>
      </c>
      <c r="P41" s="64">
        <v>0.4</v>
      </c>
      <c r="Q41" s="64">
        <v>9.51</v>
      </c>
      <c r="R41" s="198"/>
      <c r="S41" s="198"/>
      <c r="T41" s="198"/>
      <c r="U41" s="198"/>
    </row>
    <row r="42" spans="1:21" s="12" customFormat="1" x14ac:dyDescent="0.25">
      <c r="A42" s="214" t="s">
        <v>2488</v>
      </c>
      <c r="B42" s="64">
        <v>13.11</v>
      </c>
      <c r="C42" s="64">
        <v>23.83</v>
      </c>
      <c r="D42" s="64">
        <v>25.48</v>
      </c>
      <c r="E42" s="64">
        <v>5.14</v>
      </c>
      <c r="F42" s="64">
        <v>7.59</v>
      </c>
      <c r="G42" s="64">
        <v>11.53</v>
      </c>
      <c r="H42" s="64">
        <v>6.03</v>
      </c>
      <c r="I42" s="64">
        <v>3.91</v>
      </c>
      <c r="J42" s="210" t="s">
        <v>36</v>
      </c>
      <c r="K42" s="210" t="s">
        <v>36</v>
      </c>
      <c r="L42" s="210" t="s">
        <v>36</v>
      </c>
      <c r="M42" s="210" t="s">
        <v>36</v>
      </c>
      <c r="N42" s="210" t="s">
        <v>36</v>
      </c>
      <c r="O42" s="64">
        <v>0</v>
      </c>
      <c r="P42" s="64">
        <v>0.4</v>
      </c>
      <c r="Q42" s="64">
        <v>9.5399999999999991</v>
      </c>
      <c r="R42" s="198"/>
      <c r="S42" s="198"/>
      <c r="T42" s="198"/>
      <c r="U42" s="198"/>
    </row>
    <row r="43" spans="1:21" s="12" customFormat="1" x14ac:dyDescent="0.25">
      <c r="A43" s="214" t="s">
        <v>2489</v>
      </c>
      <c r="B43" s="64">
        <v>12.21</v>
      </c>
      <c r="C43" s="64">
        <v>21.24</v>
      </c>
      <c r="D43" s="64">
        <v>21.92</v>
      </c>
      <c r="E43" s="64">
        <v>4.47</v>
      </c>
      <c r="F43" s="64">
        <v>8</v>
      </c>
      <c r="G43" s="64">
        <v>11.53</v>
      </c>
      <c r="H43" s="64">
        <v>6.03</v>
      </c>
      <c r="I43" s="64">
        <v>4.01</v>
      </c>
      <c r="J43" s="210" t="s">
        <v>36</v>
      </c>
      <c r="K43" s="210" t="s">
        <v>36</v>
      </c>
      <c r="L43" s="210" t="s">
        <v>36</v>
      </c>
      <c r="M43" s="210" t="s">
        <v>36</v>
      </c>
      <c r="N43" s="210" t="s">
        <v>36</v>
      </c>
      <c r="O43" s="64">
        <v>0</v>
      </c>
      <c r="P43" s="64">
        <v>0.34</v>
      </c>
      <c r="Q43" s="64">
        <v>9.56</v>
      </c>
      <c r="R43" s="198"/>
      <c r="S43" s="198"/>
      <c r="T43" s="198"/>
      <c r="U43" s="198"/>
    </row>
    <row r="44" spans="1:21" s="12" customFormat="1" x14ac:dyDescent="0.25">
      <c r="A44" s="214" t="s">
        <v>2490</v>
      </c>
      <c r="B44" s="64">
        <v>13.08</v>
      </c>
      <c r="C44" s="64">
        <v>22.39</v>
      </c>
      <c r="D44" s="64">
        <v>22.78</v>
      </c>
      <c r="E44" s="64">
        <v>4.83</v>
      </c>
      <c r="F44" s="64">
        <v>7.76</v>
      </c>
      <c r="G44" s="64">
        <v>11.53</v>
      </c>
      <c r="H44" s="64">
        <v>6.03</v>
      </c>
      <c r="I44" s="64">
        <v>4.03</v>
      </c>
      <c r="J44" s="210" t="s">
        <v>36</v>
      </c>
      <c r="K44" s="210" t="s">
        <v>36</v>
      </c>
      <c r="L44" s="210" t="s">
        <v>36</v>
      </c>
      <c r="M44" s="210" t="s">
        <v>36</v>
      </c>
      <c r="N44" s="210" t="s">
        <v>36</v>
      </c>
      <c r="O44" s="64">
        <v>0</v>
      </c>
      <c r="P44" s="64">
        <v>0.39</v>
      </c>
      <c r="Q44" s="64">
        <v>9.58</v>
      </c>
      <c r="R44" s="198"/>
      <c r="S44" s="198"/>
      <c r="T44" s="198"/>
      <c r="U44" s="198"/>
    </row>
    <row r="45" spans="1:21" s="12" customFormat="1" x14ac:dyDescent="0.25">
      <c r="A45" s="214" t="s">
        <v>2491</v>
      </c>
      <c r="B45" s="64">
        <v>18.809999999999999</v>
      </c>
      <c r="C45" s="64">
        <v>29.21</v>
      </c>
      <c r="D45" s="64">
        <v>27.04</v>
      </c>
      <c r="E45" s="64">
        <v>4.97</v>
      </c>
      <c r="F45" s="64">
        <v>6.97</v>
      </c>
      <c r="G45" s="64">
        <v>11.53</v>
      </c>
      <c r="H45" s="64">
        <v>5.26</v>
      </c>
      <c r="I45" s="64">
        <v>4.03</v>
      </c>
      <c r="J45" s="210" t="s">
        <v>36</v>
      </c>
      <c r="K45" s="210" t="s">
        <v>36</v>
      </c>
      <c r="L45" s="210" t="s">
        <v>36</v>
      </c>
      <c r="M45" s="210" t="s">
        <v>36</v>
      </c>
      <c r="N45" s="210" t="s">
        <v>36</v>
      </c>
      <c r="O45" s="64">
        <v>0</v>
      </c>
      <c r="P45" s="64">
        <v>0.53</v>
      </c>
      <c r="Q45" s="64">
        <v>9.59</v>
      </c>
      <c r="R45" s="198"/>
      <c r="S45" s="198"/>
      <c r="T45" s="198"/>
      <c r="U45" s="198"/>
    </row>
    <row r="46" spans="1:21" s="12" customFormat="1" x14ac:dyDescent="0.25">
      <c r="A46" s="214" t="s">
        <v>2492</v>
      </c>
      <c r="B46" s="64">
        <v>16.21</v>
      </c>
      <c r="C46" s="64">
        <v>23.72</v>
      </c>
      <c r="D46" s="64">
        <v>20.53</v>
      </c>
      <c r="E46" s="64">
        <v>4.76</v>
      </c>
      <c r="F46" s="64">
        <v>3.08</v>
      </c>
      <c r="G46" s="64">
        <v>11.54</v>
      </c>
      <c r="H46" s="64">
        <v>1.94</v>
      </c>
      <c r="I46" s="64">
        <v>3.99</v>
      </c>
      <c r="J46" s="210" t="s">
        <v>36</v>
      </c>
      <c r="K46" s="210" t="s">
        <v>36</v>
      </c>
      <c r="L46" s="210" t="s">
        <v>36</v>
      </c>
      <c r="M46" s="210" t="s">
        <v>36</v>
      </c>
      <c r="N46" s="210" t="s">
        <v>36</v>
      </c>
      <c r="O46" s="64">
        <v>0</v>
      </c>
      <c r="P46" s="64">
        <v>0.38</v>
      </c>
      <c r="Q46" s="64">
        <v>9.58</v>
      </c>
      <c r="R46" s="198"/>
      <c r="S46" s="198"/>
      <c r="T46" s="198"/>
      <c r="U46" s="198"/>
    </row>
    <row r="47" spans="1:21" s="12" customFormat="1" x14ac:dyDescent="0.25">
      <c r="A47" s="214" t="s">
        <v>2493</v>
      </c>
      <c r="B47" s="64">
        <v>16.34</v>
      </c>
      <c r="C47" s="64">
        <v>23.75</v>
      </c>
      <c r="D47" s="64">
        <v>20.37</v>
      </c>
      <c r="E47" s="64">
        <v>4.7699999999999996</v>
      </c>
      <c r="F47" s="64">
        <v>3.85</v>
      </c>
      <c r="G47" s="64">
        <v>11.54</v>
      </c>
      <c r="H47" s="64">
        <v>1.94</v>
      </c>
      <c r="I47" s="64">
        <v>4.01</v>
      </c>
      <c r="J47" s="210" t="s">
        <v>36</v>
      </c>
      <c r="K47" s="210" t="s">
        <v>36</v>
      </c>
      <c r="L47" s="210" t="s">
        <v>36</v>
      </c>
      <c r="M47" s="210" t="s">
        <v>36</v>
      </c>
      <c r="N47" s="210" t="s">
        <v>36</v>
      </c>
      <c r="O47" s="64">
        <v>0</v>
      </c>
      <c r="P47" s="64">
        <v>0.36</v>
      </c>
      <c r="Q47" s="64">
        <v>9.57</v>
      </c>
      <c r="R47" s="198"/>
      <c r="S47" s="198"/>
      <c r="T47" s="198"/>
      <c r="U47" s="198"/>
    </row>
    <row r="48" spans="1:21" s="12" customFormat="1" x14ac:dyDescent="0.25">
      <c r="A48" s="214" t="s">
        <v>2494</v>
      </c>
      <c r="B48" s="64">
        <v>15.56</v>
      </c>
      <c r="C48" s="64">
        <v>23.27</v>
      </c>
      <c r="D48" s="64">
        <v>20.65</v>
      </c>
      <c r="E48" s="64">
        <v>4.47</v>
      </c>
      <c r="F48" s="64">
        <v>3.74</v>
      </c>
      <c r="G48" s="64">
        <v>11.54</v>
      </c>
      <c r="H48" s="64">
        <v>1.94</v>
      </c>
      <c r="I48" s="64">
        <v>3.95</v>
      </c>
      <c r="J48" s="210" t="s">
        <v>36</v>
      </c>
      <c r="K48" s="210" t="s">
        <v>36</v>
      </c>
      <c r="L48" s="210" t="s">
        <v>36</v>
      </c>
      <c r="M48" s="210" t="s">
        <v>36</v>
      </c>
      <c r="N48" s="210" t="s">
        <v>36</v>
      </c>
      <c r="O48" s="64">
        <v>0</v>
      </c>
      <c r="P48" s="64">
        <v>0.35</v>
      </c>
      <c r="Q48" s="64">
        <v>9.51</v>
      </c>
      <c r="R48" s="198"/>
      <c r="S48" s="198"/>
      <c r="T48" s="198"/>
      <c r="U48" s="198"/>
    </row>
    <row r="49" spans="1:21" s="12" customFormat="1" x14ac:dyDescent="0.25">
      <c r="A49" s="214" t="s">
        <v>2495</v>
      </c>
      <c r="B49" s="64">
        <v>13.44</v>
      </c>
      <c r="C49" s="64">
        <v>21.75</v>
      </c>
      <c r="D49" s="64">
        <v>21</v>
      </c>
      <c r="E49" s="64">
        <v>4.55</v>
      </c>
      <c r="F49" s="64">
        <v>5</v>
      </c>
      <c r="G49" s="64">
        <v>11.14</v>
      </c>
      <c r="H49" s="64">
        <v>1.91</v>
      </c>
      <c r="I49" s="64">
        <v>3.96</v>
      </c>
      <c r="J49" s="210" t="s">
        <v>36</v>
      </c>
      <c r="K49" s="210" t="s">
        <v>36</v>
      </c>
      <c r="L49" s="210" t="s">
        <v>36</v>
      </c>
      <c r="M49" s="210" t="s">
        <v>36</v>
      </c>
      <c r="N49" s="210" t="s">
        <v>36</v>
      </c>
      <c r="O49" s="64">
        <v>0</v>
      </c>
      <c r="P49" s="64">
        <v>0.35</v>
      </c>
      <c r="Q49" s="64">
        <v>9.48</v>
      </c>
      <c r="R49" s="198"/>
      <c r="S49" s="198"/>
      <c r="T49" s="198"/>
      <c r="U49" s="198"/>
    </row>
    <row r="50" spans="1:21" s="12" customFormat="1" x14ac:dyDescent="0.25">
      <c r="A50" s="214" t="s">
        <v>2496</v>
      </c>
      <c r="B50" s="64">
        <v>13.55</v>
      </c>
      <c r="C50" s="64">
        <v>22.12</v>
      </c>
      <c r="D50" s="64">
        <v>21.54</v>
      </c>
      <c r="E50" s="64">
        <v>4.71</v>
      </c>
      <c r="F50" s="64">
        <v>3.92</v>
      </c>
      <c r="G50" s="64">
        <v>9.43</v>
      </c>
      <c r="H50" s="64">
        <v>1.76</v>
      </c>
      <c r="I50" s="64">
        <v>4.04</v>
      </c>
      <c r="J50" s="210" t="s">
        <v>36</v>
      </c>
      <c r="K50" s="210" t="s">
        <v>36</v>
      </c>
      <c r="L50" s="210" t="s">
        <v>36</v>
      </c>
      <c r="M50" s="210" t="s">
        <v>36</v>
      </c>
      <c r="N50" s="210" t="s">
        <v>36</v>
      </c>
      <c r="O50" s="64">
        <v>0</v>
      </c>
      <c r="P50" s="64">
        <v>0.35</v>
      </c>
      <c r="Q50" s="64">
        <v>9.4700000000000006</v>
      </c>
      <c r="R50" s="198"/>
      <c r="S50" s="198"/>
      <c r="T50" s="198"/>
      <c r="U50" s="198"/>
    </row>
    <row r="51" spans="1:21" s="12" customFormat="1" x14ac:dyDescent="0.25">
      <c r="A51" s="214" t="s">
        <v>2497</v>
      </c>
      <c r="B51" s="64">
        <v>13.41</v>
      </c>
      <c r="C51" s="64">
        <v>22.73</v>
      </c>
      <c r="D51" s="64">
        <v>22.91</v>
      </c>
      <c r="E51" s="64">
        <v>4.7699999999999996</v>
      </c>
      <c r="F51" s="64">
        <v>3.49</v>
      </c>
      <c r="G51" s="64">
        <v>9.43</v>
      </c>
      <c r="H51" s="64">
        <v>1.76</v>
      </c>
      <c r="I51" s="64">
        <v>3.89</v>
      </c>
      <c r="J51" s="210" t="s">
        <v>36</v>
      </c>
      <c r="K51" s="210" t="s">
        <v>36</v>
      </c>
      <c r="L51" s="210" t="s">
        <v>36</v>
      </c>
      <c r="M51" s="210" t="s">
        <v>36</v>
      </c>
      <c r="N51" s="210" t="s">
        <v>36</v>
      </c>
      <c r="O51" s="64">
        <v>0</v>
      </c>
      <c r="P51" s="64">
        <v>0.36</v>
      </c>
      <c r="Q51" s="64">
        <v>9.44</v>
      </c>
      <c r="R51" s="198"/>
      <c r="S51" s="198"/>
      <c r="T51" s="198"/>
      <c r="U51" s="198"/>
    </row>
    <row r="52" spans="1:21" s="12" customFormat="1" x14ac:dyDescent="0.25">
      <c r="A52" s="214" t="s">
        <v>2498</v>
      </c>
      <c r="B52" s="64">
        <v>13.53</v>
      </c>
      <c r="C52" s="64">
        <v>22.69</v>
      </c>
      <c r="D52" s="64">
        <v>22.66</v>
      </c>
      <c r="E52" s="64">
        <v>4.76</v>
      </c>
      <c r="F52" s="64">
        <v>4.62</v>
      </c>
      <c r="G52" s="64">
        <v>9.43</v>
      </c>
      <c r="H52" s="64">
        <v>1.76</v>
      </c>
      <c r="I52" s="64">
        <v>4.0599999999999996</v>
      </c>
      <c r="J52" s="210" t="s">
        <v>36</v>
      </c>
      <c r="K52" s="210" t="s">
        <v>36</v>
      </c>
      <c r="L52" s="210" t="s">
        <v>36</v>
      </c>
      <c r="M52" s="210" t="s">
        <v>36</v>
      </c>
      <c r="N52" s="210" t="s">
        <v>36</v>
      </c>
      <c r="O52" s="64">
        <v>0</v>
      </c>
      <c r="P52" s="64">
        <v>0.37</v>
      </c>
      <c r="Q52" s="64">
        <v>9.43</v>
      </c>
      <c r="R52" s="198"/>
      <c r="S52" s="198"/>
      <c r="T52" s="198"/>
      <c r="U52" s="198"/>
    </row>
    <row r="53" spans="1:21" s="12" customFormat="1" x14ac:dyDescent="0.25">
      <c r="A53" s="214" t="s">
        <v>2499</v>
      </c>
      <c r="B53" s="64">
        <v>14.46</v>
      </c>
      <c r="C53" s="64">
        <v>24.3</v>
      </c>
      <c r="D53" s="64">
        <v>24.32</v>
      </c>
      <c r="E53" s="64">
        <v>4.83</v>
      </c>
      <c r="F53" s="64">
        <v>2.68</v>
      </c>
      <c r="G53" s="64">
        <v>9.57</v>
      </c>
      <c r="H53" s="64">
        <v>2.76</v>
      </c>
      <c r="I53" s="64">
        <v>4</v>
      </c>
      <c r="J53" s="210" t="s">
        <v>36</v>
      </c>
      <c r="K53" s="210" t="s">
        <v>36</v>
      </c>
      <c r="L53" s="210" t="s">
        <v>36</v>
      </c>
      <c r="M53" s="210" t="s">
        <v>36</v>
      </c>
      <c r="N53" s="210" t="s">
        <v>36</v>
      </c>
      <c r="O53" s="64">
        <v>0</v>
      </c>
      <c r="P53" s="64">
        <v>0.4</v>
      </c>
      <c r="Q53" s="64">
        <v>9.4499999999999993</v>
      </c>
      <c r="R53" s="198"/>
      <c r="S53" s="198"/>
      <c r="T53" s="198"/>
      <c r="U53" s="198"/>
    </row>
    <row r="54" spans="1:21" s="12" customFormat="1" x14ac:dyDescent="0.25">
      <c r="A54" s="214" t="s">
        <v>2500</v>
      </c>
      <c r="B54" s="64">
        <v>15.04</v>
      </c>
      <c r="C54" s="64">
        <v>24.29</v>
      </c>
      <c r="D54" s="64">
        <v>23.4</v>
      </c>
      <c r="E54" s="64">
        <v>4.8499999999999996</v>
      </c>
      <c r="F54" s="64">
        <v>4.08</v>
      </c>
      <c r="G54" s="64">
        <v>10.16</v>
      </c>
      <c r="H54" s="64">
        <v>7.05</v>
      </c>
      <c r="I54" s="64">
        <v>4.0999999999999996</v>
      </c>
      <c r="J54" s="210" t="s">
        <v>36</v>
      </c>
      <c r="K54" s="210" t="s">
        <v>36</v>
      </c>
      <c r="L54" s="210" t="s">
        <v>36</v>
      </c>
      <c r="M54" s="210" t="s">
        <v>36</v>
      </c>
      <c r="N54" s="210" t="s">
        <v>36</v>
      </c>
      <c r="O54" s="64">
        <v>0</v>
      </c>
      <c r="P54" s="64">
        <v>0.42</v>
      </c>
      <c r="Q54" s="64">
        <v>9.4700000000000006</v>
      </c>
      <c r="R54" s="198"/>
      <c r="S54" s="198"/>
      <c r="T54" s="198"/>
      <c r="U54" s="198"/>
    </row>
    <row r="55" spans="1:21" s="12" customFormat="1" x14ac:dyDescent="0.25">
      <c r="A55" s="214" t="s">
        <v>2501</v>
      </c>
      <c r="B55" s="64">
        <v>15.46</v>
      </c>
      <c r="C55" s="64">
        <v>24.59</v>
      </c>
      <c r="D55" s="64">
        <v>23.33</v>
      </c>
      <c r="E55" s="64">
        <v>4.82</v>
      </c>
      <c r="F55" s="64">
        <v>2.96</v>
      </c>
      <c r="G55" s="64">
        <v>10.16</v>
      </c>
      <c r="H55" s="64">
        <v>7.05</v>
      </c>
      <c r="I55" s="64">
        <v>3.98</v>
      </c>
      <c r="J55" s="210" t="s">
        <v>36</v>
      </c>
      <c r="K55" s="210" t="s">
        <v>36</v>
      </c>
      <c r="L55" s="210" t="s">
        <v>36</v>
      </c>
      <c r="M55" s="210" t="s">
        <v>36</v>
      </c>
      <c r="N55" s="210" t="s">
        <v>36</v>
      </c>
      <c r="O55" s="64">
        <v>0</v>
      </c>
      <c r="P55" s="64">
        <v>0.43</v>
      </c>
      <c r="Q55" s="64">
        <v>9.51</v>
      </c>
      <c r="R55" s="198"/>
      <c r="S55" s="198"/>
      <c r="T55" s="198"/>
      <c r="U55" s="198"/>
    </row>
    <row r="56" spans="1:21" s="12" customFormat="1" x14ac:dyDescent="0.25">
      <c r="A56" s="214" t="s">
        <v>2502</v>
      </c>
      <c r="B56" s="64">
        <v>15.58</v>
      </c>
      <c r="C56" s="64">
        <v>24.63</v>
      </c>
      <c r="D56" s="64">
        <v>23.21</v>
      </c>
      <c r="E56" s="64">
        <v>4.7699999999999996</v>
      </c>
      <c r="F56" s="64">
        <v>3.33</v>
      </c>
      <c r="G56" s="64">
        <v>10.16</v>
      </c>
      <c r="H56" s="64">
        <v>7.05</v>
      </c>
      <c r="I56" s="64">
        <v>4.2</v>
      </c>
      <c r="J56" s="210" t="s">
        <v>36</v>
      </c>
      <c r="K56" s="210" t="s">
        <v>36</v>
      </c>
      <c r="L56" s="210" t="s">
        <v>36</v>
      </c>
      <c r="M56" s="210" t="s">
        <v>36</v>
      </c>
      <c r="N56" s="210" t="s">
        <v>36</v>
      </c>
      <c r="O56" s="64">
        <v>0</v>
      </c>
      <c r="P56" s="64">
        <v>0.45</v>
      </c>
      <c r="Q56" s="64">
        <v>9.52</v>
      </c>
      <c r="R56" s="198"/>
      <c r="S56" s="198"/>
      <c r="T56" s="198"/>
      <c r="U56" s="198"/>
    </row>
    <row r="57" spans="1:21" s="12" customFormat="1" x14ac:dyDescent="0.25">
      <c r="A57" s="214" t="s">
        <v>2503</v>
      </c>
      <c r="B57" s="64">
        <v>15.31</v>
      </c>
      <c r="C57" s="64">
        <v>24.44</v>
      </c>
      <c r="D57" s="64">
        <v>23.29</v>
      </c>
      <c r="E57" s="64">
        <v>4.67</v>
      </c>
      <c r="F57" s="64">
        <v>3.22</v>
      </c>
      <c r="G57" s="64">
        <v>10.34</v>
      </c>
      <c r="H57" s="64">
        <v>7.17</v>
      </c>
      <c r="I57" s="64">
        <v>4.13</v>
      </c>
      <c r="J57" s="210" t="s">
        <v>36</v>
      </c>
      <c r="K57" s="210" t="s">
        <v>36</v>
      </c>
      <c r="L57" s="210" t="s">
        <v>36</v>
      </c>
      <c r="M57" s="210" t="s">
        <v>36</v>
      </c>
      <c r="N57" s="210" t="s">
        <v>36</v>
      </c>
      <c r="O57" s="64">
        <v>0</v>
      </c>
      <c r="P57" s="64">
        <v>0.46</v>
      </c>
      <c r="Q57" s="64">
        <v>9.52</v>
      </c>
      <c r="R57" s="198"/>
      <c r="S57" s="198"/>
      <c r="T57" s="198"/>
      <c r="U57" s="198"/>
    </row>
    <row r="58" spans="1:21" s="12" customFormat="1" x14ac:dyDescent="0.25">
      <c r="A58" s="214" t="s">
        <v>2504</v>
      </c>
      <c r="B58" s="64">
        <v>15.69</v>
      </c>
      <c r="C58" s="64">
        <v>24.6</v>
      </c>
      <c r="D58" s="64">
        <v>23</v>
      </c>
      <c r="E58" s="64">
        <v>5</v>
      </c>
      <c r="F58" s="64">
        <v>2.84</v>
      </c>
      <c r="G58" s="64">
        <v>11.08</v>
      </c>
      <c r="H58" s="64">
        <v>7.7</v>
      </c>
      <c r="I58" s="64">
        <v>4.1500000000000004</v>
      </c>
      <c r="J58" s="210" t="s">
        <v>36</v>
      </c>
      <c r="K58" s="210" t="s">
        <v>36</v>
      </c>
      <c r="L58" s="210" t="s">
        <v>36</v>
      </c>
      <c r="M58" s="210" t="s">
        <v>36</v>
      </c>
      <c r="N58" s="210" t="s">
        <v>36</v>
      </c>
      <c r="O58" s="64">
        <v>0</v>
      </c>
      <c r="P58" s="64">
        <v>0.46</v>
      </c>
      <c r="Q58" s="64">
        <v>9.5</v>
      </c>
      <c r="R58" s="198"/>
      <c r="S58" s="198"/>
      <c r="T58" s="198"/>
      <c r="U58" s="198"/>
    </row>
    <row r="59" spans="1:21" s="12" customFormat="1" x14ac:dyDescent="0.25">
      <c r="A59" s="214" t="s">
        <v>2505</v>
      </c>
      <c r="B59" s="64">
        <v>15.1</v>
      </c>
      <c r="C59" s="64">
        <v>23.73</v>
      </c>
      <c r="D59" s="64">
        <v>22.24</v>
      </c>
      <c r="E59" s="64">
        <v>4.3899999999999997</v>
      </c>
      <c r="F59" s="64">
        <v>4.07</v>
      </c>
      <c r="G59" s="64">
        <v>11.08</v>
      </c>
      <c r="H59" s="64">
        <v>7.7</v>
      </c>
      <c r="I59" s="64">
        <v>4.0999999999999996</v>
      </c>
      <c r="J59" s="210" t="s">
        <v>36</v>
      </c>
      <c r="K59" s="210" t="s">
        <v>36</v>
      </c>
      <c r="L59" s="210" t="s">
        <v>36</v>
      </c>
      <c r="M59" s="210" t="s">
        <v>36</v>
      </c>
      <c r="N59" s="210" t="s">
        <v>36</v>
      </c>
      <c r="O59" s="64">
        <v>0</v>
      </c>
      <c r="P59" s="64">
        <v>0.46</v>
      </c>
      <c r="Q59" s="64">
        <v>9.5</v>
      </c>
      <c r="R59" s="198"/>
      <c r="S59" s="198"/>
      <c r="T59" s="198"/>
      <c r="U59" s="198"/>
    </row>
    <row r="60" spans="1:21" s="12" customFormat="1" x14ac:dyDescent="0.25">
      <c r="A60" s="214" t="s">
        <v>2506</v>
      </c>
      <c r="B60" s="64">
        <v>14.58</v>
      </c>
      <c r="C60" s="64">
        <v>23.66</v>
      </c>
      <c r="D60" s="64">
        <v>22.91</v>
      </c>
      <c r="E60" s="64">
        <v>4.47</v>
      </c>
      <c r="F60" s="64">
        <v>4.8</v>
      </c>
      <c r="G60" s="64">
        <v>11.08</v>
      </c>
      <c r="H60" s="64">
        <v>7.7</v>
      </c>
      <c r="I60" s="64">
        <v>3.91</v>
      </c>
      <c r="J60" s="210" t="s">
        <v>36</v>
      </c>
      <c r="K60" s="210" t="s">
        <v>36</v>
      </c>
      <c r="L60" s="210" t="s">
        <v>36</v>
      </c>
      <c r="M60" s="210" t="s">
        <v>36</v>
      </c>
      <c r="N60" s="210" t="s">
        <v>36</v>
      </c>
      <c r="O60" s="64">
        <v>0</v>
      </c>
      <c r="P60" s="64">
        <v>0.5</v>
      </c>
      <c r="Q60" s="64">
        <v>9.48</v>
      </c>
      <c r="R60" s="198"/>
      <c r="S60" s="198"/>
      <c r="T60" s="198"/>
      <c r="U60" s="198"/>
    </row>
    <row r="61" spans="1:21" s="12" customFormat="1" x14ac:dyDescent="0.25">
      <c r="A61" s="214" t="s">
        <v>2507</v>
      </c>
      <c r="B61" s="64">
        <v>15.04</v>
      </c>
      <c r="C61" s="64">
        <v>25.48</v>
      </c>
      <c r="D61" s="64">
        <v>25.68</v>
      </c>
      <c r="E61" s="64">
        <v>4.57</v>
      </c>
      <c r="F61" s="64">
        <v>6.71</v>
      </c>
      <c r="G61" s="64">
        <v>12.06</v>
      </c>
      <c r="H61" s="64">
        <v>6.71</v>
      </c>
      <c r="I61" s="64">
        <v>4.0199999999999996</v>
      </c>
      <c r="J61" s="210" t="s">
        <v>36</v>
      </c>
      <c r="K61" s="210" t="s">
        <v>36</v>
      </c>
      <c r="L61" s="210" t="s">
        <v>36</v>
      </c>
      <c r="M61" s="210" t="s">
        <v>36</v>
      </c>
      <c r="N61" s="210" t="s">
        <v>36</v>
      </c>
      <c r="O61" s="64">
        <v>0</v>
      </c>
      <c r="P61" s="64">
        <v>0.49</v>
      </c>
      <c r="Q61" s="64">
        <v>9.48</v>
      </c>
      <c r="R61" s="198"/>
      <c r="S61" s="198"/>
      <c r="T61" s="198"/>
      <c r="U61" s="198"/>
    </row>
    <row r="62" spans="1:21" s="12" customFormat="1" x14ac:dyDescent="0.25">
      <c r="A62" s="214" t="s">
        <v>2508</v>
      </c>
      <c r="B62" s="64">
        <v>13.15</v>
      </c>
      <c r="C62" s="64">
        <v>25.87</v>
      </c>
      <c r="D62" s="64">
        <v>29.33</v>
      </c>
      <c r="E62" s="64">
        <v>4.25</v>
      </c>
      <c r="F62" s="64">
        <v>6.5</v>
      </c>
      <c r="G62" s="64">
        <v>16.27</v>
      </c>
      <c r="H62" s="64">
        <v>2.46</v>
      </c>
      <c r="I62" s="64">
        <v>4.05</v>
      </c>
      <c r="J62" s="210" t="s">
        <v>36</v>
      </c>
      <c r="K62" s="210" t="s">
        <v>36</v>
      </c>
      <c r="L62" s="210" t="s">
        <v>36</v>
      </c>
      <c r="M62" s="210" t="s">
        <v>36</v>
      </c>
      <c r="N62" s="210" t="s">
        <v>36</v>
      </c>
      <c r="O62" s="64">
        <v>0</v>
      </c>
      <c r="P62" s="64">
        <v>0.59</v>
      </c>
      <c r="Q62" s="64">
        <v>9.4700000000000006</v>
      </c>
      <c r="R62" s="198"/>
      <c r="S62" s="198"/>
      <c r="T62" s="198"/>
      <c r="U62" s="198"/>
    </row>
    <row r="63" spans="1:21" s="12" customFormat="1" x14ac:dyDescent="0.25">
      <c r="A63" s="214" t="s">
        <v>2509</v>
      </c>
      <c r="B63" s="64">
        <v>14.04</v>
      </c>
      <c r="C63" s="64">
        <v>28.94</v>
      </c>
      <c r="D63" s="64">
        <v>33.840000000000003</v>
      </c>
      <c r="E63" s="64">
        <v>4.41</v>
      </c>
      <c r="F63" s="64">
        <v>7.74</v>
      </c>
      <c r="G63" s="64">
        <v>16.27</v>
      </c>
      <c r="H63" s="64">
        <v>2.46</v>
      </c>
      <c r="I63" s="64">
        <v>3.97</v>
      </c>
      <c r="J63" s="210" t="s">
        <v>36</v>
      </c>
      <c r="K63" s="210" t="s">
        <v>36</v>
      </c>
      <c r="L63" s="210" t="s">
        <v>36</v>
      </c>
      <c r="M63" s="210" t="s">
        <v>36</v>
      </c>
      <c r="N63" s="210" t="s">
        <v>36</v>
      </c>
      <c r="O63" s="64">
        <v>0</v>
      </c>
      <c r="P63" s="64">
        <v>0.71</v>
      </c>
      <c r="Q63" s="64">
        <v>9.4600000000000009</v>
      </c>
      <c r="R63" s="198"/>
      <c r="S63" s="198"/>
      <c r="T63" s="198"/>
      <c r="U63" s="198"/>
    </row>
    <row r="64" spans="1:21" s="12" customFormat="1" x14ac:dyDescent="0.25">
      <c r="A64" s="214" t="s">
        <v>2510</v>
      </c>
      <c r="B64" s="64">
        <v>14.34</v>
      </c>
      <c r="C64" s="64">
        <v>27.25</v>
      </c>
      <c r="D64" s="64">
        <v>30.15</v>
      </c>
      <c r="E64" s="64">
        <v>4.43</v>
      </c>
      <c r="F64" s="64">
        <v>7.21</v>
      </c>
      <c r="G64" s="64">
        <v>16.27</v>
      </c>
      <c r="H64" s="64">
        <v>2.46</v>
      </c>
      <c r="I64" s="64">
        <v>4.0599999999999996</v>
      </c>
      <c r="J64" s="210" t="s">
        <v>36</v>
      </c>
      <c r="K64" s="210" t="s">
        <v>36</v>
      </c>
      <c r="L64" s="210" t="s">
        <v>36</v>
      </c>
      <c r="M64" s="210" t="s">
        <v>36</v>
      </c>
      <c r="N64" s="210" t="s">
        <v>36</v>
      </c>
      <c r="O64" s="64">
        <v>0</v>
      </c>
      <c r="P64" s="64">
        <v>0.71</v>
      </c>
      <c r="Q64" s="64">
        <v>9.4499999999999993</v>
      </c>
      <c r="R64" s="198"/>
      <c r="S64" s="198"/>
      <c r="T64" s="198"/>
      <c r="U64" s="198"/>
    </row>
    <row r="65" spans="1:21" s="12" customFormat="1" x14ac:dyDescent="0.25">
      <c r="A65" s="214" t="s">
        <v>2511</v>
      </c>
      <c r="B65" s="64">
        <v>15.07</v>
      </c>
      <c r="C65" s="64">
        <v>26.18</v>
      </c>
      <c r="D65" s="64">
        <v>26.98</v>
      </c>
      <c r="E65" s="64">
        <v>4.9800000000000004</v>
      </c>
      <c r="F65" s="64">
        <v>9.32</v>
      </c>
      <c r="G65" s="64">
        <v>18.440000000000001</v>
      </c>
      <c r="H65" s="64">
        <v>5.97</v>
      </c>
      <c r="I65" s="64">
        <v>4.13</v>
      </c>
      <c r="J65" s="210" t="s">
        <v>36</v>
      </c>
      <c r="K65" s="210" t="s">
        <v>36</v>
      </c>
      <c r="L65" s="210" t="s">
        <v>36</v>
      </c>
      <c r="M65" s="210" t="s">
        <v>36</v>
      </c>
      <c r="N65" s="210" t="s">
        <v>36</v>
      </c>
      <c r="O65" s="64">
        <v>0</v>
      </c>
      <c r="P65" s="64">
        <v>0.67</v>
      </c>
      <c r="Q65" s="64">
        <v>9.4499999999999993</v>
      </c>
      <c r="R65" s="198"/>
      <c r="S65" s="198"/>
      <c r="T65" s="198"/>
      <c r="U65" s="198"/>
    </row>
    <row r="66" spans="1:21" s="12" customFormat="1" x14ac:dyDescent="0.25">
      <c r="A66" s="214" t="s">
        <v>2512</v>
      </c>
      <c r="B66" s="64">
        <v>13.82</v>
      </c>
      <c r="C66" s="64">
        <v>25.21</v>
      </c>
      <c r="D66" s="64">
        <v>27.04</v>
      </c>
      <c r="E66" s="64">
        <v>4.55</v>
      </c>
      <c r="F66" s="64">
        <v>10.35</v>
      </c>
      <c r="G66" s="64">
        <v>27.72</v>
      </c>
      <c r="H66" s="64">
        <v>21.04</v>
      </c>
      <c r="I66" s="64">
        <v>3.97</v>
      </c>
      <c r="J66" s="210" t="s">
        <v>36</v>
      </c>
      <c r="K66" s="210" t="s">
        <v>36</v>
      </c>
      <c r="L66" s="210" t="s">
        <v>36</v>
      </c>
      <c r="M66" s="210" t="s">
        <v>36</v>
      </c>
      <c r="N66" s="210" t="s">
        <v>36</v>
      </c>
      <c r="O66" s="64">
        <v>0</v>
      </c>
      <c r="P66" s="64">
        <v>0.65</v>
      </c>
      <c r="Q66" s="64">
        <v>9.4499999999999993</v>
      </c>
      <c r="R66" s="198"/>
      <c r="S66" s="198"/>
      <c r="T66" s="198"/>
      <c r="U66" s="198"/>
    </row>
    <row r="67" spans="1:21" s="12" customFormat="1" x14ac:dyDescent="0.25">
      <c r="A67" s="214" t="s">
        <v>2513</v>
      </c>
      <c r="B67" s="64">
        <v>12.7</v>
      </c>
      <c r="C67" s="64">
        <v>23.34</v>
      </c>
      <c r="D67" s="64">
        <v>25.17</v>
      </c>
      <c r="E67" s="64">
        <v>5.01</v>
      </c>
      <c r="F67" s="64">
        <v>8.16</v>
      </c>
      <c r="G67" s="64">
        <v>27.72</v>
      </c>
      <c r="H67" s="64">
        <v>21.04</v>
      </c>
      <c r="I67" s="64">
        <v>4.09</v>
      </c>
      <c r="J67" s="210" t="s">
        <v>36</v>
      </c>
      <c r="K67" s="210" t="s">
        <v>36</v>
      </c>
      <c r="L67" s="210" t="s">
        <v>36</v>
      </c>
      <c r="M67" s="210" t="s">
        <v>36</v>
      </c>
      <c r="N67" s="210" t="s">
        <v>36</v>
      </c>
      <c r="O67" s="64">
        <v>0</v>
      </c>
      <c r="P67" s="64">
        <v>0.61</v>
      </c>
      <c r="Q67" s="64">
        <v>9.4499999999999993</v>
      </c>
      <c r="R67" s="198"/>
      <c r="S67" s="198"/>
      <c r="T67" s="198"/>
      <c r="U67" s="198"/>
    </row>
    <row r="68" spans="1:21" s="12" customFormat="1" x14ac:dyDescent="0.25">
      <c r="A68" s="214" t="s">
        <v>2514</v>
      </c>
      <c r="B68" s="64">
        <v>12.97</v>
      </c>
      <c r="C68" s="64">
        <v>23.18</v>
      </c>
      <c r="D68" s="64">
        <v>24.46</v>
      </c>
      <c r="E68" s="64">
        <v>4.7</v>
      </c>
      <c r="F68" s="64">
        <v>4.5199999999999996</v>
      </c>
      <c r="G68" s="64">
        <v>27.72</v>
      </c>
      <c r="H68" s="64">
        <v>21.04</v>
      </c>
      <c r="I68" s="64">
        <v>4.04</v>
      </c>
      <c r="J68" s="210" t="s">
        <v>36</v>
      </c>
      <c r="K68" s="210" t="s">
        <v>36</v>
      </c>
      <c r="L68" s="210" t="s">
        <v>36</v>
      </c>
      <c r="M68" s="210" t="s">
        <v>36</v>
      </c>
      <c r="N68" s="210" t="s">
        <v>36</v>
      </c>
      <c r="O68" s="64">
        <v>0</v>
      </c>
      <c r="P68" s="64">
        <v>0.62</v>
      </c>
      <c r="Q68" s="64">
        <v>9.42</v>
      </c>
      <c r="R68" s="198"/>
      <c r="S68" s="198"/>
      <c r="T68" s="198"/>
      <c r="U68" s="198"/>
    </row>
    <row r="69" spans="1:21" s="12" customFormat="1" x14ac:dyDescent="0.25">
      <c r="A69" s="214" t="s">
        <v>2515</v>
      </c>
      <c r="B69" s="64">
        <v>12.49</v>
      </c>
      <c r="C69" s="64">
        <v>23.92</v>
      </c>
      <c r="D69" s="64">
        <v>26.61</v>
      </c>
      <c r="E69" s="64">
        <v>4.91</v>
      </c>
      <c r="F69" s="64">
        <v>6.57</v>
      </c>
      <c r="G69" s="64">
        <v>28.4</v>
      </c>
      <c r="H69" s="64">
        <v>19.350000000000001</v>
      </c>
      <c r="I69" s="64">
        <v>3.78</v>
      </c>
      <c r="J69" s="210" t="s">
        <v>36</v>
      </c>
      <c r="K69" s="210" t="s">
        <v>36</v>
      </c>
      <c r="L69" s="210" t="s">
        <v>36</v>
      </c>
      <c r="M69" s="210" t="s">
        <v>36</v>
      </c>
      <c r="N69" s="210" t="s">
        <v>36</v>
      </c>
      <c r="O69" s="64">
        <v>0</v>
      </c>
      <c r="P69" s="64">
        <v>0.64</v>
      </c>
      <c r="Q69" s="64">
        <v>9.39</v>
      </c>
      <c r="R69" s="198"/>
      <c r="S69" s="198"/>
      <c r="T69" s="198"/>
      <c r="U69" s="198"/>
    </row>
    <row r="70" spans="1:21" s="12" customFormat="1" x14ac:dyDescent="0.25">
      <c r="A70" s="214" t="s">
        <v>2516</v>
      </c>
      <c r="B70" s="64">
        <v>12.91</v>
      </c>
      <c r="C70" s="64">
        <v>25.53</v>
      </c>
      <c r="D70" s="64">
        <v>29.04</v>
      </c>
      <c r="E70" s="64">
        <v>4.87</v>
      </c>
      <c r="F70" s="64">
        <v>6.45</v>
      </c>
      <c r="G70" s="64">
        <v>31.1</v>
      </c>
      <c r="H70" s="64">
        <v>12.61</v>
      </c>
      <c r="I70" s="64">
        <v>4.08</v>
      </c>
      <c r="J70" s="210" t="s">
        <v>36</v>
      </c>
      <c r="K70" s="210" t="s">
        <v>36</v>
      </c>
      <c r="L70" s="210" t="s">
        <v>36</v>
      </c>
      <c r="M70" s="210" t="s">
        <v>36</v>
      </c>
      <c r="N70" s="210" t="s">
        <v>36</v>
      </c>
      <c r="O70" s="64">
        <v>0</v>
      </c>
      <c r="P70" s="64">
        <v>0.66</v>
      </c>
      <c r="Q70" s="64">
        <v>9.41</v>
      </c>
      <c r="R70" s="198"/>
      <c r="S70" s="198"/>
      <c r="T70" s="198"/>
      <c r="U70" s="198"/>
    </row>
    <row r="71" spans="1:21" s="12" customFormat="1" x14ac:dyDescent="0.25">
      <c r="A71" s="214" t="s">
        <v>2517</v>
      </c>
      <c r="B71" s="64">
        <v>11.77</v>
      </c>
      <c r="C71" s="64">
        <v>23.31</v>
      </c>
      <c r="D71" s="64">
        <v>26.54</v>
      </c>
      <c r="E71" s="64">
        <v>4.78</v>
      </c>
      <c r="F71" s="64">
        <v>3.48</v>
      </c>
      <c r="G71" s="64">
        <v>31.1</v>
      </c>
      <c r="H71" s="64">
        <v>12.61</v>
      </c>
      <c r="I71" s="64">
        <v>3.93</v>
      </c>
      <c r="J71" s="210" t="s">
        <v>36</v>
      </c>
      <c r="K71" s="210" t="s">
        <v>36</v>
      </c>
      <c r="L71" s="210" t="s">
        <v>36</v>
      </c>
      <c r="M71" s="210" t="s">
        <v>36</v>
      </c>
      <c r="N71" s="210" t="s">
        <v>36</v>
      </c>
      <c r="O71" s="64">
        <v>0</v>
      </c>
      <c r="P71" s="64">
        <v>0.64</v>
      </c>
      <c r="Q71" s="64">
        <v>9.43</v>
      </c>
      <c r="R71" s="198"/>
      <c r="S71" s="198"/>
      <c r="T71" s="198"/>
      <c r="U71" s="198"/>
    </row>
    <row r="72" spans="1:21" s="12" customFormat="1" x14ac:dyDescent="0.25">
      <c r="A72" s="214" t="s">
        <v>2518</v>
      </c>
      <c r="B72" s="64">
        <v>11.54</v>
      </c>
      <c r="C72" s="64">
        <v>22.6</v>
      </c>
      <c r="D72" s="64">
        <v>25.56</v>
      </c>
      <c r="E72" s="64">
        <v>3.64</v>
      </c>
      <c r="F72" s="64">
        <v>3.72</v>
      </c>
      <c r="G72" s="64">
        <v>31.1</v>
      </c>
      <c r="H72" s="64">
        <v>12.61</v>
      </c>
      <c r="I72" s="64">
        <v>3.96</v>
      </c>
      <c r="J72" s="210" t="s">
        <v>36</v>
      </c>
      <c r="K72" s="210" t="s">
        <v>36</v>
      </c>
      <c r="L72" s="210" t="s">
        <v>36</v>
      </c>
      <c r="M72" s="210" t="s">
        <v>36</v>
      </c>
      <c r="N72" s="210" t="s">
        <v>36</v>
      </c>
      <c r="O72" s="64">
        <v>0</v>
      </c>
      <c r="P72" s="64">
        <v>0.64</v>
      </c>
      <c r="Q72" s="64">
        <v>9.42</v>
      </c>
      <c r="R72" s="198"/>
      <c r="S72" s="198"/>
      <c r="T72" s="198"/>
      <c r="U72" s="198"/>
    </row>
    <row r="73" spans="1:21" s="12" customFormat="1" x14ac:dyDescent="0.25">
      <c r="A73" s="214" t="s">
        <v>2519</v>
      </c>
      <c r="B73" s="64">
        <v>10.39</v>
      </c>
      <c r="C73" s="64">
        <v>22.61</v>
      </c>
      <c r="D73" s="64">
        <v>27.31</v>
      </c>
      <c r="E73" s="64">
        <v>4.08</v>
      </c>
      <c r="F73" s="64">
        <v>7.76</v>
      </c>
      <c r="G73" s="64">
        <v>30.86</v>
      </c>
      <c r="H73" s="64">
        <v>27.95</v>
      </c>
      <c r="I73" s="64">
        <v>3.83</v>
      </c>
      <c r="J73" s="210" t="s">
        <v>36</v>
      </c>
      <c r="K73" s="210" t="s">
        <v>36</v>
      </c>
      <c r="L73" s="210" t="s">
        <v>36</v>
      </c>
      <c r="M73" s="210" t="s">
        <v>36</v>
      </c>
      <c r="N73" s="210" t="s">
        <v>36</v>
      </c>
      <c r="O73" s="64">
        <v>0</v>
      </c>
      <c r="P73" s="64">
        <v>0.56000000000000005</v>
      </c>
      <c r="Q73" s="64">
        <v>9.41</v>
      </c>
      <c r="R73" s="198"/>
      <c r="S73" s="198"/>
      <c r="T73" s="198"/>
      <c r="U73" s="198"/>
    </row>
    <row r="74" spans="1:21" s="12" customFormat="1" x14ac:dyDescent="0.25">
      <c r="A74" s="214" t="s">
        <v>2520</v>
      </c>
      <c r="B74" s="64">
        <v>9.67</v>
      </c>
      <c r="C74" s="64">
        <v>21.95</v>
      </c>
      <c r="D74" s="64">
        <v>27.18</v>
      </c>
      <c r="E74" s="64">
        <v>4.03</v>
      </c>
      <c r="F74" s="64">
        <v>4.4000000000000004</v>
      </c>
      <c r="G74" s="64">
        <v>29.93</v>
      </c>
      <c r="H74" s="212" t="s">
        <v>42</v>
      </c>
      <c r="I74" s="64">
        <v>4.16</v>
      </c>
      <c r="J74" s="210" t="s">
        <v>36</v>
      </c>
      <c r="K74" s="210" t="s">
        <v>36</v>
      </c>
      <c r="L74" s="210" t="s">
        <v>36</v>
      </c>
      <c r="M74" s="210" t="s">
        <v>36</v>
      </c>
      <c r="N74" s="210" t="s">
        <v>36</v>
      </c>
      <c r="O74" s="64">
        <v>0</v>
      </c>
      <c r="P74" s="64">
        <v>0.64</v>
      </c>
      <c r="Q74" s="64">
        <v>9.3800000000000008</v>
      </c>
      <c r="R74" s="198"/>
      <c r="S74" s="198"/>
      <c r="T74" s="198"/>
      <c r="U74" s="198"/>
    </row>
    <row r="75" spans="1:21" s="12" customFormat="1" x14ac:dyDescent="0.25">
      <c r="A75" s="214" t="s">
        <v>2521</v>
      </c>
      <c r="B75" s="64">
        <v>9.42</v>
      </c>
      <c r="C75" s="64">
        <v>21.43</v>
      </c>
      <c r="D75" s="64">
        <v>26.56</v>
      </c>
      <c r="E75" s="64">
        <v>4.0599999999999996</v>
      </c>
      <c r="F75" s="64">
        <v>3.36</v>
      </c>
      <c r="G75" s="64">
        <v>29.93</v>
      </c>
      <c r="H75" s="212" t="s">
        <v>42</v>
      </c>
      <c r="I75" s="64">
        <v>4.07</v>
      </c>
      <c r="J75" s="210" t="s">
        <v>36</v>
      </c>
      <c r="K75" s="210" t="s">
        <v>36</v>
      </c>
      <c r="L75" s="210" t="s">
        <v>36</v>
      </c>
      <c r="M75" s="210" t="s">
        <v>36</v>
      </c>
      <c r="N75" s="210" t="s">
        <v>36</v>
      </c>
      <c r="O75" s="64">
        <v>0</v>
      </c>
      <c r="P75" s="64">
        <v>0.59</v>
      </c>
      <c r="Q75" s="64">
        <v>9.3699999999999992</v>
      </c>
      <c r="R75" s="198"/>
      <c r="S75" s="198"/>
      <c r="T75" s="198"/>
      <c r="U75" s="198"/>
    </row>
    <row r="76" spans="1:21" s="12" customFormat="1" x14ac:dyDescent="0.25">
      <c r="A76" s="214" t="s">
        <v>2522</v>
      </c>
      <c r="B76" s="64">
        <v>8.7100000000000009</v>
      </c>
      <c r="C76" s="64">
        <v>19.72</v>
      </c>
      <c r="D76" s="64">
        <v>24.39</v>
      </c>
      <c r="E76" s="64">
        <v>3.84</v>
      </c>
      <c r="F76" s="64">
        <v>3.94</v>
      </c>
      <c r="G76" s="64">
        <v>29.93</v>
      </c>
      <c r="H76" s="212" t="s">
        <v>42</v>
      </c>
      <c r="I76" s="64">
        <v>3.96</v>
      </c>
      <c r="J76" s="210" t="s">
        <v>36</v>
      </c>
      <c r="K76" s="210" t="s">
        <v>36</v>
      </c>
      <c r="L76" s="210" t="s">
        <v>36</v>
      </c>
      <c r="M76" s="210" t="s">
        <v>36</v>
      </c>
      <c r="N76" s="210" t="s">
        <v>36</v>
      </c>
      <c r="O76" s="64">
        <v>0</v>
      </c>
      <c r="P76" s="64">
        <v>0.59</v>
      </c>
      <c r="Q76" s="64">
        <v>9.33</v>
      </c>
      <c r="R76" s="198"/>
      <c r="S76" s="198"/>
      <c r="T76" s="198"/>
      <c r="U76" s="198"/>
    </row>
    <row r="77" spans="1:21" s="12" customFormat="1" x14ac:dyDescent="0.25">
      <c r="A77" s="214" t="s">
        <v>2523</v>
      </c>
      <c r="B77" s="64">
        <v>8.06</v>
      </c>
      <c r="C77" s="64">
        <v>19.690000000000001</v>
      </c>
      <c r="D77" s="64">
        <v>25.3</v>
      </c>
      <c r="E77" s="64">
        <v>4.0599999999999996</v>
      </c>
      <c r="F77" s="64">
        <v>3.9</v>
      </c>
      <c r="G77" s="64">
        <v>29.87</v>
      </c>
      <c r="H77" s="212" t="s">
        <v>42</v>
      </c>
      <c r="I77" s="64">
        <v>4.12</v>
      </c>
      <c r="J77" s="210" t="s">
        <v>36</v>
      </c>
      <c r="K77" s="210" t="s">
        <v>36</v>
      </c>
      <c r="L77" s="210" t="s">
        <v>36</v>
      </c>
      <c r="M77" s="210" t="s">
        <v>36</v>
      </c>
      <c r="N77" s="210" t="s">
        <v>36</v>
      </c>
      <c r="O77" s="64">
        <v>0</v>
      </c>
      <c r="P77" s="64">
        <v>0.47</v>
      </c>
      <c r="Q77" s="64">
        <v>9.32</v>
      </c>
      <c r="R77" s="198"/>
      <c r="S77" s="198"/>
      <c r="T77" s="198"/>
      <c r="U77" s="198"/>
    </row>
    <row r="78" spans="1:21" s="12" customFormat="1" x14ac:dyDescent="0.25">
      <c r="A78" s="214" t="s">
        <v>2524</v>
      </c>
      <c r="B78" s="64">
        <v>7.75</v>
      </c>
      <c r="C78" s="64">
        <v>18.97</v>
      </c>
      <c r="D78" s="64">
        <v>24.42</v>
      </c>
      <c r="E78" s="64">
        <v>3.96</v>
      </c>
      <c r="F78" s="64">
        <v>4.16</v>
      </c>
      <c r="G78" s="64">
        <v>29.63</v>
      </c>
      <c r="H78" s="212" t="s">
        <v>42</v>
      </c>
      <c r="I78" s="64">
        <v>4.2300000000000004</v>
      </c>
      <c r="J78" s="210" t="s">
        <v>36</v>
      </c>
      <c r="K78" s="210" t="s">
        <v>36</v>
      </c>
      <c r="L78" s="210" t="s">
        <v>36</v>
      </c>
      <c r="M78" s="210" t="s">
        <v>36</v>
      </c>
      <c r="N78" s="210" t="s">
        <v>36</v>
      </c>
      <c r="O78" s="64">
        <v>0</v>
      </c>
      <c r="P78" s="64">
        <v>0.48</v>
      </c>
      <c r="Q78" s="64">
        <v>9.31</v>
      </c>
      <c r="R78" s="198"/>
      <c r="S78" s="198"/>
      <c r="T78" s="198"/>
      <c r="U78" s="198"/>
    </row>
    <row r="79" spans="1:21" s="12" customFormat="1" x14ac:dyDescent="0.25">
      <c r="A79" s="214" t="s">
        <v>2525</v>
      </c>
      <c r="B79" s="64">
        <v>7.7</v>
      </c>
      <c r="C79" s="64">
        <v>17.940000000000001</v>
      </c>
      <c r="D79" s="64">
        <v>22.51</v>
      </c>
      <c r="E79" s="64">
        <v>4</v>
      </c>
      <c r="F79" s="64">
        <v>4.38</v>
      </c>
      <c r="G79" s="64">
        <v>29.63</v>
      </c>
      <c r="H79" s="212" t="s">
        <v>42</v>
      </c>
      <c r="I79" s="64">
        <v>4.01</v>
      </c>
      <c r="J79" s="210" t="s">
        <v>36</v>
      </c>
      <c r="K79" s="210" t="s">
        <v>36</v>
      </c>
      <c r="L79" s="210" t="s">
        <v>36</v>
      </c>
      <c r="M79" s="210" t="s">
        <v>36</v>
      </c>
      <c r="N79" s="210" t="s">
        <v>36</v>
      </c>
      <c r="O79" s="64">
        <v>0</v>
      </c>
      <c r="P79" s="64">
        <v>0.44</v>
      </c>
      <c r="Q79" s="64">
        <v>9.3000000000000007</v>
      </c>
      <c r="R79" s="198"/>
      <c r="S79" s="198"/>
      <c r="T79" s="198"/>
      <c r="U79" s="198"/>
    </row>
    <row r="80" spans="1:21" s="12" customFormat="1" x14ac:dyDescent="0.25">
      <c r="A80" s="214" t="s">
        <v>2526</v>
      </c>
      <c r="B80" s="64">
        <v>7.7</v>
      </c>
      <c r="C80" s="64">
        <v>17.559999999999999</v>
      </c>
      <c r="D80" s="64">
        <v>21.8</v>
      </c>
      <c r="E80" s="64">
        <v>3.89</v>
      </c>
      <c r="F80" s="64">
        <v>4.13</v>
      </c>
      <c r="G80" s="64">
        <v>29.63</v>
      </c>
      <c r="H80" s="212" t="s">
        <v>42</v>
      </c>
      <c r="I80" s="64">
        <v>3.87</v>
      </c>
      <c r="J80" s="210" t="s">
        <v>36</v>
      </c>
      <c r="K80" s="210" t="s">
        <v>36</v>
      </c>
      <c r="L80" s="210" t="s">
        <v>36</v>
      </c>
      <c r="M80" s="210" t="s">
        <v>36</v>
      </c>
      <c r="N80" s="210" t="s">
        <v>36</v>
      </c>
      <c r="O80" s="64">
        <v>0</v>
      </c>
      <c r="P80" s="64">
        <v>0.46</v>
      </c>
      <c r="Q80" s="64">
        <v>9.3000000000000007</v>
      </c>
      <c r="R80" s="198"/>
      <c r="S80" s="198"/>
      <c r="T80" s="198"/>
      <c r="U80" s="198"/>
    </row>
    <row r="81" spans="1:26" s="12" customFormat="1" x14ac:dyDescent="0.25">
      <c r="A81" s="214" t="s">
        <v>2527</v>
      </c>
      <c r="B81" s="64">
        <v>7.54</v>
      </c>
      <c r="C81" s="64">
        <v>17.46</v>
      </c>
      <c r="D81" s="64">
        <v>21.85</v>
      </c>
      <c r="E81" s="64">
        <v>4.08</v>
      </c>
      <c r="F81" s="64">
        <v>7.16</v>
      </c>
      <c r="G81" s="64">
        <v>28.92</v>
      </c>
      <c r="H81" s="212" t="s">
        <v>42</v>
      </c>
      <c r="I81" s="64">
        <v>4.0599999999999996</v>
      </c>
      <c r="J81" s="210" t="s">
        <v>36</v>
      </c>
      <c r="K81" s="210" t="s">
        <v>36</v>
      </c>
      <c r="L81" s="210" t="s">
        <v>36</v>
      </c>
      <c r="M81" s="210" t="s">
        <v>36</v>
      </c>
      <c r="N81" s="210" t="s">
        <v>36</v>
      </c>
      <c r="O81" s="64">
        <v>0</v>
      </c>
      <c r="P81" s="64">
        <v>0.48</v>
      </c>
      <c r="Q81" s="64">
        <v>9.3000000000000007</v>
      </c>
      <c r="R81" s="198"/>
      <c r="S81" s="198"/>
      <c r="T81" s="198"/>
      <c r="U81" s="198"/>
    </row>
    <row r="82" spans="1:26" s="12" customFormat="1" x14ac:dyDescent="0.25">
      <c r="A82" s="214" t="s">
        <v>2528</v>
      </c>
      <c r="B82" s="64">
        <v>6.1</v>
      </c>
      <c r="C82" s="64">
        <v>19.84</v>
      </c>
      <c r="D82" s="64">
        <v>28.62</v>
      </c>
      <c r="E82" s="64">
        <v>4.26</v>
      </c>
      <c r="F82" s="64">
        <v>9.9700000000000006</v>
      </c>
      <c r="G82" s="64">
        <v>25.89</v>
      </c>
      <c r="H82" s="212" t="s">
        <v>42</v>
      </c>
      <c r="I82" s="64">
        <v>4.03</v>
      </c>
      <c r="J82" s="210" t="s">
        <v>36</v>
      </c>
      <c r="K82" s="210" t="s">
        <v>36</v>
      </c>
      <c r="L82" s="210" t="s">
        <v>36</v>
      </c>
      <c r="M82" s="210" t="s">
        <v>36</v>
      </c>
      <c r="N82" s="210" t="s">
        <v>36</v>
      </c>
      <c r="O82" s="64">
        <v>0</v>
      </c>
      <c r="P82" s="64">
        <v>0.47</v>
      </c>
      <c r="Q82" s="64">
        <v>9.25</v>
      </c>
      <c r="R82" s="198"/>
      <c r="S82" s="198"/>
      <c r="T82" s="198"/>
      <c r="U82" s="198"/>
    </row>
    <row r="83" spans="1:26" s="12" customFormat="1" x14ac:dyDescent="0.25">
      <c r="A83" s="214" t="s">
        <v>2529</v>
      </c>
      <c r="B83" s="64">
        <v>7.11</v>
      </c>
      <c r="C83" s="64">
        <v>18.010000000000002</v>
      </c>
      <c r="D83" s="64">
        <v>23.56</v>
      </c>
      <c r="E83" s="64">
        <v>3.84</v>
      </c>
      <c r="F83" s="64">
        <v>3.93</v>
      </c>
      <c r="G83" s="64">
        <v>25.89</v>
      </c>
      <c r="H83" s="212" t="s">
        <v>42</v>
      </c>
      <c r="I83" s="64">
        <v>4.0199999999999996</v>
      </c>
      <c r="J83" s="210" t="s">
        <v>36</v>
      </c>
      <c r="K83" s="210" t="s">
        <v>36</v>
      </c>
      <c r="L83" s="210" t="s">
        <v>36</v>
      </c>
      <c r="M83" s="210" t="s">
        <v>36</v>
      </c>
      <c r="N83" s="210" t="s">
        <v>36</v>
      </c>
      <c r="O83" s="64">
        <v>0</v>
      </c>
      <c r="P83" s="64">
        <v>0.45</v>
      </c>
      <c r="Q83" s="64">
        <v>9.26</v>
      </c>
      <c r="R83" s="198"/>
      <c r="S83" s="198"/>
      <c r="T83" s="198"/>
      <c r="U83" s="198"/>
    </row>
    <row r="84" spans="1:26" s="12" customFormat="1" x14ac:dyDescent="0.25">
      <c r="A84" s="214" t="s">
        <v>2530</v>
      </c>
      <c r="B84" s="64">
        <v>7.4</v>
      </c>
      <c r="C84" s="64">
        <v>16.88</v>
      </c>
      <c r="D84" s="64">
        <v>20.96</v>
      </c>
      <c r="E84" s="64">
        <v>3.92</v>
      </c>
      <c r="F84" s="64">
        <v>4.21</v>
      </c>
      <c r="G84" s="64">
        <v>25.89</v>
      </c>
      <c r="H84" s="212" t="s">
        <v>42</v>
      </c>
      <c r="I84" s="64">
        <v>3.97</v>
      </c>
      <c r="J84" s="210" t="s">
        <v>36</v>
      </c>
      <c r="K84" s="210" t="s">
        <v>36</v>
      </c>
      <c r="L84" s="210" t="s">
        <v>36</v>
      </c>
      <c r="M84" s="210" t="s">
        <v>36</v>
      </c>
      <c r="N84" s="210" t="s">
        <v>36</v>
      </c>
      <c r="O84" s="64">
        <v>0</v>
      </c>
      <c r="P84" s="64">
        <v>0.65</v>
      </c>
      <c r="Q84" s="64">
        <v>9.26</v>
      </c>
      <c r="R84" s="198"/>
      <c r="S84" s="198"/>
      <c r="T84" s="198"/>
      <c r="U84" s="198"/>
    </row>
    <row r="85" spans="1:26" s="12" customFormat="1" x14ac:dyDescent="0.25">
      <c r="A85" s="214" t="s">
        <v>2531</v>
      </c>
      <c r="B85" s="64">
        <v>7.31</v>
      </c>
      <c r="C85" s="64">
        <v>17.010000000000002</v>
      </c>
      <c r="D85" s="64">
        <v>21.34</v>
      </c>
      <c r="E85" s="64">
        <v>3.8</v>
      </c>
      <c r="F85" s="64">
        <v>4.8</v>
      </c>
      <c r="G85" s="64">
        <v>26.3</v>
      </c>
      <c r="H85" s="212" t="s">
        <v>42</v>
      </c>
      <c r="I85" s="64">
        <v>3.9</v>
      </c>
      <c r="J85" s="210" t="s">
        <v>36</v>
      </c>
      <c r="K85" s="210" t="s">
        <v>36</v>
      </c>
      <c r="L85" s="210" t="s">
        <v>36</v>
      </c>
      <c r="M85" s="210" t="s">
        <v>36</v>
      </c>
      <c r="N85" s="210" t="s">
        <v>36</v>
      </c>
      <c r="O85" s="64">
        <v>0</v>
      </c>
      <c r="P85" s="64">
        <v>0.5</v>
      </c>
      <c r="Q85" s="64">
        <v>9.25</v>
      </c>
      <c r="R85" s="198"/>
      <c r="S85" s="198"/>
      <c r="T85" s="198"/>
      <c r="U85" s="198"/>
    </row>
    <row r="86" spans="1:26" s="12" customFormat="1" x14ac:dyDescent="0.25">
      <c r="A86" s="214" t="s">
        <v>2532</v>
      </c>
      <c r="B86" s="64">
        <v>6.99</v>
      </c>
      <c r="C86" s="64">
        <v>24.36</v>
      </c>
      <c r="D86" s="64">
        <v>35.9</v>
      </c>
      <c r="E86" s="64">
        <v>4.32</v>
      </c>
      <c r="F86" s="64">
        <v>9.7899999999999991</v>
      </c>
      <c r="G86" s="64">
        <v>27.94</v>
      </c>
      <c r="H86" s="212" t="s">
        <v>42</v>
      </c>
      <c r="I86" s="64">
        <v>3.99</v>
      </c>
      <c r="J86" s="210" t="s">
        <v>36</v>
      </c>
      <c r="K86" s="210" t="s">
        <v>36</v>
      </c>
      <c r="L86" s="210" t="s">
        <v>36</v>
      </c>
      <c r="M86" s="210" t="s">
        <v>36</v>
      </c>
      <c r="N86" s="210" t="s">
        <v>36</v>
      </c>
      <c r="O86" s="64">
        <v>0</v>
      </c>
      <c r="P86" s="64">
        <v>0.73</v>
      </c>
      <c r="Q86" s="64">
        <v>9.2200000000000006</v>
      </c>
      <c r="R86" s="198"/>
      <c r="S86" s="198"/>
      <c r="T86" s="198"/>
      <c r="U86" s="198"/>
    </row>
    <row r="87" spans="1:26" s="12" customFormat="1" x14ac:dyDescent="0.25">
      <c r="A87" s="214" t="s">
        <v>2533</v>
      </c>
      <c r="B87" s="64">
        <v>18.59</v>
      </c>
      <c r="C87" s="64">
        <v>39.380000000000003</v>
      </c>
      <c r="D87" s="64">
        <v>46.85</v>
      </c>
      <c r="E87" s="64">
        <v>4.04</v>
      </c>
      <c r="F87" s="64">
        <v>8.17</v>
      </c>
      <c r="G87" s="64">
        <v>27.94</v>
      </c>
      <c r="H87" s="212" t="s">
        <v>42</v>
      </c>
      <c r="I87" s="64">
        <v>4.01</v>
      </c>
      <c r="J87" s="210" t="s">
        <v>36</v>
      </c>
      <c r="K87" s="210" t="s">
        <v>36</v>
      </c>
      <c r="L87" s="210" t="s">
        <v>36</v>
      </c>
      <c r="M87" s="210" t="s">
        <v>36</v>
      </c>
      <c r="N87" s="210" t="s">
        <v>36</v>
      </c>
      <c r="O87" s="64">
        <v>0</v>
      </c>
      <c r="P87" s="64">
        <v>1.08</v>
      </c>
      <c r="Q87" s="64">
        <v>9.2200000000000006</v>
      </c>
      <c r="R87" s="198"/>
      <c r="S87" s="198"/>
      <c r="T87" s="198"/>
      <c r="U87" s="198"/>
    </row>
    <row r="88" spans="1:26" s="12" customFormat="1" x14ac:dyDescent="0.25">
      <c r="A88" s="214" t="s">
        <v>2534</v>
      </c>
      <c r="B88" s="64">
        <v>16.809999999999999</v>
      </c>
      <c r="C88" s="64">
        <v>39.08</v>
      </c>
      <c r="D88" s="64">
        <v>48.99</v>
      </c>
      <c r="E88" s="64">
        <v>4.72</v>
      </c>
      <c r="F88" s="64">
        <v>5.87</v>
      </c>
      <c r="G88" s="64">
        <v>27.94</v>
      </c>
      <c r="H88" s="212" t="s">
        <v>42</v>
      </c>
      <c r="I88" s="64">
        <v>4.25</v>
      </c>
      <c r="J88" s="210" t="s">
        <v>36</v>
      </c>
      <c r="K88" s="210" t="s">
        <v>36</v>
      </c>
      <c r="L88" s="210" t="s">
        <v>36</v>
      </c>
      <c r="M88" s="210" t="s">
        <v>36</v>
      </c>
      <c r="N88" s="210" t="s">
        <v>36</v>
      </c>
      <c r="O88" s="64">
        <v>0</v>
      </c>
      <c r="P88" s="64">
        <v>1.03</v>
      </c>
      <c r="Q88" s="64">
        <v>9.26</v>
      </c>
      <c r="R88" s="198"/>
      <c r="S88" s="198"/>
      <c r="T88" s="198"/>
      <c r="U88" s="198"/>
    </row>
    <row r="89" spans="1:26" s="12" customFormat="1" x14ac:dyDescent="0.25">
      <c r="A89" s="214" t="s">
        <v>2535</v>
      </c>
      <c r="B89" s="64">
        <v>12.08</v>
      </c>
      <c r="C89" s="64">
        <v>36.380000000000003</v>
      </c>
      <c r="D89" s="64">
        <v>51.09</v>
      </c>
      <c r="E89" s="64">
        <v>4.45</v>
      </c>
      <c r="F89" s="64">
        <v>7.07</v>
      </c>
      <c r="G89" s="64">
        <v>29.44</v>
      </c>
      <c r="H89" s="64">
        <v>31.74</v>
      </c>
      <c r="I89" s="64">
        <v>3.93</v>
      </c>
      <c r="J89" s="210" t="s">
        <v>36</v>
      </c>
      <c r="K89" s="210" t="s">
        <v>36</v>
      </c>
      <c r="L89" s="210" t="s">
        <v>36</v>
      </c>
      <c r="M89" s="210" t="s">
        <v>36</v>
      </c>
      <c r="N89" s="210" t="s">
        <v>36</v>
      </c>
      <c r="O89" s="64">
        <v>0</v>
      </c>
      <c r="P89" s="64">
        <v>0.71</v>
      </c>
      <c r="Q89" s="64">
        <v>9.31</v>
      </c>
      <c r="R89" s="198"/>
      <c r="S89" s="198"/>
      <c r="T89" s="198"/>
      <c r="U89" s="198"/>
    </row>
    <row r="90" spans="1:26" s="12" customFormat="1" x14ac:dyDescent="0.25">
      <c r="A90" s="214" t="s">
        <v>2536</v>
      </c>
      <c r="B90" s="64">
        <v>17.809999999999999</v>
      </c>
      <c r="C90" s="64">
        <v>37.43</v>
      </c>
      <c r="D90" s="64">
        <v>44.32</v>
      </c>
      <c r="E90" s="64">
        <v>4.41</v>
      </c>
      <c r="F90" s="64">
        <v>5.73</v>
      </c>
      <c r="G90" s="64">
        <v>35.409999999999997</v>
      </c>
      <c r="H90" s="64">
        <v>14.57</v>
      </c>
      <c r="I90" s="64">
        <v>3.95</v>
      </c>
      <c r="J90" s="210" t="s">
        <v>36</v>
      </c>
      <c r="K90" s="210" t="s">
        <v>36</v>
      </c>
      <c r="L90" s="210" t="s">
        <v>36</v>
      </c>
      <c r="M90" s="210" t="s">
        <v>36</v>
      </c>
      <c r="N90" s="210" t="s">
        <v>36</v>
      </c>
      <c r="O90" s="64">
        <v>0</v>
      </c>
      <c r="P90" s="64">
        <v>0.97</v>
      </c>
      <c r="Q90" s="64">
        <v>9.34</v>
      </c>
      <c r="R90" s="198"/>
      <c r="S90" s="198"/>
      <c r="T90" s="198"/>
      <c r="U90" s="198"/>
    </row>
    <row r="91" spans="1:26" s="12" customFormat="1" x14ac:dyDescent="0.25">
      <c r="A91" s="214" t="s">
        <v>2537</v>
      </c>
      <c r="B91" s="64">
        <v>25.46</v>
      </c>
      <c r="C91" s="64">
        <v>61.63</v>
      </c>
      <c r="D91" s="64">
        <v>78.87</v>
      </c>
      <c r="E91" s="64">
        <v>4.62</v>
      </c>
      <c r="F91" s="64">
        <v>4.92</v>
      </c>
      <c r="G91" s="64">
        <v>35.409999999999997</v>
      </c>
      <c r="H91" s="64">
        <v>14.57</v>
      </c>
      <c r="I91" s="64">
        <v>4.0999999999999996</v>
      </c>
      <c r="J91" s="210" t="s">
        <v>36</v>
      </c>
      <c r="K91" s="210" t="s">
        <v>36</v>
      </c>
      <c r="L91" s="210" t="s">
        <v>36</v>
      </c>
      <c r="M91" s="210" t="s">
        <v>36</v>
      </c>
      <c r="N91" s="210" t="s">
        <v>36</v>
      </c>
      <c r="O91" s="64">
        <v>0</v>
      </c>
      <c r="P91" s="64">
        <v>1.38</v>
      </c>
      <c r="Q91" s="64">
        <v>9.39</v>
      </c>
      <c r="R91" s="198"/>
      <c r="S91" s="198"/>
      <c r="T91" s="198"/>
      <c r="U91" s="198"/>
    </row>
    <row r="92" spans="1:26" s="12" customFormat="1" x14ac:dyDescent="0.25">
      <c r="A92" s="214" t="s">
        <v>2538</v>
      </c>
      <c r="B92" s="64">
        <v>18.86</v>
      </c>
      <c r="C92" s="64">
        <v>39.33</v>
      </c>
      <c r="D92" s="64">
        <v>46.32</v>
      </c>
      <c r="E92" s="64">
        <v>4.45</v>
      </c>
      <c r="F92" s="64">
        <v>4.17</v>
      </c>
      <c r="G92" s="64">
        <v>35.409999999999997</v>
      </c>
      <c r="H92" s="64">
        <v>14.57</v>
      </c>
      <c r="I92" s="64">
        <v>3.9</v>
      </c>
      <c r="J92" s="210" t="s">
        <v>36</v>
      </c>
      <c r="K92" s="210" t="s">
        <v>36</v>
      </c>
      <c r="L92" s="210" t="s">
        <v>36</v>
      </c>
      <c r="M92" s="210" t="s">
        <v>36</v>
      </c>
      <c r="N92" s="210" t="s">
        <v>36</v>
      </c>
      <c r="O92" s="64">
        <v>0</v>
      </c>
      <c r="P92" s="64">
        <v>0.88</v>
      </c>
      <c r="Q92" s="64">
        <v>9.4499999999999993</v>
      </c>
      <c r="R92" s="198"/>
      <c r="S92" s="198"/>
      <c r="T92" s="198"/>
      <c r="U92" s="198"/>
    </row>
    <row r="93" spans="1:26" s="12" customFormat="1" x14ac:dyDescent="0.25">
      <c r="A93" s="214" t="s">
        <v>2539</v>
      </c>
      <c r="B93" s="64">
        <v>36.479999999999997</v>
      </c>
      <c r="C93" s="64">
        <v>65.400000000000006</v>
      </c>
      <c r="D93" s="64">
        <v>69.180000000000007</v>
      </c>
      <c r="E93" s="64">
        <v>4.25</v>
      </c>
      <c r="F93" s="64">
        <v>4.5599999999999996</v>
      </c>
      <c r="G93" s="64">
        <v>37.19</v>
      </c>
      <c r="H93" s="64">
        <v>17.12</v>
      </c>
      <c r="I93" s="64">
        <v>3.85</v>
      </c>
      <c r="J93" s="210" t="s">
        <v>36</v>
      </c>
      <c r="K93" s="210" t="s">
        <v>36</v>
      </c>
      <c r="L93" s="210" t="s">
        <v>36</v>
      </c>
      <c r="M93" s="210" t="s">
        <v>36</v>
      </c>
      <c r="N93" s="210" t="s">
        <v>36</v>
      </c>
      <c r="O93" s="64">
        <v>0</v>
      </c>
      <c r="P93" s="64">
        <v>1.17</v>
      </c>
      <c r="Q93" s="64">
        <v>9.51</v>
      </c>
      <c r="R93" s="198"/>
      <c r="S93" s="198"/>
      <c r="T93" s="198"/>
      <c r="U93" s="198"/>
    </row>
    <row r="94" spans="1:26" s="12" customFormat="1" x14ac:dyDescent="0.25">
      <c r="A94" s="214" t="s">
        <v>2540</v>
      </c>
      <c r="B94" s="64">
        <v>42.69</v>
      </c>
      <c r="C94" s="64">
        <v>61.86</v>
      </c>
      <c r="D94" s="64">
        <v>52.87</v>
      </c>
      <c r="E94" s="64">
        <v>4.43</v>
      </c>
      <c r="F94" s="64">
        <v>4.3499999999999996</v>
      </c>
      <c r="G94" s="64">
        <v>44.31</v>
      </c>
      <c r="H94" s="64">
        <v>27.36</v>
      </c>
      <c r="I94" s="64">
        <v>4</v>
      </c>
      <c r="J94" s="210" t="s">
        <v>36</v>
      </c>
      <c r="K94" s="210" t="s">
        <v>36</v>
      </c>
      <c r="L94" s="210" t="s">
        <v>36</v>
      </c>
      <c r="M94" s="210" t="s">
        <v>36</v>
      </c>
      <c r="N94" s="210" t="s">
        <v>36</v>
      </c>
      <c r="O94" s="64">
        <v>0</v>
      </c>
      <c r="P94" s="64">
        <v>1.42</v>
      </c>
      <c r="Q94" s="64">
        <v>9.5500000000000007</v>
      </c>
      <c r="R94" s="198"/>
      <c r="S94" s="198"/>
      <c r="T94" s="198"/>
      <c r="U94" s="198"/>
    </row>
    <row r="95" spans="1:26" s="12" customFormat="1" x14ac:dyDescent="0.25">
      <c r="A95" s="214" t="s">
        <v>2541</v>
      </c>
      <c r="B95" s="64">
        <v>58.34</v>
      </c>
      <c r="C95" s="64">
        <v>88.42</v>
      </c>
      <c r="D95" s="64">
        <v>79.69</v>
      </c>
      <c r="E95" s="64">
        <v>4.96</v>
      </c>
      <c r="F95" s="64">
        <v>5.19</v>
      </c>
      <c r="G95" s="64">
        <v>44.31</v>
      </c>
      <c r="H95" s="64">
        <v>27.36</v>
      </c>
      <c r="I95" s="64">
        <v>4.03</v>
      </c>
      <c r="J95" s="210" t="s">
        <v>36</v>
      </c>
      <c r="K95" s="210" t="s">
        <v>36</v>
      </c>
      <c r="L95" s="210" t="s">
        <v>36</v>
      </c>
      <c r="M95" s="210" t="s">
        <v>36</v>
      </c>
      <c r="N95" s="210" t="s">
        <v>36</v>
      </c>
      <c r="O95" s="64">
        <v>0</v>
      </c>
      <c r="P95" s="64">
        <v>2.04</v>
      </c>
      <c r="Q95" s="64">
        <v>9.5399999999999991</v>
      </c>
      <c r="R95" s="198"/>
      <c r="S95" s="198"/>
      <c r="T95" s="198"/>
      <c r="U95" s="198"/>
    </row>
    <row r="96" spans="1:26" s="12" customFormat="1" x14ac:dyDescent="0.25">
      <c r="A96" s="214" t="s">
        <v>2542</v>
      </c>
      <c r="B96" s="64">
        <v>35.01</v>
      </c>
      <c r="C96" s="64">
        <v>65.12</v>
      </c>
      <c r="D96" s="64">
        <v>70.91</v>
      </c>
      <c r="E96" s="64">
        <v>4.67</v>
      </c>
      <c r="F96" s="64">
        <v>4.37</v>
      </c>
      <c r="G96" s="64">
        <v>44.31</v>
      </c>
      <c r="H96" s="64">
        <v>27.36</v>
      </c>
      <c r="I96" s="64">
        <v>4.09</v>
      </c>
      <c r="J96" s="210" t="s">
        <v>36</v>
      </c>
      <c r="K96" s="210" t="s">
        <v>36</v>
      </c>
      <c r="L96" s="210" t="s">
        <v>36</v>
      </c>
      <c r="M96" s="210" t="s">
        <v>36</v>
      </c>
      <c r="N96" s="210" t="s">
        <v>36</v>
      </c>
      <c r="O96" s="64">
        <v>0</v>
      </c>
      <c r="P96" s="64">
        <v>2</v>
      </c>
      <c r="Q96" s="64">
        <v>9.59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2543</v>
      </c>
      <c r="B97" s="64">
        <v>30.67</v>
      </c>
      <c r="C97" s="64">
        <v>63.27</v>
      </c>
      <c r="D97" s="64">
        <v>74.02</v>
      </c>
      <c r="E97" s="64">
        <v>4.7699999999999996</v>
      </c>
      <c r="F97" s="64">
        <v>4.3099999999999996</v>
      </c>
      <c r="G97" s="64">
        <v>47.61</v>
      </c>
      <c r="H97" s="64">
        <v>24.41</v>
      </c>
      <c r="I97" s="64">
        <v>4</v>
      </c>
      <c r="J97" s="210" t="s">
        <v>36</v>
      </c>
      <c r="K97" s="210" t="s">
        <v>36</v>
      </c>
      <c r="L97" s="210" t="s">
        <v>36</v>
      </c>
      <c r="M97" s="210" t="s">
        <v>36</v>
      </c>
      <c r="N97" s="210" t="s">
        <v>36</v>
      </c>
      <c r="O97" s="64">
        <v>0</v>
      </c>
      <c r="P97" s="64">
        <v>1.32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4" t="s">
        <v>2544</v>
      </c>
      <c r="B98" s="64">
        <v>52.01</v>
      </c>
      <c r="C98" s="64">
        <v>81.93</v>
      </c>
      <c r="D98" s="64">
        <v>76.98</v>
      </c>
      <c r="E98" s="64">
        <v>5.18</v>
      </c>
      <c r="F98" s="64">
        <v>4.95</v>
      </c>
      <c r="G98" s="64">
        <v>61.81</v>
      </c>
      <c r="H98" s="64">
        <v>12.61</v>
      </c>
      <c r="I98" s="64">
        <v>3.96</v>
      </c>
      <c r="J98" s="210" t="s">
        <v>36</v>
      </c>
      <c r="K98" s="210" t="s">
        <v>36</v>
      </c>
      <c r="L98" s="210" t="s">
        <v>36</v>
      </c>
      <c r="M98" s="210" t="s">
        <v>36</v>
      </c>
      <c r="N98" s="210" t="s">
        <v>36</v>
      </c>
      <c r="O98" s="64">
        <v>0</v>
      </c>
      <c r="P98" s="64">
        <v>2.08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4" t="s">
        <v>2545</v>
      </c>
      <c r="B99" s="64">
        <v>24.88</v>
      </c>
      <c r="C99" s="64">
        <v>54.83</v>
      </c>
      <c r="D99" s="64">
        <v>66.75</v>
      </c>
      <c r="E99" s="64">
        <v>5.05</v>
      </c>
      <c r="F99" s="64">
        <v>4.26</v>
      </c>
      <c r="G99" s="64">
        <v>61.81</v>
      </c>
      <c r="H99" s="64">
        <v>12.61</v>
      </c>
      <c r="I99" s="64">
        <v>4.1399999999999997</v>
      </c>
      <c r="J99" s="210" t="s">
        <v>36</v>
      </c>
      <c r="K99" s="210" t="s">
        <v>36</v>
      </c>
      <c r="L99" s="210" t="s">
        <v>36</v>
      </c>
      <c r="M99" s="210" t="s">
        <v>36</v>
      </c>
      <c r="N99" s="210" t="s">
        <v>36</v>
      </c>
      <c r="O99" s="64">
        <v>0</v>
      </c>
      <c r="P99" s="64">
        <v>1.64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4" t="s">
        <v>2546</v>
      </c>
      <c r="B100" s="64">
        <v>17.62</v>
      </c>
      <c r="C100" s="64">
        <v>50.19</v>
      </c>
      <c r="D100" s="64">
        <v>69.02</v>
      </c>
      <c r="E100" s="64">
        <v>4.7699999999999996</v>
      </c>
      <c r="F100" s="64">
        <v>4.6500000000000004</v>
      </c>
      <c r="G100" s="64">
        <v>61.81</v>
      </c>
      <c r="H100" s="64">
        <v>12.61</v>
      </c>
      <c r="I100" s="64">
        <v>3.86</v>
      </c>
      <c r="J100" s="210" t="s">
        <v>36</v>
      </c>
      <c r="K100" s="210" t="s">
        <v>36</v>
      </c>
      <c r="L100" s="210" t="s">
        <v>36</v>
      </c>
      <c r="M100" s="210" t="s">
        <v>36</v>
      </c>
      <c r="N100" s="210" t="s">
        <v>36</v>
      </c>
      <c r="O100" s="64">
        <v>0</v>
      </c>
      <c r="P100" s="64">
        <v>1.3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2547</v>
      </c>
      <c r="B101" s="64">
        <v>21.3</v>
      </c>
      <c r="C101" s="64">
        <v>38.92</v>
      </c>
      <c r="D101" s="64">
        <v>41.81</v>
      </c>
      <c r="E101" s="64">
        <v>4.67</v>
      </c>
      <c r="F101" s="64">
        <v>4.68</v>
      </c>
      <c r="G101" s="64">
        <v>61.66</v>
      </c>
      <c r="H101" s="64">
        <v>15.01</v>
      </c>
      <c r="I101" s="64">
        <v>3.9</v>
      </c>
      <c r="J101" s="210" t="s">
        <v>36</v>
      </c>
      <c r="K101" s="210" t="s">
        <v>36</v>
      </c>
      <c r="L101" s="210" t="s">
        <v>36</v>
      </c>
      <c r="M101" s="210" t="s">
        <v>36</v>
      </c>
      <c r="N101" s="210" t="s">
        <v>36</v>
      </c>
      <c r="O101" s="64">
        <v>0</v>
      </c>
      <c r="P101" s="64">
        <v>1.08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4" t="s">
        <v>2548</v>
      </c>
      <c r="B102" s="64">
        <v>19.98</v>
      </c>
      <c r="C102" s="64">
        <v>33.5</v>
      </c>
      <c r="D102" s="64">
        <v>33.450000000000003</v>
      </c>
      <c r="E102" s="64">
        <v>4.41</v>
      </c>
      <c r="F102" s="64">
        <v>7.42</v>
      </c>
      <c r="G102" s="64">
        <v>61.02</v>
      </c>
      <c r="H102" s="64">
        <v>25.32</v>
      </c>
      <c r="I102" s="64">
        <v>4.0599999999999996</v>
      </c>
      <c r="J102" s="210" t="s">
        <v>36</v>
      </c>
      <c r="K102" s="210" t="s">
        <v>36</v>
      </c>
      <c r="L102" s="210" t="s">
        <v>36</v>
      </c>
      <c r="M102" s="210" t="s">
        <v>36</v>
      </c>
      <c r="N102" s="210" t="s">
        <v>36</v>
      </c>
      <c r="O102" s="64">
        <v>0</v>
      </c>
      <c r="P102" s="64">
        <v>0.95</v>
      </c>
      <c r="Q102" s="64">
        <v>9.6300000000000008</v>
      </c>
      <c r="R102" s="198"/>
      <c r="S102" s="198"/>
      <c r="T102" s="198"/>
      <c r="U102" s="198"/>
    </row>
    <row r="103" spans="1:33" s="12" customFormat="1" x14ac:dyDescent="0.25">
      <c r="A103" s="214" t="s">
        <v>2549</v>
      </c>
      <c r="B103" s="64">
        <v>23.44</v>
      </c>
      <c r="C103" s="64">
        <v>34.03</v>
      </c>
      <c r="D103" s="64">
        <v>29.16</v>
      </c>
      <c r="E103" s="64">
        <v>4.0999999999999996</v>
      </c>
      <c r="F103" s="64">
        <v>4.51</v>
      </c>
      <c r="G103" s="64">
        <v>61.02</v>
      </c>
      <c r="H103" s="64">
        <v>25.32</v>
      </c>
      <c r="I103" s="64">
        <v>3.96</v>
      </c>
      <c r="J103" s="210" t="s">
        <v>36</v>
      </c>
      <c r="K103" s="210" t="s">
        <v>36</v>
      </c>
      <c r="L103" s="210" t="s">
        <v>36</v>
      </c>
      <c r="M103" s="210" t="s">
        <v>36</v>
      </c>
      <c r="N103" s="210" t="s">
        <v>36</v>
      </c>
      <c r="O103" s="64">
        <v>0</v>
      </c>
      <c r="P103" s="64">
        <v>1.03</v>
      </c>
      <c r="Q103" s="64">
        <v>9.6300000000000008</v>
      </c>
      <c r="R103" s="198"/>
      <c r="S103" s="198"/>
      <c r="T103" s="198"/>
      <c r="U103" s="198"/>
    </row>
    <row r="104" spans="1:33" s="12" customFormat="1" x14ac:dyDescent="0.25">
      <c r="A104" s="214" t="s">
        <v>2550</v>
      </c>
      <c r="B104" s="64">
        <v>21.42</v>
      </c>
      <c r="C104" s="64">
        <v>31.34</v>
      </c>
      <c r="D104" s="64">
        <v>27.11</v>
      </c>
      <c r="E104" s="64">
        <v>5.86</v>
      </c>
      <c r="F104" s="64">
        <v>4.41</v>
      </c>
      <c r="G104" s="64">
        <v>61.02</v>
      </c>
      <c r="H104" s="64">
        <v>25.32</v>
      </c>
      <c r="I104" s="64">
        <v>3.92</v>
      </c>
      <c r="J104" s="210" t="s">
        <v>36</v>
      </c>
      <c r="K104" s="210" t="s">
        <v>36</v>
      </c>
      <c r="L104" s="210" t="s">
        <v>36</v>
      </c>
      <c r="M104" s="210" t="s">
        <v>36</v>
      </c>
      <c r="N104" s="210" t="s">
        <v>36</v>
      </c>
      <c r="O104" s="64">
        <v>0</v>
      </c>
      <c r="P104" s="64">
        <v>1</v>
      </c>
      <c r="Q104" s="64">
        <v>9.6300000000000008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6.1</v>
      </c>
      <c r="C106" s="67">
        <f>MIN(C9:C104)</f>
        <v>15.52</v>
      </c>
      <c r="D106" s="67">
        <f t="shared" ref="D106:Q106" si="0">MIN(D9:D104)</f>
        <v>17.2</v>
      </c>
      <c r="E106" s="67">
        <f t="shared" si="0"/>
        <v>3.54</v>
      </c>
      <c r="F106" s="67">
        <f t="shared" si="0"/>
        <v>2.37</v>
      </c>
      <c r="G106" s="67">
        <f t="shared" si="0"/>
        <v>6.79</v>
      </c>
      <c r="H106" s="67">
        <f t="shared" si="0"/>
        <v>1.05</v>
      </c>
      <c r="I106" s="67">
        <f t="shared" si="0"/>
        <v>3.78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0.21</v>
      </c>
      <c r="Q106" s="67">
        <f t="shared" si="0"/>
        <v>9.2200000000000006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58.34</v>
      </c>
      <c r="C107" s="66">
        <f t="shared" ref="C107:Q107" si="1">MAX(C9:C104)</f>
        <v>88.42</v>
      </c>
      <c r="D107" s="66">
        <f t="shared" si="1"/>
        <v>79.69</v>
      </c>
      <c r="E107" s="66">
        <f t="shared" si="1"/>
        <v>5.86</v>
      </c>
      <c r="F107" s="66">
        <f t="shared" si="1"/>
        <v>10.35</v>
      </c>
      <c r="G107" s="66">
        <f t="shared" si="1"/>
        <v>61.81</v>
      </c>
      <c r="H107" s="66">
        <f t="shared" si="1"/>
        <v>31.74</v>
      </c>
      <c r="I107" s="66">
        <f t="shared" si="1"/>
        <v>4.25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2.08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14.533750000000003</v>
      </c>
      <c r="C108" s="67">
        <f t="shared" ref="C108:Q108" si="2">AVERAGE(C9:C104)</f>
        <v>26.825729166666672</v>
      </c>
      <c r="D108" s="67">
        <f t="shared" si="2"/>
        <v>29.036666666666658</v>
      </c>
      <c r="E108" s="67">
        <f t="shared" si="2"/>
        <v>4.3795833333333327</v>
      </c>
      <c r="F108" s="67">
        <f t="shared" si="2"/>
        <v>5.2728125000000023</v>
      </c>
      <c r="G108" s="67">
        <f t="shared" si="2"/>
        <v>21.269895833333337</v>
      </c>
      <c r="H108" s="67">
        <f t="shared" si="2"/>
        <v>8.4866666666666681</v>
      </c>
      <c r="I108" s="67">
        <f t="shared" si="2"/>
        <v>4.0020833333333314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>
        <f t="shared" si="2"/>
        <v>0</v>
      </c>
      <c r="P108" s="67">
        <f t="shared" si="2"/>
        <v>0.5676041666666668</v>
      </c>
      <c r="Q108" s="67">
        <f t="shared" si="2"/>
        <v>9.421875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8.6851435463700053</v>
      </c>
      <c r="C109" s="67">
        <f t="shared" ref="C109:Q109" si="3">STDEV(C9:C104)</f>
        <v>14.220835473627497</v>
      </c>
      <c r="D109" s="67">
        <f t="shared" si="3"/>
        <v>15.332868284328343</v>
      </c>
      <c r="E109" s="67">
        <f t="shared" si="3"/>
        <v>0.43166487163482364</v>
      </c>
      <c r="F109" s="67">
        <f t="shared" si="3"/>
        <v>1.7931881065650337</v>
      </c>
      <c r="G109" s="67">
        <f t="shared" si="3"/>
        <v>15.495214507086171</v>
      </c>
      <c r="H109" s="67">
        <f t="shared" si="3"/>
        <v>8.3150420924971815</v>
      </c>
      <c r="I109" s="67">
        <f t="shared" si="3"/>
        <v>9.1086039910991068E-2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>
        <f t="shared" si="3"/>
        <v>0</v>
      </c>
      <c r="P109" s="67">
        <f t="shared" si="3"/>
        <v>0.41100325211075139</v>
      </c>
      <c r="Q109" s="67">
        <f t="shared" si="3"/>
        <v>0.10800889339601417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COUNT(H9:H104)+15</f>
        <v>96</v>
      </c>
      <c r="I110" s="66">
        <f>COUNT(I9:I104)</f>
        <v>96</v>
      </c>
      <c r="J110" s="66">
        <f>COUNT(J9:J104)+96</f>
        <v>96</v>
      </c>
      <c r="K110" s="66">
        <f t="shared" ref="K110:N110" si="5">COUNT(K9:K104)+96</f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2551</v>
      </c>
      <c r="B9" s="64">
        <v>19.13</v>
      </c>
      <c r="C9" s="64">
        <v>27.76</v>
      </c>
      <c r="D9" s="64">
        <v>23.77</v>
      </c>
      <c r="E9" s="64">
        <v>5.26</v>
      </c>
      <c r="F9" s="64">
        <v>4.88</v>
      </c>
      <c r="G9" s="64">
        <v>57.31</v>
      </c>
      <c r="H9" s="64">
        <v>30.76</v>
      </c>
      <c r="I9" s="64">
        <v>3.82</v>
      </c>
      <c r="J9" s="210" t="s">
        <v>36</v>
      </c>
      <c r="K9" s="210" t="s">
        <v>36</v>
      </c>
      <c r="L9" s="210" t="s">
        <v>36</v>
      </c>
      <c r="M9" s="210" t="s">
        <v>36</v>
      </c>
      <c r="N9" s="210" t="s">
        <v>36</v>
      </c>
      <c r="O9" s="64">
        <v>0</v>
      </c>
      <c r="P9" s="64">
        <v>0.89</v>
      </c>
      <c r="Q9" s="64">
        <v>9.64</v>
      </c>
      <c r="R9" s="198"/>
      <c r="S9" s="198"/>
      <c r="T9" s="198"/>
      <c r="U9" s="198"/>
    </row>
    <row r="10" spans="1:21" s="12" customFormat="1" x14ac:dyDescent="0.25">
      <c r="A10" s="214" t="s">
        <v>2552</v>
      </c>
      <c r="B10" s="64">
        <v>19.489999999999998</v>
      </c>
      <c r="C10" s="64">
        <v>27.78</v>
      </c>
      <c r="D10" s="64">
        <v>23.25</v>
      </c>
      <c r="E10" s="64">
        <v>5.52</v>
      </c>
      <c r="F10" s="64">
        <v>4.1399999999999997</v>
      </c>
      <c r="G10" s="64">
        <v>42.49</v>
      </c>
      <c r="H10" s="64">
        <v>52.54</v>
      </c>
      <c r="I10" s="64">
        <v>3.89</v>
      </c>
      <c r="J10" s="210" t="s">
        <v>36</v>
      </c>
      <c r="K10" s="210" t="s">
        <v>36</v>
      </c>
      <c r="L10" s="210" t="s">
        <v>36</v>
      </c>
      <c r="M10" s="210" t="s">
        <v>36</v>
      </c>
      <c r="N10" s="210" t="s">
        <v>36</v>
      </c>
      <c r="O10" s="64">
        <v>0</v>
      </c>
      <c r="P10" s="64">
        <v>0.92</v>
      </c>
      <c r="Q10" s="64">
        <v>9.64</v>
      </c>
      <c r="R10" s="198"/>
      <c r="S10" s="198"/>
      <c r="T10" s="198"/>
      <c r="U10" s="198"/>
    </row>
    <row r="11" spans="1:21" s="12" customFormat="1" x14ac:dyDescent="0.25">
      <c r="A11" s="214" t="s">
        <v>2553</v>
      </c>
      <c r="B11" s="64">
        <v>17.89</v>
      </c>
      <c r="C11" s="64">
        <v>25.97</v>
      </c>
      <c r="D11" s="64">
        <v>22.26</v>
      </c>
      <c r="E11" s="64">
        <v>5.52</v>
      </c>
      <c r="F11" s="64">
        <v>4.17</v>
      </c>
      <c r="G11" s="64">
        <v>42.49</v>
      </c>
      <c r="H11" s="64">
        <v>52.54</v>
      </c>
      <c r="I11" s="64">
        <v>4.12</v>
      </c>
      <c r="J11" s="210" t="s">
        <v>36</v>
      </c>
      <c r="K11" s="210" t="s">
        <v>36</v>
      </c>
      <c r="L11" s="210" t="s">
        <v>36</v>
      </c>
      <c r="M11" s="210" t="s">
        <v>36</v>
      </c>
      <c r="N11" s="210" t="s">
        <v>36</v>
      </c>
      <c r="O11" s="64">
        <v>0</v>
      </c>
      <c r="P11" s="64">
        <v>0.85</v>
      </c>
      <c r="Q11" s="64">
        <v>9.6300000000000008</v>
      </c>
      <c r="R11" s="198"/>
      <c r="S11" s="198"/>
      <c r="T11" s="198"/>
      <c r="U11" s="198"/>
    </row>
    <row r="12" spans="1:21" s="12" customFormat="1" x14ac:dyDescent="0.25">
      <c r="A12" s="214" t="s">
        <v>2554</v>
      </c>
      <c r="B12" s="64">
        <v>15.54</v>
      </c>
      <c r="C12" s="64">
        <v>24.23</v>
      </c>
      <c r="D12" s="64">
        <v>22.52</v>
      </c>
      <c r="E12" s="64">
        <v>5.57</v>
      </c>
      <c r="F12" s="64">
        <v>4.6100000000000003</v>
      </c>
      <c r="G12" s="64">
        <v>42.49</v>
      </c>
      <c r="H12" s="64">
        <v>52.54</v>
      </c>
      <c r="I12" s="64">
        <v>3.98</v>
      </c>
      <c r="J12" s="210" t="s">
        <v>36</v>
      </c>
      <c r="K12" s="210" t="s">
        <v>36</v>
      </c>
      <c r="L12" s="210" t="s">
        <v>36</v>
      </c>
      <c r="M12" s="210" t="s">
        <v>36</v>
      </c>
      <c r="N12" s="210" t="s">
        <v>36</v>
      </c>
      <c r="O12" s="64">
        <v>0</v>
      </c>
      <c r="P12" s="64">
        <v>0.73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4" t="s">
        <v>2555</v>
      </c>
      <c r="B13" s="64">
        <v>13.76</v>
      </c>
      <c r="C13" s="64">
        <v>22.39</v>
      </c>
      <c r="D13" s="64">
        <v>21.74</v>
      </c>
      <c r="E13" s="64">
        <v>5.37</v>
      </c>
      <c r="F13" s="64">
        <v>5.39</v>
      </c>
      <c r="G13" s="64">
        <v>39.6</v>
      </c>
      <c r="H13" s="64">
        <v>44.28</v>
      </c>
      <c r="I13" s="64">
        <v>3.93</v>
      </c>
      <c r="J13" s="210" t="s">
        <v>36</v>
      </c>
      <c r="K13" s="210" t="s">
        <v>36</v>
      </c>
      <c r="L13" s="210" t="s">
        <v>36</v>
      </c>
      <c r="M13" s="210" t="s">
        <v>36</v>
      </c>
      <c r="N13" s="210" t="s">
        <v>36</v>
      </c>
      <c r="O13" s="64">
        <v>0</v>
      </c>
      <c r="P13" s="64">
        <v>0.57999999999999996</v>
      </c>
      <c r="Q13" s="64">
        <v>9.64</v>
      </c>
      <c r="R13" s="198"/>
      <c r="S13" s="198"/>
      <c r="T13" s="198"/>
      <c r="U13" s="198"/>
    </row>
    <row r="14" spans="1:21" s="12" customFormat="1" x14ac:dyDescent="0.25">
      <c r="A14" s="214" t="s">
        <v>2556</v>
      </c>
      <c r="B14" s="64">
        <v>15.13</v>
      </c>
      <c r="C14" s="64">
        <v>23.36</v>
      </c>
      <c r="D14" s="64">
        <v>21.47</v>
      </c>
      <c r="E14" s="64">
        <v>5.0999999999999996</v>
      </c>
      <c r="F14" s="64">
        <v>3.53</v>
      </c>
      <c r="G14" s="64">
        <v>27.17</v>
      </c>
      <c r="H14" s="64">
        <v>8.82</v>
      </c>
      <c r="I14" s="64">
        <v>4.09</v>
      </c>
      <c r="J14" s="210" t="s">
        <v>36</v>
      </c>
      <c r="K14" s="210" t="s">
        <v>36</v>
      </c>
      <c r="L14" s="210" t="s">
        <v>36</v>
      </c>
      <c r="M14" s="210" t="s">
        <v>36</v>
      </c>
      <c r="N14" s="210" t="s">
        <v>36</v>
      </c>
      <c r="O14" s="64">
        <v>0</v>
      </c>
      <c r="P14" s="64">
        <v>0.74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4" t="s">
        <v>2557</v>
      </c>
      <c r="B15" s="64">
        <v>13.32</v>
      </c>
      <c r="C15" s="64">
        <v>21.27</v>
      </c>
      <c r="D15" s="64">
        <v>20.260000000000002</v>
      </c>
      <c r="E15" s="64">
        <v>5.59</v>
      </c>
      <c r="F15" s="64">
        <v>5.63</v>
      </c>
      <c r="G15" s="64">
        <v>27.17</v>
      </c>
      <c r="H15" s="64">
        <v>8.82</v>
      </c>
      <c r="I15" s="64">
        <v>4.0999999999999996</v>
      </c>
      <c r="J15" s="210" t="s">
        <v>36</v>
      </c>
      <c r="K15" s="210" t="s">
        <v>36</v>
      </c>
      <c r="L15" s="210" t="s">
        <v>36</v>
      </c>
      <c r="M15" s="210" t="s">
        <v>36</v>
      </c>
      <c r="N15" s="210" t="s">
        <v>36</v>
      </c>
      <c r="O15" s="64">
        <v>0</v>
      </c>
      <c r="P15" s="64">
        <v>0.52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4" t="s">
        <v>2558</v>
      </c>
      <c r="B16" s="64">
        <v>13.21</v>
      </c>
      <c r="C16" s="64">
        <v>20.84</v>
      </c>
      <c r="D16" s="64">
        <v>19.61</v>
      </c>
      <c r="E16" s="64">
        <v>5.34</v>
      </c>
      <c r="F16" s="64">
        <v>5.26</v>
      </c>
      <c r="G16" s="64">
        <v>27.17</v>
      </c>
      <c r="H16" s="64">
        <v>8.82</v>
      </c>
      <c r="I16" s="64">
        <v>3.99</v>
      </c>
      <c r="J16" s="210" t="s">
        <v>36</v>
      </c>
      <c r="K16" s="210" t="s">
        <v>36</v>
      </c>
      <c r="L16" s="210" t="s">
        <v>36</v>
      </c>
      <c r="M16" s="210" t="s">
        <v>36</v>
      </c>
      <c r="N16" s="210" t="s">
        <v>36</v>
      </c>
      <c r="O16" s="64">
        <v>0</v>
      </c>
      <c r="P16" s="64">
        <v>0.62</v>
      </c>
      <c r="Q16" s="64">
        <v>9.57</v>
      </c>
      <c r="R16" s="198"/>
      <c r="S16" s="198"/>
      <c r="T16" s="198"/>
      <c r="U16" s="198"/>
    </row>
    <row r="17" spans="1:21" s="12" customFormat="1" x14ac:dyDescent="0.25">
      <c r="A17" s="214" t="s">
        <v>2559</v>
      </c>
      <c r="B17" s="64">
        <v>8.82</v>
      </c>
      <c r="C17" s="64">
        <v>16.7</v>
      </c>
      <c r="D17" s="64">
        <v>18.41</v>
      </c>
      <c r="E17" s="64">
        <v>5.72</v>
      </c>
      <c r="F17" s="64">
        <v>11.84</v>
      </c>
      <c r="G17" s="64">
        <v>25.09</v>
      </c>
      <c r="H17" s="64">
        <v>7.58</v>
      </c>
      <c r="I17" s="64">
        <v>4.03</v>
      </c>
      <c r="J17" s="210" t="s">
        <v>36</v>
      </c>
      <c r="K17" s="210" t="s">
        <v>36</v>
      </c>
      <c r="L17" s="210" t="s">
        <v>36</v>
      </c>
      <c r="M17" s="210" t="s">
        <v>36</v>
      </c>
      <c r="N17" s="210" t="s">
        <v>36</v>
      </c>
      <c r="O17" s="64">
        <v>0</v>
      </c>
      <c r="P17" s="64">
        <v>0.21</v>
      </c>
      <c r="Q17" s="64">
        <v>9.5500000000000007</v>
      </c>
      <c r="R17" s="198"/>
      <c r="S17" s="198"/>
      <c r="T17" s="198"/>
      <c r="U17" s="198"/>
    </row>
    <row r="18" spans="1:21" s="12" customFormat="1" x14ac:dyDescent="0.25">
      <c r="A18" s="214" t="s">
        <v>2560</v>
      </c>
      <c r="B18" s="64">
        <v>8.6999999999999993</v>
      </c>
      <c r="C18" s="64">
        <v>16.190000000000001</v>
      </c>
      <c r="D18" s="64">
        <v>17.649999999999999</v>
      </c>
      <c r="E18" s="64">
        <v>5.37</v>
      </c>
      <c r="F18" s="64">
        <v>11.2</v>
      </c>
      <c r="G18" s="64">
        <v>16.18</v>
      </c>
      <c r="H18" s="64">
        <v>2.2200000000000002</v>
      </c>
      <c r="I18" s="64">
        <v>4.1900000000000004</v>
      </c>
      <c r="J18" s="210" t="s">
        <v>36</v>
      </c>
      <c r="K18" s="210" t="s">
        <v>36</v>
      </c>
      <c r="L18" s="210" t="s">
        <v>36</v>
      </c>
      <c r="M18" s="210" t="s">
        <v>36</v>
      </c>
      <c r="N18" s="210" t="s">
        <v>36</v>
      </c>
      <c r="O18" s="64">
        <v>0</v>
      </c>
      <c r="P18" s="64">
        <v>0.18</v>
      </c>
      <c r="Q18" s="64">
        <v>9.5500000000000007</v>
      </c>
      <c r="R18" s="198"/>
      <c r="S18" s="198"/>
      <c r="T18" s="198"/>
      <c r="U18" s="198"/>
    </row>
    <row r="19" spans="1:21" s="12" customFormat="1" x14ac:dyDescent="0.25">
      <c r="A19" s="214" t="s">
        <v>2561</v>
      </c>
      <c r="B19" s="64">
        <v>9.49</v>
      </c>
      <c r="C19" s="64">
        <v>16.38</v>
      </c>
      <c r="D19" s="64">
        <v>16.77</v>
      </c>
      <c r="E19" s="64">
        <v>4.87</v>
      </c>
      <c r="F19" s="64">
        <v>9.8000000000000007</v>
      </c>
      <c r="G19" s="64">
        <v>16.18</v>
      </c>
      <c r="H19" s="64">
        <v>2.2200000000000002</v>
      </c>
      <c r="I19" s="64">
        <v>3.99</v>
      </c>
      <c r="J19" s="210" t="s">
        <v>36</v>
      </c>
      <c r="K19" s="210" t="s">
        <v>36</v>
      </c>
      <c r="L19" s="210" t="s">
        <v>36</v>
      </c>
      <c r="M19" s="210" t="s">
        <v>36</v>
      </c>
      <c r="N19" s="210" t="s">
        <v>36</v>
      </c>
      <c r="O19" s="64">
        <v>0</v>
      </c>
      <c r="P19" s="64">
        <v>0.3</v>
      </c>
      <c r="Q19" s="64">
        <v>9.5399999999999991</v>
      </c>
      <c r="R19" s="198"/>
      <c r="S19" s="198"/>
      <c r="T19" s="198"/>
      <c r="U19" s="198"/>
    </row>
    <row r="20" spans="1:21" s="12" customFormat="1" x14ac:dyDescent="0.25">
      <c r="A20" s="214" t="s">
        <v>2562</v>
      </c>
      <c r="B20" s="64">
        <v>9.0299999999999994</v>
      </c>
      <c r="C20" s="64">
        <v>15.27</v>
      </c>
      <c r="D20" s="64">
        <v>15.36</v>
      </c>
      <c r="E20" s="64">
        <v>5.09</v>
      </c>
      <c r="F20" s="64">
        <v>10.41</v>
      </c>
      <c r="G20" s="64">
        <v>16.18</v>
      </c>
      <c r="H20" s="64">
        <v>2.2200000000000002</v>
      </c>
      <c r="I20" s="64">
        <v>3.99</v>
      </c>
      <c r="J20" s="210" t="s">
        <v>36</v>
      </c>
      <c r="K20" s="210" t="s">
        <v>36</v>
      </c>
      <c r="L20" s="210" t="s">
        <v>36</v>
      </c>
      <c r="M20" s="210" t="s">
        <v>36</v>
      </c>
      <c r="N20" s="210" t="s">
        <v>36</v>
      </c>
      <c r="O20" s="64">
        <v>0</v>
      </c>
      <c r="P20" s="64">
        <v>0.23</v>
      </c>
      <c r="Q20" s="64">
        <v>9.5299999999999994</v>
      </c>
      <c r="R20" s="198"/>
      <c r="S20" s="198"/>
      <c r="T20" s="198"/>
      <c r="U20" s="198"/>
    </row>
    <row r="21" spans="1:21" s="12" customFormat="1" x14ac:dyDescent="0.25">
      <c r="A21" s="214" t="s">
        <v>2563</v>
      </c>
      <c r="B21" s="64">
        <v>8.18</v>
      </c>
      <c r="C21" s="64">
        <v>13.89</v>
      </c>
      <c r="D21" s="64">
        <v>14.03</v>
      </c>
      <c r="E21" s="64">
        <v>5.38</v>
      </c>
      <c r="F21" s="64">
        <v>10.5</v>
      </c>
      <c r="G21" s="64">
        <v>15.07</v>
      </c>
      <c r="H21" s="64">
        <v>1.89</v>
      </c>
      <c r="I21" s="64">
        <v>4.08</v>
      </c>
      <c r="J21" s="210" t="s">
        <v>36</v>
      </c>
      <c r="K21" s="210" t="s">
        <v>36</v>
      </c>
      <c r="L21" s="210" t="s">
        <v>36</v>
      </c>
      <c r="M21" s="210" t="s">
        <v>36</v>
      </c>
      <c r="N21" s="210" t="s">
        <v>36</v>
      </c>
      <c r="O21" s="64">
        <v>0</v>
      </c>
      <c r="P21" s="64">
        <v>0.17</v>
      </c>
      <c r="Q21" s="64">
        <v>9.51</v>
      </c>
      <c r="R21" s="198"/>
      <c r="S21" s="198"/>
      <c r="T21" s="198"/>
      <c r="U21" s="198"/>
    </row>
    <row r="22" spans="1:21" s="12" customFormat="1" x14ac:dyDescent="0.25">
      <c r="A22" s="214" t="s">
        <v>2564</v>
      </c>
      <c r="B22" s="64">
        <v>7.91</v>
      </c>
      <c r="C22" s="64">
        <v>13.63</v>
      </c>
      <c r="D22" s="64">
        <v>13.95</v>
      </c>
      <c r="E22" s="64">
        <v>5.39</v>
      </c>
      <c r="F22" s="64">
        <v>10.67</v>
      </c>
      <c r="G22" s="64">
        <v>10.31</v>
      </c>
      <c r="H22" s="64">
        <v>0.48</v>
      </c>
      <c r="I22" s="64">
        <v>3.98</v>
      </c>
      <c r="J22" s="210" t="s">
        <v>36</v>
      </c>
      <c r="K22" s="210" t="s">
        <v>36</v>
      </c>
      <c r="L22" s="210" t="s">
        <v>36</v>
      </c>
      <c r="M22" s="210" t="s">
        <v>36</v>
      </c>
      <c r="N22" s="210" t="s">
        <v>36</v>
      </c>
      <c r="O22" s="64">
        <v>0</v>
      </c>
      <c r="P22" s="64">
        <v>0.15</v>
      </c>
      <c r="Q22" s="64">
        <v>9.51</v>
      </c>
      <c r="R22" s="198"/>
      <c r="S22" s="198"/>
      <c r="T22" s="198"/>
      <c r="U22" s="198"/>
    </row>
    <row r="23" spans="1:21" s="12" customFormat="1" x14ac:dyDescent="0.25">
      <c r="A23" s="214" t="s">
        <v>2565</v>
      </c>
      <c r="B23" s="64">
        <v>9.08</v>
      </c>
      <c r="C23" s="64">
        <v>16.940000000000001</v>
      </c>
      <c r="D23" s="64">
        <v>18.5</v>
      </c>
      <c r="E23" s="64">
        <v>5.38</v>
      </c>
      <c r="F23" s="64">
        <v>8.59</v>
      </c>
      <c r="G23" s="64">
        <v>10.31</v>
      </c>
      <c r="H23" s="64">
        <v>0.48</v>
      </c>
      <c r="I23" s="64">
        <v>3.94</v>
      </c>
      <c r="J23" s="210" t="s">
        <v>36</v>
      </c>
      <c r="K23" s="210" t="s">
        <v>36</v>
      </c>
      <c r="L23" s="210" t="s">
        <v>36</v>
      </c>
      <c r="M23" s="210" t="s">
        <v>36</v>
      </c>
      <c r="N23" s="210" t="s">
        <v>36</v>
      </c>
      <c r="O23" s="64">
        <v>0</v>
      </c>
      <c r="P23" s="64">
        <v>0.3</v>
      </c>
      <c r="Q23" s="64">
        <v>9.5</v>
      </c>
      <c r="R23" s="198"/>
      <c r="S23" s="198"/>
      <c r="T23" s="198"/>
      <c r="U23" s="198"/>
    </row>
    <row r="24" spans="1:21" s="12" customFormat="1" x14ac:dyDescent="0.25">
      <c r="A24" s="214" t="s">
        <v>2566</v>
      </c>
      <c r="B24" s="64">
        <v>10.29</v>
      </c>
      <c r="C24" s="64">
        <v>18.47</v>
      </c>
      <c r="D24" s="64">
        <v>19.559999999999999</v>
      </c>
      <c r="E24" s="64">
        <v>5.77</v>
      </c>
      <c r="F24" s="64">
        <v>4.9400000000000004</v>
      </c>
      <c r="G24" s="64">
        <v>10.31</v>
      </c>
      <c r="H24" s="64">
        <v>0.48</v>
      </c>
      <c r="I24" s="64">
        <v>3.96</v>
      </c>
      <c r="J24" s="210" t="s">
        <v>36</v>
      </c>
      <c r="K24" s="210" t="s">
        <v>36</v>
      </c>
      <c r="L24" s="210" t="s">
        <v>36</v>
      </c>
      <c r="M24" s="210" t="s">
        <v>36</v>
      </c>
      <c r="N24" s="210" t="s">
        <v>36</v>
      </c>
      <c r="O24" s="64">
        <v>0</v>
      </c>
      <c r="P24" s="64">
        <v>0.42</v>
      </c>
      <c r="Q24" s="64">
        <v>9.5</v>
      </c>
      <c r="R24" s="198"/>
      <c r="S24" s="198"/>
      <c r="T24" s="198"/>
      <c r="U24" s="198"/>
    </row>
    <row r="25" spans="1:21" s="12" customFormat="1" x14ac:dyDescent="0.25">
      <c r="A25" s="214" t="s">
        <v>2567</v>
      </c>
      <c r="B25" s="64">
        <v>9.9499999999999993</v>
      </c>
      <c r="C25" s="64">
        <v>16.899999999999999</v>
      </c>
      <c r="D25" s="64">
        <v>17.079999999999998</v>
      </c>
      <c r="E25" s="64">
        <v>5.67</v>
      </c>
      <c r="F25" s="64">
        <v>6.57</v>
      </c>
      <c r="G25" s="64">
        <v>10.53</v>
      </c>
      <c r="H25" s="64">
        <v>0.54</v>
      </c>
      <c r="I25" s="64">
        <v>4.0599999999999996</v>
      </c>
      <c r="J25" s="210" t="s">
        <v>36</v>
      </c>
      <c r="K25" s="210" t="s">
        <v>36</v>
      </c>
      <c r="L25" s="210" t="s">
        <v>36</v>
      </c>
      <c r="M25" s="210" t="s">
        <v>36</v>
      </c>
      <c r="N25" s="210" t="s">
        <v>36</v>
      </c>
      <c r="O25" s="64">
        <v>0</v>
      </c>
      <c r="P25" s="64">
        <v>0.34</v>
      </c>
      <c r="Q25" s="64">
        <v>9.4600000000000009</v>
      </c>
      <c r="R25" s="198"/>
      <c r="S25" s="198"/>
      <c r="T25" s="198"/>
      <c r="U25" s="198"/>
    </row>
    <row r="26" spans="1:21" s="12" customFormat="1" x14ac:dyDescent="0.25">
      <c r="A26" s="214" t="s">
        <v>2568</v>
      </c>
      <c r="B26" s="64">
        <v>10.17</v>
      </c>
      <c r="C26" s="64">
        <v>17.23</v>
      </c>
      <c r="D26" s="64">
        <v>17.38</v>
      </c>
      <c r="E26" s="64">
        <v>5.65</v>
      </c>
      <c r="F26" s="64">
        <v>5.88</v>
      </c>
      <c r="G26" s="64">
        <v>11.5</v>
      </c>
      <c r="H26" s="64">
        <v>0.81</v>
      </c>
      <c r="I26" s="64">
        <v>3.92</v>
      </c>
      <c r="J26" s="210" t="s">
        <v>36</v>
      </c>
      <c r="K26" s="210" t="s">
        <v>36</v>
      </c>
      <c r="L26" s="210" t="s">
        <v>36</v>
      </c>
      <c r="M26" s="210" t="s">
        <v>36</v>
      </c>
      <c r="N26" s="210" t="s">
        <v>36</v>
      </c>
      <c r="O26" s="64">
        <v>0</v>
      </c>
      <c r="P26" s="64">
        <v>0.38</v>
      </c>
      <c r="Q26" s="64">
        <v>9.44</v>
      </c>
      <c r="R26" s="198"/>
      <c r="S26" s="198"/>
      <c r="T26" s="198"/>
      <c r="U26" s="198"/>
    </row>
    <row r="27" spans="1:21" s="12" customFormat="1" x14ac:dyDescent="0.25">
      <c r="A27" s="214" t="s">
        <v>2569</v>
      </c>
      <c r="B27" s="64">
        <v>10.24</v>
      </c>
      <c r="C27" s="64">
        <v>17.149999999999999</v>
      </c>
      <c r="D27" s="64">
        <v>17.09</v>
      </c>
      <c r="E27" s="64">
        <v>5.48</v>
      </c>
      <c r="F27" s="64">
        <v>4.8899999999999997</v>
      </c>
      <c r="G27" s="64">
        <v>11.5</v>
      </c>
      <c r="H27" s="64">
        <v>0.81</v>
      </c>
      <c r="I27" s="64">
        <v>4.01</v>
      </c>
      <c r="J27" s="210" t="s">
        <v>36</v>
      </c>
      <c r="K27" s="210" t="s">
        <v>36</v>
      </c>
      <c r="L27" s="210" t="s">
        <v>36</v>
      </c>
      <c r="M27" s="210" t="s">
        <v>36</v>
      </c>
      <c r="N27" s="210" t="s">
        <v>36</v>
      </c>
      <c r="O27" s="64">
        <v>0</v>
      </c>
      <c r="P27" s="64">
        <v>0.41</v>
      </c>
      <c r="Q27" s="64">
        <v>9.42</v>
      </c>
      <c r="R27" s="198"/>
      <c r="S27" s="198"/>
      <c r="T27" s="198"/>
      <c r="U27" s="198"/>
    </row>
    <row r="28" spans="1:21" s="12" customFormat="1" x14ac:dyDescent="0.25">
      <c r="A28" s="214" t="s">
        <v>2570</v>
      </c>
      <c r="B28" s="64">
        <v>11.82</v>
      </c>
      <c r="C28" s="64">
        <v>19.809999999999999</v>
      </c>
      <c r="D28" s="64">
        <v>19.79</v>
      </c>
      <c r="E28" s="64">
        <v>5.37</v>
      </c>
      <c r="F28" s="64">
        <v>4.57</v>
      </c>
      <c r="G28" s="64">
        <v>11.5</v>
      </c>
      <c r="H28" s="64">
        <v>0.81</v>
      </c>
      <c r="I28" s="64">
        <v>4.12</v>
      </c>
      <c r="J28" s="210" t="s">
        <v>36</v>
      </c>
      <c r="K28" s="210" t="s">
        <v>36</v>
      </c>
      <c r="L28" s="210" t="s">
        <v>36</v>
      </c>
      <c r="M28" s="210" t="s">
        <v>36</v>
      </c>
      <c r="N28" s="210" t="s">
        <v>36</v>
      </c>
      <c r="O28" s="64">
        <v>0</v>
      </c>
      <c r="P28" s="64">
        <v>0.35</v>
      </c>
      <c r="Q28" s="64">
        <v>9.41</v>
      </c>
      <c r="R28" s="198"/>
      <c r="S28" s="198"/>
      <c r="T28" s="198"/>
      <c r="U28" s="198"/>
    </row>
    <row r="29" spans="1:21" s="12" customFormat="1" x14ac:dyDescent="0.25">
      <c r="A29" s="214" t="s">
        <v>2571</v>
      </c>
      <c r="B29" s="64">
        <v>13.01</v>
      </c>
      <c r="C29" s="64">
        <v>22.07</v>
      </c>
      <c r="D29" s="64">
        <v>22.28</v>
      </c>
      <c r="E29" s="64">
        <v>5.57</v>
      </c>
      <c r="F29" s="64">
        <v>4.37</v>
      </c>
      <c r="G29" s="64">
        <v>11.3</v>
      </c>
      <c r="H29" s="64">
        <v>0.82</v>
      </c>
      <c r="I29" s="64">
        <v>4.04</v>
      </c>
      <c r="J29" s="210" t="s">
        <v>36</v>
      </c>
      <c r="K29" s="210" t="s">
        <v>36</v>
      </c>
      <c r="L29" s="210" t="s">
        <v>36</v>
      </c>
      <c r="M29" s="210" t="s">
        <v>36</v>
      </c>
      <c r="N29" s="210" t="s">
        <v>36</v>
      </c>
      <c r="O29" s="64">
        <v>0</v>
      </c>
      <c r="P29" s="64">
        <v>0.37</v>
      </c>
      <c r="Q29" s="64">
        <v>9.41</v>
      </c>
      <c r="R29" s="198"/>
      <c r="S29" s="198"/>
      <c r="T29" s="198"/>
      <c r="U29" s="198"/>
    </row>
    <row r="30" spans="1:21" s="12" customFormat="1" x14ac:dyDescent="0.25">
      <c r="A30" s="214" t="s">
        <v>2572</v>
      </c>
      <c r="B30" s="64">
        <v>13.18</v>
      </c>
      <c r="C30" s="64">
        <v>21.09</v>
      </c>
      <c r="D30" s="64">
        <v>20.14</v>
      </c>
      <c r="E30" s="64">
        <v>5.48</v>
      </c>
      <c r="F30" s="64">
        <v>3.6</v>
      </c>
      <c r="G30" s="64">
        <v>10.42</v>
      </c>
      <c r="H30" s="64">
        <v>0.87</v>
      </c>
      <c r="I30" s="64">
        <v>4.04</v>
      </c>
      <c r="J30" s="210" t="s">
        <v>36</v>
      </c>
      <c r="K30" s="210" t="s">
        <v>36</v>
      </c>
      <c r="L30" s="210" t="s">
        <v>36</v>
      </c>
      <c r="M30" s="210" t="s">
        <v>36</v>
      </c>
      <c r="N30" s="210" t="s">
        <v>36</v>
      </c>
      <c r="O30" s="64">
        <v>0</v>
      </c>
      <c r="P30" s="64">
        <v>0.43</v>
      </c>
      <c r="Q30" s="64">
        <v>9.42</v>
      </c>
      <c r="R30" s="198"/>
      <c r="S30" s="198"/>
      <c r="T30" s="198"/>
      <c r="U30" s="198"/>
    </row>
    <row r="31" spans="1:21" s="12" customFormat="1" x14ac:dyDescent="0.25">
      <c r="A31" s="214" t="s">
        <v>2573</v>
      </c>
      <c r="B31" s="64">
        <v>14.62</v>
      </c>
      <c r="C31" s="64">
        <v>23.37</v>
      </c>
      <c r="D31" s="64">
        <v>22.28</v>
      </c>
      <c r="E31" s="64">
        <v>5.44</v>
      </c>
      <c r="F31" s="64">
        <v>3.81</v>
      </c>
      <c r="G31" s="64">
        <v>10.42</v>
      </c>
      <c r="H31" s="64">
        <v>0.87</v>
      </c>
      <c r="I31" s="64">
        <v>3.98</v>
      </c>
      <c r="J31" s="210" t="s">
        <v>36</v>
      </c>
      <c r="K31" s="210" t="s">
        <v>36</v>
      </c>
      <c r="L31" s="210" t="s">
        <v>36</v>
      </c>
      <c r="M31" s="210" t="s">
        <v>36</v>
      </c>
      <c r="N31" s="210" t="s">
        <v>36</v>
      </c>
      <c r="O31" s="64">
        <v>0</v>
      </c>
      <c r="P31" s="64">
        <v>0.41</v>
      </c>
      <c r="Q31" s="64">
        <v>9.44</v>
      </c>
      <c r="R31" s="198"/>
      <c r="S31" s="198"/>
      <c r="T31" s="198"/>
      <c r="U31" s="198"/>
    </row>
    <row r="32" spans="1:21" s="12" customFormat="1" x14ac:dyDescent="0.25">
      <c r="A32" s="214" t="s">
        <v>2574</v>
      </c>
      <c r="B32" s="64">
        <v>14.9</v>
      </c>
      <c r="C32" s="64">
        <v>24.56</v>
      </c>
      <c r="D32" s="64">
        <v>24.13</v>
      </c>
      <c r="E32" s="64">
        <v>5.24</v>
      </c>
      <c r="F32" s="64">
        <v>5.01</v>
      </c>
      <c r="G32" s="64">
        <v>10.42</v>
      </c>
      <c r="H32" s="64">
        <v>0.87</v>
      </c>
      <c r="I32" s="64">
        <v>4.03</v>
      </c>
      <c r="J32" s="210" t="s">
        <v>36</v>
      </c>
      <c r="K32" s="210" t="s">
        <v>36</v>
      </c>
      <c r="L32" s="210" t="s">
        <v>36</v>
      </c>
      <c r="M32" s="210" t="s">
        <v>36</v>
      </c>
      <c r="N32" s="210" t="s">
        <v>36</v>
      </c>
      <c r="O32" s="64">
        <v>0</v>
      </c>
      <c r="P32" s="64">
        <v>0.46</v>
      </c>
      <c r="Q32" s="64">
        <v>9.4499999999999993</v>
      </c>
      <c r="R32" s="198"/>
      <c r="S32" s="198"/>
      <c r="T32" s="198"/>
      <c r="U32" s="198"/>
    </row>
    <row r="33" spans="1:21" s="12" customFormat="1" x14ac:dyDescent="0.25">
      <c r="A33" s="214" t="s">
        <v>2575</v>
      </c>
      <c r="B33" s="64">
        <v>14.27</v>
      </c>
      <c r="C33" s="64">
        <v>23.76</v>
      </c>
      <c r="D33" s="64">
        <v>23.58</v>
      </c>
      <c r="E33" s="64">
        <v>5.32</v>
      </c>
      <c r="F33" s="64">
        <v>4.82</v>
      </c>
      <c r="G33" s="64">
        <v>11.56</v>
      </c>
      <c r="H33" s="64">
        <v>2.0099999999999998</v>
      </c>
      <c r="I33" s="64">
        <v>4</v>
      </c>
      <c r="J33" s="210" t="s">
        <v>36</v>
      </c>
      <c r="K33" s="210" t="s">
        <v>36</v>
      </c>
      <c r="L33" s="210" t="s">
        <v>36</v>
      </c>
      <c r="M33" s="210" t="s">
        <v>36</v>
      </c>
      <c r="N33" s="210" t="s">
        <v>36</v>
      </c>
      <c r="O33" s="64">
        <v>0</v>
      </c>
      <c r="P33" s="64">
        <v>0.44</v>
      </c>
      <c r="Q33" s="64">
        <v>9.4600000000000009</v>
      </c>
      <c r="R33" s="198"/>
      <c r="S33" s="198"/>
      <c r="T33" s="198"/>
      <c r="U33" s="198"/>
    </row>
    <row r="34" spans="1:21" s="12" customFormat="1" x14ac:dyDescent="0.25">
      <c r="A34" s="214" t="s">
        <v>2576</v>
      </c>
      <c r="B34" s="64">
        <v>20.190000000000001</v>
      </c>
      <c r="C34" s="64">
        <v>34.67</v>
      </c>
      <c r="D34" s="64">
        <v>35.36</v>
      </c>
      <c r="E34" s="64">
        <v>5.44</v>
      </c>
      <c r="F34" s="64">
        <v>6.23</v>
      </c>
      <c r="G34" s="64">
        <v>16.420000000000002</v>
      </c>
      <c r="H34" s="64">
        <v>6.9</v>
      </c>
      <c r="I34" s="64">
        <v>3.92</v>
      </c>
      <c r="J34" s="210" t="s">
        <v>36</v>
      </c>
      <c r="K34" s="210" t="s">
        <v>36</v>
      </c>
      <c r="L34" s="210" t="s">
        <v>36</v>
      </c>
      <c r="M34" s="210" t="s">
        <v>36</v>
      </c>
      <c r="N34" s="210" t="s">
        <v>36</v>
      </c>
      <c r="O34" s="64">
        <v>0</v>
      </c>
      <c r="P34" s="64">
        <v>0.59</v>
      </c>
      <c r="Q34" s="64">
        <v>9.48</v>
      </c>
      <c r="R34" s="198"/>
      <c r="S34" s="198"/>
      <c r="T34" s="198"/>
      <c r="U34" s="198"/>
    </row>
    <row r="35" spans="1:21" s="12" customFormat="1" x14ac:dyDescent="0.25">
      <c r="A35" s="214" t="s">
        <v>2577</v>
      </c>
      <c r="B35" s="64">
        <v>28.32</v>
      </c>
      <c r="C35" s="64">
        <v>44.27</v>
      </c>
      <c r="D35" s="64">
        <v>41.26</v>
      </c>
      <c r="E35" s="64">
        <v>5.83</v>
      </c>
      <c r="F35" s="64">
        <v>8.91</v>
      </c>
      <c r="G35" s="64">
        <v>16.420000000000002</v>
      </c>
      <c r="H35" s="64">
        <v>6.9</v>
      </c>
      <c r="I35" s="64">
        <v>3.82</v>
      </c>
      <c r="J35" s="210" t="s">
        <v>36</v>
      </c>
      <c r="K35" s="210" t="s">
        <v>36</v>
      </c>
      <c r="L35" s="210" t="s">
        <v>36</v>
      </c>
      <c r="M35" s="210" t="s">
        <v>36</v>
      </c>
      <c r="N35" s="210" t="s">
        <v>36</v>
      </c>
      <c r="O35" s="64">
        <v>0</v>
      </c>
      <c r="P35" s="64">
        <v>0.6</v>
      </c>
      <c r="Q35" s="64">
        <v>9.52</v>
      </c>
      <c r="R35" s="198"/>
      <c r="S35" s="198"/>
      <c r="T35" s="198"/>
      <c r="U35" s="198"/>
    </row>
    <row r="36" spans="1:21" s="12" customFormat="1" x14ac:dyDescent="0.25">
      <c r="A36" s="214" t="s">
        <v>2578</v>
      </c>
      <c r="B36" s="64">
        <v>24.89</v>
      </c>
      <c r="C36" s="64">
        <v>40.4</v>
      </c>
      <c r="D36" s="64">
        <v>39.119999999999997</v>
      </c>
      <c r="E36" s="64">
        <v>5.7</v>
      </c>
      <c r="F36" s="64">
        <v>8.07</v>
      </c>
      <c r="G36" s="64">
        <v>16.420000000000002</v>
      </c>
      <c r="H36" s="64">
        <v>6.9</v>
      </c>
      <c r="I36" s="64">
        <v>4.01</v>
      </c>
      <c r="J36" s="210" t="s">
        <v>36</v>
      </c>
      <c r="K36" s="210" t="s">
        <v>36</v>
      </c>
      <c r="L36" s="210" t="s">
        <v>36</v>
      </c>
      <c r="M36" s="210" t="s">
        <v>36</v>
      </c>
      <c r="N36" s="210" t="s">
        <v>36</v>
      </c>
      <c r="O36" s="64">
        <v>0</v>
      </c>
      <c r="P36" s="64">
        <v>0.67</v>
      </c>
      <c r="Q36" s="64">
        <v>9.57</v>
      </c>
      <c r="R36" s="198"/>
      <c r="S36" s="198"/>
      <c r="T36" s="198"/>
      <c r="U36" s="198"/>
    </row>
    <row r="37" spans="1:21" s="12" customFormat="1" x14ac:dyDescent="0.25">
      <c r="A37" s="214" t="s">
        <v>2579</v>
      </c>
      <c r="B37" s="64">
        <v>16.38</v>
      </c>
      <c r="C37" s="64">
        <v>30.02</v>
      </c>
      <c r="D37" s="64">
        <v>32.32</v>
      </c>
      <c r="E37" s="64">
        <v>5.58</v>
      </c>
      <c r="F37" s="64">
        <v>9.06</v>
      </c>
      <c r="G37" s="64">
        <v>21.55</v>
      </c>
      <c r="H37" s="64">
        <v>9.65</v>
      </c>
      <c r="I37" s="64">
        <v>4</v>
      </c>
      <c r="J37" s="210" t="s">
        <v>36</v>
      </c>
      <c r="K37" s="210" t="s">
        <v>36</v>
      </c>
      <c r="L37" s="210" t="s">
        <v>36</v>
      </c>
      <c r="M37" s="210" t="s">
        <v>36</v>
      </c>
      <c r="N37" s="210" t="s">
        <v>36</v>
      </c>
      <c r="O37" s="64">
        <v>0</v>
      </c>
      <c r="P37" s="64">
        <v>0.48</v>
      </c>
      <c r="Q37" s="64">
        <v>9.59</v>
      </c>
      <c r="R37" s="198"/>
      <c r="S37" s="198"/>
      <c r="T37" s="198"/>
      <c r="U37" s="198"/>
    </row>
    <row r="38" spans="1:21" s="12" customFormat="1" x14ac:dyDescent="0.25">
      <c r="A38" s="214" t="s">
        <v>2580</v>
      </c>
      <c r="B38" s="64">
        <v>21.35</v>
      </c>
      <c r="C38" s="64">
        <v>35.03</v>
      </c>
      <c r="D38" s="64">
        <v>34.270000000000003</v>
      </c>
      <c r="E38" s="64">
        <v>5.96</v>
      </c>
      <c r="F38" s="64">
        <v>7.41</v>
      </c>
      <c r="G38" s="64">
        <v>43.55</v>
      </c>
      <c r="H38" s="64">
        <v>21.5</v>
      </c>
      <c r="I38" s="64">
        <v>4.03</v>
      </c>
      <c r="J38" s="210" t="s">
        <v>36</v>
      </c>
      <c r="K38" s="210" t="s">
        <v>36</v>
      </c>
      <c r="L38" s="210" t="s">
        <v>36</v>
      </c>
      <c r="M38" s="210" t="s">
        <v>36</v>
      </c>
      <c r="N38" s="210" t="s">
        <v>36</v>
      </c>
      <c r="O38" s="64">
        <v>0</v>
      </c>
      <c r="P38" s="64">
        <v>0.55000000000000004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4" t="s">
        <v>2581</v>
      </c>
      <c r="B39" s="64">
        <v>21.13</v>
      </c>
      <c r="C39" s="64">
        <v>35.590000000000003</v>
      </c>
      <c r="D39" s="64">
        <v>35.68</v>
      </c>
      <c r="E39" s="64">
        <v>5.49</v>
      </c>
      <c r="F39" s="64">
        <v>9.66</v>
      </c>
      <c r="G39" s="64">
        <v>43.55</v>
      </c>
      <c r="H39" s="64">
        <v>21.5</v>
      </c>
      <c r="I39" s="64">
        <v>3.88</v>
      </c>
      <c r="J39" s="210" t="s">
        <v>36</v>
      </c>
      <c r="K39" s="210" t="s">
        <v>36</v>
      </c>
      <c r="L39" s="210" t="s">
        <v>36</v>
      </c>
      <c r="M39" s="210" t="s">
        <v>36</v>
      </c>
      <c r="N39" s="210" t="s">
        <v>36</v>
      </c>
      <c r="O39" s="64">
        <v>0</v>
      </c>
      <c r="P39" s="64">
        <v>0.56000000000000005</v>
      </c>
      <c r="Q39" s="64">
        <v>9.6300000000000008</v>
      </c>
      <c r="R39" s="198"/>
      <c r="S39" s="198"/>
      <c r="T39" s="198"/>
      <c r="U39" s="198"/>
    </row>
    <row r="40" spans="1:21" s="12" customFormat="1" x14ac:dyDescent="0.25">
      <c r="A40" s="214" t="s">
        <v>2582</v>
      </c>
      <c r="B40" s="64">
        <v>19.13</v>
      </c>
      <c r="C40" s="64">
        <v>30.92</v>
      </c>
      <c r="D40" s="64">
        <v>29.82</v>
      </c>
      <c r="E40" s="64">
        <v>4.46</v>
      </c>
      <c r="F40" s="64">
        <v>8.84</v>
      </c>
      <c r="G40" s="64">
        <v>43.55</v>
      </c>
      <c r="H40" s="64">
        <v>21.5</v>
      </c>
      <c r="I40" s="64">
        <v>3.92</v>
      </c>
      <c r="J40" s="210" t="s">
        <v>36</v>
      </c>
      <c r="K40" s="210" t="s">
        <v>36</v>
      </c>
      <c r="L40" s="210" t="s">
        <v>36</v>
      </c>
      <c r="M40" s="210" t="s">
        <v>36</v>
      </c>
      <c r="N40" s="210" t="s">
        <v>36</v>
      </c>
      <c r="O40" s="64">
        <v>0</v>
      </c>
      <c r="P40" s="64">
        <v>0.56999999999999995</v>
      </c>
      <c r="Q40" s="64">
        <v>9.6199999999999992</v>
      </c>
      <c r="R40" s="198"/>
      <c r="S40" s="198"/>
      <c r="T40" s="198"/>
      <c r="U40" s="198"/>
    </row>
    <row r="41" spans="1:21" s="12" customFormat="1" x14ac:dyDescent="0.25">
      <c r="A41" s="214" t="s">
        <v>2583</v>
      </c>
      <c r="B41" s="64">
        <v>19.239999999999998</v>
      </c>
      <c r="C41" s="64">
        <v>32.94</v>
      </c>
      <c r="D41" s="64">
        <v>33.520000000000003</v>
      </c>
      <c r="E41" s="64">
        <v>4.5199999999999996</v>
      </c>
      <c r="F41" s="64">
        <v>9.82</v>
      </c>
      <c r="G41" s="64">
        <v>44.09</v>
      </c>
      <c r="H41" s="64">
        <v>19.940000000000001</v>
      </c>
      <c r="I41" s="64">
        <v>3.97</v>
      </c>
      <c r="J41" s="210" t="s">
        <v>36</v>
      </c>
      <c r="K41" s="210" t="s">
        <v>36</v>
      </c>
      <c r="L41" s="210" t="s">
        <v>36</v>
      </c>
      <c r="M41" s="210" t="s">
        <v>36</v>
      </c>
      <c r="N41" s="210" t="s">
        <v>36</v>
      </c>
      <c r="O41" s="64">
        <v>0</v>
      </c>
      <c r="P41" s="64">
        <v>0.55000000000000004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4" t="s">
        <v>2584</v>
      </c>
      <c r="B42" s="64">
        <v>17.399999999999999</v>
      </c>
      <c r="C42" s="64">
        <v>26.17</v>
      </c>
      <c r="D42" s="64">
        <v>23.38</v>
      </c>
      <c r="E42" s="64">
        <v>4.93</v>
      </c>
      <c r="F42" s="64">
        <v>2.92</v>
      </c>
      <c r="G42" s="64">
        <v>46.4</v>
      </c>
      <c r="H42" s="64">
        <v>13.68</v>
      </c>
      <c r="I42" s="64">
        <v>4</v>
      </c>
      <c r="J42" s="210" t="s">
        <v>36</v>
      </c>
      <c r="K42" s="210" t="s">
        <v>36</v>
      </c>
      <c r="L42" s="210" t="s">
        <v>36</v>
      </c>
      <c r="M42" s="210" t="s">
        <v>36</v>
      </c>
      <c r="N42" s="210" t="s">
        <v>36</v>
      </c>
      <c r="O42" s="64">
        <v>0</v>
      </c>
      <c r="P42" s="64">
        <v>0.5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4" t="s">
        <v>2585</v>
      </c>
      <c r="B43" s="64">
        <v>14.26</v>
      </c>
      <c r="C43" s="64">
        <v>24.1</v>
      </c>
      <c r="D43" s="64">
        <v>24.23</v>
      </c>
      <c r="E43" s="64">
        <v>4.93</v>
      </c>
      <c r="F43" s="64">
        <v>7.21</v>
      </c>
      <c r="G43" s="64">
        <v>46.4</v>
      </c>
      <c r="H43" s="64">
        <v>13.68</v>
      </c>
      <c r="I43" s="64">
        <v>3.87</v>
      </c>
      <c r="J43" s="210" t="s">
        <v>36</v>
      </c>
      <c r="K43" s="210" t="s">
        <v>36</v>
      </c>
      <c r="L43" s="210" t="s">
        <v>36</v>
      </c>
      <c r="M43" s="210" t="s">
        <v>36</v>
      </c>
      <c r="N43" s="210" t="s">
        <v>36</v>
      </c>
      <c r="O43" s="64">
        <v>0</v>
      </c>
      <c r="P43" s="64">
        <v>0.43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4" t="s">
        <v>2586</v>
      </c>
      <c r="B44" s="64">
        <v>15.99</v>
      </c>
      <c r="C44" s="64">
        <v>25.07</v>
      </c>
      <c r="D44" s="64">
        <v>23.44</v>
      </c>
      <c r="E44" s="64">
        <v>4.62</v>
      </c>
      <c r="F44" s="64">
        <v>5.09</v>
      </c>
      <c r="G44" s="64">
        <v>46.4</v>
      </c>
      <c r="H44" s="64">
        <v>13.68</v>
      </c>
      <c r="I44" s="64">
        <v>4.05</v>
      </c>
      <c r="J44" s="210" t="s">
        <v>36</v>
      </c>
      <c r="K44" s="210" t="s">
        <v>36</v>
      </c>
      <c r="L44" s="210" t="s">
        <v>36</v>
      </c>
      <c r="M44" s="210" t="s">
        <v>36</v>
      </c>
      <c r="N44" s="210" t="s">
        <v>36</v>
      </c>
      <c r="O44" s="64">
        <v>0</v>
      </c>
      <c r="P44" s="64">
        <v>0.48</v>
      </c>
      <c r="Q44" s="64">
        <v>9.6</v>
      </c>
      <c r="R44" s="198"/>
      <c r="S44" s="198"/>
      <c r="T44" s="198"/>
      <c r="U44" s="198"/>
    </row>
    <row r="45" spans="1:21" s="12" customFormat="1" x14ac:dyDescent="0.25">
      <c r="A45" s="214" t="s">
        <v>2587</v>
      </c>
      <c r="B45" s="64">
        <v>13.5</v>
      </c>
      <c r="C45" s="64">
        <v>23.03</v>
      </c>
      <c r="D45" s="64">
        <v>23.37</v>
      </c>
      <c r="E45" s="64">
        <v>5.24</v>
      </c>
      <c r="F45" s="64">
        <v>6.12</v>
      </c>
      <c r="G45" s="64">
        <v>44.75</v>
      </c>
      <c r="H45" s="64">
        <v>13.02</v>
      </c>
      <c r="I45" s="64">
        <v>3.97</v>
      </c>
      <c r="J45" s="210" t="s">
        <v>36</v>
      </c>
      <c r="K45" s="210" t="s">
        <v>36</v>
      </c>
      <c r="L45" s="210" t="s">
        <v>36</v>
      </c>
      <c r="M45" s="210" t="s">
        <v>36</v>
      </c>
      <c r="N45" s="210" t="s">
        <v>36</v>
      </c>
      <c r="O45" s="64">
        <v>0</v>
      </c>
      <c r="P45" s="64">
        <v>0.44</v>
      </c>
      <c r="Q45" s="64">
        <v>9.58</v>
      </c>
      <c r="R45" s="198"/>
      <c r="S45" s="198"/>
      <c r="T45" s="198"/>
      <c r="U45" s="198"/>
    </row>
    <row r="46" spans="1:21" s="12" customFormat="1" x14ac:dyDescent="0.25">
      <c r="A46" s="214" t="s">
        <v>2588</v>
      </c>
      <c r="B46" s="64">
        <v>14.67</v>
      </c>
      <c r="C46" s="64">
        <v>23.94</v>
      </c>
      <c r="D46" s="64">
        <v>23.29</v>
      </c>
      <c r="E46" s="64">
        <v>4.3</v>
      </c>
      <c r="F46" s="64">
        <v>4.33</v>
      </c>
      <c r="G46" s="64">
        <v>37.68</v>
      </c>
      <c r="H46" s="64">
        <v>10.199999999999999</v>
      </c>
      <c r="I46" s="64">
        <v>3.9</v>
      </c>
      <c r="J46" s="210" t="s">
        <v>36</v>
      </c>
      <c r="K46" s="210" t="s">
        <v>36</v>
      </c>
      <c r="L46" s="210" t="s">
        <v>36</v>
      </c>
      <c r="M46" s="210" t="s">
        <v>36</v>
      </c>
      <c r="N46" s="210" t="s">
        <v>36</v>
      </c>
      <c r="O46" s="64">
        <v>0</v>
      </c>
      <c r="P46" s="64">
        <v>0.44</v>
      </c>
      <c r="Q46" s="64">
        <v>9.56</v>
      </c>
      <c r="R46" s="198"/>
      <c r="S46" s="198"/>
      <c r="T46" s="198"/>
      <c r="U46" s="198"/>
    </row>
    <row r="47" spans="1:21" s="12" customFormat="1" x14ac:dyDescent="0.25">
      <c r="A47" s="214" t="s">
        <v>2589</v>
      </c>
      <c r="B47" s="64">
        <v>13.97</v>
      </c>
      <c r="C47" s="64">
        <v>22.4</v>
      </c>
      <c r="D47" s="64">
        <v>21.44</v>
      </c>
      <c r="E47" s="64">
        <v>4.33</v>
      </c>
      <c r="F47" s="64">
        <v>3.77</v>
      </c>
      <c r="G47" s="64">
        <v>37.68</v>
      </c>
      <c r="H47" s="64">
        <v>10.199999999999999</v>
      </c>
      <c r="I47" s="64">
        <v>3.87</v>
      </c>
      <c r="J47" s="210" t="s">
        <v>36</v>
      </c>
      <c r="K47" s="210" t="s">
        <v>36</v>
      </c>
      <c r="L47" s="210" t="s">
        <v>36</v>
      </c>
      <c r="M47" s="210" t="s">
        <v>36</v>
      </c>
      <c r="N47" s="210" t="s">
        <v>36</v>
      </c>
      <c r="O47" s="64">
        <v>0</v>
      </c>
      <c r="P47" s="64">
        <v>0.43</v>
      </c>
      <c r="Q47" s="64">
        <v>9.52</v>
      </c>
      <c r="R47" s="198"/>
      <c r="S47" s="198"/>
      <c r="T47" s="198"/>
      <c r="U47" s="198"/>
    </row>
    <row r="48" spans="1:21" s="12" customFormat="1" x14ac:dyDescent="0.25">
      <c r="A48" s="214" t="s">
        <v>2590</v>
      </c>
      <c r="B48" s="64">
        <v>12.6</v>
      </c>
      <c r="C48" s="64">
        <v>21.92</v>
      </c>
      <c r="D48" s="64">
        <v>22.62</v>
      </c>
      <c r="E48" s="64">
        <v>4.45</v>
      </c>
      <c r="F48" s="64">
        <v>6.6</v>
      </c>
      <c r="G48" s="64">
        <v>37.68</v>
      </c>
      <c r="H48" s="64">
        <v>10.199999999999999</v>
      </c>
      <c r="I48" s="64">
        <v>3.97</v>
      </c>
      <c r="J48" s="210" t="s">
        <v>36</v>
      </c>
      <c r="K48" s="210" t="s">
        <v>36</v>
      </c>
      <c r="L48" s="210" t="s">
        <v>36</v>
      </c>
      <c r="M48" s="210" t="s">
        <v>36</v>
      </c>
      <c r="N48" s="210" t="s">
        <v>36</v>
      </c>
      <c r="O48" s="64">
        <v>0</v>
      </c>
      <c r="P48" s="64">
        <v>0.38</v>
      </c>
      <c r="Q48" s="64">
        <v>9.49</v>
      </c>
      <c r="R48" s="198"/>
      <c r="S48" s="198"/>
      <c r="T48" s="198"/>
      <c r="U48" s="198"/>
    </row>
    <row r="49" spans="1:21" s="12" customFormat="1" x14ac:dyDescent="0.25">
      <c r="A49" s="214" t="s">
        <v>2591</v>
      </c>
      <c r="B49" s="64">
        <v>11.06</v>
      </c>
      <c r="C49" s="64">
        <v>20.69</v>
      </c>
      <c r="D49" s="64">
        <v>22.63</v>
      </c>
      <c r="E49" s="64">
        <v>4.4800000000000004</v>
      </c>
      <c r="F49" s="64">
        <v>3.75</v>
      </c>
      <c r="G49" s="64">
        <v>35.81</v>
      </c>
      <c r="H49" s="64">
        <v>9.58</v>
      </c>
      <c r="I49" s="64">
        <v>4.0999999999999996</v>
      </c>
      <c r="J49" s="210" t="s">
        <v>36</v>
      </c>
      <c r="K49" s="210" t="s">
        <v>36</v>
      </c>
      <c r="L49" s="210" t="s">
        <v>36</v>
      </c>
      <c r="M49" s="210" t="s">
        <v>36</v>
      </c>
      <c r="N49" s="210" t="s">
        <v>36</v>
      </c>
      <c r="O49" s="64">
        <v>0</v>
      </c>
      <c r="P49" s="64">
        <v>0.37</v>
      </c>
      <c r="Q49" s="64">
        <v>9.4499999999999993</v>
      </c>
      <c r="R49" s="198"/>
      <c r="S49" s="198"/>
      <c r="T49" s="198"/>
      <c r="U49" s="198"/>
    </row>
    <row r="50" spans="1:21" s="12" customFormat="1" x14ac:dyDescent="0.25">
      <c r="A50" s="214" t="s">
        <v>2592</v>
      </c>
      <c r="B50" s="64">
        <v>13.43</v>
      </c>
      <c r="C50" s="64">
        <v>23.47</v>
      </c>
      <c r="D50" s="64">
        <v>24.31</v>
      </c>
      <c r="E50" s="64">
        <v>4.3499999999999996</v>
      </c>
      <c r="F50" s="64">
        <v>6.77</v>
      </c>
      <c r="G50" s="64">
        <v>27.78</v>
      </c>
      <c r="H50" s="64">
        <v>7.09</v>
      </c>
      <c r="I50" s="64">
        <v>3.91</v>
      </c>
      <c r="J50" s="210" t="s">
        <v>36</v>
      </c>
      <c r="K50" s="210" t="s">
        <v>36</v>
      </c>
      <c r="L50" s="210" t="s">
        <v>36</v>
      </c>
      <c r="M50" s="210" t="s">
        <v>36</v>
      </c>
      <c r="N50" s="210" t="s">
        <v>36</v>
      </c>
      <c r="O50" s="64">
        <v>0</v>
      </c>
      <c r="P50" s="64">
        <v>0.38</v>
      </c>
      <c r="Q50" s="64">
        <v>9.42</v>
      </c>
      <c r="R50" s="198"/>
      <c r="S50" s="198"/>
      <c r="T50" s="198"/>
      <c r="U50" s="198"/>
    </row>
    <row r="51" spans="1:21" s="12" customFormat="1" x14ac:dyDescent="0.25">
      <c r="A51" s="214" t="s">
        <v>2593</v>
      </c>
      <c r="B51" s="64">
        <v>13.17</v>
      </c>
      <c r="C51" s="64">
        <v>23.98</v>
      </c>
      <c r="D51" s="64">
        <v>25.7</v>
      </c>
      <c r="E51" s="64">
        <v>4.3600000000000003</v>
      </c>
      <c r="F51" s="64">
        <v>8.2899999999999991</v>
      </c>
      <c r="G51" s="64">
        <v>27.78</v>
      </c>
      <c r="H51" s="64">
        <v>7.09</v>
      </c>
      <c r="I51" s="64">
        <v>3.97</v>
      </c>
      <c r="J51" s="210" t="s">
        <v>36</v>
      </c>
      <c r="K51" s="210" t="s">
        <v>36</v>
      </c>
      <c r="L51" s="210" t="s">
        <v>36</v>
      </c>
      <c r="M51" s="210" t="s">
        <v>36</v>
      </c>
      <c r="N51" s="210" t="s">
        <v>36</v>
      </c>
      <c r="O51" s="64">
        <v>0</v>
      </c>
      <c r="P51" s="64">
        <v>0.37</v>
      </c>
      <c r="Q51" s="64">
        <v>9.4</v>
      </c>
      <c r="R51" s="198"/>
      <c r="S51" s="198"/>
      <c r="T51" s="198"/>
      <c r="U51" s="198"/>
    </row>
    <row r="52" spans="1:21" s="12" customFormat="1" x14ac:dyDescent="0.25">
      <c r="A52" s="214" t="s">
        <v>2594</v>
      </c>
      <c r="B52" s="64">
        <v>13.84</v>
      </c>
      <c r="C52" s="64">
        <v>26.83</v>
      </c>
      <c r="D52" s="64">
        <v>30.1</v>
      </c>
      <c r="E52" s="64">
        <v>4.5599999999999996</v>
      </c>
      <c r="F52" s="64">
        <v>16.59</v>
      </c>
      <c r="G52" s="64">
        <v>27.78</v>
      </c>
      <c r="H52" s="64">
        <v>7.09</v>
      </c>
      <c r="I52" s="64">
        <v>3.93</v>
      </c>
      <c r="J52" s="210" t="s">
        <v>36</v>
      </c>
      <c r="K52" s="210" t="s">
        <v>36</v>
      </c>
      <c r="L52" s="210" t="s">
        <v>36</v>
      </c>
      <c r="M52" s="210" t="s">
        <v>36</v>
      </c>
      <c r="N52" s="210" t="s">
        <v>36</v>
      </c>
      <c r="O52" s="64">
        <v>0</v>
      </c>
      <c r="P52" s="64">
        <v>0.38</v>
      </c>
      <c r="Q52" s="64">
        <v>9.39</v>
      </c>
      <c r="R52" s="198"/>
      <c r="S52" s="198"/>
      <c r="T52" s="198"/>
      <c r="U52" s="198"/>
    </row>
    <row r="53" spans="1:21" s="12" customFormat="1" x14ac:dyDescent="0.25">
      <c r="A53" s="214" t="s">
        <v>2595</v>
      </c>
      <c r="B53" s="64">
        <v>7.31</v>
      </c>
      <c r="C53" s="64">
        <v>17.41</v>
      </c>
      <c r="D53" s="64">
        <v>22.09</v>
      </c>
      <c r="E53" s="64">
        <v>4.7300000000000004</v>
      </c>
      <c r="F53" s="64">
        <v>16.940000000000001</v>
      </c>
      <c r="G53" s="64">
        <v>27.9</v>
      </c>
      <c r="H53" s="64">
        <v>7.31</v>
      </c>
      <c r="I53" s="64">
        <v>4.0599999999999996</v>
      </c>
      <c r="J53" s="210" t="s">
        <v>36</v>
      </c>
      <c r="K53" s="210" t="s">
        <v>36</v>
      </c>
      <c r="L53" s="210" t="s">
        <v>36</v>
      </c>
      <c r="M53" s="210" t="s">
        <v>36</v>
      </c>
      <c r="N53" s="210" t="s">
        <v>36</v>
      </c>
      <c r="O53" s="64">
        <v>0</v>
      </c>
      <c r="P53" s="64">
        <v>0.28000000000000003</v>
      </c>
      <c r="Q53" s="64">
        <v>9.39</v>
      </c>
      <c r="R53" s="198"/>
      <c r="S53" s="198"/>
      <c r="T53" s="198"/>
      <c r="U53" s="198"/>
    </row>
    <row r="54" spans="1:21" s="12" customFormat="1" x14ac:dyDescent="0.25">
      <c r="A54" s="214" t="s">
        <v>2596</v>
      </c>
      <c r="B54" s="64">
        <v>9.83</v>
      </c>
      <c r="C54" s="64">
        <v>20.29</v>
      </c>
      <c r="D54" s="64">
        <v>23.74</v>
      </c>
      <c r="E54" s="64">
        <v>4.74</v>
      </c>
      <c r="F54" s="64">
        <v>6.43</v>
      </c>
      <c r="G54" s="64">
        <v>28.44</v>
      </c>
      <c r="H54" s="64">
        <v>8.2799999999999994</v>
      </c>
      <c r="I54" s="64">
        <v>4.01</v>
      </c>
      <c r="J54" s="210" t="s">
        <v>36</v>
      </c>
      <c r="K54" s="210" t="s">
        <v>36</v>
      </c>
      <c r="L54" s="210" t="s">
        <v>36</v>
      </c>
      <c r="M54" s="210" t="s">
        <v>36</v>
      </c>
      <c r="N54" s="210" t="s">
        <v>36</v>
      </c>
      <c r="O54" s="64">
        <v>0</v>
      </c>
      <c r="P54" s="64">
        <v>0.36</v>
      </c>
      <c r="Q54" s="64">
        <v>9.39</v>
      </c>
      <c r="R54" s="198"/>
      <c r="S54" s="198"/>
      <c r="T54" s="198"/>
      <c r="U54" s="198"/>
    </row>
    <row r="55" spans="1:21" s="12" customFormat="1" x14ac:dyDescent="0.25">
      <c r="A55" s="214" t="s">
        <v>2597</v>
      </c>
      <c r="B55" s="64">
        <v>10</v>
      </c>
      <c r="C55" s="64">
        <v>19.36</v>
      </c>
      <c r="D55" s="64">
        <v>21.71</v>
      </c>
      <c r="E55" s="64">
        <v>5.24</v>
      </c>
      <c r="F55" s="64">
        <v>8.34</v>
      </c>
      <c r="G55" s="64">
        <v>28.44</v>
      </c>
      <c r="H55" s="64">
        <v>8.2799999999999994</v>
      </c>
      <c r="I55" s="64">
        <v>3.99</v>
      </c>
      <c r="J55" s="210" t="s">
        <v>36</v>
      </c>
      <c r="K55" s="210" t="s">
        <v>36</v>
      </c>
      <c r="L55" s="210" t="s">
        <v>36</v>
      </c>
      <c r="M55" s="210" t="s">
        <v>36</v>
      </c>
      <c r="N55" s="210" t="s">
        <v>36</v>
      </c>
      <c r="O55" s="64">
        <v>0</v>
      </c>
      <c r="P55" s="64">
        <v>0.28999999999999998</v>
      </c>
      <c r="Q55" s="64">
        <v>9.3800000000000008</v>
      </c>
      <c r="R55" s="198"/>
      <c r="S55" s="198"/>
      <c r="T55" s="198"/>
      <c r="U55" s="198"/>
    </row>
    <row r="56" spans="1:21" s="12" customFormat="1" x14ac:dyDescent="0.25">
      <c r="A56" s="214" t="s">
        <v>2598</v>
      </c>
      <c r="B56" s="64">
        <v>7.42</v>
      </c>
      <c r="C56" s="64">
        <v>15.89</v>
      </c>
      <c r="D56" s="64">
        <v>19.02</v>
      </c>
      <c r="E56" s="64">
        <v>4.75</v>
      </c>
      <c r="F56" s="64">
        <v>12.18</v>
      </c>
      <c r="G56" s="64">
        <v>28.44</v>
      </c>
      <c r="H56" s="64">
        <v>8.2799999999999994</v>
      </c>
      <c r="I56" s="64">
        <v>4.05</v>
      </c>
      <c r="J56" s="210" t="s">
        <v>36</v>
      </c>
      <c r="K56" s="210" t="s">
        <v>36</v>
      </c>
      <c r="L56" s="210" t="s">
        <v>36</v>
      </c>
      <c r="M56" s="210" t="s">
        <v>36</v>
      </c>
      <c r="N56" s="210" t="s">
        <v>36</v>
      </c>
      <c r="O56" s="64">
        <v>0</v>
      </c>
      <c r="P56" s="64">
        <v>0.26</v>
      </c>
      <c r="Q56" s="64">
        <v>9.3699999999999992</v>
      </c>
      <c r="R56" s="198"/>
      <c r="S56" s="198"/>
      <c r="T56" s="198"/>
      <c r="U56" s="198"/>
    </row>
    <row r="57" spans="1:21" s="12" customFormat="1" x14ac:dyDescent="0.25">
      <c r="A57" s="214" t="s">
        <v>2599</v>
      </c>
      <c r="B57" s="64">
        <v>9.9</v>
      </c>
      <c r="C57" s="64">
        <v>21.47</v>
      </c>
      <c r="D57" s="64">
        <v>25.9</v>
      </c>
      <c r="E57" s="64">
        <v>4.3899999999999997</v>
      </c>
      <c r="F57" s="64">
        <v>9.1199999999999992</v>
      </c>
      <c r="G57" s="64">
        <v>27.51</v>
      </c>
      <c r="H57" s="64">
        <v>8.1199999999999992</v>
      </c>
      <c r="I57" s="64">
        <v>4.1100000000000003</v>
      </c>
      <c r="J57" s="210" t="s">
        <v>36</v>
      </c>
      <c r="K57" s="210" t="s">
        <v>36</v>
      </c>
      <c r="L57" s="210" t="s">
        <v>36</v>
      </c>
      <c r="M57" s="210" t="s">
        <v>36</v>
      </c>
      <c r="N57" s="210" t="s">
        <v>36</v>
      </c>
      <c r="O57" s="64">
        <v>0</v>
      </c>
      <c r="P57" s="64">
        <v>0.36</v>
      </c>
      <c r="Q57" s="64">
        <v>9.36</v>
      </c>
      <c r="R57" s="198"/>
      <c r="S57" s="198"/>
      <c r="T57" s="198"/>
      <c r="U57" s="198"/>
    </row>
    <row r="58" spans="1:21" s="12" customFormat="1" x14ac:dyDescent="0.25">
      <c r="A58" s="214" t="s">
        <v>2600</v>
      </c>
      <c r="B58" s="64">
        <v>12.63</v>
      </c>
      <c r="C58" s="64">
        <v>24.52</v>
      </c>
      <c r="D58" s="64">
        <v>27.55</v>
      </c>
      <c r="E58" s="64">
        <v>4.74</v>
      </c>
      <c r="F58" s="64">
        <v>8.6199999999999992</v>
      </c>
      <c r="G58" s="64">
        <v>23.54</v>
      </c>
      <c r="H58" s="64">
        <v>7.42</v>
      </c>
      <c r="I58" s="64">
        <v>3.98</v>
      </c>
      <c r="J58" s="210" t="s">
        <v>36</v>
      </c>
      <c r="K58" s="210" t="s">
        <v>36</v>
      </c>
      <c r="L58" s="210" t="s">
        <v>36</v>
      </c>
      <c r="M58" s="210" t="s">
        <v>36</v>
      </c>
      <c r="N58" s="210" t="s">
        <v>36</v>
      </c>
      <c r="O58" s="64">
        <v>0</v>
      </c>
      <c r="P58" s="64">
        <v>0.48</v>
      </c>
      <c r="Q58" s="64">
        <v>9.35</v>
      </c>
      <c r="R58" s="198"/>
      <c r="S58" s="198"/>
      <c r="T58" s="198"/>
      <c r="U58" s="198"/>
    </row>
    <row r="59" spans="1:21" s="12" customFormat="1" x14ac:dyDescent="0.25">
      <c r="A59" s="214" t="s">
        <v>2601</v>
      </c>
      <c r="B59" s="64">
        <v>8.7799999999999994</v>
      </c>
      <c r="C59" s="64">
        <v>18.45</v>
      </c>
      <c r="D59" s="64">
        <v>21.85</v>
      </c>
      <c r="E59" s="64">
        <v>4.6900000000000004</v>
      </c>
      <c r="F59" s="64">
        <v>9.68</v>
      </c>
      <c r="G59" s="64">
        <v>23.54</v>
      </c>
      <c r="H59" s="64">
        <v>7.42</v>
      </c>
      <c r="I59" s="64">
        <v>3.95</v>
      </c>
      <c r="J59" s="210" t="s">
        <v>36</v>
      </c>
      <c r="K59" s="210" t="s">
        <v>36</v>
      </c>
      <c r="L59" s="210" t="s">
        <v>36</v>
      </c>
      <c r="M59" s="210" t="s">
        <v>36</v>
      </c>
      <c r="N59" s="210" t="s">
        <v>36</v>
      </c>
      <c r="O59" s="64">
        <v>0</v>
      </c>
      <c r="P59" s="64">
        <v>0.39</v>
      </c>
      <c r="Q59" s="64">
        <v>9.34</v>
      </c>
      <c r="R59" s="198"/>
      <c r="S59" s="198"/>
      <c r="T59" s="198"/>
      <c r="U59" s="198"/>
    </row>
    <row r="60" spans="1:21" s="12" customFormat="1" x14ac:dyDescent="0.25">
      <c r="A60" s="214" t="s">
        <v>2602</v>
      </c>
      <c r="B60" s="64">
        <v>9.77</v>
      </c>
      <c r="C60" s="64">
        <v>23.37</v>
      </c>
      <c r="D60" s="64">
        <v>29.73</v>
      </c>
      <c r="E60" s="64">
        <v>5.14</v>
      </c>
      <c r="F60" s="64">
        <v>10.88</v>
      </c>
      <c r="G60" s="64">
        <v>23.54</v>
      </c>
      <c r="H60" s="64">
        <v>7.42</v>
      </c>
      <c r="I60" s="64">
        <v>3.92</v>
      </c>
      <c r="J60" s="210" t="s">
        <v>36</v>
      </c>
      <c r="K60" s="210" t="s">
        <v>36</v>
      </c>
      <c r="L60" s="210" t="s">
        <v>36</v>
      </c>
      <c r="M60" s="210" t="s">
        <v>36</v>
      </c>
      <c r="N60" s="210" t="s">
        <v>36</v>
      </c>
      <c r="O60" s="64">
        <v>0</v>
      </c>
      <c r="P60" s="64">
        <v>0.37</v>
      </c>
      <c r="Q60" s="64">
        <v>9.33</v>
      </c>
      <c r="R60" s="198"/>
      <c r="S60" s="198"/>
      <c r="T60" s="198"/>
      <c r="U60" s="198"/>
    </row>
    <row r="61" spans="1:21" s="12" customFormat="1" x14ac:dyDescent="0.25">
      <c r="A61" s="214" t="s">
        <v>2603</v>
      </c>
      <c r="B61" s="64">
        <v>10.71</v>
      </c>
      <c r="C61" s="64">
        <v>23.66</v>
      </c>
      <c r="D61" s="64">
        <v>28.85</v>
      </c>
      <c r="E61" s="64">
        <v>4.83</v>
      </c>
      <c r="F61" s="64">
        <v>11.35</v>
      </c>
      <c r="G61" s="64">
        <v>24.1</v>
      </c>
      <c r="H61" s="64">
        <v>6.62</v>
      </c>
      <c r="I61" s="64">
        <v>4.01</v>
      </c>
      <c r="J61" s="210" t="s">
        <v>36</v>
      </c>
      <c r="K61" s="210" t="s">
        <v>36</v>
      </c>
      <c r="L61" s="210" t="s">
        <v>36</v>
      </c>
      <c r="M61" s="210" t="s">
        <v>36</v>
      </c>
      <c r="N61" s="210" t="s">
        <v>36</v>
      </c>
      <c r="O61" s="64">
        <v>0</v>
      </c>
      <c r="P61" s="64">
        <v>0.42</v>
      </c>
      <c r="Q61" s="64">
        <v>9.32</v>
      </c>
      <c r="R61" s="198"/>
      <c r="S61" s="198"/>
      <c r="T61" s="198"/>
      <c r="U61" s="198"/>
    </row>
    <row r="62" spans="1:21" s="12" customFormat="1" x14ac:dyDescent="0.25">
      <c r="A62" s="214" t="s">
        <v>2604</v>
      </c>
      <c r="B62" s="64">
        <v>8.85</v>
      </c>
      <c r="C62" s="64">
        <v>21.97</v>
      </c>
      <c r="D62" s="64">
        <v>28.47</v>
      </c>
      <c r="E62" s="64">
        <v>4.8099999999999996</v>
      </c>
      <c r="F62" s="64">
        <v>10.8</v>
      </c>
      <c r="G62" s="64">
        <v>26.47</v>
      </c>
      <c r="H62" s="64">
        <v>3.2</v>
      </c>
      <c r="I62" s="64">
        <v>4.25</v>
      </c>
      <c r="J62" s="210" t="s">
        <v>36</v>
      </c>
      <c r="K62" s="210" t="s">
        <v>36</v>
      </c>
      <c r="L62" s="210" t="s">
        <v>36</v>
      </c>
      <c r="M62" s="210" t="s">
        <v>36</v>
      </c>
      <c r="N62" s="210" t="s">
        <v>36</v>
      </c>
      <c r="O62" s="64">
        <v>0</v>
      </c>
      <c r="P62" s="64">
        <v>0.43</v>
      </c>
      <c r="Q62" s="64">
        <v>9.31</v>
      </c>
      <c r="R62" s="198"/>
      <c r="S62" s="198"/>
      <c r="T62" s="198"/>
      <c r="U62" s="198"/>
    </row>
    <row r="63" spans="1:21" s="12" customFormat="1" x14ac:dyDescent="0.25">
      <c r="A63" s="214" t="s">
        <v>2605</v>
      </c>
      <c r="B63" s="64">
        <v>10.02</v>
      </c>
      <c r="C63" s="64">
        <v>20.56</v>
      </c>
      <c r="D63" s="64">
        <v>23.98</v>
      </c>
      <c r="E63" s="64">
        <v>4.96</v>
      </c>
      <c r="F63" s="64">
        <v>4.66</v>
      </c>
      <c r="G63" s="64">
        <v>26.47</v>
      </c>
      <c r="H63" s="64">
        <v>3.2</v>
      </c>
      <c r="I63" s="64">
        <v>4.0199999999999996</v>
      </c>
      <c r="J63" s="210" t="s">
        <v>36</v>
      </c>
      <c r="K63" s="210" t="s">
        <v>36</v>
      </c>
      <c r="L63" s="210" t="s">
        <v>36</v>
      </c>
      <c r="M63" s="210" t="s">
        <v>36</v>
      </c>
      <c r="N63" s="210" t="s">
        <v>36</v>
      </c>
      <c r="O63" s="64">
        <v>0</v>
      </c>
      <c r="P63" s="64">
        <v>0.42</v>
      </c>
      <c r="Q63" s="64">
        <v>9.2899999999999991</v>
      </c>
      <c r="R63" s="198"/>
      <c r="S63" s="198"/>
      <c r="T63" s="198"/>
      <c r="U63" s="198"/>
    </row>
    <row r="64" spans="1:21" s="12" customFormat="1" x14ac:dyDescent="0.25">
      <c r="A64" s="214" t="s">
        <v>2606</v>
      </c>
      <c r="B64" s="64">
        <v>8.65</v>
      </c>
      <c r="C64" s="64">
        <v>19.37</v>
      </c>
      <c r="D64" s="64">
        <v>23.8</v>
      </c>
      <c r="E64" s="64">
        <v>4.79</v>
      </c>
      <c r="F64" s="64">
        <v>12.48</v>
      </c>
      <c r="G64" s="64">
        <v>26.47</v>
      </c>
      <c r="H64" s="64">
        <v>3.2</v>
      </c>
      <c r="I64" s="64">
        <v>4.07</v>
      </c>
      <c r="J64" s="210" t="s">
        <v>36</v>
      </c>
      <c r="K64" s="210" t="s">
        <v>36</v>
      </c>
      <c r="L64" s="210" t="s">
        <v>36</v>
      </c>
      <c r="M64" s="210" t="s">
        <v>36</v>
      </c>
      <c r="N64" s="210" t="s">
        <v>36</v>
      </c>
      <c r="O64" s="64">
        <v>0</v>
      </c>
      <c r="P64" s="64">
        <v>0.39</v>
      </c>
      <c r="Q64" s="64">
        <v>9.2899999999999991</v>
      </c>
      <c r="R64" s="198"/>
      <c r="S64" s="198"/>
      <c r="T64" s="198"/>
      <c r="U64" s="198"/>
    </row>
    <row r="65" spans="1:21" s="12" customFormat="1" x14ac:dyDescent="0.25">
      <c r="A65" s="214" t="s">
        <v>2607</v>
      </c>
      <c r="B65" s="64">
        <v>7.14</v>
      </c>
      <c r="C65" s="64">
        <v>17.920000000000002</v>
      </c>
      <c r="D65" s="64">
        <v>23.35</v>
      </c>
      <c r="E65" s="64">
        <v>4.6900000000000004</v>
      </c>
      <c r="F65" s="64">
        <v>10.89</v>
      </c>
      <c r="G65" s="64">
        <v>26.58</v>
      </c>
      <c r="H65" s="64">
        <v>3.97</v>
      </c>
      <c r="I65" s="64">
        <v>3.99</v>
      </c>
      <c r="J65" s="210" t="s">
        <v>36</v>
      </c>
      <c r="K65" s="210" t="s">
        <v>36</v>
      </c>
      <c r="L65" s="210" t="s">
        <v>36</v>
      </c>
      <c r="M65" s="210" t="s">
        <v>36</v>
      </c>
      <c r="N65" s="210" t="s">
        <v>36</v>
      </c>
      <c r="O65" s="64">
        <v>0</v>
      </c>
      <c r="P65" s="64">
        <v>0.38</v>
      </c>
      <c r="Q65" s="64">
        <v>9.27</v>
      </c>
      <c r="R65" s="198"/>
      <c r="S65" s="198"/>
      <c r="T65" s="198"/>
      <c r="U65" s="198"/>
    </row>
    <row r="66" spans="1:21" s="12" customFormat="1" x14ac:dyDescent="0.25">
      <c r="A66" s="214" t="s">
        <v>2608</v>
      </c>
      <c r="B66" s="64">
        <v>6.77</v>
      </c>
      <c r="C66" s="64">
        <v>19.57</v>
      </c>
      <c r="D66" s="64">
        <v>27.05</v>
      </c>
      <c r="E66" s="64">
        <v>4.57</v>
      </c>
      <c r="F66" s="64">
        <v>10.64</v>
      </c>
      <c r="G66" s="64">
        <v>27.02</v>
      </c>
      <c r="H66" s="64">
        <v>7.03</v>
      </c>
      <c r="I66" s="64">
        <v>3.93</v>
      </c>
      <c r="J66" s="210" t="s">
        <v>36</v>
      </c>
      <c r="K66" s="210" t="s">
        <v>36</v>
      </c>
      <c r="L66" s="210" t="s">
        <v>36</v>
      </c>
      <c r="M66" s="210" t="s">
        <v>36</v>
      </c>
      <c r="N66" s="210" t="s">
        <v>36</v>
      </c>
      <c r="O66" s="64">
        <v>0</v>
      </c>
      <c r="P66" s="64">
        <v>0.41</v>
      </c>
      <c r="Q66" s="64">
        <v>9.24</v>
      </c>
      <c r="R66" s="198"/>
      <c r="S66" s="198"/>
      <c r="T66" s="198"/>
      <c r="U66" s="198"/>
    </row>
    <row r="67" spans="1:21" s="12" customFormat="1" x14ac:dyDescent="0.25">
      <c r="A67" s="214" t="s">
        <v>2609</v>
      </c>
      <c r="B67" s="64">
        <v>6.6</v>
      </c>
      <c r="C67" s="64">
        <v>19.739999999999998</v>
      </c>
      <c r="D67" s="64">
        <v>27.66</v>
      </c>
      <c r="E67" s="64">
        <v>4.32</v>
      </c>
      <c r="F67" s="64">
        <v>12.54</v>
      </c>
      <c r="G67" s="64">
        <v>27.02</v>
      </c>
      <c r="H67" s="64">
        <v>7.03</v>
      </c>
      <c r="I67" s="64">
        <v>4.03</v>
      </c>
      <c r="J67" s="210" t="s">
        <v>36</v>
      </c>
      <c r="K67" s="210" t="s">
        <v>36</v>
      </c>
      <c r="L67" s="210" t="s">
        <v>36</v>
      </c>
      <c r="M67" s="210" t="s">
        <v>36</v>
      </c>
      <c r="N67" s="210" t="s">
        <v>36</v>
      </c>
      <c r="O67" s="64">
        <v>0</v>
      </c>
      <c r="P67" s="64">
        <v>0.42</v>
      </c>
      <c r="Q67" s="64">
        <v>9.23</v>
      </c>
      <c r="R67" s="198"/>
      <c r="S67" s="198"/>
      <c r="T67" s="198"/>
      <c r="U67" s="198"/>
    </row>
    <row r="68" spans="1:21" s="12" customFormat="1" x14ac:dyDescent="0.25">
      <c r="A68" s="214" t="s">
        <v>2610</v>
      </c>
      <c r="B68" s="64">
        <v>7.09</v>
      </c>
      <c r="C68" s="64">
        <v>20.69</v>
      </c>
      <c r="D68" s="64">
        <v>28.72</v>
      </c>
      <c r="E68" s="64">
        <v>4.82</v>
      </c>
      <c r="F68" s="64">
        <v>16.72</v>
      </c>
      <c r="G68" s="64">
        <v>27.02</v>
      </c>
      <c r="H68" s="64">
        <v>7.03</v>
      </c>
      <c r="I68" s="64">
        <v>4.22</v>
      </c>
      <c r="J68" s="210" t="s">
        <v>36</v>
      </c>
      <c r="K68" s="210" t="s">
        <v>36</v>
      </c>
      <c r="L68" s="210" t="s">
        <v>36</v>
      </c>
      <c r="M68" s="210" t="s">
        <v>36</v>
      </c>
      <c r="N68" s="210" t="s">
        <v>36</v>
      </c>
      <c r="O68" s="64">
        <v>0</v>
      </c>
      <c r="P68" s="64">
        <v>0.45</v>
      </c>
      <c r="Q68" s="64">
        <v>9.2100000000000009</v>
      </c>
      <c r="R68" s="198"/>
      <c r="S68" s="198"/>
      <c r="T68" s="198"/>
      <c r="U68" s="198"/>
    </row>
    <row r="69" spans="1:21" s="12" customFormat="1" x14ac:dyDescent="0.25">
      <c r="A69" s="214" t="s">
        <v>2611</v>
      </c>
      <c r="B69" s="64">
        <v>6.62</v>
      </c>
      <c r="C69" s="64">
        <v>20.57</v>
      </c>
      <c r="D69" s="64">
        <v>29.22</v>
      </c>
      <c r="E69" s="64">
        <v>4.49</v>
      </c>
      <c r="F69" s="64">
        <v>8.0500000000000007</v>
      </c>
      <c r="G69" s="64">
        <v>28.96</v>
      </c>
      <c r="H69" s="64">
        <v>7.49</v>
      </c>
      <c r="I69" s="64">
        <v>4.12</v>
      </c>
      <c r="J69" s="210" t="s">
        <v>36</v>
      </c>
      <c r="K69" s="210" t="s">
        <v>36</v>
      </c>
      <c r="L69" s="210" t="s">
        <v>36</v>
      </c>
      <c r="M69" s="210" t="s">
        <v>36</v>
      </c>
      <c r="N69" s="210" t="s">
        <v>36</v>
      </c>
      <c r="O69" s="64">
        <v>0</v>
      </c>
      <c r="P69" s="64">
        <v>0.43</v>
      </c>
      <c r="Q69" s="64">
        <v>9.1999999999999993</v>
      </c>
      <c r="R69" s="198"/>
      <c r="S69" s="198"/>
      <c r="T69" s="198"/>
      <c r="U69" s="198"/>
    </row>
    <row r="70" spans="1:21" s="12" customFormat="1" x14ac:dyDescent="0.25">
      <c r="A70" s="214" t="s">
        <v>2612</v>
      </c>
      <c r="B70" s="64">
        <v>8.32</v>
      </c>
      <c r="C70" s="64">
        <v>21.12</v>
      </c>
      <c r="D70" s="64">
        <v>27.65</v>
      </c>
      <c r="E70" s="64">
        <v>4.4800000000000004</v>
      </c>
      <c r="F70" s="64">
        <v>13.43</v>
      </c>
      <c r="G70" s="64">
        <v>36.68</v>
      </c>
      <c r="H70" s="64">
        <v>9.43</v>
      </c>
      <c r="I70" s="64">
        <v>3.87</v>
      </c>
      <c r="J70" s="210" t="s">
        <v>36</v>
      </c>
      <c r="K70" s="210" t="s">
        <v>36</v>
      </c>
      <c r="L70" s="210" t="s">
        <v>36</v>
      </c>
      <c r="M70" s="210" t="s">
        <v>36</v>
      </c>
      <c r="N70" s="210" t="s">
        <v>36</v>
      </c>
      <c r="O70" s="64">
        <v>0</v>
      </c>
      <c r="P70" s="64">
        <v>0.42</v>
      </c>
      <c r="Q70" s="64">
        <v>9.2100000000000009</v>
      </c>
      <c r="R70" s="198"/>
      <c r="S70" s="198"/>
      <c r="T70" s="198"/>
      <c r="U70" s="198"/>
    </row>
    <row r="71" spans="1:21" s="12" customFormat="1" x14ac:dyDescent="0.25">
      <c r="A71" s="214" t="s">
        <v>2613</v>
      </c>
      <c r="B71" s="64">
        <v>10.08</v>
      </c>
      <c r="C71" s="64">
        <v>25.43</v>
      </c>
      <c r="D71" s="64">
        <v>33.200000000000003</v>
      </c>
      <c r="E71" s="64">
        <v>4.9400000000000004</v>
      </c>
      <c r="F71" s="64">
        <v>13.68</v>
      </c>
      <c r="G71" s="64">
        <v>36.68</v>
      </c>
      <c r="H71" s="64">
        <v>9.43</v>
      </c>
      <c r="I71" s="64">
        <v>3.95</v>
      </c>
      <c r="J71" s="210" t="s">
        <v>36</v>
      </c>
      <c r="K71" s="210" t="s">
        <v>36</v>
      </c>
      <c r="L71" s="210" t="s">
        <v>36</v>
      </c>
      <c r="M71" s="210" t="s">
        <v>36</v>
      </c>
      <c r="N71" s="210" t="s">
        <v>36</v>
      </c>
      <c r="O71" s="64">
        <v>0</v>
      </c>
      <c r="P71" s="64">
        <v>0.4</v>
      </c>
      <c r="Q71" s="64">
        <v>9.2200000000000006</v>
      </c>
      <c r="R71" s="198"/>
      <c r="S71" s="198"/>
      <c r="T71" s="198"/>
      <c r="U71" s="198"/>
    </row>
    <row r="72" spans="1:21" s="12" customFormat="1" x14ac:dyDescent="0.25">
      <c r="A72" s="214" t="s">
        <v>2614</v>
      </c>
      <c r="B72" s="64">
        <v>6.86</v>
      </c>
      <c r="C72" s="64">
        <v>20.69</v>
      </c>
      <c r="D72" s="64">
        <v>29.08</v>
      </c>
      <c r="E72" s="64">
        <v>4.75</v>
      </c>
      <c r="F72" s="64">
        <v>12.81</v>
      </c>
      <c r="G72" s="64">
        <v>36.68</v>
      </c>
      <c r="H72" s="64">
        <v>9.43</v>
      </c>
      <c r="I72" s="64">
        <v>4</v>
      </c>
      <c r="J72" s="210" t="s">
        <v>36</v>
      </c>
      <c r="K72" s="210" t="s">
        <v>36</v>
      </c>
      <c r="L72" s="210" t="s">
        <v>36</v>
      </c>
      <c r="M72" s="210" t="s">
        <v>36</v>
      </c>
      <c r="N72" s="210" t="s">
        <v>36</v>
      </c>
      <c r="O72" s="64">
        <v>0</v>
      </c>
      <c r="P72" s="64">
        <v>0.37</v>
      </c>
      <c r="Q72" s="64">
        <v>9.23</v>
      </c>
      <c r="R72" s="198"/>
      <c r="S72" s="198"/>
      <c r="T72" s="198"/>
      <c r="U72" s="198"/>
    </row>
    <row r="73" spans="1:21" s="12" customFormat="1" x14ac:dyDescent="0.25">
      <c r="A73" s="214" t="s">
        <v>2615</v>
      </c>
      <c r="B73" s="64">
        <v>10.53</v>
      </c>
      <c r="C73" s="64">
        <v>25.45</v>
      </c>
      <c r="D73" s="64">
        <v>32.56</v>
      </c>
      <c r="E73" s="64">
        <v>4.08</v>
      </c>
      <c r="F73" s="64">
        <v>5.46</v>
      </c>
      <c r="G73" s="64">
        <v>34.549999999999997</v>
      </c>
      <c r="H73" s="64">
        <v>8.7799999999999994</v>
      </c>
      <c r="I73" s="64">
        <v>3.85</v>
      </c>
      <c r="J73" s="210" t="s">
        <v>36</v>
      </c>
      <c r="K73" s="210" t="s">
        <v>36</v>
      </c>
      <c r="L73" s="210" t="s">
        <v>36</v>
      </c>
      <c r="M73" s="210" t="s">
        <v>36</v>
      </c>
      <c r="N73" s="210" t="s">
        <v>36</v>
      </c>
      <c r="O73" s="64">
        <v>0</v>
      </c>
      <c r="P73" s="64">
        <v>0.49</v>
      </c>
      <c r="Q73" s="64">
        <v>9.24</v>
      </c>
      <c r="R73" s="198"/>
      <c r="S73" s="198"/>
      <c r="T73" s="198"/>
      <c r="U73" s="198"/>
    </row>
    <row r="74" spans="1:21" s="12" customFormat="1" x14ac:dyDescent="0.25">
      <c r="A74" s="214" t="s">
        <v>2616</v>
      </c>
      <c r="B74" s="64">
        <v>7.42</v>
      </c>
      <c r="C74" s="64">
        <v>17.71</v>
      </c>
      <c r="D74" s="64">
        <v>22.52</v>
      </c>
      <c r="E74" s="64">
        <v>4.54</v>
      </c>
      <c r="F74" s="64">
        <v>3.96</v>
      </c>
      <c r="G74" s="64">
        <v>25.42</v>
      </c>
      <c r="H74" s="64">
        <v>6.17</v>
      </c>
      <c r="I74" s="64">
        <v>3.96</v>
      </c>
      <c r="J74" s="210" t="s">
        <v>36</v>
      </c>
      <c r="K74" s="210" t="s">
        <v>36</v>
      </c>
      <c r="L74" s="210" t="s">
        <v>36</v>
      </c>
      <c r="M74" s="210" t="s">
        <v>36</v>
      </c>
      <c r="N74" s="210" t="s">
        <v>36</v>
      </c>
      <c r="O74" s="64">
        <v>0</v>
      </c>
      <c r="P74" s="64">
        <v>0.5</v>
      </c>
      <c r="Q74" s="64">
        <v>9.27</v>
      </c>
      <c r="R74" s="198"/>
      <c r="S74" s="198"/>
      <c r="T74" s="198"/>
      <c r="U74" s="198"/>
    </row>
    <row r="75" spans="1:21" s="12" customFormat="1" x14ac:dyDescent="0.25">
      <c r="A75" s="214" t="s">
        <v>2617</v>
      </c>
      <c r="B75" s="64">
        <v>7.96</v>
      </c>
      <c r="C75" s="64">
        <v>17.73</v>
      </c>
      <c r="D75" s="64">
        <v>21.73</v>
      </c>
      <c r="E75" s="64">
        <v>4.45</v>
      </c>
      <c r="F75" s="64">
        <v>4.49</v>
      </c>
      <c r="G75" s="64">
        <v>25.42</v>
      </c>
      <c r="H75" s="64">
        <v>6.17</v>
      </c>
      <c r="I75" s="64">
        <v>3.81</v>
      </c>
      <c r="J75" s="210" t="s">
        <v>36</v>
      </c>
      <c r="K75" s="210" t="s">
        <v>36</v>
      </c>
      <c r="L75" s="210" t="s">
        <v>36</v>
      </c>
      <c r="M75" s="210" t="s">
        <v>36</v>
      </c>
      <c r="N75" s="210" t="s">
        <v>36</v>
      </c>
      <c r="O75" s="64">
        <v>0</v>
      </c>
      <c r="P75" s="64">
        <v>0.45</v>
      </c>
      <c r="Q75" s="64">
        <v>9.2899999999999991</v>
      </c>
      <c r="R75" s="198"/>
      <c r="S75" s="198"/>
      <c r="T75" s="198"/>
      <c r="U75" s="198"/>
    </row>
    <row r="76" spans="1:21" s="12" customFormat="1" x14ac:dyDescent="0.25">
      <c r="A76" s="214" t="s">
        <v>2618</v>
      </c>
      <c r="B76" s="64">
        <v>8.3699999999999992</v>
      </c>
      <c r="C76" s="64">
        <v>18</v>
      </c>
      <c r="D76" s="64">
        <v>21.61</v>
      </c>
      <c r="E76" s="64">
        <v>4.2699999999999996</v>
      </c>
      <c r="F76" s="64">
        <v>4.21</v>
      </c>
      <c r="G76" s="64">
        <v>25.42</v>
      </c>
      <c r="H76" s="64">
        <v>6.17</v>
      </c>
      <c r="I76" s="64">
        <v>4.0199999999999996</v>
      </c>
      <c r="J76" s="210" t="s">
        <v>36</v>
      </c>
      <c r="K76" s="210" t="s">
        <v>36</v>
      </c>
      <c r="L76" s="210" t="s">
        <v>36</v>
      </c>
      <c r="M76" s="210" t="s">
        <v>36</v>
      </c>
      <c r="N76" s="210" t="s">
        <v>36</v>
      </c>
      <c r="O76" s="64">
        <v>0</v>
      </c>
      <c r="P76" s="64">
        <v>0.35</v>
      </c>
      <c r="Q76" s="64">
        <v>9.3000000000000007</v>
      </c>
      <c r="R76" s="198"/>
      <c r="S76" s="198"/>
      <c r="T76" s="198"/>
      <c r="U76" s="198"/>
    </row>
    <row r="77" spans="1:21" s="12" customFormat="1" x14ac:dyDescent="0.25">
      <c r="A77" s="214" t="s">
        <v>2619</v>
      </c>
      <c r="B77" s="64">
        <v>8.3699999999999992</v>
      </c>
      <c r="C77" s="64">
        <v>17.87</v>
      </c>
      <c r="D77" s="64">
        <v>21.35</v>
      </c>
      <c r="E77" s="64">
        <v>4.18</v>
      </c>
      <c r="F77" s="64">
        <v>3.99</v>
      </c>
      <c r="G77" s="64">
        <v>25.08</v>
      </c>
      <c r="H77" s="64">
        <v>6.48</v>
      </c>
      <c r="I77" s="64">
        <v>3.96</v>
      </c>
      <c r="J77" s="210" t="s">
        <v>36</v>
      </c>
      <c r="K77" s="210" t="s">
        <v>36</v>
      </c>
      <c r="L77" s="210" t="s">
        <v>36</v>
      </c>
      <c r="M77" s="210" t="s">
        <v>36</v>
      </c>
      <c r="N77" s="210" t="s">
        <v>36</v>
      </c>
      <c r="O77" s="64">
        <v>0</v>
      </c>
      <c r="P77" s="64">
        <v>0.38</v>
      </c>
      <c r="Q77" s="64">
        <v>9.31</v>
      </c>
      <c r="R77" s="198"/>
      <c r="S77" s="198"/>
      <c r="T77" s="198"/>
      <c r="U77" s="198"/>
    </row>
    <row r="78" spans="1:21" s="12" customFormat="1" x14ac:dyDescent="0.25">
      <c r="A78" s="214" t="s">
        <v>2620</v>
      </c>
      <c r="B78" s="64">
        <v>8.27</v>
      </c>
      <c r="C78" s="64">
        <v>18.66</v>
      </c>
      <c r="D78" s="64">
        <v>23.02</v>
      </c>
      <c r="E78" s="64">
        <v>3.76</v>
      </c>
      <c r="F78" s="64">
        <v>3.68</v>
      </c>
      <c r="G78" s="64">
        <v>23.69</v>
      </c>
      <c r="H78" s="64">
        <v>7.73</v>
      </c>
      <c r="I78" s="64">
        <v>4.0199999999999996</v>
      </c>
      <c r="J78" s="210" t="s">
        <v>36</v>
      </c>
      <c r="K78" s="210" t="s">
        <v>36</v>
      </c>
      <c r="L78" s="210" t="s">
        <v>36</v>
      </c>
      <c r="M78" s="210" t="s">
        <v>36</v>
      </c>
      <c r="N78" s="210" t="s">
        <v>36</v>
      </c>
      <c r="O78" s="64">
        <v>0</v>
      </c>
      <c r="P78" s="64">
        <v>0.33</v>
      </c>
      <c r="Q78" s="64">
        <v>9.3000000000000007</v>
      </c>
      <c r="R78" s="198"/>
      <c r="S78" s="198"/>
      <c r="T78" s="198"/>
      <c r="U78" s="198"/>
    </row>
    <row r="79" spans="1:21" s="12" customFormat="1" x14ac:dyDescent="0.25">
      <c r="A79" s="214" t="s">
        <v>2621</v>
      </c>
      <c r="B79" s="64">
        <v>8.19</v>
      </c>
      <c r="C79" s="64">
        <v>18.239999999999998</v>
      </c>
      <c r="D79" s="64">
        <v>22.34</v>
      </c>
      <c r="E79" s="64">
        <v>3.78</v>
      </c>
      <c r="F79" s="64">
        <v>3.88</v>
      </c>
      <c r="G79" s="64">
        <v>23.69</v>
      </c>
      <c r="H79" s="64">
        <v>7.73</v>
      </c>
      <c r="I79" s="64">
        <v>4.05</v>
      </c>
      <c r="J79" s="210" t="s">
        <v>36</v>
      </c>
      <c r="K79" s="210" t="s">
        <v>36</v>
      </c>
      <c r="L79" s="210" t="s">
        <v>36</v>
      </c>
      <c r="M79" s="210" t="s">
        <v>36</v>
      </c>
      <c r="N79" s="210" t="s">
        <v>36</v>
      </c>
      <c r="O79" s="64">
        <v>0</v>
      </c>
      <c r="P79" s="64">
        <v>0.55000000000000004</v>
      </c>
      <c r="Q79" s="64">
        <v>9.27</v>
      </c>
      <c r="R79" s="198"/>
      <c r="S79" s="198"/>
      <c r="T79" s="198"/>
      <c r="U79" s="198"/>
    </row>
    <row r="80" spans="1:21" s="12" customFormat="1" x14ac:dyDescent="0.25">
      <c r="A80" s="214" t="s">
        <v>2622</v>
      </c>
      <c r="B80" s="64">
        <v>8.51</v>
      </c>
      <c r="C80" s="64">
        <v>18.600000000000001</v>
      </c>
      <c r="D80" s="64">
        <v>22.53</v>
      </c>
      <c r="E80" s="64">
        <v>4.1399999999999997</v>
      </c>
      <c r="F80" s="64">
        <v>3.77</v>
      </c>
      <c r="G80" s="64">
        <v>23.69</v>
      </c>
      <c r="H80" s="64">
        <v>7.73</v>
      </c>
      <c r="I80" s="64">
        <v>3.9</v>
      </c>
      <c r="J80" s="210" t="s">
        <v>36</v>
      </c>
      <c r="K80" s="210" t="s">
        <v>36</v>
      </c>
      <c r="L80" s="210" t="s">
        <v>36</v>
      </c>
      <c r="M80" s="210" t="s">
        <v>36</v>
      </c>
      <c r="N80" s="210" t="s">
        <v>36</v>
      </c>
      <c r="O80" s="64">
        <v>0</v>
      </c>
      <c r="P80" s="64">
        <v>0.45</v>
      </c>
      <c r="Q80" s="64">
        <v>9.2799999999999994</v>
      </c>
      <c r="R80" s="198"/>
      <c r="S80" s="198"/>
      <c r="T80" s="198"/>
      <c r="U80" s="198"/>
    </row>
    <row r="81" spans="1:26" s="12" customFormat="1" x14ac:dyDescent="0.25">
      <c r="A81" s="214" t="s">
        <v>2623</v>
      </c>
      <c r="B81" s="64">
        <v>8.69</v>
      </c>
      <c r="C81" s="64">
        <v>18.68</v>
      </c>
      <c r="D81" s="64">
        <v>22.42</v>
      </c>
      <c r="E81" s="64">
        <v>3.89</v>
      </c>
      <c r="F81" s="64">
        <v>3.27</v>
      </c>
      <c r="G81" s="64">
        <v>23.47</v>
      </c>
      <c r="H81" s="64">
        <v>7.01</v>
      </c>
      <c r="I81" s="64">
        <v>3.88</v>
      </c>
      <c r="J81" s="210" t="s">
        <v>36</v>
      </c>
      <c r="K81" s="210" t="s">
        <v>36</v>
      </c>
      <c r="L81" s="210" t="s">
        <v>36</v>
      </c>
      <c r="M81" s="210" t="s">
        <v>36</v>
      </c>
      <c r="N81" s="210" t="s">
        <v>36</v>
      </c>
      <c r="O81" s="64">
        <v>0</v>
      </c>
      <c r="P81" s="64">
        <v>0.4</v>
      </c>
      <c r="Q81" s="64">
        <v>9.2899999999999991</v>
      </c>
      <c r="R81" s="198"/>
      <c r="S81" s="198"/>
      <c r="T81" s="198"/>
      <c r="U81" s="198"/>
    </row>
    <row r="82" spans="1:26" s="12" customFormat="1" x14ac:dyDescent="0.25">
      <c r="A82" s="214" t="s">
        <v>2624</v>
      </c>
      <c r="B82" s="64">
        <v>8.77</v>
      </c>
      <c r="C82" s="64">
        <v>18.420000000000002</v>
      </c>
      <c r="D82" s="64">
        <v>21.79</v>
      </c>
      <c r="E82" s="64">
        <v>3.87</v>
      </c>
      <c r="F82" s="64">
        <v>3.69</v>
      </c>
      <c r="G82" s="64">
        <v>22.56</v>
      </c>
      <c r="H82" s="64">
        <v>4.13</v>
      </c>
      <c r="I82" s="64">
        <v>3.93</v>
      </c>
      <c r="J82" s="210" t="s">
        <v>36</v>
      </c>
      <c r="K82" s="210" t="s">
        <v>36</v>
      </c>
      <c r="L82" s="210" t="s">
        <v>36</v>
      </c>
      <c r="M82" s="210" t="s">
        <v>36</v>
      </c>
      <c r="N82" s="210" t="s">
        <v>36</v>
      </c>
      <c r="O82" s="64">
        <v>0</v>
      </c>
      <c r="P82" s="64">
        <v>0.4</v>
      </c>
      <c r="Q82" s="64">
        <v>9.2899999999999991</v>
      </c>
      <c r="R82" s="198"/>
      <c r="S82" s="198"/>
      <c r="T82" s="198"/>
      <c r="U82" s="198"/>
    </row>
    <row r="83" spans="1:26" s="12" customFormat="1" x14ac:dyDescent="0.25">
      <c r="A83" s="214" t="s">
        <v>2625</v>
      </c>
      <c r="B83" s="64">
        <v>8.94</v>
      </c>
      <c r="C83" s="64">
        <v>19.2</v>
      </c>
      <c r="D83" s="64">
        <v>23.01</v>
      </c>
      <c r="E83" s="64">
        <v>3.84</v>
      </c>
      <c r="F83" s="64">
        <v>3.1</v>
      </c>
      <c r="G83" s="64">
        <v>22.56</v>
      </c>
      <c r="H83" s="64">
        <v>4.13</v>
      </c>
      <c r="I83" s="64">
        <v>4.12</v>
      </c>
      <c r="J83" s="210" t="s">
        <v>36</v>
      </c>
      <c r="K83" s="210" t="s">
        <v>36</v>
      </c>
      <c r="L83" s="210" t="s">
        <v>36</v>
      </c>
      <c r="M83" s="210" t="s">
        <v>36</v>
      </c>
      <c r="N83" s="210" t="s">
        <v>36</v>
      </c>
      <c r="O83" s="64">
        <v>0</v>
      </c>
      <c r="P83" s="64">
        <v>0.57999999999999996</v>
      </c>
      <c r="Q83" s="64">
        <v>9.31</v>
      </c>
      <c r="R83" s="198"/>
      <c r="S83" s="198"/>
      <c r="T83" s="198"/>
      <c r="U83" s="198"/>
    </row>
    <row r="84" spans="1:26" s="12" customFormat="1" x14ac:dyDescent="0.25">
      <c r="A84" s="214" t="s">
        <v>2626</v>
      </c>
      <c r="B84" s="64">
        <v>10</v>
      </c>
      <c r="C84" s="64">
        <v>20.16</v>
      </c>
      <c r="D84" s="64">
        <v>23.24</v>
      </c>
      <c r="E84" s="64">
        <v>4.17</v>
      </c>
      <c r="F84" s="64">
        <v>4.18</v>
      </c>
      <c r="G84" s="64">
        <v>22.56</v>
      </c>
      <c r="H84" s="64">
        <v>4.13</v>
      </c>
      <c r="I84" s="64">
        <v>4.0199999999999996</v>
      </c>
      <c r="J84" s="210" t="s">
        <v>36</v>
      </c>
      <c r="K84" s="210" t="s">
        <v>36</v>
      </c>
      <c r="L84" s="210" t="s">
        <v>36</v>
      </c>
      <c r="M84" s="210" t="s">
        <v>36</v>
      </c>
      <c r="N84" s="210" t="s">
        <v>36</v>
      </c>
      <c r="O84" s="64">
        <v>0</v>
      </c>
      <c r="P84" s="64">
        <v>1.03</v>
      </c>
      <c r="Q84" s="64">
        <v>9.33</v>
      </c>
      <c r="R84" s="198"/>
      <c r="S84" s="198"/>
      <c r="T84" s="198"/>
      <c r="U84" s="198"/>
    </row>
    <row r="85" spans="1:26" s="12" customFormat="1" x14ac:dyDescent="0.25">
      <c r="A85" s="214" t="s">
        <v>2627</v>
      </c>
      <c r="B85" s="64">
        <v>11.7</v>
      </c>
      <c r="C85" s="64">
        <v>22.31</v>
      </c>
      <c r="D85" s="64">
        <v>24.73</v>
      </c>
      <c r="E85" s="64">
        <v>3.92</v>
      </c>
      <c r="F85" s="64">
        <v>3.71</v>
      </c>
      <c r="G85" s="64">
        <v>24.12</v>
      </c>
      <c r="H85" s="64">
        <v>4.5199999999999996</v>
      </c>
      <c r="I85" s="64">
        <v>4.09</v>
      </c>
      <c r="J85" s="210" t="s">
        <v>36</v>
      </c>
      <c r="K85" s="210" t="s">
        <v>36</v>
      </c>
      <c r="L85" s="210" t="s">
        <v>36</v>
      </c>
      <c r="M85" s="210" t="s">
        <v>36</v>
      </c>
      <c r="N85" s="210" t="s">
        <v>36</v>
      </c>
      <c r="O85" s="64">
        <v>0</v>
      </c>
      <c r="P85" s="64">
        <v>1.05</v>
      </c>
      <c r="Q85" s="64">
        <v>9.3699999999999992</v>
      </c>
      <c r="R85" s="198"/>
      <c r="S85" s="198"/>
      <c r="T85" s="198"/>
      <c r="U85" s="198"/>
    </row>
    <row r="86" spans="1:26" s="12" customFormat="1" x14ac:dyDescent="0.25">
      <c r="A86" s="214" t="s">
        <v>2628</v>
      </c>
      <c r="B86" s="64">
        <v>12.56</v>
      </c>
      <c r="C86" s="64">
        <v>21.69</v>
      </c>
      <c r="D86" s="64">
        <v>22.24</v>
      </c>
      <c r="E86" s="64">
        <v>3.88</v>
      </c>
      <c r="F86" s="64">
        <v>4.18</v>
      </c>
      <c r="G86" s="64">
        <v>30.38</v>
      </c>
      <c r="H86" s="64">
        <v>6.11</v>
      </c>
      <c r="I86" s="64">
        <v>3.9</v>
      </c>
      <c r="J86" s="210" t="s">
        <v>36</v>
      </c>
      <c r="K86" s="210" t="s">
        <v>36</v>
      </c>
      <c r="L86" s="210" t="s">
        <v>36</v>
      </c>
      <c r="M86" s="210" t="s">
        <v>36</v>
      </c>
      <c r="N86" s="210" t="s">
        <v>36</v>
      </c>
      <c r="O86" s="64">
        <v>0</v>
      </c>
      <c r="P86" s="64">
        <v>0.86</v>
      </c>
      <c r="Q86" s="64">
        <v>9.42</v>
      </c>
      <c r="R86" s="198"/>
      <c r="S86" s="198"/>
      <c r="T86" s="198"/>
      <c r="U86" s="198"/>
    </row>
    <row r="87" spans="1:26" s="12" customFormat="1" x14ac:dyDescent="0.25">
      <c r="A87" s="214" t="s">
        <v>2629</v>
      </c>
      <c r="B87" s="64">
        <v>13.48</v>
      </c>
      <c r="C87" s="64">
        <v>23.78</v>
      </c>
      <c r="D87" s="64">
        <v>24.82</v>
      </c>
      <c r="E87" s="64">
        <v>3.89</v>
      </c>
      <c r="F87" s="64">
        <v>4.47</v>
      </c>
      <c r="G87" s="64">
        <v>30.38</v>
      </c>
      <c r="H87" s="64">
        <v>6.11</v>
      </c>
      <c r="I87" s="64">
        <v>4.0999999999999996</v>
      </c>
      <c r="J87" s="210" t="s">
        <v>36</v>
      </c>
      <c r="K87" s="210" t="s">
        <v>36</v>
      </c>
      <c r="L87" s="210" t="s">
        <v>36</v>
      </c>
      <c r="M87" s="210" t="s">
        <v>36</v>
      </c>
      <c r="N87" s="210" t="s">
        <v>36</v>
      </c>
      <c r="O87" s="64">
        <v>0</v>
      </c>
      <c r="P87" s="64">
        <v>0.88</v>
      </c>
      <c r="Q87" s="64">
        <v>9.4600000000000009</v>
      </c>
      <c r="R87" s="198"/>
      <c r="S87" s="198"/>
      <c r="T87" s="198"/>
      <c r="U87" s="198"/>
    </row>
    <row r="88" spans="1:26" s="12" customFormat="1" x14ac:dyDescent="0.25">
      <c r="A88" s="214" t="s">
        <v>2630</v>
      </c>
      <c r="B88" s="64">
        <v>14.11</v>
      </c>
      <c r="C88" s="64">
        <v>24</v>
      </c>
      <c r="D88" s="64">
        <v>24.28</v>
      </c>
      <c r="E88" s="64">
        <v>3.96</v>
      </c>
      <c r="F88" s="64">
        <v>4.22</v>
      </c>
      <c r="G88" s="64">
        <v>30.38</v>
      </c>
      <c r="H88" s="64">
        <v>6.11</v>
      </c>
      <c r="I88" s="64">
        <v>3.92</v>
      </c>
      <c r="J88" s="210" t="s">
        <v>36</v>
      </c>
      <c r="K88" s="210" t="s">
        <v>36</v>
      </c>
      <c r="L88" s="210" t="s">
        <v>36</v>
      </c>
      <c r="M88" s="210" t="s">
        <v>36</v>
      </c>
      <c r="N88" s="210" t="s">
        <v>36</v>
      </c>
      <c r="O88" s="64">
        <v>0</v>
      </c>
      <c r="P88" s="64">
        <v>1.06</v>
      </c>
      <c r="Q88" s="64">
        <v>9.49</v>
      </c>
      <c r="R88" s="198"/>
      <c r="S88" s="198"/>
      <c r="T88" s="198"/>
      <c r="U88" s="198"/>
    </row>
    <row r="89" spans="1:26" s="12" customFormat="1" x14ac:dyDescent="0.25">
      <c r="A89" s="214" t="s">
        <v>2631</v>
      </c>
      <c r="B89" s="64">
        <v>14.62</v>
      </c>
      <c r="C89" s="64">
        <v>23.34</v>
      </c>
      <c r="D89" s="64">
        <v>22.23</v>
      </c>
      <c r="E89" s="64">
        <v>3.8</v>
      </c>
      <c r="F89" s="64">
        <v>4.3600000000000003</v>
      </c>
      <c r="G89" s="64">
        <v>31.14</v>
      </c>
      <c r="H89" s="64">
        <v>6.87</v>
      </c>
      <c r="I89" s="64">
        <v>4.08</v>
      </c>
      <c r="J89" s="210" t="s">
        <v>36</v>
      </c>
      <c r="K89" s="210" t="s">
        <v>36</v>
      </c>
      <c r="L89" s="210" t="s">
        <v>36</v>
      </c>
      <c r="M89" s="210" t="s">
        <v>36</v>
      </c>
      <c r="N89" s="210" t="s">
        <v>36</v>
      </c>
      <c r="O89" s="64">
        <v>0</v>
      </c>
      <c r="P89" s="64">
        <v>0.69</v>
      </c>
      <c r="Q89" s="64">
        <v>9.52</v>
      </c>
      <c r="R89" s="198"/>
      <c r="S89" s="198"/>
      <c r="T89" s="198"/>
      <c r="U89" s="198"/>
    </row>
    <row r="90" spans="1:26" s="12" customFormat="1" x14ac:dyDescent="0.25">
      <c r="A90" s="214" t="s">
        <v>2632</v>
      </c>
      <c r="B90" s="64">
        <v>14.78</v>
      </c>
      <c r="C90" s="64">
        <v>23.14</v>
      </c>
      <c r="D90" s="64">
        <v>21.61</v>
      </c>
      <c r="E90" s="64">
        <v>3.76</v>
      </c>
      <c r="F90" s="64">
        <v>4.2</v>
      </c>
      <c r="G90" s="64">
        <v>34.18</v>
      </c>
      <c r="H90" s="64">
        <v>9.8800000000000008</v>
      </c>
      <c r="I90" s="64">
        <v>4.05</v>
      </c>
      <c r="J90" s="210" t="s">
        <v>36</v>
      </c>
      <c r="K90" s="210" t="s">
        <v>36</v>
      </c>
      <c r="L90" s="210" t="s">
        <v>36</v>
      </c>
      <c r="M90" s="210" t="s">
        <v>36</v>
      </c>
      <c r="N90" s="210" t="s">
        <v>36</v>
      </c>
      <c r="O90" s="64">
        <v>0</v>
      </c>
      <c r="P90" s="64">
        <v>0.66</v>
      </c>
      <c r="Q90" s="64">
        <v>9.5299999999999994</v>
      </c>
      <c r="R90" s="198"/>
      <c r="S90" s="198"/>
      <c r="T90" s="198"/>
      <c r="U90" s="198"/>
    </row>
    <row r="91" spans="1:26" s="12" customFormat="1" x14ac:dyDescent="0.25">
      <c r="A91" s="214" t="s">
        <v>2633</v>
      </c>
      <c r="B91" s="64">
        <v>15</v>
      </c>
      <c r="C91" s="64">
        <v>23.19</v>
      </c>
      <c r="D91" s="64">
        <v>21.38</v>
      </c>
      <c r="E91" s="64">
        <v>3.85</v>
      </c>
      <c r="F91" s="64">
        <v>3.81</v>
      </c>
      <c r="G91" s="64">
        <v>34.18</v>
      </c>
      <c r="H91" s="64">
        <v>9.8800000000000008</v>
      </c>
      <c r="I91" s="64">
        <v>3.97</v>
      </c>
      <c r="J91" s="210" t="s">
        <v>36</v>
      </c>
      <c r="K91" s="210" t="s">
        <v>36</v>
      </c>
      <c r="L91" s="210" t="s">
        <v>36</v>
      </c>
      <c r="M91" s="210" t="s">
        <v>36</v>
      </c>
      <c r="N91" s="210" t="s">
        <v>36</v>
      </c>
      <c r="O91" s="64">
        <v>0</v>
      </c>
      <c r="P91" s="64">
        <v>0.65</v>
      </c>
      <c r="Q91" s="64">
        <v>9.5399999999999991</v>
      </c>
      <c r="R91" s="198"/>
      <c r="S91" s="198"/>
      <c r="T91" s="198"/>
      <c r="U91" s="198"/>
    </row>
    <row r="92" spans="1:26" s="12" customFormat="1" x14ac:dyDescent="0.25">
      <c r="A92" s="214" t="s">
        <v>2634</v>
      </c>
      <c r="B92" s="64">
        <v>15.4</v>
      </c>
      <c r="C92" s="64">
        <v>23.44</v>
      </c>
      <c r="D92" s="64">
        <v>21.22</v>
      </c>
      <c r="E92" s="64">
        <v>4.0999999999999996</v>
      </c>
      <c r="F92" s="64">
        <v>3.83</v>
      </c>
      <c r="G92" s="64">
        <v>34.18</v>
      </c>
      <c r="H92" s="64">
        <v>9.8800000000000008</v>
      </c>
      <c r="I92" s="64">
        <v>3.93</v>
      </c>
      <c r="J92" s="210" t="s">
        <v>36</v>
      </c>
      <c r="K92" s="210" t="s">
        <v>36</v>
      </c>
      <c r="L92" s="210" t="s">
        <v>36</v>
      </c>
      <c r="M92" s="210" t="s">
        <v>36</v>
      </c>
      <c r="N92" s="210" t="s">
        <v>36</v>
      </c>
      <c r="O92" s="64">
        <v>0</v>
      </c>
      <c r="P92" s="64">
        <v>0.74</v>
      </c>
      <c r="Q92" s="64">
        <v>9.5500000000000007</v>
      </c>
      <c r="R92" s="198"/>
      <c r="S92" s="198"/>
      <c r="T92" s="198"/>
      <c r="U92" s="198"/>
    </row>
    <row r="93" spans="1:26" s="12" customFormat="1" x14ac:dyDescent="0.25">
      <c r="A93" s="214" t="s">
        <v>2635</v>
      </c>
      <c r="B93" s="64">
        <v>16.09</v>
      </c>
      <c r="C93" s="64">
        <v>23.99</v>
      </c>
      <c r="D93" s="64">
        <v>21.22</v>
      </c>
      <c r="E93" s="64">
        <v>4.13</v>
      </c>
      <c r="F93" s="64">
        <v>3.55</v>
      </c>
      <c r="G93" s="64">
        <v>35.19</v>
      </c>
      <c r="H93" s="64">
        <v>9.6999999999999993</v>
      </c>
      <c r="I93" s="64">
        <v>3.96</v>
      </c>
      <c r="J93" s="210" t="s">
        <v>36</v>
      </c>
      <c r="K93" s="210" t="s">
        <v>36</v>
      </c>
      <c r="L93" s="210" t="s">
        <v>36</v>
      </c>
      <c r="M93" s="210" t="s">
        <v>36</v>
      </c>
      <c r="N93" s="210" t="s">
        <v>36</v>
      </c>
      <c r="O93" s="64">
        <v>0</v>
      </c>
      <c r="P93" s="64">
        <v>1.52</v>
      </c>
      <c r="Q93" s="64">
        <v>9.5500000000000007</v>
      </c>
      <c r="R93" s="198"/>
      <c r="S93" s="198"/>
      <c r="T93" s="198"/>
      <c r="U93" s="198"/>
    </row>
    <row r="94" spans="1:26" s="12" customFormat="1" x14ac:dyDescent="0.25">
      <c r="A94" s="214" t="s">
        <v>2636</v>
      </c>
      <c r="B94" s="64">
        <v>17.37</v>
      </c>
      <c r="C94" s="64">
        <v>24.97</v>
      </c>
      <c r="D94" s="64">
        <v>21.12</v>
      </c>
      <c r="E94" s="64">
        <v>3.9</v>
      </c>
      <c r="F94" s="64">
        <v>3.95</v>
      </c>
      <c r="G94" s="64">
        <v>39.57</v>
      </c>
      <c r="H94" s="64">
        <v>8.99</v>
      </c>
      <c r="I94" s="64">
        <v>3.92</v>
      </c>
      <c r="J94" s="210" t="s">
        <v>36</v>
      </c>
      <c r="K94" s="210" t="s">
        <v>36</v>
      </c>
      <c r="L94" s="210" t="s">
        <v>36</v>
      </c>
      <c r="M94" s="210" t="s">
        <v>36</v>
      </c>
      <c r="N94" s="210" t="s">
        <v>36</v>
      </c>
      <c r="O94" s="64">
        <v>0</v>
      </c>
      <c r="P94" s="64">
        <v>0.94</v>
      </c>
      <c r="Q94" s="64">
        <v>9.58</v>
      </c>
      <c r="R94" s="198"/>
      <c r="S94" s="198"/>
      <c r="T94" s="198"/>
      <c r="U94" s="198"/>
    </row>
    <row r="95" spans="1:26" s="12" customFormat="1" x14ac:dyDescent="0.25">
      <c r="A95" s="214" t="s">
        <v>2637</v>
      </c>
      <c r="B95" s="64">
        <v>18.260000000000002</v>
      </c>
      <c r="C95" s="64">
        <v>25.66</v>
      </c>
      <c r="D95" s="64">
        <v>21.1</v>
      </c>
      <c r="E95" s="64">
        <v>3.79</v>
      </c>
      <c r="F95" s="64">
        <v>4.03</v>
      </c>
      <c r="G95" s="64">
        <v>39.57</v>
      </c>
      <c r="H95" s="64">
        <v>8.99</v>
      </c>
      <c r="I95" s="64">
        <v>4.07</v>
      </c>
      <c r="J95" s="210" t="s">
        <v>36</v>
      </c>
      <c r="K95" s="210" t="s">
        <v>36</v>
      </c>
      <c r="L95" s="210" t="s">
        <v>36</v>
      </c>
      <c r="M95" s="210" t="s">
        <v>36</v>
      </c>
      <c r="N95" s="210" t="s">
        <v>36</v>
      </c>
      <c r="O95" s="64">
        <v>0</v>
      </c>
      <c r="P95" s="64">
        <v>0.94</v>
      </c>
      <c r="Q95" s="64">
        <v>9.59</v>
      </c>
      <c r="R95" s="198"/>
      <c r="S95" s="198"/>
      <c r="T95" s="198"/>
      <c r="U95" s="198"/>
    </row>
    <row r="96" spans="1:26" s="12" customFormat="1" x14ac:dyDescent="0.25">
      <c r="A96" s="214" t="s">
        <v>2638</v>
      </c>
      <c r="B96" s="64">
        <v>20.59</v>
      </c>
      <c r="C96" s="64">
        <v>29.21</v>
      </c>
      <c r="D96" s="64">
        <v>24.32</v>
      </c>
      <c r="E96" s="64">
        <v>3.88</v>
      </c>
      <c r="F96" s="64">
        <v>3.46</v>
      </c>
      <c r="G96" s="64">
        <v>39.57</v>
      </c>
      <c r="H96" s="64">
        <v>8.99</v>
      </c>
      <c r="I96" s="64">
        <v>3.91</v>
      </c>
      <c r="J96" s="210" t="s">
        <v>36</v>
      </c>
      <c r="K96" s="210" t="s">
        <v>36</v>
      </c>
      <c r="L96" s="210" t="s">
        <v>36</v>
      </c>
      <c r="M96" s="210" t="s">
        <v>36</v>
      </c>
      <c r="N96" s="210" t="s">
        <v>36</v>
      </c>
      <c r="O96" s="64">
        <v>0</v>
      </c>
      <c r="P96" s="64">
        <v>1.36</v>
      </c>
      <c r="Q96" s="64">
        <v>9.56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2639</v>
      </c>
      <c r="B97" s="64">
        <v>22.7</v>
      </c>
      <c r="C97" s="64">
        <v>30.87</v>
      </c>
      <c r="D97" s="64">
        <v>24.25</v>
      </c>
      <c r="E97" s="64">
        <v>4</v>
      </c>
      <c r="F97" s="64">
        <v>3.82</v>
      </c>
      <c r="G97" s="64">
        <v>41.36</v>
      </c>
      <c r="H97" s="64">
        <v>9.1999999999999993</v>
      </c>
      <c r="I97" s="64">
        <v>3.94</v>
      </c>
      <c r="J97" s="210" t="s">
        <v>36</v>
      </c>
      <c r="K97" s="210" t="s">
        <v>36</v>
      </c>
      <c r="L97" s="210" t="s">
        <v>36</v>
      </c>
      <c r="M97" s="210" t="s">
        <v>36</v>
      </c>
      <c r="N97" s="210" t="s">
        <v>36</v>
      </c>
      <c r="O97" s="64">
        <v>0</v>
      </c>
      <c r="P97" s="64">
        <v>0.74</v>
      </c>
      <c r="Q97" s="64">
        <v>9.5500000000000007</v>
      </c>
      <c r="R97" s="198"/>
      <c r="S97" s="198"/>
      <c r="T97" s="198"/>
      <c r="U97" s="198"/>
    </row>
    <row r="98" spans="1:33" s="12" customFormat="1" x14ac:dyDescent="0.25">
      <c r="A98" s="214" t="s">
        <v>2640</v>
      </c>
      <c r="B98" s="64">
        <v>23.52</v>
      </c>
      <c r="C98" s="64">
        <v>32.130000000000003</v>
      </c>
      <c r="D98" s="64">
        <v>25.39</v>
      </c>
      <c r="E98" s="64">
        <v>4.49</v>
      </c>
      <c r="F98" s="64">
        <v>3.74</v>
      </c>
      <c r="G98" s="64">
        <v>49.04</v>
      </c>
      <c r="H98" s="64">
        <v>10.1</v>
      </c>
      <c r="I98" s="64">
        <v>3.85</v>
      </c>
      <c r="J98" s="210" t="s">
        <v>36</v>
      </c>
      <c r="K98" s="210" t="s">
        <v>36</v>
      </c>
      <c r="L98" s="210" t="s">
        <v>36</v>
      </c>
      <c r="M98" s="210" t="s">
        <v>36</v>
      </c>
      <c r="N98" s="210" t="s">
        <v>36</v>
      </c>
      <c r="O98" s="64">
        <v>0</v>
      </c>
      <c r="P98" s="64">
        <v>1</v>
      </c>
      <c r="Q98" s="64">
        <v>9.59</v>
      </c>
      <c r="R98" s="198"/>
      <c r="S98" s="198"/>
      <c r="T98" s="198"/>
      <c r="U98" s="198"/>
    </row>
    <row r="99" spans="1:33" s="12" customFormat="1" x14ac:dyDescent="0.25">
      <c r="A99" s="214" t="s">
        <v>2641</v>
      </c>
      <c r="B99" s="64">
        <v>25.04</v>
      </c>
      <c r="C99" s="64">
        <v>32.58</v>
      </c>
      <c r="D99" s="64">
        <v>23.92</v>
      </c>
      <c r="E99" s="64">
        <v>4.45</v>
      </c>
      <c r="F99" s="64">
        <v>4.58</v>
      </c>
      <c r="G99" s="64">
        <v>49.04</v>
      </c>
      <c r="H99" s="64">
        <v>10.1</v>
      </c>
      <c r="I99" s="64">
        <v>3.91</v>
      </c>
      <c r="J99" s="210" t="s">
        <v>36</v>
      </c>
      <c r="K99" s="210" t="s">
        <v>36</v>
      </c>
      <c r="L99" s="210" t="s">
        <v>36</v>
      </c>
      <c r="M99" s="210" t="s">
        <v>36</v>
      </c>
      <c r="N99" s="210" t="s">
        <v>36</v>
      </c>
      <c r="O99" s="64">
        <v>0</v>
      </c>
      <c r="P99" s="64">
        <v>0.75</v>
      </c>
      <c r="Q99" s="64">
        <v>9.58</v>
      </c>
      <c r="R99" s="198"/>
      <c r="S99" s="198"/>
      <c r="T99" s="198"/>
      <c r="U99" s="198"/>
    </row>
    <row r="100" spans="1:33" s="12" customFormat="1" x14ac:dyDescent="0.25">
      <c r="A100" s="214" t="s">
        <v>2642</v>
      </c>
      <c r="B100" s="64">
        <v>25.48</v>
      </c>
      <c r="C100" s="64">
        <v>33.770000000000003</v>
      </c>
      <c r="D100" s="64">
        <v>25.52</v>
      </c>
      <c r="E100" s="64">
        <v>3.95</v>
      </c>
      <c r="F100" s="64">
        <v>3.81</v>
      </c>
      <c r="G100" s="64">
        <v>49.04</v>
      </c>
      <c r="H100" s="64">
        <v>10.1</v>
      </c>
      <c r="I100" s="64">
        <v>3.96</v>
      </c>
      <c r="J100" s="210" t="s">
        <v>36</v>
      </c>
      <c r="K100" s="210" t="s">
        <v>36</v>
      </c>
      <c r="L100" s="210" t="s">
        <v>36</v>
      </c>
      <c r="M100" s="210" t="s">
        <v>36</v>
      </c>
      <c r="N100" s="210" t="s">
        <v>36</v>
      </c>
      <c r="O100" s="64">
        <v>0</v>
      </c>
      <c r="P100" s="64">
        <v>0.71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2643</v>
      </c>
      <c r="B101" s="64">
        <v>24.83</v>
      </c>
      <c r="C101" s="64">
        <v>32.229999999999997</v>
      </c>
      <c r="D101" s="64">
        <v>23.57</v>
      </c>
      <c r="E101" s="64">
        <v>4.1100000000000003</v>
      </c>
      <c r="F101" s="64">
        <v>4.45</v>
      </c>
      <c r="G101" s="64">
        <v>48.65</v>
      </c>
      <c r="H101" s="64">
        <v>10.72</v>
      </c>
      <c r="I101" s="64">
        <v>3.94</v>
      </c>
      <c r="J101" s="210" t="s">
        <v>36</v>
      </c>
      <c r="K101" s="210" t="s">
        <v>36</v>
      </c>
      <c r="L101" s="210" t="s">
        <v>36</v>
      </c>
      <c r="M101" s="210" t="s">
        <v>36</v>
      </c>
      <c r="N101" s="210" t="s">
        <v>36</v>
      </c>
      <c r="O101" s="64">
        <v>0</v>
      </c>
      <c r="P101" s="64">
        <v>0.56999999999999995</v>
      </c>
      <c r="Q101" s="64">
        <v>9.64</v>
      </c>
      <c r="R101" s="198"/>
      <c r="S101" s="198"/>
      <c r="T101" s="198"/>
      <c r="U101" s="198"/>
    </row>
    <row r="102" spans="1:33" s="12" customFormat="1" x14ac:dyDescent="0.25">
      <c r="A102" s="214" t="s">
        <v>2644</v>
      </c>
      <c r="B102" s="64">
        <v>24.32</v>
      </c>
      <c r="C102" s="64">
        <v>31.79</v>
      </c>
      <c r="D102" s="64">
        <v>23.53</v>
      </c>
      <c r="E102" s="64">
        <v>4.12</v>
      </c>
      <c r="F102" s="64">
        <v>4</v>
      </c>
      <c r="G102" s="64">
        <v>47</v>
      </c>
      <c r="H102" s="64">
        <v>13.2</v>
      </c>
      <c r="I102" s="64">
        <v>4.08</v>
      </c>
      <c r="J102" s="210" t="s">
        <v>36</v>
      </c>
      <c r="K102" s="210" t="s">
        <v>36</v>
      </c>
      <c r="L102" s="210" t="s">
        <v>36</v>
      </c>
      <c r="M102" s="210" t="s">
        <v>36</v>
      </c>
      <c r="N102" s="210" t="s">
        <v>36</v>
      </c>
      <c r="O102" s="64">
        <v>0</v>
      </c>
      <c r="P102" s="64">
        <v>0.67</v>
      </c>
      <c r="Q102" s="64">
        <v>9.65</v>
      </c>
      <c r="R102" s="198"/>
      <c r="S102" s="198"/>
      <c r="T102" s="198"/>
      <c r="U102" s="198"/>
    </row>
    <row r="103" spans="1:33" s="12" customFormat="1" x14ac:dyDescent="0.25">
      <c r="A103" s="214" t="s">
        <v>2645</v>
      </c>
      <c r="B103" s="64">
        <v>23.78</v>
      </c>
      <c r="C103" s="64">
        <v>31.72</v>
      </c>
      <c r="D103" s="64">
        <v>24.22</v>
      </c>
      <c r="E103" s="64">
        <v>4.42</v>
      </c>
      <c r="F103" s="64">
        <v>3.52</v>
      </c>
      <c r="G103" s="64">
        <v>47</v>
      </c>
      <c r="H103" s="64">
        <v>13.2</v>
      </c>
      <c r="I103" s="64">
        <v>3.98</v>
      </c>
      <c r="J103" s="210" t="s">
        <v>36</v>
      </c>
      <c r="K103" s="210" t="s">
        <v>36</v>
      </c>
      <c r="L103" s="210" t="s">
        <v>36</v>
      </c>
      <c r="M103" s="210" t="s">
        <v>36</v>
      </c>
      <c r="N103" s="210" t="s">
        <v>36</v>
      </c>
      <c r="O103" s="64">
        <v>0</v>
      </c>
      <c r="P103" s="64">
        <v>0.48</v>
      </c>
      <c r="Q103" s="64">
        <v>9.64</v>
      </c>
      <c r="R103" s="198"/>
      <c r="S103" s="198"/>
      <c r="T103" s="198"/>
      <c r="U103" s="198"/>
    </row>
    <row r="104" spans="1:33" s="12" customFormat="1" x14ac:dyDescent="0.25">
      <c r="A104" s="214" t="s">
        <v>2646</v>
      </c>
      <c r="B104" s="64">
        <v>23.36</v>
      </c>
      <c r="C104" s="64">
        <v>30.4</v>
      </c>
      <c r="D104" s="64">
        <v>22.32</v>
      </c>
      <c r="E104" s="64">
        <v>5.23</v>
      </c>
      <c r="F104" s="64">
        <v>3.11</v>
      </c>
      <c r="G104" s="64">
        <v>47</v>
      </c>
      <c r="H104" s="64">
        <v>13.2</v>
      </c>
      <c r="I104" s="64">
        <v>4.17</v>
      </c>
      <c r="J104" s="210" t="s">
        <v>36</v>
      </c>
      <c r="K104" s="210" t="s">
        <v>36</v>
      </c>
      <c r="L104" s="210" t="s">
        <v>36</v>
      </c>
      <c r="M104" s="210" t="s">
        <v>36</v>
      </c>
      <c r="N104" s="210" t="s">
        <v>36</v>
      </c>
      <c r="O104" s="64">
        <v>0</v>
      </c>
      <c r="P104" s="64">
        <v>0.75</v>
      </c>
      <c r="Q104" s="64">
        <v>9.64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6.6</v>
      </c>
      <c r="C106" s="67">
        <f>MIN(C9:C104)</f>
        <v>13.63</v>
      </c>
      <c r="D106" s="67">
        <f t="shared" ref="D106:Q106" si="0">MIN(D9:D104)</f>
        <v>13.95</v>
      </c>
      <c r="E106" s="67">
        <f t="shared" si="0"/>
        <v>3.76</v>
      </c>
      <c r="F106" s="67">
        <f t="shared" si="0"/>
        <v>2.92</v>
      </c>
      <c r="G106" s="67">
        <f t="shared" si="0"/>
        <v>10.31</v>
      </c>
      <c r="H106" s="67">
        <f t="shared" si="0"/>
        <v>0.48</v>
      </c>
      <c r="I106" s="67">
        <f t="shared" si="0"/>
        <v>3.81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0.15</v>
      </c>
      <c r="Q106" s="67">
        <f t="shared" si="0"/>
        <v>9.1999999999999993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28.32</v>
      </c>
      <c r="C107" s="66">
        <f t="shared" ref="C107:Q107" si="1">MAX(C9:C104)</f>
        <v>44.27</v>
      </c>
      <c r="D107" s="66">
        <f t="shared" si="1"/>
        <v>41.26</v>
      </c>
      <c r="E107" s="66">
        <f t="shared" si="1"/>
        <v>5.96</v>
      </c>
      <c r="F107" s="66">
        <f t="shared" si="1"/>
        <v>16.940000000000001</v>
      </c>
      <c r="G107" s="66">
        <f t="shared" si="1"/>
        <v>57.31</v>
      </c>
      <c r="H107" s="66">
        <f t="shared" si="1"/>
        <v>52.54</v>
      </c>
      <c r="I107" s="66">
        <f t="shared" si="1"/>
        <v>4.25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1.52</v>
      </c>
      <c r="Q107" s="66">
        <f t="shared" si="1"/>
        <v>9.65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13.437604166666661</v>
      </c>
      <c r="C108" s="67">
        <f t="shared" ref="C108:Q108" si="2">AVERAGE(C9:C104)</f>
        <v>23.306562499999998</v>
      </c>
      <c r="D108" s="67">
        <f t="shared" si="2"/>
        <v>23.983854166666664</v>
      </c>
      <c r="E108" s="67">
        <f t="shared" si="2"/>
        <v>4.7339583333333328</v>
      </c>
      <c r="F108" s="67">
        <f t="shared" si="2"/>
        <v>6.7212500000000022</v>
      </c>
      <c r="G108" s="67">
        <f t="shared" si="2"/>
        <v>29.447291666666668</v>
      </c>
      <c r="H108" s="67">
        <f t="shared" si="2"/>
        <v>9.5541666666666654</v>
      </c>
      <c r="I108" s="67">
        <f t="shared" si="2"/>
        <v>3.9911458333333338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>
        <f t="shared" si="2"/>
        <v>0</v>
      </c>
      <c r="P108" s="67">
        <f t="shared" si="2"/>
        <v>0.53364583333333337</v>
      </c>
      <c r="Q108" s="67">
        <f t="shared" si="2"/>
        <v>9.4569791666666614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5.3793182398773656</v>
      </c>
      <c r="C109" s="67">
        <f t="shared" ref="C109:Q109" si="3">STDEV(C9:C104)</f>
        <v>5.8033975218015863</v>
      </c>
      <c r="D109" s="67">
        <f t="shared" si="3"/>
        <v>4.9380386836948258</v>
      </c>
      <c r="E109" s="67">
        <f t="shared" si="3"/>
        <v>0.62473317111204918</v>
      </c>
      <c r="F109" s="67">
        <f t="shared" si="3"/>
        <v>3.4887866236362322</v>
      </c>
      <c r="G109" s="67">
        <f t="shared" si="3"/>
        <v>11.607530176495144</v>
      </c>
      <c r="H109" s="67">
        <f t="shared" si="3"/>
        <v>9.9747507201846677</v>
      </c>
      <c r="I109" s="67">
        <f t="shared" si="3"/>
        <v>8.734528929142947E-2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>
        <f t="shared" si="3"/>
        <v>0</v>
      </c>
      <c r="P109" s="67">
        <f t="shared" si="3"/>
        <v>0.24540029507839106</v>
      </c>
      <c r="Q109" s="67">
        <f t="shared" si="3"/>
        <v>0.13624374281463481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COUNT(J9:J104)+96</f>
        <v>96</v>
      </c>
      <c r="K110" s="66">
        <f t="shared" ref="K110:N110" si="5">COUNT(K9:K104)+96</f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2647</v>
      </c>
      <c r="B9" s="64">
        <v>22.87</v>
      </c>
      <c r="C9" s="64">
        <v>30.08</v>
      </c>
      <c r="D9" s="64">
        <v>22.47</v>
      </c>
      <c r="E9" s="64">
        <v>4.4400000000000004</v>
      </c>
      <c r="F9" s="64">
        <v>5.41</v>
      </c>
      <c r="G9" s="64">
        <v>44.37</v>
      </c>
      <c r="H9" s="64">
        <v>12.2</v>
      </c>
      <c r="I9" s="64">
        <v>4</v>
      </c>
      <c r="J9" s="210" t="s">
        <v>36</v>
      </c>
      <c r="K9" s="210" t="s">
        <v>36</v>
      </c>
      <c r="L9" s="210" t="s">
        <v>36</v>
      </c>
      <c r="M9" s="210" t="s">
        <v>36</v>
      </c>
      <c r="N9" s="210" t="s">
        <v>36</v>
      </c>
      <c r="O9" s="64">
        <v>0</v>
      </c>
      <c r="P9" s="64">
        <v>0.4</v>
      </c>
      <c r="Q9" s="64">
        <v>9.65</v>
      </c>
      <c r="R9" s="198"/>
      <c r="S9" s="198"/>
      <c r="T9" s="198"/>
      <c r="U9" s="198"/>
    </row>
    <row r="10" spans="1:21" s="12" customFormat="1" x14ac:dyDescent="0.25">
      <c r="A10" s="214" t="s">
        <v>2648</v>
      </c>
      <c r="B10" s="64">
        <v>22.99</v>
      </c>
      <c r="C10" s="64">
        <v>30.21</v>
      </c>
      <c r="D10" s="64">
        <v>22.54</v>
      </c>
      <c r="E10" s="64">
        <v>4.2300000000000004</v>
      </c>
      <c r="F10" s="64">
        <v>4.83</v>
      </c>
      <c r="G10" s="64">
        <v>33.06</v>
      </c>
      <c r="H10" s="64">
        <v>8.19</v>
      </c>
      <c r="I10" s="64">
        <v>4.0199999999999996</v>
      </c>
      <c r="J10" s="210" t="s">
        <v>36</v>
      </c>
      <c r="K10" s="210" t="s">
        <v>36</v>
      </c>
      <c r="L10" s="210" t="s">
        <v>36</v>
      </c>
      <c r="M10" s="210" t="s">
        <v>36</v>
      </c>
      <c r="N10" s="210" t="s">
        <v>36</v>
      </c>
      <c r="O10" s="64">
        <v>0</v>
      </c>
      <c r="P10" s="64">
        <v>0.37</v>
      </c>
      <c r="Q10" s="64">
        <v>9.67</v>
      </c>
      <c r="R10" s="198"/>
      <c r="S10" s="198"/>
      <c r="T10" s="198"/>
      <c r="U10" s="198"/>
    </row>
    <row r="11" spans="1:21" s="12" customFormat="1" x14ac:dyDescent="0.25">
      <c r="A11" s="214" t="s">
        <v>2649</v>
      </c>
      <c r="B11" s="64">
        <v>22.93</v>
      </c>
      <c r="C11" s="64">
        <v>29</v>
      </c>
      <c r="D11" s="64">
        <v>20.309999999999999</v>
      </c>
      <c r="E11" s="64">
        <v>4.1500000000000004</v>
      </c>
      <c r="F11" s="64">
        <v>3.57</v>
      </c>
      <c r="G11" s="64">
        <v>33.06</v>
      </c>
      <c r="H11" s="64">
        <v>8.19</v>
      </c>
      <c r="I11" s="64">
        <v>4.0199999999999996</v>
      </c>
      <c r="J11" s="210" t="s">
        <v>36</v>
      </c>
      <c r="K11" s="210" t="s">
        <v>36</v>
      </c>
      <c r="L11" s="210" t="s">
        <v>36</v>
      </c>
      <c r="M11" s="210" t="s">
        <v>36</v>
      </c>
      <c r="N11" s="210" t="s">
        <v>36</v>
      </c>
      <c r="O11" s="64">
        <v>0</v>
      </c>
      <c r="P11" s="64">
        <v>0.36</v>
      </c>
      <c r="Q11" s="64">
        <v>9.69</v>
      </c>
      <c r="R11" s="198"/>
      <c r="S11" s="198"/>
      <c r="T11" s="198"/>
      <c r="U11" s="198"/>
    </row>
    <row r="12" spans="1:21" s="12" customFormat="1" x14ac:dyDescent="0.25">
      <c r="A12" s="214" t="s">
        <v>2650</v>
      </c>
      <c r="B12" s="64">
        <v>22.72</v>
      </c>
      <c r="C12" s="64">
        <v>28.36</v>
      </c>
      <c r="D12" s="64">
        <v>19.41</v>
      </c>
      <c r="E12" s="64">
        <v>4.5</v>
      </c>
      <c r="F12" s="64">
        <v>3.6</v>
      </c>
      <c r="G12" s="64">
        <v>33.06</v>
      </c>
      <c r="H12" s="64">
        <v>8.19</v>
      </c>
      <c r="I12" s="64">
        <v>3.97</v>
      </c>
      <c r="J12" s="210" t="s">
        <v>36</v>
      </c>
      <c r="K12" s="210" t="s">
        <v>36</v>
      </c>
      <c r="L12" s="210" t="s">
        <v>36</v>
      </c>
      <c r="M12" s="210" t="s">
        <v>36</v>
      </c>
      <c r="N12" s="210" t="s">
        <v>36</v>
      </c>
      <c r="O12" s="64">
        <v>0</v>
      </c>
      <c r="P12" s="64">
        <v>0.36</v>
      </c>
      <c r="Q12" s="64">
        <v>9.69</v>
      </c>
      <c r="R12" s="198"/>
      <c r="S12" s="198"/>
      <c r="T12" s="198"/>
      <c r="U12" s="198"/>
    </row>
    <row r="13" spans="1:21" s="12" customFormat="1" x14ac:dyDescent="0.25">
      <c r="A13" s="214" t="s">
        <v>2651</v>
      </c>
      <c r="B13" s="64">
        <v>22.39</v>
      </c>
      <c r="C13" s="64">
        <v>27.92</v>
      </c>
      <c r="D13" s="64">
        <v>19.07</v>
      </c>
      <c r="E13" s="64">
        <v>4.43</v>
      </c>
      <c r="F13" s="64">
        <v>3.11</v>
      </c>
      <c r="G13" s="64">
        <v>32.14</v>
      </c>
      <c r="H13" s="64">
        <v>7.63</v>
      </c>
      <c r="I13" s="64">
        <v>4.04</v>
      </c>
      <c r="J13" s="210" t="s">
        <v>36</v>
      </c>
      <c r="K13" s="210" t="s">
        <v>36</v>
      </c>
      <c r="L13" s="210" t="s">
        <v>36</v>
      </c>
      <c r="M13" s="210" t="s">
        <v>36</v>
      </c>
      <c r="N13" s="210" t="s">
        <v>36</v>
      </c>
      <c r="O13" s="64">
        <v>0</v>
      </c>
      <c r="P13" s="64">
        <v>0.31</v>
      </c>
      <c r="Q13" s="64">
        <v>9.69</v>
      </c>
      <c r="R13" s="198"/>
      <c r="S13" s="198"/>
      <c r="T13" s="198"/>
      <c r="U13" s="198"/>
    </row>
    <row r="14" spans="1:21" s="12" customFormat="1" x14ac:dyDescent="0.25">
      <c r="A14" s="214" t="s">
        <v>2652</v>
      </c>
      <c r="B14" s="64">
        <v>22.08</v>
      </c>
      <c r="C14" s="64">
        <v>27.49</v>
      </c>
      <c r="D14" s="64">
        <v>18.73</v>
      </c>
      <c r="E14" s="64">
        <v>4.54</v>
      </c>
      <c r="F14" s="64">
        <v>3.74</v>
      </c>
      <c r="G14" s="64">
        <v>28.18</v>
      </c>
      <c r="H14" s="64">
        <v>5.24</v>
      </c>
      <c r="I14" s="64">
        <v>3.93</v>
      </c>
      <c r="J14" s="210" t="s">
        <v>36</v>
      </c>
      <c r="K14" s="210" t="s">
        <v>36</v>
      </c>
      <c r="L14" s="210" t="s">
        <v>36</v>
      </c>
      <c r="M14" s="210" t="s">
        <v>36</v>
      </c>
      <c r="N14" s="210" t="s">
        <v>36</v>
      </c>
      <c r="O14" s="64">
        <v>0</v>
      </c>
      <c r="P14" s="64">
        <v>0.31</v>
      </c>
      <c r="Q14" s="64">
        <v>9.67</v>
      </c>
      <c r="R14" s="198"/>
      <c r="S14" s="198"/>
      <c r="T14" s="198"/>
      <c r="U14" s="198"/>
    </row>
    <row r="15" spans="1:21" s="12" customFormat="1" x14ac:dyDescent="0.25">
      <c r="A15" s="214" t="s">
        <v>2653</v>
      </c>
      <c r="B15" s="64">
        <v>21.74</v>
      </c>
      <c r="C15" s="64">
        <v>27.09</v>
      </c>
      <c r="D15" s="64">
        <v>18.47</v>
      </c>
      <c r="E15" s="64">
        <v>4.45</v>
      </c>
      <c r="F15" s="64">
        <v>4.0999999999999996</v>
      </c>
      <c r="G15" s="64">
        <v>28.18</v>
      </c>
      <c r="H15" s="64">
        <v>5.24</v>
      </c>
      <c r="I15" s="64">
        <v>3.94</v>
      </c>
      <c r="J15" s="210" t="s">
        <v>36</v>
      </c>
      <c r="K15" s="210" t="s">
        <v>36</v>
      </c>
      <c r="L15" s="210" t="s">
        <v>36</v>
      </c>
      <c r="M15" s="210" t="s">
        <v>36</v>
      </c>
      <c r="N15" s="210" t="s">
        <v>36</v>
      </c>
      <c r="O15" s="64">
        <v>0</v>
      </c>
      <c r="P15" s="64">
        <v>0.33</v>
      </c>
      <c r="Q15" s="64">
        <v>9.68</v>
      </c>
      <c r="R15" s="198"/>
      <c r="S15" s="198"/>
      <c r="T15" s="198"/>
      <c r="U15" s="198"/>
    </row>
    <row r="16" spans="1:21" s="12" customFormat="1" x14ac:dyDescent="0.25">
      <c r="A16" s="214" t="s">
        <v>2654</v>
      </c>
      <c r="B16" s="64">
        <v>21.38</v>
      </c>
      <c r="C16" s="64">
        <v>26.7</v>
      </c>
      <c r="D16" s="64">
        <v>18.27</v>
      </c>
      <c r="E16" s="64">
        <v>4.68</v>
      </c>
      <c r="F16" s="64">
        <v>3.98</v>
      </c>
      <c r="G16" s="64">
        <v>28.18</v>
      </c>
      <c r="H16" s="64">
        <v>5.24</v>
      </c>
      <c r="I16" s="64">
        <v>3.89</v>
      </c>
      <c r="J16" s="210" t="s">
        <v>36</v>
      </c>
      <c r="K16" s="210" t="s">
        <v>36</v>
      </c>
      <c r="L16" s="210" t="s">
        <v>36</v>
      </c>
      <c r="M16" s="210" t="s">
        <v>36</v>
      </c>
      <c r="N16" s="210" t="s">
        <v>36</v>
      </c>
      <c r="O16" s="64">
        <v>0</v>
      </c>
      <c r="P16" s="64">
        <v>0.43</v>
      </c>
      <c r="Q16" s="64">
        <v>9.66</v>
      </c>
      <c r="R16" s="198"/>
      <c r="S16" s="198"/>
      <c r="T16" s="198"/>
      <c r="U16" s="198"/>
    </row>
    <row r="17" spans="1:21" s="12" customFormat="1" x14ac:dyDescent="0.25">
      <c r="A17" s="214" t="s">
        <v>2655</v>
      </c>
      <c r="B17" s="64">
        <v>21.02</v>
      </c>
      <c r="C17" s="64">
        <v>27.02</v>
      </c>
      <c r="D17" s="64">
        <v>19.440000000000001</v>
      </c>
      <c r="E17" s="64">
        <v>4.4400000000000004</v>
      </c>
      <c r="F17" s="64">
        <v>3.73</v>
      </c>
      <c r="G17" s="64">
        <v>27.67</v>
      </c>
      <c r="H17" s="64">
        <v>5.36</v>
      </c>
      <c r="I17" s="64">
        <v>3.96</v>
      </c>
      <c r="J17" s="210" t="s">
        <v>36</v>
      </c>
      <c r="K17" s="210" t="s">
        <v>36</v>
      </c>
      <c r="L17" s="210" t="s">
        <v>36</v>
      </c>
      <c r="M17" s="210" t="s">
        <v>36</v>
      </c>
      <c r="N17" s="210" t="s">
        <v>36</v>
      </c>
      <c r="O17" s="64">
        <v>0</v>
      </c>
      <c r="P17" s="64">
        <v>0.5</v>
      </c>
      <c r="Q17" s="64">
        <v>9.67</v>
      </c>
      <c r="R17" s="198"/>
      <c r="S17" s="198"/>
      <c r="T17" s="198"/>
      <c r="U17" s="198"/>
    </row>
    <row r="18" spans="1:21" s="12" customFormat="1" x14ac:dyDescent="0.25">
      <c r="A18" s="214" t="s">
        <v>2656</v>
      </c>
      <c r="B18" s="64">
        <v>20.6</v>
      </c>
      <c r="C18" s="64">
        <v>27.12</v>
      </c>
      <c r="D18" s="64">
        <v>20.29</v>
      </c>
      <c r="E18" s="64">
        <v>4.3600000000000003</v>
      </c>
      <c r="F18" s="64">
        <v>3.59</v>
      </c>
      <c r="G18" s="64">
        <v>25.49</v>
      </c>
      <c r="H18" s="64">
        <v>5.89</v>
      </c>
      <c r="I18" s="64">
        <v>4.09</v>
      </c>
      <c r="J18" s="210" t="s">
        <v>36</v>
      </c>
      <c r="K18" s="210" t="s">
        <v>36</v>
      </c>
      <c r="L18" s="210" t="s">
        <v>36</v>
      </c>
      <c r="M18" s="210" t="s">
        <v>36</v>
      </c>
      <c r="N18" s="210" t="s">
        <v>36</v>
      </c>
      <c r="O18" s="64">
        <v>0</v>
      </c>
      <c r="P18" s="64">
        <v>0.52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4" t="s">
        <v>2657</v>
      </c>
      <c r="B19" s="64">
        <v>20.03</v>
      </c>
      <c r="C19" s="64">
        <v>26.83</v>
      </c>
      <c r="D19" s="64">
        <v>20.61</v>
      </c>
      <c r="E19" s="64">
        <v>4.41</v>
      </c>
      <c r="F19" s="64">
        <v>3.11</v>
      </c>
      <c r="G19" s="64">
        <v>25.49</v>
      </c>
      <c r="H19" s="64">
        <v>5.89</v>
      </c>
      <c r="I19" s="64">
        <v>4.08</v>
      </c>
      <c r="J19" s="210" t="s">
        <v>36</v>
      </c>
      <c r="K19" s="210" t="s">
        <v>36</v>
      </c>
      <c r="L19" s="210" t="s">
        <v>36</v>
      </c>
      <c r="M19" s="210" t="s">
        <v>36</v>
      </c>
      <c r="N19" s="210" t="s">
        <v>36</v>
      </c>
      <c r="O19" s="64">
        <v>0</v>
      </c>
      <c r="P19" s="64">
        <v>0.33</v>
      </c>
      <c r="Q19" s="64">
        <v>9.66</v>
      </c>
      <c r="R19" s="198"/>
      <c r="S19" s="198"/>
      <c r="T19" s="198"/>
      <c r="U19" s="198"/>
    </row>
    <row r="20" spans="1:21" s="12" customFormat="1" x14ac:dyDescent="0.25">
      <c r="A20" s="214" t="s">
        <v>2658</v>
      </c>
      <c r="B20" s="64">
        <v>19.53</v>
      </c>
      <c r="C20" s="64">
        <v>26.08</v>
      </c>
      <c r="D20" s="64">
        <v>19.940000000000001</v>
      </c>
      <c r="E20" s="64">
        <v>4.49</v>
      </c>
      <c r="F20" s="64">
        <v>4.2</v>
      </c>
      <c r="G20" s="64">
        <v>25.49</v>
      </c>
      <c r="H20" s="64">
        <v>5.89</v>
      </c>
      <c r="I20" s="64">
        <v>3.92</v>
      </c>
      <c r="J20" s="210" t="s">
        <v>36</v>
      </c>
      <c r="K20" s="210" t="s">
        <v>36</v>
      </c>
      <c r="L20" s="210" t="s">
        <v>36</v>
      </c>
      <c r="M20" s="210" t="s">
        <v>36</v>
      </c>
      <c r="N20" s="210" t="s">
        <v>36</v>
      </c>
      <c r="O20" s="64">
        <v>0</v>
      </c>
      <c r="P20" s="64">
        <v>0.45</v>
      </c>
      <c r="Q20" s="64">
        <v>9.66</v>
      </c>
      <c r="R20" s="198"/>
      <c r="S20" s="198"/>
      <c r="T20" s="198"/>
      <c r="U20" s="198"/>
    </row>
    <row r="21" spans="1:21" s="12" customFormat="1" x14ac:dyDescent="0.25">
      <c r="A21" s="214" t="s">
        <v>2659</v>
      </c>
      <c r="B21" s="64">
        <v>19.18</v>
      </c>
      <c r="C21" s="64">
        <v>26.02</v>
      </c>
      <c r="D21" s="64">
        <v>20.36</v>
      </c>
      <c r="E21" s="64">
        <v>4.5599999999999996</v>
      </c>
      <c r="F21" s="64">
        <v>3.53</v>
      </c>
      <c r="G21" s="64">
        <v>24.54</v>
      </c>
      <c r="H21" s="64">
        <v>5.68</v>
      </c>
      <c r="I21" s="64">
        <v>4.09</v>
      </c>
      <c r="J21" s="210" t="s">
        <v>36</v>
      </c>
      <c r="K21" s="210" t="s">
        <v>36</v>
      </c>
      <c r="L21" s="210" t="s">
        <v>36</v>
      </c>
      <c r="M21" s="210" t="s">
        <v>36</v>
      </c>
      <c r="N21" s="210" t="s">
        <v>36</v>
      </c>
      <c r="O21" s="64">
        <v>0</v>
      </c>
      <c r="P21" s="64">
        <v>0.48</v>
      </c>
      <c r="Q21" s="64">
        <v>9.64</v>
      </c>
      <c r="R21" s="198"/>
      <c r="S21" s="198"/>
      <c r="T21" s="198"/>
      <c r="U21" s="198"/>
    </row>
    <row r="22" spans="1:21" s="12" customFormat="1" x14ac:dyDescent="0.25">
      <c r="A22" s="214" t="s">
        <v>2660</v>
      </c>
      <c r="B22" s="64">
        <v>18.8</v>
      </c>
      <c r="C22" s="64">
        <v>25.7</v>
      </c>
      <c r="D22" s="64">
        <v>20.329999999999998</v>
      </c>
      <c r="E22" s="64">
        <v>4.3</v>
      </c>
      <c r="F22" s="64">
        <v>3.76</v>
      </c>
      <c r="G22" s="64">
        <v>20.48</v>
      </c>
      <c r="H22" s="64">
        <v>4.76</v>
      </c>
      <c r="I22" s="64">
        <v>4.12</v>
      </c>
      <c r="J22" s="210" t="s">
        <v>36</v>
      </c>
      <c r="K22" s="210" t="s">
        <v>36</v>
      </c>
      <c r="L22" s="210" t="s">
        <v>36</v>
      </c>
      <c r="M22" s="210" t="s">
        <v>36</v>
      </c>
      <c r="N22" s="210" t="s">
        <v>36</v>
      </c>
      <c r="O22" s="64">
        <v>0</v>
      </c>
      <c r="P22" s="64">
        <v>0.36</v>
      </c>
      <c r="Q22" s="64">
        <v>9.6300000000000008</v>
      </c>
      <c r="R22" s="198"/>
      <c r="S22" s="198"/>
      <c r="T22" s="198"/>
      <c r="U22" s="198"/>
    </row>
    <row r="23" spans="1:21" s="12" customFormat="1" x14ac:dyDescent="0.25">
      <c r="A23" s="214" t="s">
        <v>2661</v>
      </c>
      <c r="B23" s="64">
        <v>18.43</v>
      </c>
      <c r="C23" s="64">
        <v>25.31</v>
      </c>
      <c r="D23" s="64">
        <v>20.16</v>
      </c>
      <c r="E23" s="64">
        <v>4.01</v>
      </c>
      <c r="F23" s="64">
        <v>4.3099999999999996</v>
      </c>
      <c r="G23" s="64">
        <v>20.48</v>
      </c>
      <c r="H23" s="64">
        <v>4.76</v>
      </c>
      <c r="I23" s="64">
        <v>3.97</v>
      </c>
      <c r="J23" s="210" t="s">
        <v>36</v>
      </c>
      <c r="K23" s="210" t="s">
        <v>36</v>
      </c>
      <c r="L23" s="210" t="s">
        <v>36</v>
      </c>
      <c r="M23" s="210" t="s">
        <v>36</v>
      </c>
      <c r="N23" s="210" t="s">
        <v>36</v>
      </c>
      <c r="O23" s="64">
        <v>0</v>
      </c>
      <c r="P23" s="64">
        <v>0.3</v>
      </c>
      <c r="Q23" s="64">
        <v>9.6300000000000008</v>
      </c>
      <c r="R23" s="198"/>
      <c r="S23" s="198"/>
      <c r="T23" s="198"/>
      <c r="U23" s="198"/>
    </row>
    <row r="24" spans="1:21" s="12" customFormat="1" x14ac:dyDescent="0.25">
      <c r="A24" s="214" t="s">
        <v>2662</v>
      </c>
      <c r="B24" s="64">
        <v>18.059999999999999</v>
      </c>
      <c r="C24" s="64">
        <v>24.94</v>
      </c>
      <c r="D24" s="64">
        <v>20</v>
      </c>
      <c r="E24" s="64">
        <v>4.0999999999999996</v>
      </c>
      <c r="F24" s="64">
        <v>3.61</v>
      </c>
      <c r="G24" s="64">
        <v>20.48</v>
      </c>
      <c r="H24" s="64">
        <v>4.76</v>
      </c>
      <c r="I24" s="64">
        <v>4.0599999999999996</v>
      </c>
      <c r="J24" s="210" t="s">
        <v>36</v>
      </c>
      <c r="K24" s="210" t="s">
        <v>36</v>
      </c>
      <c r="L24" s="210" t="s">
        <v>36</v>
      </c>
      <c r="M24" s="210" t="s">
        <v>36</v>
      </c>
      <c r="N24" s="210" t="s">
        <v>36</v>
      </c>
      <c r="O24" s="64">
        <v>0</v>
      </c>
      <c r="P24" s="64">
        <v>0.45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4" t="s">
        <v>2663</v>
      </c>
      <c r="B25" s="64">
        <v>18.170000000000002</v>
      </c>
      <c r="C25" s="64">
        <v>25.14</v>
      </c>
      <c r="D25" s="64">
        <v>20.23</v>
      </c>
      <c r="E25" s="64">
        <v>4.3499999999999996</v>
      </c>
      <c r="F25" s="64">
        <v>3.27</v>
      </c>
      <c r="G25" s="64">
        <v>20.28</v>
      </c>
      <c r="H25" s="64">
        <v>4.55</v>
      </c>
      <c r="I25" s="64">
        <v>4.1500000000000004</v>
      </c>
      <c r="J25" s="210" t="s">
        <v>36</v>
      </c>
      <c r="K25" s="210" t="s">
        <v>36</v>
      </c>
      <c r="L25" s="210" t="s">
        <v>36</v>
      </c>
      <c r="M25" s="210" t="s">
        <v>36</v>
      </c>
      <c r="N25" s="210" t="s">
        <v>36</v>
      </c>
      <c r="O25" s="64">
        <v>0</v>
      </c>
      <c r="P25" s="64">
        <v>0.36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4" t="s">
        <v>2664</v>
      </c>
      <c r="B26" s="64">
        <v>18.62</v>
      </c>
      <c r="C26" s="64">
        <v>25.12</v>
      </c>
      <c r="D26" s="64">
        <v>19.5</v>
      </c>
      <c r="E26" s="64">
        <v>4</v>
      </c>
      <c r="F26" s="64">
        <v>3.72</v>
      </c>
      <c r="G26" s="64">
        <v>19.440000000000001</v>
      </c>
      <c r="H26" s="64">
        <v>3.63</v>
      </c>
      <c r="I26" s="64">
        <v>4.0599999999999996</v>
      </c>
      <c r="J26" s="210" t="s">
        <v>36</v>
      </c>
      <c r="K26" s="210" t="s">
        <v>36</v>
      </c>
      <c r="L26" s="210" t="s">
        <v>36</v>
      </c>
      <c r="M26" s="210" t="s">
        <v>36</v>
      </c>
      <c r="N26" s="210" t="s">
        <v>36</v>
      </c>
      <c r="O26" s="64">
        <v>0</v>
      </c>
      <c r="P26" s="64">
        <v>0.45</v>
      </c>
      <c r="Q26" s="64">
        <v>9.6300000000000008</v>
      </c>
      <c r="R26" s="198"/>
      <c r="S26" s="198"/>
      <c r="T26" s="198"/>
      <c r="U26" s="198"/>
    </row>
    <row r="27" spans="1:21" s="12" customFormat="1" x14ac:dyDescent="0.25">
      <c r="A27" s="214" t="s">
        <v>2665</v>
      </c>
      <c r="B27" s="64">
        <v>19.39</v>
      </c>
      <c r="C27" s="64">
        <v>26.34</v>
      </c>
      <c r="D27" s="64">
        <v>20.65</v>
      </c>
      <c r="E27" s="64">
        <v>4.22</v>
      </c>
      <c r="F27" s="64">
        <v>3.25</v>
      </c>
      <c r="G27" s="64">
        <v>19.440000000000001</v>
      </c>
      <c r="H27" s="64">
        <v>3.63</v>
      </c>
      <c r="I27" s="64">
        <v>4.0199999999999996</v>
      </c>
      <c r="J27" s="210" t="s">
        <v>36</v>
      </c>
      <c r="K27" s="210" t="s">
        <v>36</v>
      </c>
      <c r="L27" s="210" t="s">
        <v>36</v>
      </c>
      <c r="M27" s="210" t="s">
        <v>36</v>
      </c>
      <c r="N27" s="210" t="s">
        <v>36</v>
      </c>
      <c r="O27" s="64">
        <v>0</v>
      </c>
      <c r="P27" s="64">
        <v>0.39</v>
      </c>
      <c r="Q27" s="64">
        <v>9.64</v>
      </c>
      <c r="R27" s="198"/>
      <c r="S27" s="198"/>
      <c r="T27" s="198"/>
      <c r="U27" s="198"/>
    </row>
    <row r="28" spans="1:21" s="12" customFormat="1" x14ac:dyDescent="0.25">
      <c r="A28" s="214" t="s">
        <v>2666</v>
      </c>
      <c r="B28" s="64">
        <v>20.25</v>
      </c>
      <c r="C28" s="64">
        <v>26.13</v>
      </c>
      <c r="D28" s="64">
        <v>18.920000000000002</v>
      </c>
      <c r="E28" s="64">
        <v>3.97</v>
      </c>
      <c r="F28" s="64">
        <v>2.94</v>
      </c>
      <c r="G28" s="64">
        <v>19.440000000000001</v>
      </c>
      <c r="H28" s="64">
        <v>3.63</v>
      </c>
      <c r="I28" s="64">
        <v>4.1100000000000003</v>
      </c>
      <c r="J28" s="210" t="s">
        <v>36</v>
      </c>
      <c r="K28" s="210" t="s">
        <v>36</v>
      </c>
      <c r="L28" s="210" t="s">
        <v>36</v>
      </c>
      <c r="M28" s="210" t="s">
        <v>36</v>
      </c>
      <c r="N28" s="210" t="s">
        <v>36</v>
      </c>
      <c r="O28" s="64">
        <v>0</v>
      </c>
      <c r="P28" s="64">
        <v>0.36</v>
      </c>
      <c r="Q28" s="64">
        <v>9.66</v>
      </c>
      <c r="R28" s="198"/>
      <c r="S28" s="198"/>
      <c r="T28" s="198"/>
      <c r="U28" s="198"/>
    </row>
    <row r="29" spans="1:21" s="12" customFormat="1" x14ac:dyDescent="0.25">
      <c r="A29" s="214" t="s">
        <v>2667</v>
      </c>
      <c r="B29" s="64">
        <v>20.77</v>
      </c>
      <c r="C29" s="64">
        <v>26.07</v>
      </c>
      <c r="D29" s="64">
        <v>18.02</v>
      </c>
      <c r="E29" s="64">
        <v>4.53</v>
      </c>
      <c r="F29" s="64">
        <v>3.24</v>
      </c>
      <c r="G29" s="64">
        <v>20.27</v>
      </c>
      <c r="H29" s="64">
        <v>4.03</v>
      </c>
      <c r="I29" s="64">
        <v>4.08</v>
      </c>
      <c r="J29" s="210" t="s">
        <v>36</v>
      </c>
      <c r="K29" s="210" t="s">
        <v>36</v>
      </c>
      <c r="L29" s="210" t="s">
        <v>36</v>
      </c>
      <c r="M29" s="210" t="s">
        <v>36</v>
      </c>
      <c r="N29" s="210" t="s">
        <v>36</v>
      </c>
      <c r="O29" s="64">
        <v>0</v>
      </c>
      <c r="P29" s="64">
        <v>0.48</v>
      </c>
      <c r="Q29" s="64">
        <v>9.67</v>
      </c>
      <c r="R29" s="198"/>
      <c r="S29" s="198"/>
      <c r="T29" s="198"/>
      <c r="U29" s="198"/>
    </row>
    <row r="30" spans="1:21" s="12" customFormat="1" x14ac:dyDescent="0.25">
      <c r="A30" s="214" t="s">
        <v>2668</v>
      </c>
      <c r="B30" s="64">
        <v>21.28</v>
      </c>
      <c r="C30" s="64">
        <v>26.47</v>
      </c>
      <c r="D30" s="64">
        <v>18</v>
      </c>
      <c r="E30" s="64">
        <v>4.32</v>
      </c>
      <c r="F30" s="64">
        <v>3.34</v>
      </c>
      <c r="G30" s="64">
        <v>23.85</v>
      </c>
      <c r="H30" s="64">
        <v>5.76</v>
      </c>
      <c r="I30" s="64">
        <v>4</v>
      </c>
      <c r="J30" s="210" t="s">
        <v>36</v>
      </c>
      <c r="K30" s="210" t="s">
        <v>36</v>
      </c>
      <c r="L30" s="210" t="s">
        <v>36</v>
      </c>
      <c r="M30" s="210" t="s">
        <v>36</v>
      </c>
      <c r="N30" s="210" t="s">
        <v>36</v>
      </c>
      <c r="O30" s="64">
        <v>0</v>
      </c>
      <c r="P30" s="64">
        <v>0.3</v>
      </c>
      <c r="Q30" s="64">
        <v>9.66</v>
      </c>
      <c r="R30" s="198"/>
      <c r="S30" s="198"/>
      <c r="T30" s="198"/>
      <c r="U30" s="198"/>
    </row>
    <row r="31" spans="1:21" s="12" customFormat="1" x14ac:dyDescent="0.25">
      <c r="A31" s="214" t="s">
        <v>2669</v>
      </c>
      <c r="B31" s="64">
        <v>21.41</v>
      </c>
      <c r="C31" s="64">
        <v>26.53</v>
      </c>
      <c r="D31" s="64">
        <v>17.93</v>
      </c>
      <c r="E31" s="64">
        <v>4.43</v>
      </c>
      <c r="F31" s="64">
        <v>3.4</v>
      </c>
      <c r="G31" s="64">
        <v>23.85</v>
      </c>
      <c r="H31" s="64">
        <v>5.76</v>
      </c>
      <c r="I31" s="64">
        <v>3.89</v>
      </c>
      <c r="J31" s="210" t="s">
        <v>36</v>
      </c>
      <c r="K31" s="210" t="s">
        <v>36</v>
      </c>
      <c r="L31" s="210" t="s">
        <v>36</v>
      </c>
      <c r="M31" s="210" t="s">
        <v>36</v>
      </c>
      <c r="N31" s="210" t="s">
        <v>36</v>
      </c>
      <c r="O31" s="64">
        <v>0</v>
      </c>
      <c r="P31" s="64">
        <v>0.31</v>
      </c>
      <c r="Q31" s="64">
        <v>9.67</v>
      </c>
      <c r="R31" s="198"/>
      <c r="S31" s="198"/>
      <c r="T31" s="198"/>
      <c r="U31" s="198"/>
    </row>
    <row r="32" spans="1:21" s="12" customFormat="1" x14ac:dyDescent="0.25">
      <c r="A32" s="214" t="s">
        <v>2670</v>
      </c>
      <c r="B32" s="64">
        <v>21.37</v>
      </c>
      <c r="C32" s="64">
        <v>26.45</v>
      </c>
      <c r="D32" s="64">
        <v>17.829999999999998</v>
      </c>
      <c r="E32" s="64">
        <v>4.22</v>
      </c>
      <c r="F32" s="64">
        <v>3.57</v>
      </c>
      <c r="G32" s="64">
        <v>23.85</v>
      </c>
      <c r="H32" s="64">
        <v>5.76</v>
      </c>
      <c r="I32" s="64">
        <v>4</v>
      </c>
      <c r="J32" s="210" t="s">
        <v>36</v>
      </c>
      <c r="K32" s="210" t="s">
        <v>36</v>
      </c>
      <c r="L32" s="210" t="s">
        <v>36</v>
      </c>
      <c r="M32" s="210" t="s">
        <v>36</v>
      </c>
      <c r="N32" s="210" t="s">
        <v>36</v>
      </c>
      <c r="O32" s="64">
        <v>0</v>
      </c>
      <c r="P32" s="64">
        <v>0.47</v>
      </c>
      <c r="Q32" s="64">
        <v>9.67</v>
      </c>
      <c r="R32" s="198"/>
      <c r="S32" s="198"/>
      <c r="T32" s="198"/>
      <c r="U32" s="198"/>
    </row>
    <row r="33" spans="1:21" s="12" customFormat="1" x14ac:dyDescent="0.25">
      <c r="A33" s="214" t="s">
        <v>2671</v>
      </c>
      <c r="B33" s="64">
        <v>21.57</v>
      </c>
      <c r="C33" s="64">
        <v>26.61</v>
      </c>
      <c r="D33" s="64">
        <v>17.829999999999998</v>
      </c>
      <c r="E33" s="64">
        <v>4.3</v>
      </c>
      <c r="F33" s="64">
        <v>3.46</v>
      </c>
      <c r="G33" s="64">
        <v>24.48</v>
      </c>
      <c r="H33" s="64">
        <v>6</v>
      </c>
      <c r="I33" s="64">
        <v>4.0599999999999996</v>
      </c>
      <c r="J33" s="210" t="s">
        <v>36</v>
      </c>
      <c r="K33" s="210" t="s">
        <v>36</v>
      </c>
      <c r="L33" s="210" t="s">
        <v>36</v>
      </c>
      <c r="M33" s="210" t="s">
        <v>36</v>
      </c>
      <c r="N33" s="210" t="s">
        <v>36</v>
      </c>
      <c r="O33" s="64">
        <v>0</v>
      </c>
      <c r="P33" s="64">
        <v>0.7</v>
      </c>
      <c r="Q33" s="64">
        <v>9.66</v>
      </c>
      <c r="R33" s="198"/>
      <c r="S33" s="198"/>
      <c r="T33" s="198"/>
      <c r="U33" s="198"/>
    </row>
    <row r="34" spans="1:21" s="12" customFormat="1" x14ac:dyDescent="0.25">
      <c r="A34" s="214" t="s">
        <v>2672</v>
      </c>
      <c r="B34" s="64">
        <v>22.56</v>
      </c>
      <c r="C34" s="64">
        <v>27.74</v>
      </c>
      <c r="D34" s="64">
        <v>18.47</v>
      </c>
      <c r="E34" s="64">
        <v>4.3</v>
      </c>
      <c r="F34" s="64">
        <v>2.82</v>
      </c>
      <c r="G34" s="64">
        <v>27.22</v>
      </c>
      <c r="H34" s="64">
        <v>7.02</v>
      </c>
      <c r="I34" s="64">
        <v>3.88</v>
      </c>
      <c r="J34" s="210" t="s">
        <v>36</v>
      </c>
      <c r="K34" s="210" t="s">
        <v>36</v>
      </c>
      <c r="L34" s="210" t="s">
        <v>36</v>
      </c>
      <c r="M34" s="210" t="s">
        <v>36</v>
      </c>
      <c r="N34" s="210" t="s">
        <v>36</v>
      </c>
      <c r="O34" s="64">
        <v>0</v>
      </c>
      <c r="P34" s="64">
        <v>0.61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14" t="s">
        <v>2673</v>
      </c>
      <c r="B35" s="64">
        <v>23.95</v>
      </c>
      <c r="C35" s="64">
        <v>30.01</v>
      </c>
      <c r="D35" s="64">
        <v>20.68</v>
      </c>
      <c r="E35" s="64">
        <v>4.51</v>
      </c>
      <c r="F35" s="64">
        <v>3.47</v>
      </c>
      <c r="G35" s="64">
        <v>27.22</v>
      </c>
      <c r="H35" s="64">
        <v>7.02</v>
      </c>
      <c r="I35" s="64">
        <v>3.99</v>
      </c>
      <c r="J35" s="210" t="s">
        <v>36</v>
      </c>
      <c r="K35" s="210" t="s">
        <v>36</v>
      </c>
      <c r="L35" s="210" t="s">
        <v>36</v>
      </c>
      <c r="M35" s="210" t="s">
        <v>36</v>
      </c>
      <c r="N35" s="210" t="s">
        <v>36</v>
      </c>
      <c r="O35" s="64">
        <v>0</v>
      </c>
      <c r="P35" s="64">
        <v>0.72</v>
      </c>
      <c r="Q35" s="64">
        <v>9.64</v>
      </c>
      <c r="R35" s="198"/>
      <c r="S35" s="198"/>
      <c r="T35" s="198"/>
      <c r="U35" s="198"/>
    </row>
    <row r="36" spans="1:21" s="12" customFormat="1" x14ac:dyDescent="0.25">
      <c r="A36" s="214" t="s">
        <v>2674</v>
      </c>
      <c r="B36" s="64">
        <v>25.27</v>
      </c>
      <c r="C36" s="64">
        <v>31.47</v>
      </c>
      <c r="D36" s="64">
        <v>21.44</v>
      </c>
      <c r="E36" s="64">
        <v>4.26</v>
      </c>
      <c r="F36" s="64">
        <v>3.48</v>
      </c>
      <c r="G36" s="64">
        <v>27.22</v>
      </c>
      <c r="H36" s="64">
        <v>7.02</v>
      </c>
      <c r="I36" s="64">
        <v>4.03</v>
      </c>
      <c r="J36" s="210" t="s">
        <v>36</v>
      </c>
      <c r="K36" s="210" t="s">
        <v>36</v>
      </c>
      <c r="L36" s="210" t="s">
        <v>36</v>
      </c>
      <c r="M36" s="210" t="s">
        <v>36</v>
      </c>
      <c r="N36" s="210" t="s">
        <v>36</v>
      </c>
      <c r="O36" s="64">
        <v>0</v>
      </c>
      <c r="P36" s="64">
        <v>0.61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4" t="s">
        <v>2675</v>
      </c>
      <c r="B37" s="64">
        <v>25.55</v>
      </c>
      <c r="C37" s="64">
        <v>31.97</v>
      </c>
      <c r="D37" s="64">
        <v>21.97</v>
      </c>
      <c r="E37" s="64">
        <v>3.99</v>
      </c>
      <c r="F37" s="64">
        <v>4.5</v>
      </c>
      <c r="G37" s="64">
        <v>29.82</v>
      </c>
      <c r="H37" s="64">
        <v>8.1199999999999992</v>
      </c>
      <c r="I37" s="64">
        <v>3.93</v>
      </c>
      <c r="J37" s="210" t="s">
        <v>36</v>
      </c>
      <c r="K37" s="210" t="s">
        <v>36</v>
      </c>
      <c r="L37" s="210" t="s">
        <v>36</v>
      </c>
      <c r="M37" s="210" t="s">
        <v>36</v>
      </c>
      <c r="N37" s="210" t="s">
        <v>36</v>
      </c>
      <c r="O37" s="64">
        <v>0</v>
      </c>
      <c r="P37" s="64">
        <v>0.52</v>
      </c>
      <c r="Q37" s="64">
        <v>9.66</v>
      </c>
      <c r="R37" s="198"/>
      <c r="S37" s="198"/>
      <c r="T37" s="198"/>
      <c r="U37" s="198"/>
    </row>
    <row r="38" spans="1:21" s="12" customFormat="1" x14ac:dyDescent="0.25">
      <c r="A38" s="214" t="s">
        <v>2676</v>
      </c>
      <c r="B38" s="64">
        <v>25.51</v>
      </c>
      <c r="C38" s="64">
        <v>32.31</v>
      </c>
      <c r="D38" s="64">
        <v>22.68</v>
      </c>
      <c r="E38" s="64">
        <v>4.2699999999999996</v>
      </c>
      <c r="F38" s="64">
        <v>4.2699999999999996</v>
      </c>
      <c r="G38" s="64">
        <v>40.96</v>
      </c>
      <c r="H38" s="64">
        <v>12.86</v>
      </c>
      <c r="I38" s="64">
        <v>3.92</v>
      </c>
      <c r="J38" s="210" t="s">
        <v>36</v>
      </c>
      <c r="K38" s="210" t="s">
        <v>36</v>
      </c>
      <c r="L38" s="210" t="s">
        <v>36</v>
      </c>
      <c r="M38" s="210" t="s">
        <v>36</v>
      </c>
      <c r="N38" s="210" t="s">
        <v>36</v>
      </c>
      <c r="O38" s="64">
        <v>0</v>
      </c>
      <c r="P38" s="64">
        <v>0.56000000000000005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4" t="s">
        <v>2677</v>
      </c>
      <c r="B39" s="64">
        <v>24.79</v>
      </c>
      <c r="C39" s="64">
        <v>31.85</v>
      </c>
      <c r="D39" s="64">
        <v>22.91</v>
      </c>
      <c r="E39" s="64">
        <v>4.3499999999999996</v>
      </c>
      <c r="F39" s="64">
        <v>4.79</v>
      </c>
      <c r="G39" s="64">
        <v>40.96</v>
      </c>
      <c r="H39" s="64">
        <v>12.86</v>
      </c>
      <c r="I39" s="64">
        <v>3.88</v>
      </c>
      <c r="J39" s="210" t="s">
        <v>36</v>
      </c>
      <c r="K39" s="210" t="s">
        <v>36</v>
      </c>
      <c r="L39" s="210" t="s">
        <v>36</v>
      </c>
      <c r="M39" s="210" t="s">
        <v>36</v>
      </c>
      <c r="N39" s="210" t="s">
        <v>36</v>
      </c>
      <c r="O39" s="64">
        <v>0</v>
      </c>
      <c r="P39" s="64">
        <v>0.51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4" t="s">
        <v>2678</v>
      </c>
      <c r="B40" s="64">
        <v>23.85</v>
      </c>
      <c r="C40" s="64">
        <v>30.81</v>
      </c>
      <c r="D40" s="64">
        <v>22.37</v>
      </c>
      <c r="E40" s="64">
        <v>4.05</v>
      </c>
      <c r="F40" s="64">
        <v>3.54</v>
      </c>
      <c r="G40" s="64">
        <v>40.96</v>
      </c>
      <c r="H40" s="64">
        <v>12.86</v>
      </c>
      <c r="I40" s="64">
        <v>3.91</v>
      </c>
      <c r="J40" s="210" t="s">
        <v>36</v>
      </c>
      <c r="K40" s="210" t="s">
        <v>36</v>
      </c>
      <c r="L40" s="210" t="s">
        <v>36</v>
      </c>
      <c r="M40" s="210" t="s">
        <v>36</v>
      </c>
      <c r="N40" s="210" t="s">
        <v>36</v>
      </c>
      <c r="O40" s="64">
        <v>0</v>
      </c>
      <c r="P40" s="64">
        <v>0.51</v>
      </c>
      <c r="Q40" s="64">
        <v>9.66</v>
      </c>
      <c r="R40" s="198"/>
      <c r="S40" s="198"/>
      <c r="T40" s="198"/>
      <c r="U40" s="198"/>
    </row>
    <row r="41" spans="1:21" s="12" customFormat="1" x14ac:dyDescent="0.25">
      <c r="A41" s="214" t="s">
        <v>2679</v>
      </c>
      <c r="B41" s="64">
        <v>22.67</v>
      </c>
      <c r="C41" s="64">
        <v>30.4</v>
      </c>
      <c r="D41" s="64">
        <v>23.38</v>
      </c>
      <c r="E41" s="64">
        <v>3.74</v>
      </c>
      <c r="F41" s="64">
        <v>4.32</v>
      </c>
      <c r="G41" s="64">
        <v>40.89</v>
      </c>
      <c r="H41" s="64">
        <v>12.27</v>
      </c>
      <c r="I41" s="64">
        <v>4.04</v>
      </c>
      <c r="J41" s="210" t="s">
        <v>36</v>
      </c>
      <c r="K41" s="210" t="s">
        <v>36</v>
      </c>
      <c r="L41" s="210" t="s">
        <v>36</v>
      </c>
      <c r="M41" s="210" t="s">
        <v>36</v>
      </c>
      <c r="N41" s="210" t="s">
        <v>36</v>
      </c>
      <c r="O41" s="64">
        <v>0</v>
      </c>
      <c r="P41" s="64">
        <v>0.42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4" t="s">
        <v>2680</v>
      </c>
      <c r="B42" s="64">
        <v>21.54</v>
      </c>
      <c r="C42" s="64">
        <v>28.94</v>
      </c>
      <c r="D42" s="64">
        <v>22.33</v>
      </c>
      <c r="E42" s="64">
        <v>3.81</v>
      </c>
      <c r="F42" s="64">
        <v>4.32</v>
      </c>
      <c r="G42" s="64">
        <v>40.6</v>
      </c>
      <c r="H42" s="64">
        <v>9.93</v>
      </c>
      <c r="I42" s="64">
        <v>4.0599999999999996</v>
      </c>
      <c r="J42" s="210" t="s">
        <v>36</v>
      </c>
      <c r="K42" s="210" t="s">
        <v>36</v>
      </c>
      <c r="L42" s="210" t="s">
        <v>36</v>
      </c>
      <c r="M42" s="210" t="s">
        <v>36</v>
      </c>
      <c r="N42" s="210" t="s">
        <v>36</v>
      </c>
      <c r="O42" s="64">
        <v>0</v>
      </c>
      <c r="P42" s="64">
        <v>0.49</v>
      </c>
      <c r="Q42" s="64">
        <v>9.66</v>
      </c>
      <c r="R42" s="198"/>
      <c r="S42" s="198"/>
      <c r="T42" s="198"/>
      <c r="U42" s="198"/>
    </row>
    <row r="43" spans="1:21" s="12" customFormat="1" x14ac:dyDescent="0.25">
      <c r="A43" s="214" t="s">
        <v>2681</v>
      </c>
      <c r="B43" s="64">
        <v>20.34</v>
      </c>
      <c r="C43" s="64">
        <v>28.78</v>
      </c>
      <c r="D43" s="64">
        <v>23.87</v>
      </c>
      <c r="E43" s="64">
        <v>4.2</v>
      </c>
      <c r="F43" s="64">
        <v>4.0199999999999996</v>
      </c>
      <c r="G43" s="64">
        <v>40.6</v>
      </c>
      <c r="H43" s="64">
        <v>9.93</v>
      </c>
      <c r="I43" s="64">
        <v>3.98</v>
      </c>
      <c r="J43" s="210" t="s">
        <v>36</v>
      </c>
      <c r="K43" s="210" t="s">
        <v>36</v>
      </c>
      <c r="L43" s="210" t="s">
        <v>36</v>
      </c>
      <c r="M43" s="210" t="s">
        <v>36</v>
      </c>
      <c r="N43" s="210" t="s">
        <v>36</v>
      </c>
      <c r="O43" s="64">
        <v>0</v>
      </c>
      <c r="P43" s="64">
        <v>0.46</v>
      </c>
      <c r="Q43" s="64">
        <v>9.66</v>
      </c>
      <c r="R43" s="198"/>
      <c r="S43" s="198"/>
      <c r="T43" s="198"/>
      <c r="U43" s="198"/>
    </row>
    <row r="44" spans="1:21" s="12" customFormat="1" x14ac:dyDescent="0.25">
      <c r="A44" s="214" t="s">
        <v>2682</v>
      </c>
      <c r="B44" s="64">
        <v>19</v>
      </c>
      <c r="C44" s="64">
        <v>26.86</v>
      </c>
      <c r="D44" s="64">
        <v>22.25</v>
      </c>
      <c r="E44" s="64">
        <v>4.0599999999999996</v>
      </c>
      <c r="F44" s="64">
        <v>6.65</v>
      </c>
      <c r="G44" s="64">
        <v>40.6</v>
      </c>
      <c r="H44" s="64">
        <v>9.93</v>
      </c>
      <c r="I44" s="64">
        <v>3.98</v>
      </c>
      <c r="J44" s="210" t="s">
        <v>36</v>
      </c>
      <c r="K44" s="210" t="s">
        <v>36</v>
      </c>
      <c r="L44" s="210" t="s">
        <v>36</v>
      </c>
      <c r="M44" s="210" t="s">
        <v>36</v>
      </c>
      <c r="N44" s="210" t="s">
        <v>36</v>
      </c>
      <c r="O44" s="64">
        <v>0</v>
      </c>
      <c r="P44" s="64">
        <v>0.47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4" t="s">
        <v>2683</v>
      </c>
      <c r="B45" s="64">
        <v>18.28</v>
      </c>
      <c r="C45" s="64">
        <v>26.5</v>
      </c>
      <c r="D45" s="64">
        <v>22.68</v>
      </c>
      <c r="E45" s="64">
        <v>3.82</v>
      </c>
      <c r="F45" s="64">
        <v>7.68</v>
      </c>
      <c r="G45" s="64">
        <v>40.79</v>
      </c>
      <c r="H45" s="64">
        <v>10.57</v>
      </c>
      <c r="I45" s="64">
        <v>3.97</v>
      </c>
      <c r="J45" s="210" t="s">
        <v>36</v>
      </c>
      <c r="K45" s="210" t="s">
        <v>36</v>
      </c>
      <c r="L45" s="210" t="s">
        <v>36</v>
      </c>
      <c r="M45" s="210" t="s">
        <v>36</v>
      </c>
      <c r="N45" s="210" t="s">
        <v>36</v>
      </c>
      <c r="O45" s="64">
        <v>0</v>
      </c>
      <c r="P45" s="64">
        <v>0.5</v>
      </c>
      <c r="Q45" s="64">
        <v>9.64</v>
      </c>
      <c r="R45" s="198"/>
      <c r="S45" s="198"/>
      <c r="T45" s="198"/>
      <c r="U45" s="198"/>
    </row>
    <row r="46" spans="1:21" s="12" customFormat="1" x14ac:dyDescent="0.25">
      <c r="A46" s="214" t="s">
        <v>2684</v>
      </c>
      <c r="B46" s="64">
        <v>17.78</v>
      </c>
      <c r="C46" s="64">
        <v>25.34</v>
      </c>
      <c r="D46" s="64">
        <v>21.21</v>
      </c>
      <c r="E46" s="64">
        <v>4.08</v>
      </c>
      <c r="F46" s="64">
        <v>8.14</v>
      </c>
      <c r="G46" s="64">
        <v>41.62</v>
      </c>
      <c r="H46" s="64">
        <v>13.29</v>
      </c>
      <c r="I46" s="64">
        <v>4.01</v>
      </c>
      <c r="J46" s="210" t="s">
        <v>36</v>
      </c>
      <c r="K46" s="210" t="s">
        <v>36</v>
      </c>
      <c r="L46" s="210" t="s">
        <v>36</v>
      </c>
      <c r="M46" s="210" t="s">
        <v>36</v>
      </c>
      <c r="N46" s="210" t="s">
        <v>36</v>
      </c>
      <c r="O46" s="64">
        <v>0</v>
      </c>
      <c r="P46" s="64">
        <v>0.49</v>
      </c>
      <c r="Q46" s="64">
        <v>9.6300000000000008</v>
      </c>
      <c r="R46" s="198"/>
      <c r="S46" s="198"/>
      <c r="T46" s="198"/>
      <c r="U46" s="198"/>
    </row>
    <row r="47" spans="1:21" s="12" customFormat="1" x14ac:dyDescent="0.25">
      <c r="A47" s="214" t="s">
        <v>2685</v>
      </c>
      <c r="B47" s="64">
        <v>17.04</v>
      </c>
      <c r="C47" s="64">
        <v>24.5</v>
      </c>
      <c r="D47" s="64">
        <v>20.74</v>
      </c>
      <c r="E47" s="64">
        <v>3.95</v>
      </c>
      <c r="F47" s="64">
        <v>7.82</v>
      </c>
      <c r="G47" s="64">
        <v>41.62</v>
      </c>
      <c r="H47" s="64">
        <v>13.29</v>
      </c>
      <c r="I47" s="64">
        <v>4.01</v>
      </c>
      <c r="J47" s="210" t="s">
        <v>36</v>
      </c>
      <c r="K47" s="210" t="s">
        <v>36</v>
      </c>
      <c r="L47" s="210" t="s">
        <v>36</v>
      </c>
      <c r="M47" s="210" t="s">
        <v>36</v>
      </c>
      <c r="N47" s="210" t="s">
        <v>36</v>
      </c>
      <c r="O47" s="64">
        <v>0</v>
      </c>
      <c r="P47" s="64">
        <v>0.45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4" t="s">
        <v>2686</v>
      </c>
      <c r="B48" s="64">
        <v>16.239999999999998</v>
      </c>
      <c r="C48" s="64">
        <v>23.72</v>
      </c>
      <c r="D48" s="64">
        <v>20.48</v>
      </c>
      <c r="E48" s="64">
        <v>4.2</v>
      </c>
      <c r="F48" s="64">
        <v>8.02</v>
      </c>
      <c r="G48" s="64">
        <v>41.62</v>
      </c>
      <c r="H48" s="64">
        <v>13.29</v>
      </c>
      <c r="I48" s="64">
        <v>4.0599999999999996</v>
      </c>
      <c r="J48" s="210" t="s">
        <v>36</v>
      </c>
      <c r="K48" s="210" t="s">
        <v>36</v>
      </c>
      <c r="L48" s="210" t="s">
        <v>36</v>
      </c>
      <c r="M48" s="210" t="s">
        <v>36</v>
      </c>
      <c r="N48" s="210" t="s">
        <v>36</v>
      </c>
      <c r="O48" s="64">
        <v>0</v>
      </c>
      <c r="P48" s="64">
        <v>0.4</v>
      </c>
      <c r="Q48" s="64">
        <v>9.58</v>
      </c>
      <c r="R48" s="198"/>
      <c r="S48" s="198"/>
      <c r="T48" s="198"/>
      <c r="U48" s="198"/>
    </row>
    <row r="49" spans="1:21" s="12" customFormat="1" x14ac:dyDescent="0.25">
      <c r="A49" s="214" t="s">
        <v>2687</v>
      </c>
      <c r="B49" s="64">
        <v>15.64</v>
      </c>
      <c r="C49" s="64">
        <v>23.23</v>
      </c>
      <c r="D49" s="64">
        <v>20.45</v>
      </c>
      <c r="E49" s="64">
        <v>3.9</v>
      </c>
      <c r="F49" s="64">
        <v>5.92</v>
      </c>
      <c r="G49" s="64">
        <v>41.57</v>
      </c>
      <c r="H49" s="64">
        <v>13.41</v>
      </c>
      <c r="I49" s="64">
        <v>4.04</v>
      </c>
      <c r="J49" s="210" t="s">
        <v>36</v>
      </c>
      <c r="K49" s="210" t="s">
        <v>36</v>
      </c>
      <c r="L49" s="210" t="s">
        <v>36</v>
      </c>
      <c r="M49" s="210" t="s">
        <v>36</v>
      </c>
      <c r="N49" s="210" t="s">
        <v>36</v>
      </c>
      <c r="O49" s="64">
        <v>0</v>
      </c>
      <c r="P49" s="64">
        <v>0.43</v>
      </c>
      <c r="Q49" s="64">
        <v>9.56</v>
      </c>
      <c r="R49" s="198"/>
      <c r="S49" s="198"/>
      <c r="T49" s="198"/>
      <c r="U49" s="198"/>
    </row>
    <row r="50" spans="1:21" s="12" customFormat="1" x14ac:dyDescent="0.25">
      <c r="A50" s="214" t="s">
        <v>2688</v>
      </c>
      <c r="B50" s="64">
        <v>15.03</v>
      </c>
      <c r="C50" s="64">
        <v>22.73</v>
      </c>
      <c r="D50" s="64">
        <v>20.440000000000001</v>
      </c>
      <c r="E50" s="64">
        <v>3.91</v>
      </c>
      <c r="F50" s="64">
        <v>6.39</v>
      </c>
      <c r="G50" s="64">
        <v>41.38</v>
      </c>
      <c r="H50" s="64">
        <v>13.92</v>
      </c>
      <c r="I50" s="64">
        <v>3.93</v>
      </c>
      <c r="J50" s="210" t="s">
        <v>36</v>
      </c>
      <c r="K50" s="210" t="s">
        <v>36</v>
      </c>
      <c r="L50" s="210" t="s">
        <v>36</v>
      </c>
      <c r="M50" s="210" t="s">
        <v>36</v>
      </c>
      <c r="N50" s="210" t="s">
        <v>36</v>
      </c>
      <c r="O50" s="64">
        <v>0</v>
      </c>
      <c r="P50" s="64">
        <v>0.49</v>
      </c>
      <c r="Q50" s="64">
        <v>9.52</v>
      </c>
      <c r="R50" s="198"/>
      <c r="S50" s="198"/>
      <c r="T50" s="198"/>
      <c r="U50" s="198"/>
    </row>
    <row r="51" spans="1:21" s="12" customFormat="1" x14ac:dyDescent="0.25">
      <c r="A51" s="214" t="s">
        <v>2689</v>
      </c>
      <c r="B51" s="64">
        <v>14.46</v>
      </c>
      <c r="C51" s="64">
        <v>22.38</v>
      </c>
      <c r="D51" s="64">
        <v>20.64</v>
      </c>
      <c r="E51" s="64">
        <v>4.2300000000000004</v>
      </c>
      <c r="F51" s="64">
        <v>4.4000000000000004</v>
      </c>
      <c r="G51" s="64">
        <v>41.38</v>
      </c>
      <c r="H51" s="64">
        <v>13.92</v>
      </c>
      <c r="I51" s="64">
        <v>3.94</v>
      </c>
      <c r="J51" s="210" t="s">
        <v>36</v>
      </c>
      <c r="K51" s="210" t="s">
        <v>36</v>
      </c>
      <c r="L51" s="210" t="s">
        <v>36</v>
      </c>
      <c r="M51" s="210" t="s">
        <v>36</v>
      </c>
      <c r="N51" s="210" t="s">
        <v>36</v>
      </c>
      <c r="O51" s="64">
        <v>0</v>
      </c>
      <c r="P51" s="64">
        <v>0.46</v>
      </c>
      <c r="Q51" s="64">
        <v>9.5</v>
      </c>
      <c r="R51" s="198"/>
      <c r="S51" s="198"/>
      <c r="T51" s="198"/>
      <c r="U51" s="198"/>
    </row>
    <row r="52" spans="1:21" s="12" customFormat="1" x14ac:dyDescent="0.25">
      <c r="A52" s="214" t="s">
        <v>2690</v>
      </c>
      <c r="B52" s="64">
        <v>13.78</v>
      </c>
      <c r="C52" s="64">
        <v>22.38</v>
      </c>
      <c r="D52" s="64">
        <v>21.68</v>
      </c>
      <c r="E52" s="64">
        <v>4.16</v>
      </c>
      <c r="F52" s="64">
        <v>3.56</v>
      </c>
      <c r="G52" s="64">
        <v>41.38</v>
      </c>
      <c r="H52" s="64">
        <v>13.92</v>
      </c>
      <c r="I52" s="64">
        <v>4.01</v>
      </c>
      <c r="J52" s="210" t="s">
        <v>36</v>
      </c>
      <c r="K52" s="210" t="s">
        <v>36</v>
      </c>
      <c r="L52" s="210" t="s">
        <v>36</v>
      </c>
      <c r="M52" s="210" t="s">
        <v>36</v>
      </c>
      <c r="N52" s="210" t="s">
        <v>36</v>
      </c>
      <c r="O52" s="64">
        <v>0</v>
      </c>
      <c r="P52" s="64">
        <v>0.46</v>
      </c>
      <c r="Q52" s="64">
        <v>9.4600000000000009</v>
      </c>
      <c r="R52" s="198"/>
      <c r="S52" s="198"/>
      <c r="T52" s="198"/>
      <c r="U52" s="198"/>
    </row>
    <row r="53" spans="1:21" s="12" customFormat="1" x14ac:dyDescent="0.25">
      <c r="A53" s="214" t="s">
        <v>2691</v>
      </c>
      <c r="B53" s="64">
        <v>12.93</v>
      </c>
      <c r="C53" s="64">
        <v>22.21</v>
      </c>
      <c r="D53" s="64">
        <v>22.67</v>
      </c>
      <c r="E53" s="64">
        <v>4.04</v>
      </c>
      <c r="F53" s="64">
        <v>3.84</v>
      </c>
      <c r="G53" s="64">
        <v>40.85</v>
      </c>
      <c r="H53" s="64">
        <v>13.69</v>
      </c>
      <c r="I53" s="64">
        <v>4.0999999999999996</v>
      </c>
      <c r="J53" s="210" t="s">
        <v>36</v>
      </c>
      <c r="K53" s="210" t="s">
        <v>36</v>
      </c>
      <c r="L53" s="210" t="s">
        <v>36</v>
      </c>
      <c r="M53" s="210" t="s">
        <v>36</v>
      </c>
      <c r="N53" s="210" t="s">
        <v>36</v>
      </c>
      <c r="O53" s="64">
        <v>0</v>
      </c>
      <c r="P53" s="64">
        <v>0.45</v>
      </c>
      <c r="Q53" s="64">
        <v>9.43</v>
      </c>
      <c r="R53" s="198"/>
      <c r="S53" s="198"/>
      <c r="T53" s="198"/>
      <c r="U53" s="198"/>
    </row>
    <row r="54" spans="1:21" s="12" customFormat="1" x14ac:dyDescent="0.25">
      <c r="A54" s="214" t="s">
        <v>2692</v>
      </c>
      <c r="B54" s="64">
        <v>12.08</v>
      </c>
      <c r="C54" s="64">
        <v>21.81</v>
      </c>
      <c r="D54" s="64">
        <v>23.21</v>
      </c>
      <c r="E54" s="64">
        <v>3.96</v>
      </c>
      <c r="F54" s="64">
        <v>4.55</v>
      </c>
      <c r="G54" s="64">
        <v>38.56</v>
      </c>
      <c r="H54" s="64">
        <v>12.67</v>
      </c>
      <c r="I54" s="64">
        <v>4.0999999999999996</v>
      </c>
      <c r="J54" s="210" t="s">
        <v>36</v>
      </c>
      <c r="K54" s="210" t="s">
        <v>36</v>
      </c>
      <c r="L54" s="210" t="s">
        <v>36</v>
      </c>
      <c r="M54" s="210" t="s">
        <v>36</v>
      </c>
      <c r="N54" s="210" t="s">
        <v>36</v>
      </c>
      <c r="O54" s="64">
        <v>0</v>
      </c>
      <c r="P54" s="64">
        <v>0.39</v>
      </c>
      <c r="Q54" s="64">
        <v>9.4</v>
      </c>
      <c r="R54" s="198"/>
      <c r="S54" s="198"/>
      <c r="T54" s="198"/>
      <c r="U54" s="198"/>
    </row>
    <row r="55" spans="1:21" s="12" customFormat="1" x14ac:dyDescent="0.25">
      <c r="A55" s="214" t="s">
        <v>2693</v>
      </c>
      <c r="B55" s="64">
        <v>11.33</v>
      </c>
      <c r="C55" s="64">
        <v>21.08</v>
      </c>
      <c r="D55" s="64">
        <v>22.95</v>
      </c>
      <c r="E55" s="64">
        <v>3.66</v>
      </c>
      <c r="F55" s="64">
        <v>4.2</v>
      </c>
      <c r="G55" s="64">
        <v>38.56</v>
      </c>
      <c r="H55" s="64">
        <v>12.67</v>
      </c>
      <c r="I55" s="64">
        <v>4.03</v>
      </c>
      <c r="J55" s="210" t="s">
        <v>36</v>
      </c>
      <c r="K55" s="210" t="s">
        <v>36</v>
      </c>
      <c r="L55" s="210" t="s">
        <v>36</v>
      </c>
      <c r="M55" s="210" t="s">
        <v>36</v>
      </c>
      <c r="N55" s="210" t="s">
        <v>36</v>
      </c>
      <c r="O55" s="64">
        <v>0</v>
      </c>
      <c r="P55" s="64">
        <v>0.46</v>
      </c>
      <c r="Q55" s="64">
        <v>9.3800000000000008</v>
      </c>
      <c r="R55" s="198"/>
      <c r="S55" s="198"/>
      <c r="T55" s="198"/>
      <c r="U55" s="198"/>
    </row>
    <row r="56" spans="1:21" s="12" customFormat="1" x14ac:dyDescent="0.25">
      <c r="A56" s="214" t="s">
        <v>2694</v>
      </c>
      <c r="B56" s="64">
        <v>10.97</v>
      </c>
      <c r="C56" s="64">
        <v>21.55</v>
      </c>
      <c r="D56" s="64">
        <v>24.42</v>
      </c>
      <c r="E56" s="64">
        <v>3.81</v>
      </c>
      <c r="F56" s="64">
        <v>4.57</v>
      </c>
      <c r="G56" s="64">
        <v>38.56</v>
      </c>
      <c r="H56" s="64">
        <v>12.67</v>
      </c>
      <c r="I56" s="64">
        <v>4.03</v>
      </c>
      <c r="J56" s="210" t="s">
        <v>36</v>
      </c>
      <c r="K56" s="210" t="s">
        <v>36</v>
      </c>
      <c r="L56" s="210" t="s">
        <v>36</v>
      </c>
      <c r="M56" s="210" t="s">
        <v>36</v>
      </c>
      <c r="N56" s="210" t="s">
        <v>36</v>
      </c>
      <c r="O56" s="64">
        <v>0</v>
      </c>
      <c r="P56" s="64">
        <v>0.68</v>
      </c>
      <c r="Q56" s="64">
        <v>9.36</v>
      </c>
      <c r="R56" s="198"/>
      <c r="S56" s="198"/>
      <c r="T56" s="198"/>
      <c r="U56" s="198"/>
    </row>
    <row r="57" spans="1:21" s="12" customFormat="1" x14ac:dyDescent="0.25">
      <c r="A57" s="214" t="s">
        <v>2695</v>
      </c>
      <c r="B57" s="64">
        <v>11.01</v>
      </c>
      <c r="C57" s="64">
        <v>21.28</v>
      </c>
      <c r="D57" s="64">
        <v>23.84</v>
      </c>
      <c r="E57" s="64">
        <v>3.82</v>
      </c>
      <c r="F57" s="64">
        <v>5.99</v>
      </c>
      <c r="G57" s="64">
        <v>38.75</v>
      </c>
      <c r="H57" s="64">
        <v>12.27</v>
      </c>
      <c r="I57" s="64">
        <v>4.03</v>
      </c>
      <c r="J57" s="210" t="s">
        <v>36</v>
      </c>
      <c r="K57" s="210" t="s">
        <v>36</v>
      </c>
      <c r="L57" s="210" t="s">
        <v>36</v>
      </c>
      <c r="M57" s="210" t="s">
        <v>36</v>
      </c>
      <c r="N57" s="210" t="s">
        <v>36</v>
      </c>
      <c r="O57" s="64">
        <v>0</v>
      </c>
      <c r="P57" s="64">
        <v>0.41</v>
      </c>
      <c r="Q57" s="64">
        <v>9.36</v>
      </c>
      <c r="R57" s="198"/>
      <c r="S57" s="198"/>
      <c r="T57" s="198"/>
      <c r="U57" s="198"/>
    </row>
    <row r="58" spans="1:21" s="12" customFormat="1" x14ac:dyDescent="0.25">
      <c r="A58" s="214" t="s">
        <v>2696</v>
      </c>
      <c r="B58" s="64">
        <v>10.82</v>
      </c>
      <c r="C58" s="64">
        <v>21.73</v>
      </c>
      <c r="D58" s="64">
        <v>24.99</v>
      </c>
      <c r="E58" s="64">
        <v>3.9</v>
      </c>
      <c r="F58" s="64">
        <v>5.12</v>
      </c>
      <c r="G58" s="64">
        <v>39.57</v>
      </c>
      <c r="H58" s="64">
        <v>10.55</v>
      </c>
      <c r="I58" s="64">
        <v>4.05</v>
      </c>
      <c r="J58" s="210" t="s">
        <v>36</v>
      </c>
      <c r="K58" s="210" t="s">
        <v>36</v>
      </c>
      <c r="L58" s="210" t="s">
        <v>36</v>
      </c>
      <c r="M58" s="210" t="s">
        <v>36</v>
      </c>
      <c r="N58" s="210" t="s">
        <v>36</v>
      </c>
      <c r="O58" s="64">
        <v>0</v>
      </c>
      <c r="P58" s="64">
        <v>0.38</v>
      </c>
      <c r="Q58" s="64">
        <v>9.36</v>
      </c>
      <c r="R58" s="198"/>
      <c r="S58" s="198"/>
      <c r="T58" s="198"/>
      <c r="U58" s="198"/>
    </row>
    <row r="59" spans="1:21" s="12" customFormat="1" x14ac:dyDescent="0.25">
      <c r="A59" s="214" t="s">
        <v>2697</v>
      </c>
      <c r="B59" s="64">
        <v>10.25</v>
      </c>
      <c r="C59" s="64">
        <v>20.3</v>
      </c>
      <c r="D59" s="64">
        <v>23.12</v>
      </c>
      <c r="E59" s="64">
        <v>3.97</v>
      </c>
      <c r="F59" s="64">
        <v>5.26</v>
      </c>
      <c r="G59" s="64">
        <v>39.57</v>
      </c>
      <c r="H59" s="64">
        <v>10.55</v>
      </c>
      <c r="I59" s="64">
        <v>4.07</v>
      </c>
      <c r="J59" s="210" t="s">
        <v>36</v>
      </c>
      <c r="K59" s="210" t="s">
        <v>36</v>
      </c>
      <c r="L59" s="210" t="s">
        <v>36</v>
      </c>
      <c r="M59" s="210" t="s">
        <v>36</v>
      </c>
      <c r="N59" s="210" t="s">
        <v>36</v>
      </c>
      <c r="O59" s="64">
        <v>0</v>
      </c>
      <c r="P59" s="64">
        <v>0.45</v>
      </c>
      <c r="Q59" s="64">
        <v>9.35</v>
      </c>
      <c r="R59" s="198"/>
      <c r="S59" s="198"/>
      <c r="T59" s="198"/>
      <c r="U59" s="198"/>
    </row>
    <row r="60" spans="1:21" s="12" customFormat="1" x14ac:dyDescent="0.25">
      <c r="A60" s="214" t="s">
        <v>2698</v>
      </c>
      <c r="B60" s="64">
        <v>9.6300000000000008</v>
      </c>
      <c r="C60" s="64">
        <v>20.59</v>
      </c>
      <c r="D60" s="64">
        <v>24.64</v>
      </c>
      <c r="E60" s="64">
        <v>3.97</v>
      </c>
      <c r="F60" s="64">
        <v>3.82</v>
      </c>
      <c r="G60" s="64">
        <v>39.57</v>
      </c>
      <c r="H60" s="64">
        <v>10.55</v>
      </c>
      <c r="I60" s="64">
        <v>3.99</v>
      </c>
      <c r="J60" s="210" t="s">
        <v>36</v>
      </c>
      <c r="K60" s="210" t="s">
        <v>36</v>
      </c>
      <c r="L60" s="210" t="s">
        <v>36</v>
      </c>
      <c r="M60" s="210" t="s">
        <v>36</v>
      </c>
      <c r="N60" s="210" t="s">
        <v>36</v>
      </c>
      <c r="O60" s="64">
        <v>0</v>
      </c>
      <c r="P60" s="64">
        <v>0.42</v>
      </c>
      <c r="Q60" s="64">
        <v>9.35</v>
      </c>
      <c r="R60" s="198"/>
      <c r="S60" s="198"/>
      <c r="T60" s="198"/>
      <c r="U60" s="198"/>
    </row>
    <row r="61" spans="1:21" s="12" customFormat="1" x14ac:dyDescent="0.25">
      <c r="A61" s="214" t="s">
        <v>2699</v>
      </c>
      <c r="B61" s="64">
        <v>9.2899999999999991</v>
      </c>
      <c r="C61" s="64">
        <v>19.5</v>
      </c>
      <c r="D61" s="64">
        <v>23.06</v>
      </c>
      <c r="E61" s="64">
        <v>3.82</v>
      </c>
      <c r="F61" s="64">
        <v>4.12</v>
      </c>
      <c r="G61" s="64">
        <v>37.340000000000003</v>
      </c>
      <c r="H61" s="64">
        <v>10.58</v>
      </c>
      <c r="I61" s="64">
        <v>3.91</v>
      </c>
      <c r="J61" s="210" t="s">
        <v>36</v>
      </c>
      <c r="K61" s="210" t="s">
        <v>36</v>
      </c>
      <c r="L61" s="210" t="s">
        <v>36</v>
      </c>
      <c r="M61" s="210" t="s">
        <v>36</v>
      </c>
      <c r="N61" s="210" t="s">
        <v>36</v>
      </c>
      <c r="O61" s="64">
        <v>0</v>
      </c>
      <c r="P61" s="64">
        <v>0.4</v>
      </c>
      <c r="Q61" s="64">
        <v>9.32</v>
      </c>
      <c r="R61" s="198"/>
      <c r="S61" s="198"/>
      <c r="T61" s="198"/>
      <c r="U61" s="198"/>
    </row>
    <row r="62" spans="1:21" s="12" customFormat="1" x14ac:dyDescent="0.25">
      <c r="A62" s="214" t="s">
        <v>2700</v>
      </c>
      <c r="B62" s="64">
        <v>9.48</v>
      </c>
      <c r="C62" s="64">
        <v>19.829999999999998</v>
      </c>
      <c r="D62" s="64">
        <v>23.41</v>
      </c>
      <c r="E62" s="64">
        <v>3.52</v>
      </c>
      <c r="F62" s="64">
        <v>4.75</v>
      </c>
      <c r="G62" s="64">
        <v>27.77</v>
      </c>
      <c r="H62" s="64">
        <v>10.71</v>
      </c>
      <c r="I62" s="64">
        <v>3.92</v>
      </c>
      <c r="J62" s="210" t="s">
        <v>36</v>
      </c>
      <c r="K62" s="210" t="s">
        <v>36</v>
      </c>
      <c r="L62" s="210" t="s">
        <v>36</v>
      </c>
      <c r="M62" s="210" t="s">
        <v>36</v>
      </c>
      <c r="N62" s="210" t="s">
        <v>36</v>
      </c>
      <c r="O62" s="64">
        <v>0</v>
      </c>
      <c r="P62" s="64">
        <v>0.43</v>
      </c>
      <c r="Q62" s="64">
        <v>9.33</v>
      </c>
      <c r="R62" s="198"/>
      <c r="S62" s="198"/>
      <c r="T62" s="198"/>
      <c r="U62" s="198"/>
    </row>
    <row r="63" spans="1:21" s="12" customFormat="1" x14ac:dyDescent="0.25">
      <c r="A63" s="214" t="s">
        <v>2701</v>
      </c>
      <c r="B63" s="64">
        <v>10.57</v>
      </c>
      <c r="C63" s="64">
        <v>20.68</v>
      </c>
      <c r="D63" s="64">
        <v>23.36</v>
      </c>
      <c r="E63" s="64">
        <v>3.75</v>
      </c>
      <c r="F63" s="64">
        <v>4.5199999999999996</v>
      </c>
      <c r="G63" s="64">
        <v>27.77</v>
      </c>
      <c r="H63" s="64">
        <v>10.71</v>
      </c>
      <c r="I63" s="64">
        <v>4.0199999999999996</v>
      </c>
      <c r="J63" s="210" t="s">
        <v>36</v>
      </c>
      <c r="K63" s="210" t="s">
        <v>36</v>
      </c>
      <c r="L63" s="210" t="s">
        <v>36</v>
      </c>
      <c r="M63" s="210" t="s">
        <v>36</v>
      </c>
      <c r="N63" s="210" t="s">
        <v>36</v>
      </c>
      <c r="O63" s="64">
        <v>0</v>
      </c>
      <c r="P63" s="64">
        <v>0.45</v>
      </c>
      <c r="Q63" s="64">
        <v>9.33</v>
      </c>
      <c r="R63" s="198"/>
      <c r="S63" s="198"/>
      <c r="T63" s="198"/>
      <c r="U63" s="198"/>
    </row>
    <row r="64" spans="1:21" s="12" customFormat="1" x14ac:dyDescent="0.25">
      <c r="A64" s="214" t="s">
        <v>2702</v>
      </c>
      <c r="B64" s="64">
        <v>11.5</v>
      </c>
      <c r="C64" s="64">
        <v>20.55</v>
      </c>
      <c r="D64" s="64">
        <v>21.67</v>
      </c>
      <c r="E64" s="64">
        <v>3.94</v>
      </c>
      <c r="F64" s="64">
        <v>5.33</v>
      </c>
      <c r="G64" s="64">
        <v>27.77</v>
      </c>
      <c r="H64" s="64">
        <v>10.71</v>
      </c>
      <c r="I64" s="64">
        <v>3.99</v>
      </c>
      <c r="J64" s="210" t="s">
        <v>36</v>
      </c>
      <c r="K64" s="210" t="s">
        <v>36</v>
      </c>
      <c r="L64" s="210" t="s">
        <v>36</v>
      </c>
      <c r="M64" s="210" t="s">
        <v>36</v>
      </c>
      <c r="N64" s="210" t="s">
        <v>36</v>
      </c>
      <c r="O64" s="64">
        <v>0</v>
      </c>
      <c r="P64" s="64">
        <v>0.51</v>
      </c>
      <c r="Q64" s="64">
        <v>9.3800000000000008</v>
      </c>
      <c r="R64" s="198"/>
      <c r="S64" s="198"/>
      <c r="T64" s="198"/>
      <c r="U64" s="198"/>
    </row>
    <row r="65" spans="1:21" s="12" customFormat="1" x14ac:dyDescent="0.25">
      <c r="A65" s="214" t="s">
        <v>2703</v>
      </c>
      <c r="B65" s="64">
        <v>13.14</v>
      </c>
      <c r="C65" s="64">
        <v>21.89</v>
      </c>
      <c r="D65" s="64">
        <v>21.72</v>
      </c>
      <c r="E65" s="64">
        <v>4.12</v>
      </c>
      <c r="F65" s="64">
        <v>5.59</v>
      </c>
      <c r="G65" s="64">
        <v>28.19</v>
      </c>
      <c r="H65" s="64">
        <v>10.36</v>
      </c>
      <c r="I65" s="64">
        <v>4.03</v>
      </c>
      <c r="J65" s="210" t="s">
        <v>36</v>
      </c>
      <c r="K65" s="210" t="s">
        <v>36</v>
      </c>
      <c r="L65" s="210" t="s">
        <v>36</v>
      </c>
      <c r="M65" s="210" t="s">
        <v>36</v>
      </c>
      <c r="N65" s="210" t="s">
        <v>36</v>
      </c>
      <c r="O65" s="64">
        <v>0</v>
      </c>
      <c r="P65" s="64">
        <v>0.53</v>
      </c>
      <c r="Q65" s="64">
        <v>9.42</v>
      </c>
      <c r="R65" s="198"/>
      <c r="S65" s="198"/>
      <c r="T65" s="198"/>
      <c r="U65" s="198"/>
    </row>
    <row r="66" spans="1:21" s="12" customFormat="1" x14ac:dyDescent="0.25">
      <c r="A66" s="214" t="s">
        <v>2704</v>
      </c>
      <c r="B66" s="64">
        <v>14.2</v>
      </c>
      <c r="C66" s="64">
        <v>22.99</v>
      </c>
      <c r="D66" s="64">
        <v>22.2</v>
      </c>
      <c r="E66" s="64">
        <v>3.73</v>
      </c>
      <c r="F66" s="64">
        <v>4.55</v>
      </c>
      <c r="G66" s="64">
        <v>30.03</v>
      </c>
      <c r="H66" s="64">
        <v>8.94</v>
      </c>
      <c r="I66" s="64">
        <v>4.01</v>
      </c>
      <c r="J66" s="210" t="s">
        <v>36</v>
      </c>
      <c r="K66" s="210" t="s">
        <v>36</v>
      </c>
      <c r="L66" s="210" t="s">
        <v>36</v>
      </c>
      <c r="M66" s="210" t="s">
        <v>36</v>
      </c>
      <c r="N66" s="210" t="s">
        <v>36</v>
      </c>
      <c r="O66" s="64">
        <v>0</v>
      </c>
      <c r="P66" s="64">
        <v>0.45</v>
      </c>
      <c r="Q66" s="64">
        <v>9.4700000000000006</v>
      </c>
      <c r="R66" s="198"/>
      <c r="S66" s="198"/>
      <c r="T66" s="198"/>
      <c r="U66" s="198"/>
    </row>
    <row r="67" spans="1:21" s="12" customFormat="1" x14ac:dyDescent="0.25">
      <c r="A67" s="214" t="s">
        <v>2705</v>
      </c>
      <c r="B67" s="64">
        <v>14.49</v>
      </c>
      <c r="C67" s="64">
        <v>23.35</v>
      </c>
      <c r="D67" s="64">
        <v>22.44</v>
      </c>
      <c r="E67" s="64">
        <v>4.1500000000000004</v>
      </c>
      <c r="F67" s="64">
        <v>6.3</v>
      </c>
      <c r="G67" s="64">
        <v>30.03</v>
      </c>
      <c r="H67" s="64">
        <v>8.94</v>
      </c>
      <c r="I67" s="64">
        <v>3.99</v>
      </c>
      <c r="J67" s="210" t="s">
        <v>36</v>
      </c>
      <c r="K67" s="210" t="s">
        <v>36</v>
      </c>
      <c r="L67" s="210" t="s">
        <v>36</v>
      </c>
      <c r="M67" s="210" t="s">
        <v>36</v>
      </c>
      <c r="N67" s="210" t="s">
        <v>36</v>
      </c>
      <c r="O67" s="64">
        <v>0</v>
      </c>
      <c r="P67" s="64">
        <v>0.39</v>
      </c>
      <c r="Q67" s="64">
        <v>9.5</v>
      </c>
      <c r="R67" s="198"/>
      <c r="S67" s="198"/>
      <c r="T67" s="198"/>
      <c r="U67" s="198"/>
    </row>
    <row r="68" spans="1:21" s="12" customFormat="1" x14ac:dyDescent="0.25">
      <c r="A68" s="214" t="s">
        <v>2706</v>
      </c>
      <c r="B68" s="64">
        <v>14.29</v>
      </c>
      <c r="C68" s="64">
        <v>23.06</v>
      </c>
      <c r="D68" s="64">
        <v>22.2</v>
      </c>
      <c r="E68" s="64">
        <v>3.9</v>
      </c>
      <c r="F68" s="64">
        <v>4.75</v>
      </c>
      <c r="G68" s="64">
        <v>30.03</v>
      </c>
      <c r="H68" s="64">
        <v>8.94</v>
      </c>
      <c r="I68" s="64">
        <v>4.0599999999999996</v>
      </c>
      <c r="J68" s="210" t="s">
        <v>36</v>
      </c>
      <c r="K68" s="210" t="s">
        <v>36</v>
      </c>
      <c r="L68" s="210" t="s">
        <v>36</v>
      </c>
      <c r="M68" s="210" t="s">
        <v>36</v>
      </c>
      <c r="N68" s="210" t="s">
        <v>36</v>
      </c>
      <c r="O68" s="64">
        <v>0</v>
      </c>
      <c r="P68" s="64">
        <v>0.32</v>
      </c>
      <c r="Q68" s="64">
        <v>9.5</v>
      </c>
      <c r="R68" s="198"/>
      <c r="S68" s="198"/>
      <c r="T68" s="198"/>
      <c r="U68" s="198"/>
    </row>
    <row r="69" spans="1:21" s="12" customFormat="1" x14ac:dyDescent="0.25">
      <c r="A69" s="214" t="s">
        <v>2707</v>
      </c>
      <c r="B69" s="64">
        <v>13.92</v>
      </c>
      <c r="C69" s="64">
        <v>22.77</v>
      </c>
      <c r="D69" s="64">
        <v>22.2</v>
      </c>
      <c r="E69" s="64">
        <v>3.97</v>
      </c>
      <c r="F69" s="64">
        <v>3.1</v>
      </c>
      <c r="G69" s="64">
        <v>29.63</v>
      </c>
      <c r="H69" s="64">
        <v>8.98</v>
      </c>
      <c r="I69" s="64">
        <v>3.96</v>
      </c>
      <c r="J69" s="210" t="s">
        <v>36</v>
      </c>
      <c r="K69" s="210" t="s">
        <v>36</v>
      </c>
      <c r="L69" s="210" t="s">
        <v>36</v>
      </c>
      <c r="M69" s="210" t="s">
        <v>36</v>
      </c>
      <c r="N69" s="210" t="s">
        <v>36</v>
      </c>
      <c r="O69" s="64">
        <v>0</v>
      </c>
      <c r="P69" s="64">
        <v>0.34</v>
      </c>
      <c r="Q69" s="64">
        <v>9.49</v>
      </c>
      <c r="R69" s="198"/>
      <c r="S69" s="198"/>
      <c r="T69" s="198"/>
      <c r="U69" s="198"/>
    </row>
    <row r="70" spans="1:21" s="12" customFormat="1" x14ac:dyDescent="0.25">
      <c r="A70" s="214" t="s">
        <v>2708</v>
      </c>
      <c r="B70" s="64">
        <v>13.37</v>
      </c>
      <c r="C70" s="64">
        <v>23.1</v>
      </c>
      <c r="D70" s="64">
        <v>23.69</v>
      </c>
      <c r="E70" s="64">
        <v>3.78</v>
      </c>
      <c r="F70" s="64">
        <v>3.57</v>
      </c>
      <c r="G70" s="64">
        <v>27.92</v>
      </c>
      <c r="H70" s="64">
        <v>9.14</v>
      </c>
      <c r="I70" s="64">
        <v>4.01</v>
      </c>
      <c r="J70" s="210" t="s">
        <v>36</v>
      </c>
      <c r="K70" s="210" t="s">
        <v>36</v>
      </c>
      <c r="L70" s="210" t="s">
        <v>36</v>
      </c>
      <c r="M70" s="210" t="s">
        <v>36</v>
      </c>
      <c r="N70" s="210" t="s">
        <v>36</v>
      </c>
      <c r="O70" s="64">
        <v>0</v>
      </c>
      <c r="P70" s="64">
        <v>0.39</v>
      </c>
      <c r="Q70" s="64">
        <v>9.4700000000000006</v>
      </c>
      <c r="R70" s="198"/>
      <c r="S70" s="198"/>
      <c r="T70" s="198"/>
      <c r="U70" s="198"/>
    </row>
    <row r="71" spans="1:21" s="12" customFormat="1" x14ac:dyDescent="0.25">
      <c r="A71" s="214" t="s">
        <v>2709</v>
      </c>
      <c r="B71" s="64">
        <v>12.82</v>
      </c>
      <c r="C71" s="64">
        <v>22.78</v>
      </c>
      <c r="D71" s="64">
        <v>23.92</v>
      </c>
      <c r="E71" s="64">
        <v>3.79</v>
      </c>
      <c r="F71" s="64">
        <v>3.65</v>
      </c>
      <c r="G71" s="64">
        <v>27.92</v>
      </c>
      <c r="H71" s="64">
        <v>9.14</v>
      </c>
      <c r="I71" s="64">
        <v>3.97</v>
      </c>
      <c r="J71" s="210" t="s">
        <v>36</v>
      </c>
      <c r="K71" s="210" t="s">
        <v>36</v>
      </c>
      <c r="L71" s="210" t="s">
        <v>36</v>
      </c>
      <c r="M71" s="210" t="s">
        <v>36</v>
      </c>
      <c r="N71" s="210" t="s">
        <v>36</v>
      </c>
      <c r="O71" s="64">
        <v>0</v>
      </c>
      <c r="P71" s="64">
        <v>0.39</v>
      </c>
      <c r="Q71" s="64">
        <v>9.44</v>
      </c>
      <c r="R71" s="198"/>
      <c r="S71" s="198"/>
      <c r="T71" s="198"/>
      <c r="U71" s="198"/>
    </row>
    <row r="72" spans="1:21" s="12" customFormat="1" x14ac:dyDescent="0.25">
      <c r="A72" s="214" t="s">
        <v>2710</v>
      </c>
      <c r="B72" s="64">
        <v>12.28</v>
      </c>
      <c r="C72" s="64">
        <v>23.07</v>
      </c>
      <c r="D72" s="64">
        <v>25.29</v>
      </c>
      <c r="E72" s="64">
        <v>3.58</v>
      </c>
      <c r="F72" s="64">
        <v>3.41</v>
      </c>
      <c r="G72" s="64">
        <v>27.92</v>
      </c>
      <c r="H72" s="64">
        <v>9.14</v>
      </c>
      <c r="I72" s="64">
        <v>4.0599999999999996</v>
      </c>
      <c r="J72" s="210" t="s">
        <v>36</v>
      </c>
      <c r="K72" s="210" t="s">
        <v>36</v>
      </c>
      <c r="L72" s="210" t="s">
        <v>36</v>
      </c>
      <c r="M72" s="210" t="s">
        <v>36</v>
      </c>
      <c r="N72" s="210" t="s">
        <v>36</v>
      </c>
      <c r="O72" s="64">
        <v>0</v>
      </c>
      <c r="P72" s="64">
        <v>0.41</v>
      </c>
      <c r="Q72" s="64">
        <v>9.41</v>
      </c>
      <c r="R72" s="198"/>
      <c r="S72" s="198"/>
      <c r="T72" s="198"/>
      <c r="U72" s="198"/>
    </row>
    <row r="73" spans="1:21" s="12" customFormat="1" x14ac:dyDescent="0.25">
      <c r="A73" s="214" t="s">
        <v>2711</v>
      </c>
      <c r="B73" s="64">
        <v>11.95</v>
      </c>
      <c r="C73" s="64">
        <v>22.66</v>
      </c>
      <c r="D73" s="64">
        <v>25.04</v>
      </c>
      <c r="E73" s="64">
        <v>3.4</v>
      </c>
      <c r="F73" s="64">
        <v>3.62</v>
      </c>
      <c r="G73" s="64">
        <v>27.17</v>
      </c>
      <c r="H73" s="64">
        <v>9.2200000000000006</v>
      </c>
      <c r="I73" s="64">
        <v>4.28</v>
      </c>
      <c r="J73" s="210" t="s">
        <v>36</v>
      </c>
      <c r="K73" s="210" t="s">
        <v>36</v>
      </c>
      <c r="L73" s="210" t="s">
        <v>36</v>
      </c>
      <c r="M73" s="210" t="s">
        <v>36</v>
      </c>
      <c r="N73" s="210" t="s">
        <v>36</v>
      </c>
      <c r="O73" s="64">
        <v>0</v>
      </c>
      <c r="P73" s="64">
        <v>0.4</v>
      </c>
      <c r="Q73" s="64">
        <v>9.4</v>
      </c>
      <c r="R73" s="198"/>
      <c r="S73" s="198"/>
      <c r="T73" s="198"/>
      <c r="U73" s="198"/>
    </row>
    <row r="74" spans="1:21" s="12" customFormat="1" x14ac:dyDescent="0.25">
      <c r="A74" s="214" t="s">
        <v>2712</v>
      </c>
      <c r="B74" s="64">
        <v>11.9</v>
      </c>
      <c r="C74" s="64">
        <v>23.42</v>
      </c>
      <c r="D74" s="64">
        <v>26.56</v>
      </c>
      <c r="E74" s="64">
        <v>3.47</v>
      </c>
      <c r="F74" s="64">
        <v>3.54</v>
      </c>
      <c r="G74" s="64">
        <v>23.96</v>
      </c>
      <c r="H74" s="64">
        <v>9.5299999999999994</v>
      </c>
      <c r="I74" s="64">
        <v>4.1500000000000004</v>
      </c>
      <c r="J74" s="210" t="s">
        <v>36</v>
      </c>
      <c r="K74" s="210" t="s">
        <v>36</v>
      </c>
      <c r="L74" s="210" t="s">
        <v>36</v>
      </c>
      <c r="M74" s="210" t="s">
        <v>36</v>
      </c>
      <c r="N74" s="210" t="s">
        <v>36</v>
      </c>
      <c r="O74" s="64">
        <v>0</v>
      </c>
      <c r="P74" s="64">
        <v>0.46</v>
      </c>
      <c r="Q74" s="64">
        <v>9.41</v>
      </c>
      <c r="R74" s="198"/>
      <c r="S74" s="198"/>
      <c r="T74" s="198"/>
      <c r="U74" s="198"/>
    </row>
    <row r="75" spans="1:21" s="12" customFormat="1" x14ac:dyDescent="0.25">
      <c r="A75" s="214" t="s">
        <v>2713</v>
      </c>
      <c r="B75" s="64">
        <v>11.81</v>
      </c>
      <c r="C75" s="64">
        <v>23.88</v>
      </c>
      <c r="D75" s="64">
        <v>27.58</v>
      </c>
      <c r="E75" s="64">
        <v>3.46</v>
      </c>
      <c r="F75" s="64">
        <v>3.48</v>
      </c>
      <c r="G75" s="64">
        <v>23.96</v>
      </c>
      <c r="H75" s="64">
        <v>9.5299999999999994</v>
      </c>
      <c r="I75" s="64">
        <v>3.84</v>
      </c>
      <c r="J75" s="210" t="s">
        <v>36</v>
      </c>
      <c r="K75" s="210" t="s">
        <v>36</v>
      </c>
      <c r="L75" s="210" t="s">
        <v>36</v>
      </c>
      <c r="M75" s="210" t="s">
        <v>36</v>
      </c>
      <c r="N75" s="210" t="s">
        <v>36</v>
      </c>
      <c r="O75" s="64">
        <v>0</v>
      </c>
      <c r="P75" s="64">
        <v>0.56999999999999995</v>
      </c>
      <c r="Q75" s="64">
        <v>9.42</v>
      </c>
      <c r="R75" s="198"/>
      <c r="S75" s="198"/>
      <c r="T75" s="198"/>
      <c r="U75" s="198"/>
    </row>
    <row r="76" spans="1:21" s="12" customFormat="1" x14ac:dyDescent="0.25">
      <c r="A76" s="214" t="s">
        <v>2714</v>
      </c>
      <c r="B76" s="64">
        <v>11.36</v>
      </c>
      <c r="C76" s="64">
        <v>23.33</v>
      </c>
      <c r="D76" s="64">
        <v>27.22</v>
      </c>
      <c r="E76" s="64">
        <v>3.57</v>
      </c>
      <c r="F76" s="64">
        <v>4.04</v>
      </c>
      <c r="G76" s="64">
        <v>23.96</v>
      </c>
      <c r="H76" s="64">
        <v>9.5299999999999994</v>
      </c>
      <c r="I76" s="64">
        <v>3.91</v>
      </c>
      <c r="J76" s="210" t="s">
        <v>36</v>
      </c>
      <c r="K76" s="210" t="s">
        <v>36</v>
      </c>
      <c r="L76" s="210" t="s">
        <v>36</v>
      </c>
      <c r="M76" s="210" t="s">
        <v>36</v>
      </c>
      <c r="N76" s="210" t="s">
        <v>36</v>
      </c>
      <c r="O76" s="64">
        <v>0</v>
      </c>
      <c r="P76" s="64">
        <v>0.48</v>
      </c>
      <c r="Q76" s="64">
        <v>9.42</v>
      </c>
      <c r="R76" s="198"/>
      <c r="S76" s="198"/>
      <c r="T76" s="198"/>
      <c r="U76" s="198"/>
    </row>
    <row r="77" spans="1:21" s="12" customFormat="1" x14ac:dyDescent="0.25">
      <c r="A77" s="214" t="s">
        <v>2715</v>
      </c>
      <c r="B77" s="64">
        <v>10.98</v>
      </c>
      <c r="C77" s="64">
        <v>24.28</v>
      </c>
      <c r="D77" s="64">
        <v>29.61</v>
      </c>
      <c r="E77" s="64">
        <v>3.47</v>
      </c>
      <c r="F77" s="64">
        <v>3.93</v>
      </c>
      <c r="G77" s="64">
        <v>26.06</v>
      </c>
      <c r="H77" s="64">
        <v>9.33</v>
      </c>
      <c r="I77" s="64">
        <v>4.09</v>
      </c>
      <c r="J77" s="210" t="s">
        <v>36</v>
      </c>
      <c r="K77" s="210" t="s">
        <v>36</v>
      </c>
      <c r="L77" s="210" t="s">
        <v>36</v>
      </c>
      <c r="M77" s="210" t="s">
        <v>36</v>
      </c>
      <c r="N77" s="210" t="s">
        <v>36</v>
      </c>
      <c r="O77" s="64">
        <v>0</v>
      </c>
      <c r="P77" s="64">
        <v>0.66</v>
      </c>
      <c r="Q77" s="64">
        <v>9.42</v>
      </c>
      <c r="R77" s="198"/>
      <c r="S77" s="198"/>
      <c r="T77" s="198"/>
      <c r="U77" s="198"/>
    </row>
    <row r="78" spans="1:21" s="12" customFormat="1" x14ac:dyDescent="0.25">
      <c r="A78" s="214" t="s">
        <v>2716</v>
      </c>
      <c r="B78" s="64">
        <v>10.68</v>
      </c>
      <c r="C78" s="64">
        <v>23.51</v>
      </c>
      <c r="D78" s="64">
        <v>28.6</v>
      </c>
      <c r="E78" s="64">
        <v>3.37</v>
      </c>
      <c r="F78" s="64">
        <v>4.53</v>
      </c>
      <c r="G78" s="64">
        <v>35.049999999999997</v>
      </c>
      <c r="H78" s="64">
        <v>8.5399999999999991</v>
      </c>
      <c r="I78" s="64">
        <v>3.98</v>
      </c>
      <c r="J78" s="210" t="s">
        <v>36</v>
      </c>
      <c r="K78" s="210" t="s">
        <v>36</v>
      </c>
      <c r="L78" s="210" t="s">
        <v>36</v>
      </c>
      <c r="M78" s="210" t="s">
        <v>36</v>
      </c>
      <c r="N78" s="210" t="s">
        <v>36</v>
      </c>
      <c r="O78" s="64">
        <v>0</v>
      </c>
      <c r="P78" s="64">
        <v>0.57999999999999996</v>
      </c>
      <c r="Q78" s="64">
        <v>9.41</v>
      </c>
      <c r="R78" s="198"/>
      <c r="S78" s="198"/>
      <c r="T78" s="198"/>
      <c r="U78" s="198"/>
    </row>
    <row r="79" spans="1:21" s="12" customFormat="1" x14ac:dyDescent="0.25">
      <c r="A79" s="214" t="s">
        <v>2717</v>
      </c>
      <c r="B79" s="64">
        <v>10.44</v>
      </c>
      <c r="C79" s="64">
        <v>23.96</v>
      </c>
      <c r="D79" s="64">
        <v>29.82</v>
      </c>
      <c r="E79" s="64">
        <v>3.7</v>
      </c>
      <c r="F79" s="64">
        <v>4.22</v>
      </c>
      <c r="G79" s="64">
        <v>35.049999999999997</v>
      </c>
      <c r="H79" s="64">
        <v>8.5399999999999991</v>
      </c>
      <c r="I79" s="64">
        <v>4.0199999999999996</v>
      </c>
      <c r="J79" s="210" t="s">
        <v>36</v>
      </c>
      <c r="K79" s="210" t="s">
        <v>36</v>
      </c>
      <c r="L79" s="210" t="s">
        <v>36</v>
      </c>
      <c r="M79" s="210" t="s">
        <v>36</v>
      </c>
      <c r="N79" s="210" t="s">
        <v>36</v>
      </c>
      <c r="O79" s="64">
        <v>0</v>
      </c>
      <c r="P79" s="64">
        <v>0.82</v>
      </c>
      <c r="Q79" s="64">
        <v>9.42</v>
      </c>
      <c r="R79" s="198"/>
      <c r="S79" s="198"/>
      <c r="T79" s="198"/>
      <c r="U79" s="198"/>
    </row>
    <row r="80" spans="1:21" s="12" customFormat="1" x14ac:dyDescent="0.25">
      <c r="A80" s="214" t="s">
        <v>2718</v>
      </c>
      <c r="B80" s="64">
        <v>10.4</v>
      </c>
      <c r="C80" s="64">
        <v>24.28</v>
      </c>
      <c r="D80" s="64">
        <v>30.51</v>
      </c>
      <c r="E80" s="64">
        <v>3.68</v>
      </c>
      <c r="F80" s="64">
        <v>4.12</v>
      </c>
      <c r="G80" s="64">
        <v>35.049999999999997</v>
      </c>
      <c r="H80" s="64">
        <v>8.5399999999999991</v>
      </c>
      <c r="I80" s="64">
        <v>4.0599999999999996</v>
      </c>
      <c r="J80" s="210" t="s">
        <v>36</v>
      </c>
      <c r="K80" s="210" t="s">
        <v>36</v>
      </c>
      <c r="L80" s="210" t="s">
        <v>36</v>
      </c>
      <c r="M80" s="210" t="s">
        <v>36</v>
      </c>
      <c r="N80" s="210" t="s">
        <v>36</v>
      </c>
      <c r="O80" s="64">
        <v>0</v>
      </c>
      <c r="P80" s="64">
        <v>0.54</v>
      </c>
      <c r="Q80" s="64">
        <v>9.41</v>
      </c>
      <c r="R80" s="198"/>
      <c r="S80" s="198"/>
      <c r="T80" s="198"/>
      <c r="U80" s="198"/>
    </row>
    <row r="81" spans="1:26" s="12" customFormat="1" x14ac:dyDescent="0.25">
      <c r="A81" s="214" t="s">
        <v>2719</v>
      </c>
      <c r="B81" s="64">
        <v>10.1</v>
      </c>
      <c r="C81" s="64">
        <v>22.71</v>
      </c>
      <c r="D81" s="64">
        <v>27.98</v>
      </c>
      <c r="E81" s="64">
        <v>3.78</v>
      </c>
      <c r="F81" s="64">
        <v>3.74</v>
      </c>
      <c r="G81" s="64">
        <v>36.82</v>
      </c>
      <c r="H81" s="64">
        <v>9.6300000000000008</v>
      </c>
      <c r="I81" s="64">
        <v>4.18</v>
      </c>
      <c r="J81" s="210" t="s">
        <v>36</v>
      </c>
      <c r="K81" s="210" t="s">
        <v>36</v>
      </c>
      <c r="L81" s="210" t="s">
        <v>36</v>
      </c>
      <c r="M81" s="210" t="s">
        <v>36</v>
      </c>
      <c r="N81" s="210" t="s">
        <v>36</v>
      </c>
      <c r="O81" s="64">
        <v>0</v>
      </c>
      <c r="P81" s="64">
        <v>0.51</v>
      </c>
      <c r="Q81" s="64">
        <v>9.4</v>
      </c>
      <c r="R81" s="198"/>
      <c r="S81" s="198"/>
      <c r="T81" s="198"/>
      <c r="U81" s="198"/>
    </row>
    <row r="82" spans="1:26" s="12" customFormat="1" x14ac:dyDescent="0.25">
      <c r="A82" s="214" t="s">
        <v>2720</v>
      </c>
      <c r="B82" s="64">
        <v>10.029999999999999</v>
      </c>
      <c r="C82" s="64">
        <v>22.02</v>
      </c>
      <c r="D82" s="64">
        <v>26.76</v>
      </c>
      <c r="E82" s="64">
        <v>3.83</v>
      </c>
      <c r="F82" s="64">
        <v>4.1100000000000003</v>
      </c>
      <c r="G82" s="64">
        <v>44.43</v>
      </c>
      <c r="H82" s="64">
        <v>14.01</v>
      </c>
      <c r="I82" s="64">
        <v>3.82</v>
      </c>
      <c r="J82" s="210" t="s">
        <v>36</v>
      </c>
      <c r="K82" s="210" t="s">
        <v>36</v>
      </c>
      <c r="L82" s="210" t="s">
        <v>36</v>
      </c>
      <c r="M82" s="210" t="s">
        <v>36</v>
      </c>
      <c r="N82" s="210" t="s">
        <v>36</v>
      </c>
      <c r="O82" s="64">
        <v>0</v>
      </c>
      <c r="P82" s="64">
        <v>0.56999999999999995</v>
      </c>
      <c r="Q82" s="64">
        <v>9.4</v>
      </c>
      <c r="R82" s="198"/>
      <c r="S82" s="198"/>
      <c r="T82" s="198"/>
      <c r="U82" s="198"/>
    </row>
    <row r="83" spans="1:26" s="12" customFormat="1" x14ac:dyDescent="0.25">
      <c r="A83" s="214" t="s">
        <v>2721</v>
      </c>
      <c r="B83" s="64">
        <v>10.25</v>
      </c>
      <c r="C83" s="64">
        <v>21.83</v>
      </c>
      <c r="D83" s="64">
        <v>26.06</v>
      </c>
      <c r="E83" s="64">
        <v>3.19</v>
      </c>
      <c r="F83" s="64">
        <v>4.7</v>
      </c>
      <c r="G83" s="64">
        <v>44.43</v>
      </c>
      <c r="H83" s="64">
        <v>14.01</v>
      </c>
      <c r="I83" s="64">
        <v>4.01</v>
      </c>
      <c r="J83" s="210" t="s">
        <v>36</v>
      </c>
      <c r="K83" s="210" t="s">
        <v>36</v>
      </c>
      <c r="L83" s="210" t="s">
        <v>36</v>
      </c>
      <c r="M83" s="210" t="s">
        <v>36</v>
      </c>
      <c r="N83" s="210" t="s">
        <v>36</v>
      </c>
      <c r="O83" s="64">
        <v>0</v>
      </c>
      <c r="P83" s="64">
        <v>0.77</v>
      </c>
      <c r="Q83" s="64">
        <v>9.4</v>
      </c>
      <c r="R83" s="198"/>
      <c r="S83" s="198"/>
      <c r="T83" s="198"/>
      <c r="U83" s="198"/>
    </row>
    <row r="84" spans="1:26" s="12" customFormat="1" x14ac:dyDescent="0.25">
      <c r="A84" s="214" t="s">
        <v>2722</v>
      </c>
      <c r="B84" s="64">
        <v>10.88</v>
      </c>
      <c r="C84" s="64">
        <v>22.14</v>
      </c>
      <c r="D84" s="64">
        <v>25.69</v>
      </c>
      <c r="E84" s="64">
        <v>3.48</v>
      </c>
      <c r="F84" s="64">
        <v>4.74</v>
      </c>
      <c r="G84" s="64">
        <v>44.43</v>
      </c>
      <c r="H84" s="64">
        <v>14.01</v>
      </c>
      <c r="I84" s="64">
        <v>4.0599999999999996</v>
      </c>
      <c r="J84" s="210" t="s">
        <v>36</v>
      </c>
      <c r="K84" s="210" t="s">
        <v>36</v>
      </c>
      <c r="L84" s="210" t="s">
        <v>36</v>
      </c>
      <c r="M84" s="210" t="s">
        <v>36</v>
      </c>
      <c r="N84" s="210" t="s">
        <v>36</v>
      </c>
      <c r="O84" s="64">
        <v>0</v>
      </c>
      <c r="P84" s="64">
        <v>1.08</v>
      </c>
      <c r="Q84" s="64">
        <v>9.41</v>
      </c>
      <c r="R84" s="198"/>
      <c r="S84" s="198"/>
      <c r="T84" s="198"/>
      <c r="U84" s="198"/>
    </row>
    <row r="85" spans="1:26" s="12" customFormat="1" x14ac:dyDescent="0.25">
      <c r="A85" s="214" t="s">
        <v>2723</v>
      </c>
      <c r="B85" s="64">
        <v>11.67</v>
      </c>
      <c r="C85" s="64">
        <v>22.49</v>
      </c>
      <c r="D85" s="64">
        <v>25.15</v>
      </c>
      <c r="E85" s="64">
        <v>3.53</v>
      </c>
      <c r="F85" s="64">
        <v>4.37</v>
      </c>
      <c r="G85" s="64">
        <v>44.15</v>
      </c>
      <c r="H85" s="64">
        <v>13.52</v>
      </c>
      <c r="I85" s="64">
        <v>4.01</v>
      </c>
      <c r="J85" s="210" t="s">
        <v>36</v>
      </c>
      <c r="K85" s="210" t="s">
        <v>36</v>
      </c>
      <c r="L85" s="210" t="s">
        <v>36</v>
      </c>
      <c r="M85" s="210" t="s">
        <v>36</v>
      </c>
      <c r="N85" s="210" t="s">
        <v>36</v>
      </c>
      <c r="O85" s="64">
        <v>0</v>
      </c>
      <c r="P85" s="64">
        <v>0.69</v>
      </c>
      <c r="Q85" s="64">
        <v>9.42</v>
      </c>
      <c r="R85" s="198"/>
      <c r="S85" s="198"/>
      <c r="T85" s="198"/>
      <c r="U85" s="198"/>
    </row>
    <row r="86" spans="1:26" s="12" customFormat="1" x14ac:dyDescent="0.25">
      <c r="A86" s="214" t="s">
        <v>2724</v>
      </c>
      <c r="B86" s="64">
        <v>12.05</v>
      </c>
      <c r="C86" s="64">
        <v>22.4</v>
      </c>
      <c r="D86" s="64">
        <v>24.38</v>
      </c>
      <c r="E86" s="64">
        <v>3.48</v>
      </c>
      <c r="F86" s="64">
        <v>4.33</v>
      </c>
      <c r="G86" s="64">
        <v>43.03</v>
      </c>
      <c r="H86" s="64">
        <v>11.57</v>
      </c>
      <c r="I86" s="64">
        <v>3.98</v>
      </c>
      <c r="J86" s="210" t="s">
        <v>36</v>
      </c>
      <c r="K86" s="210" t="s">
        <v>36</v>
      </c>
      <c r="L86" s="210" t="s">
        <v>36</v>
      </c>
      <c r="M86" s="210" t="s">
        <v>36</v>
      </c>
      <c r="N86" s="210" t="s">
        <v>36</v>
      </c>
      <c r="O86" s="64">
        <v>0</v>
      </c>
      <c r="P86" s="64">
        <v>1.07</v>
      </c>
      <c r="Q86" s="64">
        <v>9.44</v>
      </c>
      <c r="R86" s="198"/>
      <c r="S86" s="198"/>
      <c r="T86" s="198"/>
      <c r="U86" s="198"/>
    </row>
    <row r="87" spans="1:26" s="12" customFormat="1" x14ac:dyDescent="0.25">
      <c r="A87" s="214" t="s">
        <v>2725</v>
      </c>
      <c r="B87" s="64">
        <v>12.5</v>
      </c>
      <c r="C87" s="64">
        <v>22.84</v>
      </c>
      <c r="D87" s="64">
        <v>24.52</v>
      </c>
      <c r="E87" s="64">
        <v>4.08</v>
      </c>
      <c r="F87" s="64">
        <v>4.42</v>
      </c>
      <c r="G87" s="64">
        <v>43.03</v>
      </c>
      <c r="H87" s="64">
        <v>11.57</v>
      </c>
      <c r="I87" s="64">
        <v>3.94</v>
      </c>
      <c r="J87" s="210" t="s">
        <v>36</v>
      </c>
      <c r="K87" s="210" t="s">
        <v>36</v>
      </c>
      <c r="L87" s="210" t="s">
        <v>36</v>
      </c>
      <c r="M87" s="210" t="s">
        <v>36</v>
      </c>
      <c r="N87" s="210" t="s">
        <v>36</v>
      </c>
      <c r="O87" s="64">
        <v>0</v>
      </c>
      <c r="P87" s="64">
        <v>0.82</v>
      </c>
      <c r="Q87" s="64">
        <v>9.4499999999999993</v>
      </c>
      <c r="R87" s="198"/>
      <c r="S87" s="198"/>
      <c r="T87" s="198"/>
      <c r="U87" s="198"/>
    </row>
    <row r="88" spans="1:26" s="12" customFormat="1" x14ac:dyDescent="0.25">
      <c r="A88" s="214" t="s">
        <v>2726</v>
      </c>
      <c r="B88" s="64">
        <v>13.27</v>
      </c>
      <c r="C88" s="64">
        <v>24.75</v>
      </c>
      <c r="D88" s="64">
        <v>27.01</v>
      </c>
      <c r="E88" s="64">
        <v>3.6</v>
      </c>
      <c r="F88" s="64">
        <v>3.55</v>
      </c>
      <c r="G88" s="64">
        <v>43.03</v>
      </c>
      <c r="H88" s="64">
        <v>11.57</v>
      </c>
      <c r="I88" s="64">
        <v>4.2</v>
      </c>
      <c r="J88" s="210" t="s">
        <v>36</v>
      </c>
      <c r="K88" s="210" t="s">
        <v>36</v>
      </c>
      <c r="L88" s="210" t="s">
        <v>36</v>
      </c>
      <c r="M88" s="210" t="s">
        <v>36</v>
      </c>
      <c r="N88" s="210" t="s">
        <v>36</v>
      </c>
      <c r="O88" s="64">
        <v>0</v>
      </c>
      <c r="P88" s="64">
        <v>1.19</v>
      </c>
      <c r="Q88" s="64">
        <v>9.4600000000000009</v>
      </c>
      <c r="R88" s="198"/>
      <c r="S88" s="198"/>
      <c r="T88" s="198"/>
      <c r="U88" s="198"/>
    </row>
    <row r="89" spans="1:26" s="12" customFormat="1" x14ac:dyDescent="0.25">
      <c r="A89" s="214" t="s">
        <v>2727</v>
      </c>
      <c r="B89" s="64">
        <v>14.08</v>
      </c>
      <c r="C89" s="64">
        <v>25.38</v>
      </c>
      <c r="D89" s="64">
        <v>26.97</v>
      </c>
      <c r="E89" s="64">
        <v>3.91</v>
      </c>
      <c r="F89" s="64">
        <v>3.68</v>
      </c>
      <c r="G89" s="64">
        <v>41.78</v>
      </c>
      <c r="H89" s="64">
        <v>11.25</v>
      </c>
      <c r="I89" s="64">
        <v>4.08</v>
      </c>
      <c r="J89" s="210" t="s">
        <v>36</v>
      </c>
      <c r="K89" s="210" t="s">
        <v>36</v>
      </c>
      <c r="L89" s="210" t="s">
        <v>36</v>
      </c>
      <c r="M89" s="210" t="s">
        <v>36</v>
      </c>
      <c r="N89" s="210" t="s">
        <v>36</v>
      </c>
      <c r="O89" s="64">
        <v>0</v>
      </c>
      <c r="P89" s="64">
        <v>0.68</v>
      </c>
      <c r="Q89" s="64">
        <v>9.48</v>
      </c>
      <c r="R89" s="198"/>
      <c r="S89" s="198"/>
      <c r="T89" s="198"/>
      <c r="U89" s="198"/>
    </row>
    <row r="90" spans="1:26" s="12" customFormat="1" x14ac:dyDescent="0.25">
      <c r="A90" s="214" t="s">
        <v>2728</v>
      </c>
      <c r="B90" s="64">
        <v>14.26</v>
      </c>
      <c r="C90" s="64">
        <v>25.31</v>
      </c>
      <c r="D90" s="64">
        <v>26.57</v>
      </c>
      <c r="E90" s="64">
        <v>3.91</v>
      </c>
      <c r="F90" s="64">
        <v>3.65</v>
      </c>
      <c r="G90" s="64">
        <v>36.4</v>
      </c>
      <c r="H90" s="64">
        <v>9.8800000000000008</v>
      </c>
      <c r="I90" s="64">
        <v>4.08</v>
      </c>
      <c r="J90" s="210" t="s">
        <v>36</v>
      </c>
      <c r="K90" s="210" t="s">
        <v>36</v>
      </c>
      <c r="L90" s="210" t="s">
        <v>36</v>
      </c>
      <c r="M90" s="210" t="s">
        <v>36</v>
      </c>
      <c r="N90" s="210" t="s">
        <v>36</v>
      </c>
      <c r="O90" s="64">
        <v>0</v>
      </c>
      <c r="P90" s="64">
        <v>0.7</v>
      </c>
      <c r="Q90" s="64">
        <v>9.51</v>
      </c>
      <c r="R90" s="198"/>
      <c r="S90" s="198"/>
      <c r="T90" s="198"/>
      <c r="U90" s="198"/>
    </row>
    <row r="91" spans="1:26" s="12" customFormat="1" x14ac:dyDescent="0.25">
      <c r="A91" s="214" t="s">
        <v>2729</v>
      </c>
      <c r="B91" s="64">
        <v>14.09</v>
      </c>
      <c r="C91" s="64">
        <v>25.53</v>
      </c>
      <c r="D91" s="64">
        <v>27.24</v>
      </c>
      <c r="E91" s="64">
        <v>3.51</v>
      </c>
      <c r="F91" s="64">
        <v>3.39</v>
      </c>
      <c r="G91" s="64">
        <v>36.4</v>
      </c>
      <c r="H91" s="64">
        <v>9.8800000000000008</v>
      </c>
      <c r="I91" s="64">
        <v>3.95</v>
      </c>
      <c r="J91" s="210" t="s">
        <v>36</v>
      </c>
      <c r="K91" s="210" t="s">
        <v>36</v>
      </c>
      <c r="L91" s="210" t="s">
        <v>36</v>
      </c>
      <c r="M91" s="210" t="s">
        <v>36</v>
      </c>
      <c r="N91" s="210" t="s">
        <v>36</v>
      </c>
      <c r="O91" s="64">
        <v>0</v>
      </c>
      <c r="P91" s="64">
        <v>0.7</v>
      </c>
      <c r="Q91" s="64">
        <v>9.51</v>
      </c>
      <c r="R91" s="198"/>
      <c r="S91" s="198"/>
      <c r="T91" s="198"/>
      <c r="U91" s="198"/>
    </row>
    <row r="92" spans="1:26" s="12" customFormat="1" x14ac:dyDescent="0.25">
      <c r="A92" s="214" t="s">
        <v>2730</v>
      </c>
      <c r="B92" s="64">
        <v>13.93</v>
      </c>
      <c r="C92" s="64">
        <v>24.83</v>
      </c>
      <c r="D92" s="64">
        <v>26.14</v>
      </c>
      <c r="E92" s="64">
        <v>3.67</v>
      </c>
      <c r="F92" s="64">
        <v>3.61</v>
      </c>
      <c r="G92" s="64">
        <v>36.4</v>
      </c>
      <c r="H92" s="64">
        <v>9.8800000000000008</v>
      </c>
      <c r="I92" s="64">
        <v>4</v>
      </c>
      <c r="J92" s="210" t="s">
        <v>36</v>
      </c>
      <c r="K92" s="210" t="s">
        <v>36</v>
      </c>
      <c r="L92" s="210" t="s">
        <v>36</v>
      </c>
      <c r="M92" s="210" t="s">
        <v>36</v>
      </c>
      <c r="N92" s="210" t="s">
        <v>36</v>
      </c>
      <c r="O92" s="64">
        <v>0</v>
      </c>
      <c r="P92" s="64">
        <v>0.7</v>
      </c>
      <c r="Q92" s="64">
        <v>9.51</v>
      </c>
      <c r="R92" s="198"/>
      <c r="S92" s="198"/>
      <c r="T92" s="198"/>
      <c r="U92" s="198"/>
    </row>
    <row r="93" spans="1:26" s="12" customFormat="1" x14ac:dyDescent="0.25">
      <c r="A93" s="214" t="s">
        <v>2731</v>
      </c>
      <c r="B93" s="64">
        <v>13.85</v>
      </c>
      <c r="C93" s="64">
        <v>25.35</v>
      </c>
      <c r="D93" s="64">
        <v>27.26</v>
      </c>
      <c r="E93" s="64">
        <v>3.89</v>
      </c>
      <c r="F93" s="64">
        <v>3.72</v>
      </c>
      <c r="G93" s="64">
        <v>35.590000000000003</v>
      </c>
      <c r="H93" s="64">
        <v>9.8800000000000008</v>
      </c>
      <c r="I93" s="64">
        <v>3.99</v>
      </c>
      <c r="J93" s="210" t="s">
        <v>36</v>
      </c>
      <c r="K93" s="210" t="s">
        <v>36</v>
      </c>
      <c r="L93" s="210" t="s">
        <v>36</v>
      </c>
      <c r="M93" s="210" t="s">
        <v>36</v>
      </c>
      <c r="N93" s="210" t="s">
        <v>36</v>
      </c>
      <c r="O93" s="64">
        <v>0</v>
      </c>
      <c r="P93" s="64">
        <v>0.65</v>
      </c>
      <c r="Q93" s="64">
        <v>9.51</v>
      </c>
      <c r="R93" s="198"/>
      <c r="S93" s="198"/>
      <c r="T93" s="198"/>
      <c r="U93" s="198"/>
    </row>
    <row r="94" spans="1:26" s="12" customFormat="1" x14ac:dyDescent="0.25">
      <c r="A94" s="214" t="s">
        <v>2732</v>
      </c>
      <c r="B94" s="64">
        <v>13.82</v>
      </c>
      <c r="C94" s="64">
        <v>24.48</v>
      </c>
      <c r="D94" s="64">
        <v>25.65</v>
      </c>
      <c r="E94" s="64">
        <v>3.76</v>
      </c>
      <c r="F94" s="64">
        <v>3.89</v>
      </c>
      <c r="G94" s="64">
        <v>32.1</v>
      </c>
      <c r="H94" s="64">
        <v>9.86</v>
      </c>
      <c r="I94" s="64">
        <v>4.09</v>
      </c>
      <c r="J94" s="210" t="s">
        <v>36</v>
      </c>
      <c r="K94" s="210" t="s">
        <v>36</v>
      </c>
      <c r="L94" s="210" t="s">
        <v>36</v>
      </c>
      <c r="M94" s="210" t="s">
        <v>36</v>
      </c>
      <c r="N94" s="210" t="s">
        <v>36</v>
      </c>
      <c r="O94" s="64">
        <v>0</v>
      </c>
      <c r="P94" s="64">
        <v>0.72</v>
      </c>
      <c r="Q94" s="64">
        <v>9.5</v>
      </c>
      <c r="R94" s="198"/>
      <c r="S94" s="198"/>
      <c r="T94" s="198"/>
      <c r="U94" s="198"/>
    </row>
    <row r="95" spans="1:26" s="12" customFormat="1" x14ac:dyDescent="0.25">
      <c r="A95" s="214" t="s">
        <v>2733</v>
      </c>
      <c r="B95" s="64">
        <v>14.29</v>
      </c>
      <c r="C95" s="64">
        <v>25.96</v>
      </c>
      <c r="D95" s="64">
        <v>27.75</v>
      </c>
      <c r="E95" s="64">
        <v>3.7</v>
      </c>
      <c r="F95" s="64">
        <v>3.28</v>
      </c>
      <c r="G95" s="64">
        <v>32.1</v>
      </c>
      <c r="H95" s="64">
        <v>9.86</v>
      </c>
      <c r="I95" s="64">
        <v>4.07</v>
      </c>
      <c r="J95" s="210" t="s">
        <v>36</v>
      </c>
      <c r="K95" s="210" t="s">
        <v>36</v>
      </c>
      <c r="L95" s="210" t="s">
        <v>36</v>
      </c>
      <c r="M95" s="210" t="s">
        <v>36</v>
      </c>
      <c r="N95" s="210" t="s">
        <v>36</v>
      </c>
      <c r="O95" s="64">
        <v>0</v>
      </c>
      <c r="P95" s="64">
        <v>0.68</v>
      </c>
      <c r="Q95" s="64">
        <v>9.51</v>
      </c>
      <c r="R95" s="198"/>
      <c r="S95" s="198"/>
      <c r="T95" s="198"/>
      <c r="U95" s="198"/>
    </row>
    <row r="96" spans="1:26" s="12" customFormat="1" x14ac:dyDescent="0.25">
      <c r="A96" s="214" t="s">
        <v>2734</v>
      </c>
      <c r="B96" s="64">
        <v>14.72</v>
      </c>
      <c r="C96" s="64">
        <v>25.46</v>
      </c>
      <c r="D96" s="64">
        <v>26.15</v>
      </c>
      <c r="E96" s="64">
        <v>3.88</v>
      </c>
      <c r="F96" s="64">
        <v>3.48</v>
      </c>
      <c r="G96" s="64">
        <v>32.1</v>
      </c>
      <c r="H96" s="64">
        <v>9.86</v>
      </c>
      <c r="I96" s="64">
        <v>4.08</v>
      </c>
      <c r="J96" s="210" t="s">
        <v>36</v>
      </c>
      <c r="K96" s="210" t="s">
        <v>36</v>
      </c>
      <c r="L96" s="210" t="s">
        <v>36</v>
      </c>
      <c r="M96" s="210" t="s">
        <v>36</v>
      </c>
      <c r="N96" s="210" t="s">
        <v>36</v>
      </c>
      <c r="O96" s="64">
        <v>0</v>
      </c>
      <c r="P96" s="64">
        <v>0.6</v>
      </c>
      <c r="Q96" s="64">
        <v>9.5399999999999991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2735</v>
      </c>
      <c r="B97" s="64">
        <v>14.92</v>
      </c>
      <c r="C97" s="64">
        <v>26.2</v>
      </c>
      <c r="D97" s="64">
        <v>27.24</v>
      </c>
      <c r="E97" s="64">
        <v>3.59</v>
      </c>
      <c r="F97" s="64">
        <v>3.59</v>
      </c>
      <c r="G97" s="64">
        <v>31.88</v>
      </c>
      <c r="H97" s="64">
        <v>9.91</v>
      </c>
      <c r="I97" s="64">
        <v>3.96</v>
      </c>
      <c r="J97" s="210" t="s">
        <v>36</v>
      </c>
      <c r="K97" s="210" t="s">
        <v>36</v>
      </c>
      <c r="L97" s="210" t="s">
        <v>36</v>
      </c>
      <c r="M97" s="210" t="s">
        <v>36</v>
      </c>
      <c r="N97" s="210" t="s">
        <v>36</v>
      </c>
      <c r="O97" s="64">
        <v>0</v>
      </c>
      <c r="P97" s="64">
        <v>0.48</v>
      </c>
      <c r="Q97" s="64">
        <v>9.5500000000000007</v>
      </c>
      <c r="R97" s="198"/>
      <c r="S97" s="198"/>
      <c r="T97" s="198"/>
      <c r="U97" s="198"/>
    </row>
    <row r="98" spans="1:33" s="12" customFormat="1" x14ac:dyDescent="0.25">
      <c r="A98" s="214" t="s">
        <v>2736</v>
      </c>
      <c r="B98" s="64">
        <v>15.16</v>
      </c>
      <c r="C98" s="64">
        <v>25.09</v>
      </c>
      <c r="D98" s="64">
        <v>24.75</v>
      </c>
      <c r="E98" s="64">
        <v>3.72</v>
      </c>
      <c r="F98" s="64">
        <v>4.4000000000000004</v>
      </c>
      <c r="G98" s="64">
        <v>30.96</v>
      </c>
      <c r="H98" s="64">
        <v>10.11</v>
      </c>
      <c r="I98" s="64">
        <v>3.96</v>
      </c>
      <c r="J98" s="210" t="s">
        <v>36</v>
      </c>
      <c r="K98" s="210" t="s">
        <v>36</v>
      </c>
      <c r="L98" s="210" t="s">
        <v>36</v>
      </c>
      <c r="M98" s="210" t="s">
        <v>36</v>
      </c>
      <c r="N98" s="210" t="s">
        <v>36</v>
      </c>
      <c r="O98" s="64">
        <v>0</v>
      </c>
      <c r="P98" s="64">
        <v>0.5</v>
      </c>
      <c r="Q98" s="64">
        <v>9.56</v>
      </c>
      <c r="R98" s="198"/>
      <c r="S98" s="198"/>
      <c r="T98" s="198"/>
      <c r="U98" s="198"/>
    </row>
    <row r="99" spans="1:33" s="12" customFormat="1" x14ac:dyDescent="0.25">
      <c r="A99" s="214" t="s">
        <v>2737</v>
      </c>
      <c r="B99" s="64">
        <v>15.38</v>
      </c>
      <c r="C99" s="64">
        <v>24.52</v>
      </c>
      <c r="D99" s="64">
        <v>23.33</v>
      </c>
      <c r="E99" s="64">
        <v>3.58</v>
      </c>
      <c r="F99" s="64">
        <v>4.3600000000000003</v>
      </c>
      <c r="G99" s="64">
        <v>30.96</v>
      </c>
      <c r="H99" s="64">
        <v>10.11</v>
      </c>
      <c r="I99" s="64">
        <v>3.99</v>
      </c>
      <c r="J99" s="210" t="s">
        <v>36</v>
      </c>
      <c r="K99" s="210" t="s">
        <v>36</v>
      </c>
      <c r="L99" s="210" t="s">
        <v>36</v>
      </c>
      <c r="M99" s="210" t="s">
        <v>36</v>
      </c>
      <c r="N99" s="210" t="s">
        <v>36</v>
      </c>
      <c r="O99" s="64">
        <v>0</v>
      </c>
      <c r="P99" s="64">
        <v>0.46</v>
      </c>
      <c r="Q99" s="64">
        <v>9.58</v>
      </c>
      <c r="R99" s="198"/>
      <c r="S99" s="198"/>
      <c r="T99" s="198"/>
      <c r="U99" s="198"/>
    </row>
    <row r="100" spans="1:33" s="12" customFormat="1" x14ac:dyDescent="0.25">
      <c r="A100" s="214" t="s">
        <v>2738</v>
      </c>
      <c r="B100" s="64">
        <v>15.4</v>
      </c>
      <c r="C100" s="64">
        <v>24.07</v>
      </c>
      <c r="D100" s="64">
        <v>22.45</v>
      </c>
      <c r="E100" s="64">
        <v>3.45</v>
      </c>
      <c r="F100" s="64">
        <v>4.76</v>
      </c>
      <c r="G100" s="64">
        <v>30.96</v>
      </c>
      <c r="H100" s="64">
        <v>10.11</v>
      </c>
      <c r="I100" s="64">
        <v>4.09</v>
      </c>
      <c r="J100" s="210" t="s">
        <v>36</v>
      </c>
      <c r="K100" s="210" t="s">
        <v>36</v>
      </c>
      <c r="L100" s="210" t="s">
        <v>36</v>
      </c>
      <c r="M100" s="210" t="s">
        <v>36</v>
      </c>
      <c r="N100" s="210" t="s">
        <v>36</v>
      </c>
      <c r="O100" s="64">
        <v>0</v>
      </c>
      <c r="P100" s="64">
        <v>0.42</v>
      </c>
      <c r="Q100" s="64">
        <v>9.58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2739</v>
      </c>
      <c r="B101" s="64">
        <v>15.32</v>
      </c>
      <c r="C101" s="64">
        <v>23.57</v>
      </c>
      <c r="D101" s="64">
        <v>21.6</v>
      </c>
      <c r="E101" s="64">
        <v>3.19</v>
      </c>
      <c r="F101" s="64">
        <v>4.8</v>
      </c>
      <c r="G101" s="64">
        <v>30.56</v>
      </c>
      <c r="H101" s="64">
        <v>9.83</v>
      </c>
      <c r="I101" s="64">
        <v>3.87</v>
      </c>
      <c r="J101" s="210" t="s">
        <v>36</v>
      </c>
      <c r="K101" s="210" t="s">
        <v>36</v>
      </c>
      <c r="L101" s="210" t="s">
        <v>36</v>
      </c>
      <c r="M101" s="210" t="s">
        <v>36</v>
      </c>
      <c r="N101" s="210" t="s">
        <v>36</v>
      </c>
      <c r="O101" s="64">
        <v>0</v>
      </c>
      <c r="P101" s="64">
        <v>0.39</v>
      </c>
      <c r="Q101" s="64">
        <v>9.56</v>
      </c>
      <c r="R101" s="198"/>
      <c r="S101" s="198"/>
      <c r="T101" s="198"/>
      <c r="U101" s="198"/>
    </row>
    <row r="102" spans="1:33" s="12" customFormat="1" x14ac:dyDescent="0.25">
      <c r="A102" s="214" t="s">
        <v>2740</v>
      </c>
      <c r="B102" s="64">
        <v>15.25</v>
      </c>
      <c r="C102" s="64">
        <v>23.18</v>
      </c>
      <c r="D102" s="64">
        <v>20.96</v>
      </c>
      <c r="E102" s="64">
        <v>3.69</v>
      </c>
      <c r="F102" s="64">
        <v>3.84</v>
      </c>
      <c r="G102" s="64">
        <v>28.98</v>
      </c>
      <c r="H102" s="64">
        <v>8.69</v>
      </c>
      <c r="I102" s="64">
        <v>4.04</v>
      </c>
      <c r="J102" s="210" t="s">
        <v>36</v>
      </c>
      <c r="K102" s="210" t="s">
        <v>36</v>
      </c>
      <c r="L102" s="210" t="s">
        <v>36</v>
      </c>
      <c r="M102" s="210" t="s">
        <v>36</v>
      </c>
      <c r="N102" s="210" t="s">
        <v>36</v>
      </c>
      <c r="O102" s="64">
        <v>0</v>
      </c>
      <c r="P102" s="64">
        <v>0.41</v>
      </c>
      <c r="Q102" s="64">
        <v>9.56</v>
      </c>
      <c r="R102" s="198"/>
      <c r="S102" s="198"/>
      <c r="T102" s="198"/>
      <c r="U102" s="198"/>
    </row>
    <row r="103" spans="1:33" s="12" customFormat="1" x14ac:dyDescent="0.25">
      <c r="A103" s="214" t="s">
        <v>2741</v>
      </c>
      <c r="B103" s="64">
        <v>15.18</v>
      </c>
      <c r="C103" s="64">
        <v>22.81</v>
      </c>
      <c r="D103" s="64">
        <v>20.36</v>
      </c>
      <c r="E103" s="64">
        <v>3.39</v>
      </c>
      <c r="F103" s="64">
        <v>3.74</v>
      </c>
      <c r="G103" s="64">
        <v>28.98</v>
      </c>
      <c r="H103" s="64">
        <v>8.69</v>
      </c>
      <c r="I103" s="64">
        <v>4.03</v>
      </c>
      <c r="J103" s="210" t="s">
        <v>36</v>
      </c>
      <c r="K103" s="210" t="s">
        <v>36</v>
      </c>
      <c r="L103" s="210" t="s">
        <v>36</v>
      </c>
      <c r="M103" s="210" t="s">
        <v>36</v>
      </c>
      <c r="N103" s="210" t="s">
        <v>36</v>
      </c>
      <c r="O103" s="64">
        <v>0</v>
      </c>
      <c r="P103" s="64">
        <v>0.42</v>
      </c>
      <c r="Q103" s="64">
        <v>9.56</v>
      </c>
      <c r="R103" s="198"/>
      <c r="S103" s="198"/>
      <c r="T103" s="198"/>
      <c r="U103" s="198"/>
    </row>
    <row r="104" spans="1:33" s="12" customFormat="1" x14ac:dyDescent="0.25">
      <c r="A104" s="214" t="s">
        <v>2742</v>
      </c>
      <c r="B104" s="64">
        <v>15.12</v>
      </c>
      <c r="C104" s="64">
        <v>22.59</v>
      </c>
      <c r="D104" s="64">
        <v>20.03</v>
      </c>
      <c r="E104" s="64">
        <v>3.75</v>
      </c>
      <c r="F104" s="64">
        <v>3.78</v>
      </c>
      <c r="G104" s="64">
        <v>28.98</v>
      </c>
      <c r="H104" s="64">
        <v>8.69</v>
      </c>
      <c r="I104" s="64">
        <v>3.96</v>
      </c>
      <c r="J104" s="210" t="s">
        <v>36</v>
      </c>
      <c r="K104" s="210" t="s">
        <v>36</v>
      </c>
      <c r="L104" s="210" t="s">
        <v>36</v>
      </c>
      <c r="M104" s="210" t="s">
        <v>36</v>
      </c>
      <c r="N104" s="210" t="s">
        <v>36</v>
      </c>
      <c r="O104" s="64">
        <v>0</v>
      </c>
      <c r="P104" s="64">
        <v>0.38</v>
      </c>
      <c r="Q104" s="64">
        <v>9.5399999999999991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9.2899999999999991</v>
      </c>
      <c r="C106" s="67">
        <f>MIN(C9:C104)</f>
        <v>19.5</v>
      </c>
      <c r="D106" s="67">
        <f t="shared" ref="D106:Q106" si="0">MIN(D9:D104)</f>
        <v>17.829999999999998</v>
      </c>
      <c r="E106" s="67">
        <f t="shared" si="0"/>
        <v>3.19</v>
      </c>
      <c r="F106" s="67">
        <f t="shared" si="0"/>
        <v>2.82</v>
      </c>
      <c r="G106" s="67">
        <f t="shared" si="0"/>
        <v>19.440000000000001</v>
      </c>
      <c r="H106" s="67">
        <f t="shared" si="0"/>
        <v>3.63</v>
      </c>
      <c r="I106" s="67">
        <f t="shared" si="0"/>
        <v>3.82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0.3</v>
      </c>
      <c r="Q106" s="67">
        <f t="shared" si="0"/>
        <v>9.32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25.55</v>
      </c>
      <c r="C107" s="66">
        <f t="shared" ref="C107:Q107" si="1">MAX(C9:C104)</f>
        <v>32.31</v>
      </c>
      <c r="D107" s="66">
        <f t="shared" si="1"/>
        <v>30.51</v>
      </c>
      <c r="E107" s="66">
        <f t="shared" si="1"/>
        <v>4.68</v>
      </c>
      <c r="F107" s="66">
        <f t="shared" si="1"/>
        <v>8.14</v>
      </c>
      <c r="G107" s="66">
        <f t="shared" si="1"/>
        <v>44.43</v>
      </c>
      <c r="H107" s="66">
        <f t="shared" si="1"/>
        <v>14.01</v>
      </c>
      <c r="I107" s="66">
        <f t="shared" si="1"/>
        <v>4.28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1.19</v>
      </c>
      <c r="Q107" s="66">
        <f t="shared" si="1"/>
        <v>9.69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16.190312500000001</v>
      </c>
      <c r="C108" s="67">
        <f t="shared" ref="C108:Q108" si="2">AVERAGE(C9:C104)</f>
        <v>24.912499999999998</v>
      </c>
      <c r="D108" s="67">
        <f t="shared" si="2"/>
        <v>22.832500000000007</v>
      </c>
      <c r="E108" s="67">
        <f t="shared" si="2"/>
        <v>3.9487499999999991</v>
      </c>
      <c r="F108" s="67">
        <f t="shared" si="2"/>
        <v>4.2591666666666672</v>
      </c>
      <c r="G108" s="67">
        <f t="shared" si="2"/>
        <v>32.694895833333348</v>
      </c>
      <c r="H108" s="67">
        <f t="shared" si="2"/>
        <v>9.3993750000000063</v>
      </c>
      <c r="I108" s="67">
        <f t="shared" si="2"/>
        <v>4.0118749999999972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>
        <f t="shared" si="2"/>
        <v>0</v>
      </c>
      <c r="P108" s="67">
        <f t="shared" si="2"/>
        <v>0.50406249999999997</v>
      </c>
      <c r="Q108" s="67">
        <f t="shared" si="2"/>
        <v>9.5353124999999945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4.6282727147790759</v>
      </c>
      <c r="C109" s="67">
        <f t="shared" ref="C109:Q109" si="3">STDEV(C9:C104)</f>
        <v>2.9141672097386557</v>
      </c>
      <c r="D109" s="67">
        <f t="shared" si="3"/>
        <v>3.0645848005887957</v>
      </c>
      <c r="E109" s="67">
        <f t="shared" si="3"/>
        <v>0.34627111373969155</v>
      </c>
      <c r="F109" s="67">
        <f t="shared" si="3"/>
        <v>1.0817331772052901</v>
      </c>
      <c r="G109" s="67">
        <f t="shared" si="3"/>
        <v>7.3634711486809268</v>
      </c>
      <c r="H109" s="67">
        <f t="shared" si="3"/>
        <v>2.8416628980784608</v>
      </c>
      <c r="I109" s="67">
        <f t="shared" si="3"/>
        <v>7.7708124617564586E-2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>
        <f t="shared" si="3"/>
        <v>0</v>
      </c>
      <c r="P109" s="67">
        <f t="shared" si="3"/>
        <v>0.16440372722756574</v>
      </c>
      <c r="Q109" s="67">
        <f t="shared" si="3"/>
        <v>0.11355456026903873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COUNT(J9:J104)+96</f>
        <v>96</v>
      </c>
      <c r="K110" s="66">
        <f t="shared" ref="K110:N110" si="5">COUNT(K9:K104)+96</f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4"/>
        <v>96</v>
      </c>
      <c r="P110" s="66">
        <f t="shared" si="4"/>
        <v>96</v>
      </c>
      <c r="Q110" s="66">
        <f>COUNT(Q9:Q104)+1</f>
        <v>97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110" sqref="L110:N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2743</v>
      </c>
      <c r="B9" s="64">
        <v>14.94</v>
      </c>
      <c r="C9" s="64">
        <v>22.91</v>
      </c>
      <c r="D9" s="64">
        <v>20.91</v>
      </c>
      <c r="E9" s="64">
        <v>3.7</v>
      </c>
      <c r="F9" s="64">
        <v>3.95</v>
      </c>
      <c r="G9" s="64">
        <v>28.55</v>
      </c>
      <c r="H9" s="64">
        <v>8.6300000000000008</v>
      </c>
      <c r="I9" s="64">
        <v>3.88</v>
      </c>
      <c r="J9" s="210" t="s">
        <v>36</v>
      </c>
      <c r="K9" s="210" t="s">
        <v>36</v>
      </c>
      <c r="L9" s="210" t="s">
        <v>36</v>
      </c>
      <c r="M9" s="210" t="s">
        <v>36</v>
      </c>
      <c r="N9" s="210" t="s">
        <v>36</v>
      </c>
      <c r="O9" s="64">
        <v>0</v>
      </c>
      <c r="P9" s="64">
        <v>0.49</v>
      </c>
      <c r="Q9" s="64">
        <v>9.51</v>
      </c>
      <c r="R9" s="198"/>
      <c r="S9" s="198"/>
      <c r="T9" s="198"/>
      <c r="U9" s="198"/>
    </row>
    <row r="10" spans="1:21" s="12" customFormat="1" x14ac:dyDescent="0.25">
      <c r="A10" s="214" t="s">
        <v>2744</v>
      </c>
      <c r="B10" s="64">
        <v>14.56</v>
      </c>
      <c r="C10" s="64">
        <v>23.92</v>
      </c>
      <c r="D10" s="64">
        <v>23.43</v>
      </c>
      <c r="E10" s="64">
        <v>4.01</v>
      </c>
      <c r="F10" s="64">
        <v>3.48</v>
      </c>
      <c r="G10" s="64">
        <v>26.69</v>
      </c>
      <c r="H10" s="64">
        <v>8.3699999999999992</v>
      </c>
      <c r="I10" s="64">
        <v>4</v>
      </c>
      <c r="J10" s="210" t="s">
        <v>36</v>
      </c>
      <c r="K10" s="210" t="s">
        <v>36</v>
      </c>
      <c r="L10" s="210" t="s">
        <v>36</v>
      </c>
      <c r="M10" s="210" t="s">
        <v>36</v>
      </c>
      <c r="N10" s="210" t="s">
        <v>36</v>
      </c>
      <c r="O10" s="64">
        <v>0</v>
      </c>
      <c r="P10" s="64">
        <v>0.37</v>
      </c>
      <c r="Q10" s="64">
        <v>9.5</v>
      </c>
      <c r="R10" s="198"/>
      <c r="S10" s="198"/>
      <c r="T10" s="198"/>
      <c r="U10" s="198"/>
    </row>
    <row r="11" spans="1:21" s="12" customFormat="1" x14ac:dyDescent="0.25">
      <c r="A11" s="214" t="s">
        <v>2745</v>
      </c>
      <c r="B11" s="64">
        <v>14.11</v>
      </c>
      <c r="C11" s="64">
        <v>22.75</v>
      </c>
      <c r="D11" s="64">
        <v>21.88</v>
      </c>
      <c r="E11" s="64">
        <v>3.84</v>
      </c>
      <c r="F11" s="64">
        <v>3.93</v>
      </c>
      <c r="G11" s="64">
        <v>26.69</v>
      </c>
      <c r="H11" s="64">
        <v>8.3699999999999992</v>
      </c>
      <c r="I11" s="64">
        <v>3.91</v>
      </c>
      <c r="J11" s="210" t="s">
        <v>36</v>
      </c>
      <c r="K11" s="210" t="s">
        <v>36</v>
      </c>
      <c r="L11" s="210" t="s">
        <v>36</v>
      </c>
      <c r="M11" s="210" t="s">
        <v>36</v>
      </c>
      <c r="N11" s="210" t="s">
        <v>36</v>
      </c>
      <c r="O11" s="64">
        <v>0</v>
      </c>
      <c r="P11" s="64">
        <v>0.48</v>
      </c>
      <c r="Q11" s="64">
        <v>9.48</v>
      </c>
      <c r="R11" s="198"/>
      <c r="S11" s="198"/>
      <c r="T11" s="198"/>
      <c r="U11" s="198"/>
    </row>
    <row r="12" spans="1:21" s="12" customFormat="1" x14ac:dyDescent="0.25">
      <c r="A12" s="214" t="s">
        <v>2746</v>
      </c>
      <c r="B12" s="64">
        <v>13.68</v>
      </c>
      <c r="C12" s="64">
        <v>22.51</v>
      </c>
      <c r="D12" s="64">
        <v>22.09</v>
      </c>
      <c r="E12" s="64">
        <v>3.94</v>
      </c>
      <c r="F12" s="64">
        <v>3.29</v>
      </c>
      <c r="G12" s="64">
        <v>26.69</v>
      </c>
      <c r="H12" s="64">
        <v>8.3699999999999992</v>
      </c>
      <c r="I12" s="64">
        <v>4.09</v>
      </c>
      <c r="J12" s="210" t="s">
        <v>36</v>
      </c>
      <c r="K12" s="210" t="s">
        <v>36</v>
      </c>
      <c r="L12" s="210" t="s">
        <v>36</v>
      </c>
      <c r="M12" s="210" t="s">
        <v>36</v>
      </c>
      <c r="N12" s="210" t="s">
        <v>36</v>
      </c>
      <c r="O12" s="64">
        <v>0</v>
      </c>
      <c r="P12" s="64">
        <v>0.45</v>
      </c>
      <c r="Q12" s="64">
        <v>9.48</v>
      </c>
      <c r="R12" s="198"/>
      <c r="S12" s="198"/>
      <c r="T12" s="198"/>
      <c r="U12" s="198"/>
    </row>
    <row r="13" spans="1:21" s="12" customFormat="1" x14ac:dyDescent="0.25">
      <c r="A13" s="214" t="s">
        <v>2747</v>
      </c>
      <c r="B13" s="64">
        <v>13.2</v>
      </c>
      <c r="C13" s="64">
        <v>21.67</v>
      </c>
      <c r="D13" s="64">
        <v>21.21</v>
      </c>
      <c r="E13" s="64">
        <v>4.03</v>
      </c>
      <c r="F13" s="64">
        <v>3.63</v>
      </c>
      <c r="G13" s="64">
        <v>25.3</v>
      </c>
      <c r="H13" s="64">
        <v>7.91</v>
      </c>
      <c r="I13" s="64">
        <v>3.82</v>
      </c>
      <c r="J13" s="210" t="s">
        <v>36</v>
      </c>
      <c r="K13" s="210" t="s">
        <v>36</v>
      </c>
      <c r="L13" s="210" t="s">
        <v>36</v>
      </c>
      <c r="M13" s="210" t="s">
        <v>36</v>
      </c>
      <c r="N13" s="210" t="s">
        <v>36</v>
      </c>
      <c r="O13" s="64">
        <v>0</v>
      </c>
      <c r="P13" s="64">
        <v>0.26</v>
      </c>
      <c r="Q13" s="64">
        <v>9.4600000000000009</v>
      </c>
      <c r="R13" s="198"/>
      <c r="S13" s="198"/>
      <c r="T13" s="198"/>
      <c r="U13" s="198"/>
    </row>
    <row r="14" spans="1:21" s="12" customFormat="1" x14ac:dyDescent="0.25">
      <c r="A14" s="214" t="s">
        <v>2748</v>
      </c>
      <c r="B14" s="64">
        <v>12.93</v>
      </c>
      <c r="C14" s="64">
        <v>20.91</v>
      </c>
      <c r="D14" s="64">
        <v>20.18</v>
      </c>
      <c r="E14" s="64">
        <v>3.67</v>
      </c>
      <c r="F14" s="64">
        <v>3.85</v>
      </c>
      <c r="G14" s="64">
        <v>19.34</v>
      </c>
      <c r="H14" s="64">
        <v>5.97</v>
      </c>
      <c r="I14" s="64">
        <v>4.1500000000000004</v>
      </c>
      <c r="J14" s="210" t="s">
        <v>36</v>
      </c>
      <c r="K14" s="210" t="s">
        <v>36</v>
      </c>
      <c r="L14" s="210" t="s">
        <v>36</v>
      </c>
      <c r="M14" s="210" t="s">
        <v>36</v>
      </c>
      <c r="N14" s="210" t="s">
        <v>36</v>
      </c>
      <c r="O14" s="64">
        <v>0</v>
      </c>
      <c r="P14" s="64">
        <v>0.46</v>
      </c>
      <c r="Q14" s="64">
        <v>9.4499999999999993</v>
      </c>
      <c r="R14" s="198"/>
      <c r="S14" s="198"/>
      <c r="T14" s="198"/>
      <c r="U14" s="198"/>
    </row>
    <row r="15" spans="1:21" s="12" customFormat="1" x14ac:dyDescent="0.25">
      <c r="A15" s="214" t="s">
        <v>2749</v>
      </c>
      <c r="B15" s="64">
        <v>12.65</v>
      </c>
      <c r="C15" s="64">
        <v>21.06</v>
      </c>
      <c r="D15" s="64">
        <v>20.89</v>
      </c>
      <c r="E15" s="64">
        <v>3.82</v>
      </c>
      <c r="F15" s="64">
        <v>3.6</v>
      </c>
      <c r="G15" s="64">
        <v>19.34</v>
      </c>
      <c r="H15" s="64">
        <v>5.97</v>
      </c>
      <c r="I15" s="64">
        <v>4.21</v>
      </c>
      <c r="J15" s="210" t="s">
        <v>36</v>
      </c>
      <c r="K15" s="210" t="s">
        <v>36</v>
      </c>
      <c r="L15" s="210" t="s">
        <v>36</v>
      </c>
      <c r="M15" s="210" t="s">
        <v>36</v>
      </c>
      <c r="N15" s="210" t="s">
        <v>36</v>
      </c>
      <c r="O15" s="64">
        <v>0</v>
      </c>
      <c r="P15" s="64">
        <v>0.2</v>
      </c>
      <c r="Q15" s="64">
        <v>9.44</v>
      </c>
      <c r="R15" s="198"/>
      <c r="S15" s="198"/>
      <c r="T15" s="198"/>
      <c r="U15" s="198"/>
    </row>
    <row r="16" spans="1:21" s="12" customFormat="1" x14ac:dyDescent="0.25">
      <c r="A16" s="214" t="s">
        <v>2750</v>
      </c>
      <c r="B16" s="64">
        <v>12.43</v>
      </c>
      <c r="C16" s="64">
        <v>20.05</v>
      </c>
      <c r="D16" s="64">
        <v>19.3</v>
      </c>
      <c r="E16" s="64">
        <v>3.7</v>
      </c>
      <c r="F16" s="64">
        <v>4.22</v>
      </c>
      <c r="G16" s="64">
        <v>19.34</v>
      </c>
      <c r="H16" s="64">
        <v>5.97</v>
      </c>
      <c r="I16" s="64">
        <v>3.93</v>
      </c>
      <c r="J16" s="210" t="s">
        <v>36</v>
      </c>
      <c r="K16" s="210" t="s">
        <v>36</v>
      </c>
      <c r="L16" s="210" t="s">
        <v>36</v>
      </c>
      <c r="M16" s="210" t="s">
        <v>36</v>
      </c>
      <c r="N16" s="210" t="s">
        <v>36</v>
      </c>
      <c r="O16" s="64">
        <v>0</v>
      </c>
      <c r="P16" s="64">
        <v>0.43</v>
      </c>
      <c r="Q16" s="64">
        <v>9.42</v>
      </c>
      <c r="R16" s="198"/>
      <c r="S16" s="198"/>
      <c r="T16" s="198"/>
      <c r="U16" s="198"/>
    </row>
    <row r="17" spans="1:21" s="12" customFormat="1" x14ac:dyDescent="0.25">
      <c r="A17" s="214" t="s">
        <v>2751</v>
      </c>
      <c r="B17" s="64">
        <v>12.17</v>
      </c>
      <c r="C17" s="64">
        <v>20.25</v>
      </c>
      <c r="D17" s="64">
        <v>20.09</v>
      </c>
      <c r="E17" s="64">
        <v>3.77</v>
      </c>
      <c r="F17" s="64">
        <v>3.3</v>
      </c>
      <c r="G17" s="64">
        <v>18.8</v>
      </c>
      <c r="H17" s="64">
        <v>6.15</v>
      </c>
      <c r="I17" s="64">
        <v>4.09</v>
      </c>
      <c r="J17" s="210" t="s">
        <v>36</v>
      </c>
      <c r="K17" s="210" t="s">
        <v>36</v>
      </c>
      <c r="L17" s="210" t="s">
        <v>36</v>
      </c>
      <c r="M17" s="210" t="s">
        <v>36</v>
      </c>
      <c r="N17" s="210" t="s">
        <v>36</v>
      </c>
      <c r="O17" s="64">
        <v>0</v>
      </c>
      <c r="P17" s="64">
        <v>0.22</v>
      </c>
      <c r="Q17" s="64">
        <v>9.42</v>
      </c>
      <c r="R17" s="198"/>
      <c r="S17" s="198"/>
      <c r="T17" s="198"/>
      <c r="U17" s="198"/>
    </row>
    <row r="18" spans="1:21" s="12" customFormat="1" x14ac:dyDescent="0.25">
      <c r="A18" s="214" t="s">
        <v>2752</v>
      </c>
      <c r="B18" s="64">
        <v>12.01</v>
      </c>
      <c r="C18" s="64">
        <v>19.8</v>
      </c>
      <c r="D18" s="64">
        <v>19.47</v>
      </c>
      <c r="E18" s="64">
        <v>3.34</v>
      </c>
      <c r="F18" s="64">
        <v>3.54</v>
      </c>
      <c r="G18" s="64">
        <v>16.489999999999998</v>
      </c>
      <c r="H18" s="64">
        <v>6.91</v>
      </c>
      <c r="I18" s="64">
        <v>4.07</v>
      </c>
      <c r="J18" s="210" t="s">
        <v>36</v>
      </c>
      <c r="K18" s="210" t="s">
        <v>36</v>
      </c>
      <c r="L18" s="210" t="s">
        <v>36</v>
      </c>
      <c r="M18" s="210" t="s">
        <v>36</v>
      </c>
      <c r="N18" s="210" t="s">
        <v>36</v>
      </c>
      <c r="O18" s="64">
        <v>0</v>
      </c>
      <c r="P18" s="64">
        <v>0.35</v>
      </c>
      <c r="Q18" s="64">
        <v>9.42</v>
      </c>
      <c r="R18" s="198"/>
      <c r="S18" s="198"/>
      <c r="T18" s="198"/>
      <c r="U18" s="198"/>
    </row>
    <row r="19" spans="1:21" s="12" customFormat="1" x14ac:dyDescent="0.25">
      <c r="A19" s="214" t="s">
        <v>2753</v>
      </c>
      <c r="B19" s="64">
        <v>11.95</v>
      </c>
      <c r="C19" s="64">
        <v>19.59</v>
      </c>
      <c r="D19" s="64">
        <v>19.14</v>
      </c>
      <c r="E19" s="64">
        <v>3.68</v>
      </c>
      <c r="F19" s="64">
        <v>3.8</v>
      </c>
      <c r="G19" s="64">
        <v>16.489999999999998</v>
      </c>
      <c r="H19" s="64">
        <v>6.91</v>
      </c>
      <c r="I19" s="64">
        <v>4.01</v>
      </c>
      <c r="J19" s="210" t="s">
        <v>36</v>
      </c>
      <c r="K19" s="210" t="s">
        <v>36</v>
      </c>
      <c r="L19" s="210" t="s">
        <v>36</v>
      </c>
      <c r="M19" s="210" t="s">
        <v>36</v>
      </c>
      <c r="N19" s="210" t="s">
        <v>36</v>
      </c>
      <c r="O19" s="64">
        <v>0</v>
      </c>
      <c r="P19" s="64">
        <v>0.19</v>
      </c>
      <c r="Q19" s="64">
        <v>9.43</v>
      </c>
      <c r="R19" s="198"/>
      <c r="S19" s="198"/>
      <c r="T19" s="198"/>
      <c r="U19" s="198"/>
    </row>
    <row r="20" spans="1:21" s="12" customFormat="1" x14ac:dyDescent="0.25">
      <c r="A20" s="214" t="s">
        <v>2754</v>
      </c>
      <c r="B20" s="64">
        <v>12.3</v>
      </c>
      <c r="C20" s="64">
        <v>19.29</v>
      </c>
      <c r="D20" s="64">
        <v>18.03</v>
      </c>
      <c r="E20" s="64">
        <v>3.71</v>
      </c>
      <c r="F20" s="64">
        <v>4.6100000000000003</v>
      </c>
      <c r="G20" s="64">
        <v>16.489999999999998</v>
      </c>
      <c r="H20" s="64">
        <v>6.91</v>
      </c>
      <c r="I20" s="64">
        <v>4</v>
      </c>
      <c r="J20" s="210" t="s">
        <v>36</v>
      </c>
      <c r="K20" s="210" t="s">
        <v>36</v>
      </c>
      <c r="L20" s="210" t="s">
        <v>36</v>
      </c>
      <c r="M20" s="210" t="s">
        <v>36</v>
      </c>
      <c r="N20" s="210" t="s">
        <v>36</v>
      </c>
      <c r="O20" s="64">
        <v>0</v>
      </c>
      <c r="P20" s="64">
        <v>0.19</v>
      </c>
      <c r="Q20" s="64">
        <v>9.42</v>
      </c>
      <c r="R20" s="198"/>
      <c r="S20" s="198"/>
      <c r="T20" s="198"/>
      <c r="U20" s="198"/>
    </row>
    <row r="21" spans="1:21" s="12" customFormat="1" x14ac:dyDescent="0.25">
      <c r="A21" s="214" t="s">
        <v>2755</v>
      </c>
      <c r="B21" s="64">
        <v>12.59</v>
      </c>
      <c r="C21" s="64">
        <v>19.100000000000001</v>
      </c>
      <c r="D21" s="64">
        <v>17.239999999999998</v>
      </c>
      <c r="E21" s="64">
        <v>3.59</v>
      </c>
      <c r="F21" s="64">
        <v>4.25</v>
      </c>
      <c r="G21" s="64">
        <v>16.32</v>
      </c>
      <c r="H21" s="64">
        <v>6.56</v>
      </c>
      <c r="I21" s="64">
        <v>3.99</v>
      </c>
      <c r="J21" s="210" t="s">
        <v>36</v>
      </c>
      <c r="K21" s="210" t="s">
        <v>36</v>
      </c>
      <c r="L21" s="210" t="s">
        <v>36</v>
      </c>
      <c r="M21" s="210" t="s">
        <v>36</v>
      </c>
      <c r="N21" s="210" t="s">
        <v>36</v>
      </c>
      <c r="O21" s="64">
        <v>0</v>
      </c>
      <c r="P21" s="64">
        <v>0.17</v>
      </c>
      <c r="Q21" s="64">
        <v>9.43</v>
      </c>
      <c r="R21" s="198"/>
      <c r="S21" s="198"/>
      <c r="T21" s="198"/>
      <c r="U21" s="198"/>
    </row>
    <row r="22" spans="1:21" s="12" customFormat="1" x14ac:dyDescent="0.25">
      <c r="A22" s="214" t="s">
        <v>2756</v>
      </c>
      <c r="B22" s="64">
        <v>12.87</v>
      </c>
      <c r="C22" s="64">
        <v>19.170000000000002</v>
      </c>
      <c r="D22" s="64">
        <v>16.940000000000001</v>
      </c>
      <c r="E22" s="64">
        <v>3.46</v>
      </c>
      <c r="F22" s="64">
        <v>4.09</v>
      </c>
      <c r="G22" s="64">
        <v>15.6</v>
      </c>
      <c r="H22" s="64">
        <v>5.07</v>
      </c>
      <c r="I22" s="64">
        <v>4.09</v>
      </c>
      <c r="J22" s="210" t="s">
        <v>36</v>
      </c>
      <c r="K22" s="210" t="s">
        <v>36</v>
      </c>
      <c r="L22" s="210" t="s">
        <v>36</v>
      </c>
      <c r="M22" s="210" t="s">
        <v>36</v>
      </c>
      <c r="N22" s="210" t="s">
        <v>36</v>
      </c>
      <c r="O22" s="64">
        <v>0</v>
      </c>
      <c r="P22" s="64">
        <v>0.2</v>
      </c>
      <c r="Q22" s="64">
        <v>9.4499999999999993</v>
      </c>
      <c r="R22" s="198"/>
      <c r="S22" s="198"/>
      <c r="T22" s="198"/>
      <c r="U22" s="198"/>
    </row>
    <row r="23" spans="1:21" s="12" customFormat="1" x14ac:dyDescent="0.25">
      <c r="A23" s="214" t="s">
        <v>2757</v>
      </c>
      <c r="B23" s="64">
        <v>13.21</v>
      </c>
      <c r="C23" s="64">
        <v>19.48</v>
      </c>
      <c r="D23" s="64">
        <v>17</v>
      </c>
      <c r="E23" s="64">
        <v>3.84</v>
      </c>
      <c r="F23" s="64">
        <v>4.04</v>
      </c>
      <c r="G23" s="64">
        <v>15.6</v>
      </c>
      <c r="H23" s="64">
        <v>5.07</v>
      </c>
      <c r="I23" s="64">
        <v>4.08</v>
      </c>
      <c r="J23" s="210" t="s">
        <v>36</v>
      </c>
      <c r="K23" s="210" t="s">
        <v>36</v>
      </c>
      <c r="L23" s="210" t="s">
        <v>36</v>
      </c>
      <c r="M23" s="210" t="s">
        <v>36</v>
      </c>
      <c r="N23" s="210" t="s">
        <v>36</v>
      </c>
      <c r="O23" s="64">
        <v>0</v>
      </c>
      <c r="P23" s="64">
        <v>0.18</v>
      </c>
      <c r="Q23" s="64">
        <v>9.4499999999999993</v>
      </c>
      <c r="R23" s="198"/>
      <c r="S23" s="198"/>
      <c r="T23" s="198"/>
      <c r="U23" s="198"/>
    </row>
    <row r="24" spans="1:21" s="12" customFormat="1" x14ac:dyDescent="0.25">
      <c r="A24" s="214" t="s">
        <v>2758</v>
      </c>
      <c r="B24" s="64">
        <v>13.53</v>
      </c>
      <c r="C24" s="64">
        <v>19.649999999999999</v>
      </c>
      <c r="D24" s="64">
        <v>16.850000000000001</v>
      </c>
      <c r="E24" s="64">
        <v>3.68</v>
      </c>
      <c r="F24" s="64">
        <v>4.04</v>
      </c>
      <c r="G24" s="64">
        <v>15.6</v>
      </c>
      <c r="H24" s="64">
        <v>5.07</v>
      </c>
      <c r="I24" s="64">
        <v>3.92</v>
      </c>
      <c r="J24" s="210" t="s">
        <v>36</v>
      </c>
      <c r="K24" s="210" t="s">
        <v>36</v>
      </c>
      <c r="L24" s="210" t="s">
        <v>36</v>
      </c>
      <c r="M24" s="210" t="s">
        <v>36</v>
      </c>
      <c r="N24" s="210" t="s">
        <v>36</v>
      </c>
      <c r="O24" s="64">
        <v>0</v>
      </c>
      <c r="P24" s="64">
        <v>0.18</v>
      </c>
      <c r="Q24" s="64">
        <v>9.4499999999999993</v>
      </c>
      <c r="R24" s="198"/>
      <c r="S24" s="198"/>
      <c r="T24" s="198"/>
      <c r="U24" s="198"/>
    </row>
    <row r="25" spans="1:21" s="12" customFormat="1" x14ac:dyDescent="0.25">
      <c r="A25" s="214" t="s">
        <v>2759</v>
      </c>
      <c r="B25" s="64">
        <v>13.69</v>
      </c>
      <c r="C25" s="64">
        <v>19.77</v>
      </c>
      <c r="D25" s="64">
        <v>16.82</v>
      </c>
      <c r="E25" s="64">
        <v>3.73</v>
      </c>
      <c r="F25" s="64">
        <v>4.1500000000000004</v>
      </c>
      <c r="G25" s="64">
        <v>15.96</v>
      </c>
      <c r="H25" s="64">
        <v>4.8</v>
      </c>
      <c r="I25" s="64">
        <v>3.9</v>
      </c>
      <c r="J25" s="210" t="s">
        <v>36</v>
      </c>
      <c r="K25" s="210" t="s">
        <v>36</v>
      </c>
      <c r="L25" s="210" t="s">
        <v>36</v>
      </c>
      <c r="M25" s="210" t="s">
        <v>36</v>
      </c>
      <c r="N25" s="210" t="s">
        <v>36</v>
      </c>
      <c r="O25" s="64">
        <v>0</v>
      </c>
      <c r="P25" s="64">
        <v>0.17</v>
      </c>
      <c r="Q25" s="64">
        <v>9.4600000000000009</v>
      </c>
      <c r="R25" s="198"/>
      <c r="S25" s="198"/>
      <c r="T25" s="198"/>
      <c r="U25" s="198"/>
    </row>
    <row r="26" spans="1:21" s="12" customFormat="1" x14ac:dyDescent="0.25">
      <c r="A26" s="214" t="s">
        <v>2760</v>
      </c>
      <c r="B26" s="64">
        <v>13.85</v>
      </c>
      <c r="C26" s="64">
        <v>19.95</v>
      </c>
      <c r="D26" s="64">
        <v>16.920000000000002</v>
      </c>
      <c r="E26" s="64">
        <v>3.74</v>
      </c>
      <c r="F26" s="64">
        <v>4.12</v>
      </c>
      <c r="G26" s="64">
        <v>17.489999999999998</v>
      </c>
      <c r="H26" s="64">
        <v>3.62</v>
      </c>
      <c r="I26" s="64">
        <v>4.05</v>
      </c>
      <c r="J26" s="210" t="s">
        <v>36</v>
      </c>
      <c r="K26" s="210" t="s">
        <v>36</v>
      </c>
      <c r="L26" s="210" t="s">
        <v>36</v>
      </c>
      <c r="M26" s="210" t="s">
        <v>36</v>
      </c>
      <c r="N26" s="210" t="s">
        <v>36</v>
      </c>
      <c r="O26" s="64">
        <v>0</v>
      </c>
      <c r="P26" s="64">
        <v>0.27</v>
      </c>
      <c r="Q26" s="64">
        <v>9.4600000000000009</v>
      </c>
      <c r="R26" s="198"/>
      <c r="S26" s="198"/>
      <c r="T26" s="198"/>
      <c r="U26" s="198"/>
    </row>
    <row r="27" spans="1:21" s="12" customFormat="1" x14ac:dyDescent="0.25">
      <c r="A27" s="214" t="s">
        <v>2761</v>
      </c>
      <c r="B27" s="64">
        <v>13.88</v>
      </c>
      <c r="C27" s="64">
        <v>21.03</v>
      </c>
      <c r="D27" s="64">
        <v>18.96</v>
      </c>
      <c r="E27" s="64">
        <v>3.81</v>
      </c>
      <c r="F27" s="64">
        <v>3.37</v>
      </c>
      <c r="G27" s="64">
        <v>17.489999999999998</v>
      </c>
      <c r="H27" s="64">
        <v>3.62</v>
      </c>
      <c r="I27" s="64">
        <v>3.93</v>
      </c>
      <c r="J27" s="210" t="s">
        <v>36</v>
      </c>
      <c r="K27" s="210" t="s">
        <v>36</v>
      </c>
      <c r="L27" s="210" t="s">
        <v>36</v>
      </c>
      <c r="M27" s="210" t="s">
        <v>36</v>
      </c>
      <c r="N27" s="210" t="s">
        <v>36</v>
      </c>
      <c r="O27" s="64">
        <v>0</v>
      </c>
      <c r="P27" s="64">
        <v>0.28000000000000003</v>
      </c>
      <c r="Q27" s="64">
        <v>9.44</v>
      </c>
      <c r="R27" s="198"/>
      <c r="S27" s="198"/>
      <c r="T27" s="198"/>
      <c r="U27" s="198"/>
    </row>
    <row r="28" spans="1:21" s="12" customFormat="1" x14ac:dyDescent="0.25">
      <c r="A28" s="214" t="s">
        <v>2762</v>
      </c>
      <c r="B28" s="64">
        <v>13.8</v>
      </c>
      <c r="C28" s="64">
        <v>21.36</v>
      </c>
      <c r="D28" s="64">
        <v>19.7</v>
      </c>
      <c r="E28" s="64">
        <v>3.73</v>
      </c>
      <c r="F28" s="64">
        <v>3.98</v>
      </c>
      <c r="G28" s="64">
        <v>17.489999999999998</v>
      </c>
      <c r="H28" s="64">
        <v>3.62</v>
      </c>
      <c r="I28" s="64">
        <v>4.0199999999999996</v>
      </c>
      <c r="J28" s="210" t="s">
        <v>36</v>
      </c>
      <c r="K28" s="210" t="s">
        <v>36</v>
      </c>
      <c r="L28" s="210" t="s">
        <v>36</v>
      </c>
      <c r="M28" s="210" t="s">
        <v>36</v>
      </c>
      <c r="N28" s="210" t="s">
        <v>36</v>
      </c>
      <c r="O28" s="64">
        <v>0</v>
      </c>
      <c r="P28" s="64">
        <v>0.25</v>
      </c>
      <c r="Q28" s="64">
        <v>9.4499999999999993</v>
      </c>
      <c r="R28" s="198"/>
      <c r="S28" s="198"/>
      <c r="T28" s="198"/>
      <c r="U28" s="198"/>
    </row>
    <row r="29" spans="1:21" s="12" customFormat="1" x14ac:dyDescent="0.25">
      <c r="A29" s="214" t="s">
        <v>2763</v>
      </c>
      <c r="B29" s="64">
        <v>13.68</v>
      </c>
      <c r="C29" s="64">
        <v>21.26</v>
      </c>
      <c r="D29" s="64">
        <v>19.7</v>
      </c>
      <c r="E29" s="64">
        <v>3.42</v>
      </c>
      <c r="F29" s="64">
        <v>3.9</v>
      </c>
      <c r="G29" s="64">
        <v>16.57</v>
      </c>
      <c r="H29" s="64">
        <v>3.43</v>
      </c>
      <c r="I29" s="64">
        <v>3.98</v>
      </c>
      <c r="J29" s="210" t="s">
        <v>36</v>
      </c>
      <c r="K29" s="210" t="s">
        <v>36</v>
      </c>
      <c r="L29" s="210" t="s">
        <v>36</v>
      </c>
      <c r="M29" s="210" t="s">
        <v>36</v>
      </c>
      <c r="N29" s="210" t="s">
        <v>36</v>
      </c>
      <c r="O29" s="64">
        <v>0</v>
      </c>
      <c r="P29" s="64">
        <v>0.26</v>
      </c>
      <c r="Q29" s="64">
        <v>9.43</v>
      </c>
      <c r="R29" s="198"/>
      <c r="S29" s="198"/>
      <c r="T29" s="198"/>
      <c r="U29" s="198"/>
    </row>
    <row r="30" spans="1:21" s="12" customFormat="1" x14ac:dyDescent="0.25">
      <c r="A30" s="214" t="s">
        <v>2764</v>
      </c>
      <c r="B30" s="64">
        <v>13.64</v>
      </c>
      <c r="C30" s="64">
        <v>21.35</v>
      </c>
      <c r="D30" s="64">
        <v>19.93</v>
      </c>
      <c r="E30" s="64">
        <v>3.64</v>
      </c>
      <c r="F30" s="64">
        <v>3.85</v>
      </c>
      <c r="G30" s="64">
        <v>12.61</v>
      </c>
      <c r="H30" s="64">
        <v>2.59</v>
      </c>
      <c r="I30" s="64">
        <v>4.04</v>
      </c>
      <c r="J30" s="210" t="s">
        <v>36</v>
      </c>
      <c r="K30" s="210" t="s">
        <v>36</v>
      </c>
      <c r="L30" s="210" t="s">
        <v>36</v>
      </c>
      <c r="M30" s="210" t="s">
        <v>36</v>
      </c>
      <c r="N30" s="210" t="s">
        <v>36</v>
      </c>
      <c r="O30" s="64">
        <v>0</v>
      </c>
      <c r="P30" s="64">
        <v>0.26</v>
      </c>
      <c r="Q30" s="64">
        <v>9.43</v>
      </c>
      <c r="R30" s="198"/>
      <c r="S30" s="198"/>
      <c r="T30" s="198"/>
      <c r="U30" s="198"/>
    </row>
    <row r="31" spans="1:21" s="12" customFormat="1" x14ac:dyDescent="0.25">
      <c r="A31" s="214" t="s">
        <v>2765</v>
      </c>
      <c r="B31" s="64">
        <v>13.49</v>
      </c>
      <c r="C31" s="64">
        <v>21.37</v>
      </c>
      <c r="D31" s="64">
        <v>20.190000000000001</v>
      </c>
      <c r="E31" s="64">
        <v>3.83</v>
      </c>
      <c r="F31" s="64">
        <v>3.43</v>
      </c>
      <c r="G31" s="64">
        <v>12.61</v>
      </c>
      <c r="H31" s="64">
        <v>2.59</v>
      </c>
      <c r="I31" s="64">
        <v>3.9</v>
      </c>
      <c r="J31" s="210" t="s">
        <v>36</v>
      </c>
      <c r="K31" s="210" t="s">
        <v>36</v>
      </c>
      <c r="L31" s="210" t="s">
        <v>36</v>
      </c>
      <c r="M31" s="210" t="s">
        <v>36</v>
      </c>
      <c r="N31" s="210" t="s">
        <v>36</v>
      </c>
      <c r="O31" s="64">
        <v>0</v>
      </c>
      <c r="P31" s="64">
        <v>0.24</v>
      </c>
      <c r="Q31" s="64">
        <v>9.43</v>
      </c>
      <c r="R31" s="198"/>
      <c r="S31" s="198"/>
      <c r="T31" s="198"/>
      <c r="U31" s="198"/>
    </row>
    <row r="32" spans="1:21" s="12" customFormat="1" x14ac:dyDescent="0.25">
      <c r="A32" s="214" t="s">
        <v>2766</v>
      </c>
      <c r="B32" s="64">
        <v>13.66</v>
      </c>
      <c r="C32" s="64">
        <v>21.6</v>
      </c>
      <c r="D32" s="64">
        <v>20.38</v>
      </c>
      <c r="E32" s="64">
        <v>3.73</v>
      </c>
      <c r="F32" s="64">
        <v>3.48</v>
      </c>
      <c r="G32" s="64">
        <v>12.61</v>
      </c>
      <c r="H32" s="64">
        <v>2.59</v>
      </c>
      <c r="I32" s="64">
        <v>4.2</v>
      </c>
      <c r="J32" s="210" t="s">
        <v>36</v>
      </c>
      <c r="K32" s="210" t="s">
        <v>36</v>
      </c>
      <c r="L32" s="210" t="s">
        <v>36</v>
      </c>
      <c r="M32" s="210" t="s">
        <v>36</v>
      </c>
      <c r="N32" s="210" t="s">
        <v>36</v>
      </c>
      <c r="O32" s="64">
        <v>0</v>
      </c>
      <c r="P32" s="64">
        <v>0.4</v>
      </c>
      <c r="Q32" s="64">
        <v>9.43</v>
      </c>
      <c r="R32" s="198"/>
      <c r="S32" s="198"/>
      <c r="T32" s="198"/>
      <c r="U32" s="198"/>
    </row>
    <row r="33" spans="1:21" s="12" customFormat="1" x14ac:dyDescent="0.25">
      <c r="A33" s="214" t="s">
        <v>2767</v>
      </c>
      <c r="B33" s="64">
        <v>14.06</v>
      </c>
      <c r="C33" s="64">
        <v>21.92</v>
      </c>
      <c r="D33" s="64">
        <v>20.39</v>
      </c>
      <c r="E33" s="64">
        <v>3.65</v>
      </c>
      <c r="F33" s="64">
        <v>3.83</v>
      </c>
      <c r="G33" s="64">
        <v>13.74</v>
      </c>
      <c r="H33" s="64">
        <v>2.56</v>
      </c>
      <c r="I33" s="64">
        <v>4.01</v>
      </c>
      <c r="J33" s="210" t="s">
        <v>36</v>
      </c>
      <c r="K33" s="210" t="s">
        <v>36</v>
      </c>
      <c r="L33" s="210" t="s">
        <v>36</v>
      </c>
      <c r="M33" s="210" t="s">
        <v>36</v>
      </c>
      <c r="N33" s="210" t="s">
        <v>36</v>
      </c>
      <c r="O33" s="64">
        <v>0</v>
      </c>
      <c r="P33" s="64">
        <v>0.33</v>
      </c>
      <c r="Q33" s="64">
        <v>9.4499999999999993</v>
      </c>
      <c r="R33" s="198"/>
      <c r="S33" s="198"/>
      <c r="T33" s="198"/>
      <c r="U33" s="198"/>
    </row>
    <row r="34" spans="1:21" s="12" customFormat="1" x14ac:dyDescent="0.25">
      <c r="A34" s="214" t="s">
        <v>2768</v>
      </c>
      <c r="B34" s="64">
        <v>14.54</v>
      </c>
      <c r="C34" s="64">
        <v>22.77</v>
      </c>
      <c r="D34" s="64">
        <v>21.26</v>
      </c>
      <c r="E34" s="64">
        <v>3.46</v>
      </c>
      <c r="F34" s="64">
        <v>3.59</v>
      </c>
      <c r="G34" s="64">
        <v>18.57</v>
      </c>
      <c r="H34" s="64">
        <v>2.39</v>
      </c>
      <c r="I34" s="64">
        <v>3.97</v>
      </c>
      <c r="J34" s="210" t="s">
        <v>36</v>
      </c>
      <c r="K34" s="210" t="s">
        <v>36</v>
      </c>
      <c r="L34" s="210" t="s">
        <v>36</v>
      </c>
      <c r="M34" s="210" t="s">
        <v>36</v>
      </c>
      <c r="N34" s="210" t="s">
        <v>36</v>
      </c>
      <c r="O34" s="64">
        <v>0</v>
      </c>
      <c r="P34" s="64">
        <v>0.27</v>
      </c>
      <c r="Q34" s="64">
        <v>9.4700000000000006</v>
      </c>
      <c r="R34" s="198"/>
      <c r="S34" s="198"/>
      <c r="T34" s="198"/>
      <c r="U34" s="198"/>
    </row>
    <row r="35" spans="1:21" s="12" customFormat="1" x14ac:dyDescent="0.25">
      <c r="A35" s="214" t="s">
        <v>2769</v>
      </c>
      <c r="B35" s="64">
        <v>15.03</v>
      </c>
      <c r="C35" s="64">
        <v>23.16</v>
      </c>
      <c r="D35" s="64">
        <v>21.25</v>
      </c>
      <c r="E35" s="64">
        <v>3.44</v>
      </c>
      <c r="F35" s="64">
        <v>3.45</v>
      </c>
      <c r="G35" s="64">
        <v>18.57</v>
      </c>
      <c r="H35" s="64">
        <v>2.39</v>
      </c>
      <c r="I35" s="64">
        <v>4.0199999999999996</v>
      </c>
      <c r="J35" s="210" t="s">
        <v>36</v>
      </c>
      <c r="K35" s="210" t="s">
        <v>36</v>
      </c>
      <c r="L35" s="210" t="s">
        <v>36</v>
      </c>
      <c r="M35" s="210" t="s">
        <v>36</v>
      </c>
      <c r="N35" s="210" t="s">
        <v>36</v>
      </c>
      <c r="O35" s="64">
        <v>0</v>
      </c>
      <c r="P35" s="64">
        <v>0.27</v>
      </c>
      <c r="Q35" s="64">
        <v>9.48</v>
      </c>
      <c r="R35" s="198"/>
      <c r="S35" s="198"/>
      <c r="T35" s="198"/>
      <c r="U35" s="198"/>
    </row>
    <row r="36" spans="1:21" s="12" customFormat="1" x14ac:dyDescent="0.25">
      <c r="A36" s="214" t="s">
        <v>2770</v>
      </c>
      <c r="B36" s="64">
        <v>15.35</v>
      </c>
      <c r="C36" s="64">
        <v>23.51</v>
      </c>
      <c r="D36" s="64">
        <v>21.44</v>
      </c>
      <c r="E36" s="64">
        <v>3.75</v>
      </c>
      <c r="F36" s="64">
        <v>3.72</v>
      </c>
      <c r="G36" s="64">
        <v>18.57</v>
      </c>
      <c r="H36" s="64">
        <v>2.39</v>
      </c>
      <c r="I36" s="64">
        <v>3.91</v>
      </c>
      <c r="J36" s="210" t="s">
        <v>36</v>
      </c>
      <c r="K36" s="210" t="s">
        <v>36</v>
      </c>
      <c r="L36" s="210" t="s">
        <v>36</v>
      </c>
      <c r="M36" s="210" t="s">
        <v>36</v>
      </c>
      <c r="N36" s="210" t="s">
        <v>36</v>
      </c>
      <c r="O36" s="64">
        <v>0</v>
      </c>
      <c r="P36" s="64">
        <v>0.26</v>
      </c>
      <c r="Q36" s="64">
        <v>9.5</v>
      </c>
      <c r="R36" s="198"/>
      <c r="S36" s="198"/>
      <c r="T36" s="198"/>
      <c r="U36" s="198"/>
    </row>
    <row r="37" spans="1:21" s="12" customFormat="1" x14ac:dyDescent="0.25">
      <c r="A37" s="214" t="s">
        <v>2771</v>
      </c>
      <c r="B37" s="64">
        <v>15.6</v>
      </c>
      <c r="C37" s="64">
        <v>22.93</v>
      </c>
      <c r="D37" s="64">
        <v>19.940000000000001</v>
      </c>
      <c r="E37" s="64">
        <v>3.57</v>
      </c>
      <c r="F37" s="64">
        <v>3.91</v>
      </c>
      <c r="G37" s="64">
        <v>18.79</v>
      </c>
      <c r="H37" s="64">
        <v>2.4900000000000002</v>
      </c>
      <c r="I37" s="64">
        <v>3.95</v>
      </c>
      <c r="J37" s="210" t="s">
        <v>36</v>
      </c>
      <c r="K37" s="210" t="s">
        <v>36</v>
      </c>
      <c r="L37" s="210" t="s">
        <v>36</v>
      </c>
      <c r="M37" s="210" t="s">
        <v>36</v>
      </c>
      <c r="N37" s="210" t="s">
        <v>36</v>
      </c>
      <c r="O37" s="64">
        <v>0</v>
      </c>
      <c r="P37" s="64">
        <v>0.26</v>
      </c>
      <c r="Q37" s="64">
        <v>9.52</v>
      </c>
      <c r="R37" s="198"/>
      <c r="S37" s="198"/>
      <c r="T37" s="198"/>
      <c r="U37" s="198"/>
    </row>
    <row r="38" spans="1:21" s="12" customFormat="1" x14ac:dyDescent="0.25">
      <c r="A38" s="214" t="s">
        <v>2772</v>
      </c>
      <c r="B38" s="64">
        <v>15.88</v>
      </c>
      <c r="C38" s="64">
        <v>22.66</v>
      </c>
      <c r="D38" s="64">
        <v>19</v>
      </c>
      <c r="E38" s="64">
        <v>3.45</v>
      </c>
      <c r="F38" s="64">
        <v>4.08</v>
      </c>
      <c r="G38" s="64">
        <v>19.75</v>
      </c>
      <c r="H38" s="64">
        <v>2.9</v>
      </c>
      <c r="I38" s="64">
        <v>3.99</v>
      </c>
      <c r="J38" s="210" t="s">
        <v>36</v>
      </c>
      <c r="K38" s="210" t="s">
        <v>36</v>
      </c>
      <c r="L38" s="210" t="s">
        <v>36</v>
      </c>
      <c r="M38" s="210" t="s">
        <v>36</v>
      </c>
      <c r="N38" s="210" t="s">
        <v>36</v>
      </c>
      <c r="O38" s="64">
        <v>0</v>
      </c>
      <c r="P38" s="64">
        <v>0.31</v>
      </c>
      <c r="Q38" s="64">
        <v>9.5399999999999991</v>
      </c>
      <c r="R38" s="198"/>
      <c r="S38" s="198"/>
      <c r="T38" s="198"/>
      <c r="U38" s="198"/>
    </row>
    <row r="39" spans="1:21" s="12" customFormat="1" x14ac:dyDescent="0.25">
      <c r="A39" s="214" t="s">
        <v>2773</v>
      </c>
      <c r="B39" s="64">
        <v>16</v>
      </c>
      <c r="C39" s="64">
        <v>22.56</v>
      </c>
      <c r="D39" s="64">
        <v>18.63</v>
      </c>
      <c r="E39" s="64">
        <v>3.78</v>
      </c>
      <c r="F39" s="64">
        <v>3.8</v>
      </c>
      <c r="G39" s="64">
        <v>19.75</v>
      </c>
      <c r="H39" s="64">
        <v>2.9</v>
      </c>
      <c r="I39" s="64">
        <v>3.97</v>
      </c>
      <c r="J39" s="210" t="s">
        <v>36</v>
      </c>
      <c r="K39" s="210" t="s">
        <v>36</v>
      </c>
      <c r="L39" s="210" t="s">
        <v>36</v>
      </c>
      <c r="M39" s="210" t="s">
        <v>36</v>
      </c>
      <c r="N39" s="210" t="s">
        <v>36</v>
      </c>
      <c r="O39" s="64">
        <v>0</v>
      </c>
      <c r="P39" s="64">
        <v>0.26</v>
      </c>
      <c r="Q39" s="64">
        <v>9.5500000000000007</v>
      </c>
      <c r="R39" s="198"/>
      <c r="S39" s="198"/>
      <c r="T39" s="198"/>
      <c r="U39" s="198"/>
    </row>
    <row r="40" spans="1:21" s="12" customFormat="1" x14ac:dyDescent="0.25">
      <c r="A40" s="214" t="s">
        <v>2774</v>
      </c>
      <c r="B40" s="64">
        <v>16.05</v>
      </c>
      <c r="C40" s="64">
        <v>22.46</v>
      </c>
      <c r="D40" s="64">
        <v>18.34</v>
      </c>
      <c r="E40" s="64">
        <v>4.01</v>
      </c>
      <c r="F40" s="64">
        <v>3.59</v>
      </c>
      <c r="G40" s="64">
        <v>19.75</v>
      </c>
      <c r="H40" s="64">
        <v>2.9</v>
      </c>
      <c r="I40" s="64">
        <v>4.04</v>
      </c>
      <c r="J40" s="210" t="s">
        <v>36</v>
      </c>
      <c r="K40" s="210" t="s">
        <v>36</v>
      </c>
      <c r="L40" s="210" t="s">
        <v>36</v>
      </c>
      <c r="M40" s="210" t="s">
        <v>36</v>
      </c>
      <c r="N40" s="210" t="s">
        <v>36</v>
      </c>
      <c r="O40" s="64">
        <v>0</v>
      </c>
      <c r="P40" s="64">
        <v>0.25</v>
      </c>
      <c r="Q40" s="64">
        <v>9.56</v>
      </c>
      <c r="R40" s="198"/>
      <c r="S40" s="198"/>
      <c r="T40" s="198"/>
      <c r="U40" s="198"/>
    </row>
    <row r="41" spans="1:21" s="12" customFormat="1" x14ac:dyDescent="0.25">
      <c r="A41" s="214" t="s">
        <v>2775</v>
      </c>
      <c r="B41" s="64">
        <v>16.07</v>
      </c>
      <c r="C41" s="64">
        <v>22.41</v>
      </c>
      <c r="D41" s="64">
        <v>18.22</v>
      </c>
      <c r="E41" s="64">
        <v>4.5</v>
      </c>
      <c r="F41" s="64">
        <v>3.9</v>
      </c>
      <c r="G41" s="64">
        <v>19.489999999999998</v>
      </c>
      <c r="H41" s="64">
        <v>2.77</v>
      </c>
      <c r="I41" s="64">
        <v>3.97</v>
      </c>
      <c r="J41" s="210" t="s">
        <v>36</v>
      </c>
      <c r="K41" s="210" t="s">
        <v>36</v>
      </c>
      <c r="L41" s="210" t="s">
        <v>36</v>
      </c>
      <c r="M41" s="210" t="s">
        <v>36</v>
      </c>
      <c r="N41" s="210" t="s">
        <v>36</v>
      </c>
      <c r="O41" s="64">
        <v>0</v>
      </c>
      <c r="P41" s="64">
        <v>0.36</v>
      </c>
      <c r="Q41" s="64">
        <v>9.5500000000000007</v>
      </c>
      <c r="R41" s="198"/>
      <c r="S41" s="198"/>
      <c r="T41" s="198"/>
      <c r="U41" s="198"/>
    </row>
    <row r="42" spans="1:21" s="12" customFormat="1" x14ac:dyDescent="0.25">
      <c r="A42" s="214" t="s">
        <v>2776</v>
      </c>
      <c r="B42" s="64">
        <v>16</v>
      </c>
      <c r="C42" s="64">
        <v>22.17</v>
      </c>
      <c r="D42" s="64">
        <v>17.87</v>
      </c>
      <c r="E42" s="64">
        <v>4.28</v>
      </c>
      <c r="F42" s="64">
        <v>3.53</v>
      </c>
      <c r="G42" s="64">
        <v>18.37</v>
      </c>
      <c r="H42" s="64">
        <v>2.27</v>
      </c>
      <c r="I42" s="64">
        <v>4</v>
      </c>
      <c r="J42" s="210" t="s">
        <v>36</v>
      </c>
      <c r="K42" s="210" t="s">
        <v>36</v>
      </c>
      <c r="L42" s="210" t="s">
        <v>36</v>
      </c>
      <c r="M42" s="210" t="s">
        <v>36</v>
      </c>
      <c r="N42" s="210" t="s">
        <v>36</v>
      </c>
      <c r="O42" s="64">
        <v>0</v>
      </c>
      <c r="P42" s="64">
        <v>0.33</v>
      </c>
      <c r="Q42" s="64">
        <v>9.5399999999999991</v>
      </c>
      <c r="R42" s="198"/>
      <c r="S42" s="198"/>
      <c r="T42" s="198"/>
      <c r="U42" s="198"/>
    </row>
    <row r="43" spans="1:21" s="12" customFormat="1" x14ac:dyDescent="0.25">
      <c r="A43" s="214" t="s">
        <v>2777</v>
      </c>
      <c r="B43" s="64">
        <v>16.18</v>
      </c>
      <c r="C43" s="64">
        <v>22.35</v>
      </c>
      <c r="D43" s="64">
        <v>17.96</v>
      </c>
      <c r="E43" s="64">
        <v>4.37</v>
      </c>
      <c r="F43" s="64">
        <v>3.59</v>
      </c>
      <c r="G43" s="64">
        <v>18.37</v>
      </c>
      <c r="H43" s="64">
        <v>2.27</v>
      </c>
      <c r="I43" s="64">
        <v>3.79</v>
      </c>
      <c r="J43" s="210" t="s">
        <v>36</v>
      </c>
      <c r="K43" s="210" t="s">
        <v>36</v>
      </c>
      <c r="L43" s="210" t="s">
        <v>36</v>
      </c>
      <c r="M43" s="210" t="s">
        <v>36</v>
      </c>
      <c r="N43" s="210" t="s">
        <v>36</v>
      </c>
      <c r="O43" s="64">
        <v>0</v>
      </c>
      <c r="P43" s="64">
        <v>0.36</v>
      </c>
      <c r="Q43" s="64">
        <v>9.5500000000000007</v>
      </c>
      <c r="R43" s="198"/>
      <c r="S43" s="198"/>
      <c r="T43" s="198"/>
      <c r="U43" s="198"/>
    </row>
    <row r="44" spans="1:21" s="12" customFormat="1" x14ac:dyDescent="0.25">
      <c r="A44" s="214" t="s">
        <v>2778</v>
      </c>
      <c r="B44" s="64">
        <v>16.64</v>
      </c>
      <c r="C44" s="64">
        <v>23.44</v>
      </c>
      <c r="D44" s="64">
        <v>19.329999999999998</v>
      </c>
      <c r="E44" s="64">
        <v>4.3099999999999996</v>
      </c>
      <c r="F44" s="64">
        <v>3.58</v>
      </c>
      <c r="G44" s="64">
        <v>18.37</v>
      </c>
      <c r="H44" s="64">
        <v>2.27</v>
      </c>
      <c r="I44" s="64">
        <v>4.22</v>
      </c>
      <c r="J44" s="210" t="s">
        <v>36</v>
      </c>
      <c r="K44" s="210" t="s">
        <v>36</v>
      </c>
      <c r="L44" s="210" t="s">
        <v>36</v>
      </c>
      <c r="M44" s="210" t="s">
        <v>36</v>
      </c>
      <c r="N44" s="210" t="s">
        <v>36</v>
      </c>
      <c r="O44" s="64">
        <v>0</v>
      </c>
      <c r="P44" s="64">
        <v>0.35</v>
      </c>
      <c r="Q44" s="64">
        <v>9.5500000000000007</v>
      </c>
      <c r="R44" s="198"/>
      <c r="S44" s="198"/>
      <c r="T44" s="198"/>
      <c r="U44" s="198"/>
    </row>
    <row r="45" spans="1:21" s="12" customFormat="1" x14ac:dyDescent="0.25">
      <c r="A45" s="214" t="s">
        <v>2779</v>
      </c>
      <c r="B45" s="64">
        <v>17.12</v>
      </c>
      <c r="C45" s="64">
        <v>25.5</v>
      </c>
      <c r="D45" s="64">
        <v>22.53</v>
      </c>
      <c r="E45" s="64">
        <v>4.1900000000000004</v>
      </c>
      <c r="F45" s="64">
        <v>3.22</v>
      </c>
      <c r="G45" s="64">
        <v>20.100000000000001</v>
      </c>
      <c r="H45" s="64">
        <v>2.69</v>
      </c>
      <c r="I45" s="64">
        <v>4.04</v>
      </c>
      <c r="J45" s="210" t="s">
        <v>36</v>
      </c>
      <c r="K45" s="210" t="s">
        <v>36</v>
      </c>
      <c r="L45" s="210" t="s">
        <v>36</v>
      </c>
      <c r="M45" s="210" t="s">
        <v>36</v>
      </c>
      <c r="N45" s="210" t="s">
        <v>36</v>
      </c>
      <c r="O45" s="64">
        <v>0</v>
      </c>
      <c r="P45" s="64">
        <v>0.35</v>
      </c>
      <c r="Q45" s="64">
        <v>9.5500000000000007</v>
      </c>
      <c r="R45" s="198"/>
      <c r="S45" s="198"/>
      <c r="T45" s="198"/>
      <c r="U45" s="198"/>
    </row>
    <row r="46" spans="1:21" s="12" customFormat="1" x14ac:dyDescent="0.25">
      <c r="A46" s="214" t="s">
        <v>2780</v>
      </c>
      <c r="B46" s="64">
        <v>16.93</v>
      </c>
      <c r="C46" s="64">
        <v>25.42</v>
      </c>
      <c r="D46" s="64">
        <v>22.68</v>
      </c>
      <c r="E46" s="64">
        <v>4.58</v>
      </c>
      <c r="F46" s="64">
        <v>3.36</v>
      </c>
      <c r="G46" s="64">
        <v>27.55</v>
      </c>
      <c r="H46" s="64">
        <v>4.51</v>
      </c>
      <c r="I46" s="64">
        <v>3.77</v>
      </c>
      <c r="J46" s="210" t="s">
        <v>36</v>
      </c>
      <c r="K46" s="210" t="s">
        <v>36</v>
      </c>
      <c r="L46" s="210" t="s">
        <v>36</v>
      </c>
      <c r="M46" s="210" t="s">
        <v>36</v>
      </c>
      <c r="N46" s="210" t="s">
        <v>36</v>
      </c>
      <c r="O46" s="64">
        <v>0</v>
      </c>
      <c r="P46" s="64">
        <v>0.35</v>
      </c>
      <c r="Q46" s="64">
        <v>9.56</v>
      </c>
      <c r="R46" s="198"/>
      <c r="S46" s="198"/>
      <c r="T46" s="198"/>
      <c r="U46" s="198"/>
    </row>
    <row r="47" spans="1:21" s="12" customFormat="1" x14ac:dyDescent="0.25">
      <c r="A47" s="214" t="s">
        <v>2781</v>
      </c>
      <c r="B47" s="64">
        <v>16.670000000000002</v>
      </c>
      <c r="C47" s="64">
        <v>25.77</v>
      </c>
      <c r="D47" s="64">
        <v>23.73</v>
      </c>
      <c r="E47" s="64">
        <v>4.3600000000000003</v>
      </c>
      <c r="F47" s="64">
        <v>3.43</v>
      </c>
      <c r="G47" s="64">
        <v>27.55</v>
      </c>
      <c r="H47" s="64">
        <v>4.51</v>
      </c>
      <c r="I47" s="64">
        <v>4.1100000000000003</v>
      </c>
      <c r="J47" s="210" t="s">
        <v>36</v>
      </c>
      <c r="K47" s="210" t="s">
        <v>36</v>
      </c>
      <c r="L47" s="210" t="s">
        <v>36</v>
      </c>
      <c r="M47" s="210" t="s">
        <v>36</v>
      </c>
      <c r="N47" s="210" t="s">
        <v>36</v>
      </c>
      <c r="O47" s="64">
        <v>0</v>
      </c>
      <c r="P47" s="64">
        <v>0.37</v>
      </c>
      <c r="Q47" s="64">
        <v>9.57</v>
      </c>
      <c r="R47" s="198"/>
      <c r="S47" s="198"/>
      <c r="T47" s="198"/>
      <c r="U47" s="198"/>
    </row>
    <row r="48" spans="1:21" s="12" customFormat="1" x14ac:dyDescent="0.25">
      <c r="A48" s="214" t="s">
        <v>2782</v>
      </c>
      <c r="B48" s="64">
        <v>16.61</v>
      </c>
      <c r="C48" s="64">
        <v>26.34</v>
      </c>
      <c r="D48" s="64">
        <v>24.91</v>
      </c>
      <c r="E48" s="64">
        <v>4.5</v>
      </c>
      <c r="F48" s="64">
        <v>3.26</v>
      </c>
      <c r="G48" s="64">
        <v>27.55</v>
      </c>
      <c r="H48" s="64">
        <v>4.51</v>
      </c>
      <c r="I48" s="64">
        <v>4.03</v>
      </c>
      <c r="J48" s="210" t="s">
        <v>36</v>
      </c>
      <c r="K48" s="210" t="s">
        <v>36</v>
      </c>
      <c r="L48" s="210" t="s">
        <v>36</v>
      </c>
      <c r="M48" s="210" t="s">
        <v>36</v>
      </c>
      <c r="N48" s="210" t="s">
        <v>36</v>
      </c>
      <c r="O48" s="64">
        <v>0</v>
      </c>
      <c r="P48" s="64">
        <v>0.45</v>
      </c>
      <c r="Q48" s="64">
        <v>9.56</v>
      </c>
      <c r="R48" s="198"/>
      <c r="S48" s="198"/>
      <c r="T48" s="198"/>
      <c r="U48" s="198"/>
    </row>
    <row r="49" spans="1:21" s="12" customFormat="1" x14ac:dyDescent="0.25">
      <c r="A49" s="214" t="s">
        <v>2783</v>
      </c>
      <c r="B49" s="64">
        <v>16.260000000000002</v>
      </c>
      <c r="C49" s="64">
        <v>25.93</v>
      </c>
      <c r="D49" s="64">
        <v>24.66</v>
      </c>
      <c r="E49" s="64">
        <v>4.32</v>
      </c>
      <c r="F49" s="64">
        <v>3.41</v>
      </c>
      <c r="G49" s="64">
        <v>29.21</v>
      </c>
      <c r="H49" s="64">
        <v>5.31</v>
      </c>
      <c r="I49" s="64">
        <v>4.03</v>
      </c>
      <c r="J49" s="210" t="s">
        <v>36</v>
      </c>
      <c r="K49" s="210" t="s">
        <v>36</v>
      </c>
      <c r="L49" s="210" t="s">
        <v>36</v>
      </c>
      <c r="M49" s="210" t="s">
        <v>36</v>
      </c>
      <c r="N49" s="210" t="s">
        <v>36</v>
      </c>
      <c r="O49" s="64">
        <v>0</v>
      </c>
      <c r="P49" s="64">
        <v>0.44</v>
      </c>
      <c r="Q49" s="64">
        <v>9.5500000000000007</v>
      </c>
      <c r="R49" s="198"/>
      <c r="S49" s="198"/>
      <c r="T49" s="198"/>
      <c r="U49" s="198"/>
    </row>
    <row r="50" spans="1:21" s="12" customFormat="1" x14ac:dyDescent="0.25">
      <c r="A50" s="214" t="s">
        <v>2784</v>
      </c>
      <c r="B50" s="64">
        <v>16.32</v>
      </c>
      <c r="C50" s="64">
        <v>26.99</v>
      </c>
      <c r="D50" s="64">
        <v>26.61</v>
      </c>
      <c r="E50" s="64">
        <v>4.26</v>
      </c>
      <c r="F50" s="64">
        <v>3.21</v>
      </c>
      <c r="G50" s="64">
        <v>36.35</v>
      </c>
      <c r="H50" s="64">
        <v>8.7200000000000006</v>
      </c>
      <c r="I50" s="64">
        <v>4.0999999999999996</v>
      </c>
      <c r="J50" s="210" t="s">
        <v>36</v>
      </c>
      <c r="K50" s="210" t="s">
        <v>36</v>
      </c>
      <c r="L50" s="210" t="s">
        <v>36</v>
      </c>
      <c r="M50" s="210" t="s">
        <v>36</v>
      </c>
      <c r="N50" s="210" t="s">
        <v>36</v>
      </c>
      <c r="O50" s="64">
        <v>0</v>
      </c>
      <c r="P50" s="64">
        <v>0.53</v>
      </c>
      <c r="Q50" s="64">
        <v>9.57</v>
      </c>
      <c r="R50" s="198"/>
      <c r="S50" s="198"/>
      <c r="T50" s="198"/>
      <c r="U50" s="198"/>
    </row>
    <row r="51" spans="1:21" s="12" customFormat="1" x14ac:dyDescent="0.25">
      <c r="A51" s="214" t="s">
        <v>2785</v>
      </c>
      <c r="B51" s="64">
        <v>16.600000000000001</v>
      </c>
      <c r="C51" s="64">
        <v>27.21</v>
      </c>
      <c r="D51" s="64">
        <v>26.59</v>
      </c>
      <c r="E51" s="64">
        <v>4.22</v>
      </c>
      <c r="F51" s="64">
        <v>3.21</v>
      </c>
      <c r="G51" s="64">
        <v>36.35</v>
      </c>
      <c r="H51" s="64">
        <v>8.7200000000000006</v>
      </c>
      <c r="I51" s="64">
        <v>3.98</v>
      </c>
      <c r="J51" s="210" t="s">
        <v>36</v>
      </c>
      <c r="K51" s="210" t="s">
        <v>36</v>
      </c>
      <c r="L51" s="210" t="s">
        <v>36</v>
      </c>
      <c r="M51" s="210" t="s">
        <v>36</v>
      </c>
      <c r="N51" s="210" t="s">
        <v>36</v>
      </c>
      <c r="O51" s="64">
        <v>0</v>
      </c>
      <c r="P51" s="64">
        <v>0.43</v>
      </c>
      <c r="Q51" s="64">
        <v>9.58</v>
      </c>
      <c r="R51" s="198"/>
      <c r="S51" s="198"/>
      <c r="T51" s="198"/>
      <c r="U51" s="198"/>
    </row>
    <row r="52" spans="1:21" s="12" customFormat="1" x14ac:dyDescent="0.25">
      <c r="A52" s="214" t="s">
        <v>2786</v>
      </c>
      <c r="B52" s="64">
        <v>16.38</v>
      </c>
      <c r="C52" s="64">
        <v>26.67</v>
      </c>
      <c r="D52" s="64">
        <v>25.9</v>
      </c>
      <c r="E52" s="64">
        <v>4.29</v>
      </c>
      <c r="F52" s="64">
        <v>3.22</v>
      </c>
      <c r="G52" s="64">
        <v>36.35</v>
      </c>
      <c r="H52" s="64">
        <v>8.7200000000000006</v>
      </c>
      <c r="I52" s="64">
        <v>4.1399999999999997</v>
      </c>
      <c r="J52" s="210" t="s">
        <v>36</v>
      </c>
      <c r="K52" s="210" t="s">
        <v>36</v>
      </c>
      <c r="L52" s="210" t="s">
        <v>36</v>
      </c>
      <c r="M52" s="210" t="s">
        <v>36</v>
      </c>
      <c r="N52" s="210" t="s">
        <v>36</v>
      </c>
      <c r="O52" s="64">
        <v>0</v>
      </c>
      <c r="P52" s="64">
        <v>0.44</v>
      </c>
      <c r="Q52" s="64">
        <v>9.58</v>
      </c>
      <c r="R52" s="198"/>
      <c r="S52" s="198"/>
      <c r="T52" s="198"/>
      <c r="U52" s="198"/>
    </row>
    <row r="53" spans="1:21" s="12" customFormat="1" x14ac:dyDescent="0.25">
      <c r="A53" s="214" t="s">
        <v>2787</v>
      </c>
      <c r="B53" s="64">
        <v>15.71</v>
      </c>
      <c r="C53" s="64">
        <v>27.19</v>
      </c>
      <c r="D53" s="64">
        <v>27.92</v>
      </c>
      <c r="E53" s="64">
        <v>4.3</v>
      </c>
      <c r="F53" s="64">
        <v>3.03</v>
      </c>
      <c r="G53" s="64">
        <v>35.94</v>
      </c>
      <c r="H53" s="64">
        <v>8.49</v>
      </c>
      <c r="I53" s="64">
        <v>3.88</v>
      </c>
      <c r="J53" s="210" t="s">
        <v>36</v>
      </c>
      <c r="K53" s="210" t="s">
        <v>36</v>
      </c>
      <c r="L53" s="210" t="s">
        <v>36</v>
      </c>
      <c r="M53" s="210" t="s">
        <v>36</v>
      </c>
      <c r="N53" s="210" t="s">
        <v>36</v>
      </c>
      <c r="O53" s="64">
        <v>0</v>
      </c>
      <c r="P53" s="64">
        <v>0.43</v>
      </c>
      <c r="Q53" s="64">
        <v>9.59</v>
      </c>
      <c r="R53" s="198"/>
      <c r="S53" s="198"/>
      <c r="T53" s="198"/>
      <c r="U53" s="198"/>
    </row>
    <row r="54" spans="1:21" s="12" customFormat="1" x14ac:dyDescent="0.25">
      <c r="A54" s="214" t="s">
        <v>2788</v>
      </c>
      <c r="B54" s="64">
        <v>11.52</v>
      </c>
      <c r="C54" s="64">
        <v>25.23</v>
      </c>
      <c r="D54" s="64">
        <v>30.61</v>
      </c>
      <c r="E54" s="64">
        <v>4.28</v>
      </c>
      <c r="F54" s="64">
        <v>4.09</v>
      </c>
      <c r="G54" s="64">
        <v>34.21</v>
      </c>
      <c r="H54" s="64">
        <v>7.5</v>
      </c>
      <c r="I54" s="64">
        <v>3.86</v>
      </c>
      <c r="J54" s="210" t="s">
        <v>36</v>
      </c>
      <c r="K54" s="210" t="s">
        <v>36</v>
      </c>
      <c r="L54" s="210" t="s">
        <v>36</v>
      </c>
      <c r="M54" s="210" t="s">
        <v>36</v>
      </c>
      <c r="N54" s="210" t="s">
        <v>36</v>
      </c>
      <c r="O54" s="64">
        <v>0</v>
      </c>
      <c r="P54" s="64">
        <v>0.51</v>
      </c>
      <c r="Q54" s="64">
        <v>9.5299999999999994</v>
      </c>
      <c r="R54" s="198"/>
      <c r="S54" s="198"/>
      <c r="T54" s="198"/>
      <c r="U54" s="198"/>
    </row>
    <row r="55" spans="1:21" s="12" customFormat="1" x14ac:dyDescent="0.25">
      <c r="A55" s="214" t="s">
        <v>2789</v>
      </c>
      <c r="B55" s="64">
        <v>6.98</v>
      </c>
      <c r="C55" s="64">
        <v>24.16</v>
      </c>
      <c r="D55" s="64">
        <v>35.53</v>
      </c>
      <c r="E55" s="64">
        <v>4.37</v>
      </c>
      <c r="F55" s="64">
        <v>5.58</v>
      </c>
      <c r="G55" s="64">
        <v>34.21</v>
      </c>
      <c r="H55" s="64">
        <v>7.5</v>
      </c>
      <c r="I55" s="64">
        <v>4.0999999999999996</v>
      </c>
      <c r="J55" s="210" t="s">
        <v>36</v>
      </c>
      <c r="K55" s="210" t="s">
        <v>36</v>
      </c>
      <c r="L55" s="64">
        <v>38.68</v>
      </c>
      <c r="M55" s="64">
        <v>72.78</v>
      </c>
      <c r="N55" s="64">
        <v>799.4</v>
      </c>
      <c r="O55" s="64">
        <v>0</v>
      </c>
      <c r="P55" s="64">
        <v>0.41</v>
      </c>
      <c r="Q55" s="64">
        <v>9.39</v>
      </c>
      <c r="R55" s="198"/>
      <c r="S55" s="198"/>
      <c r="T55" s="198"/>
      <c r="U55" s="198"/>
    </row>
    <row r="56" spans="1:21" s="12" customFormat="1" x14ac:dyDescent="0.25">
      <c r="A56" s="214" t="s">
        <v>2790</v>
      </c>
      <c r="B56" s="64">
        <v>7.38</v>
      </c>
      <c r="C56" s="64">
        <v>23.55</v>
      </c>
      <c r="D56" s="64">
        <v>33.75</v>
      </c>
      <c r="E56" s="64">
        <v>4.8</v>
      </c>
      <c r="F56" s="64">
        <v>11.48</v>
      </c>
      <c r="G56" s="64">
        <v>34.21</v>
      </c>
      <c r="H56" s="64">
        <v>7.5</v>
      </c>
      <c r="I56" s="64">
        <v>4.17</v>
      </c>
      <c r="J56" s="64">
        <v>0.26</v>
      </c>
      <c r="K56" s="64">
        <v>269.61</v>
      </c>
      <c r="L56" s="64">
        <v>38.51</v>
      </c>
      <c r="M56" s="64">
        <v>71.81</v>
      </c>
      <c r="N56" s="64">
        <v>769.2</v>
      </c>
      <c r="O56" s="64">
        <v>0</v>
      </c>
      <c r="P56" s="64">
        <v>0.46</v>
      </c>
      <c r="Q56" s="64">
        <v>9.24</v>
      </c>
      <c r="R56" s="198"/>
      <c r="S56" s="198"/>
      <c r="T56" s="198"/>
      <c r="U56" s="198"/>
    </row>
    <row r="57" spans="1:21" s="12" customFormat="1" x14ac:dyDescent="0.25">
      <c r="A57" s="214" t="s">
        <v>2791</v>
      </c>
      <c r="B57" s="64">
        <v>5.8</v>
      </c>
      <c r="C57" s="64">
        <v>20.440000000000001</v>
      </c>
      <c r="D57" s="64">
        <v>30.22</v>
      </c>
      <c r="E57" s="64">
        <v>4.97</v>
      </c>
      <c r="F57" s="64">
        <v>16.190000000000001</v>
      </c>
      <c r="G57" s="64">
        <v>33.1</v>
      </c>
      <c r="H57" s="64">
        <v>7.07</v>
      </c>
      <c r="I57" s="64">
        <v>4.0199999999999996</v>
      </c>
      <c r="J57" s="64">
        <v>0.17</v>
      </c>
      <c r="K57" s="64">
        <v>310.13</v>
      </c>
      <c r="L57" s="64">
        <v>34.15</v>
      </c>
      <c r="M57" s="64">
        <v>71.400000000000006</v>
      </c>
      <c r="N57" s="64">
        <v>690.2</v>
      </c>
      <c r="O57" s="64">
        <v>0</v>
      </c>
      <c r="P57" s="64">
        <v>0.38</v>
      </c>
      <c r="Q57" s="64">
        <v>9.18</v>
      </c>
      <c r="R57" s="198"/>
      <c r="S57" s="198"/>
      <c r="T57" s="198"/>
      <c r="U57" s="198"/>
    </row>
    <row r="58" spans="1:21" s="12" customFormat="1" x14ac:dyDescent="0.25">
      <c r="A58" s="214" t="s">
        <v>2792</v>
      </c>
      <c r="B58" s="64">
        <v>6.38</v>
      </c>
      <c r="C58" s="64">
        <v>22.63</v>
      </c>
      <c r="D58" s="64">
        <v>33.520000000000003</v>
      </c>
      <c r="E58" s="64">
        <v>4.91</v>
      </c>
      <c r="F58" s="64">
        <v>14.59</v>
      </c>
      <c r="G58" s="64">
        <v>29.75</v>
      </c>
      <c r="H58" s="64">
        <v>5.25</v>
      </c>
      <c r="I58" s="64">
        <v>4.01</v>
      </c>
      <c r="J58" s="64">
        <v>0.27</v>
      </c>
      <c r="K58" s="64">
        <v>300.06</v>
      </c>
      <c r="L58" s="64">
        <v>33.92</v>
      </c>
      <c r="M58" s="64">
        <v>67.64</v>
      </c>
      <c r="N58" s="64">
        <v>693</v>
      </c>
      <c r="O58" s="64">
        <v>0</v>
      </c>
      <c r="P58" s="64">
        <v>0.41</v>
      </c>
      <c r="Q58" s="64">
        <v>9.17</v>
      </c>
      <c r="R58" s="198"/>
      <c r="S58" s="198"/>
      <c r="T58" s="198"/>
      <c r="U58" s="198"/>
    </row>
    <row r="59" spans="1:21" s="12" customFormat="1" x14ac:dyDescent="0.25">
      <c r="A59" s="214" t="s">
        <v>2793</v>
      </c>
      <c r="B59" s="64">
        <v>5.12</v>
      </c>
      <c r="C59" s="64">
        <v>20.190000000000001</v>
      </c>
      <c r="D59" s="64">
        <v>30.77</v>
      </c>
      <c r="E59" s="64">
        <v>4.67</v>
      </c>
      <c r="F59" s="64">
        <v>13.15</v>
      </c>
      <c r="G59" s="64">
        <v>29.75</v>
      </c>
      <c r="H59" s="64">
        <v>5.25</v>
      </c>
      <c r="I59" s="64">
        <v>3.93</v>
      </c>
      <c r="J59" s="64">
        <v>0.45</v>
      </c>
      <c r="K59" s="64">
        <v>303.08999999999997</v>
      </c>
      <c r="L59" s="64">
        <v>34.479999999999997</v>
      </c>
      <c r="M59" s="64">
        <v>65.97</v>
      </c>
      <c r="N59" s="64">
        <v>576.5</v>
      </c>
      <c r="O59" s="64">
        <v>0</v>
      </c>
      <c r="P59" s="64">
        <v>0.38</v>
      </c>
      <c r="Q59" s="64">
        <v>9.17</v>
      </c>
      <c r="R59" s="198"/>
      <c r="S59" s="198"/>
      <c r="T59" s="198"/>
      <c r="U59" s="198"/>
    </row>
    <row r="60" spans="1:21" s="12" customFormat="1" x14ac:dyDescent="0.25">
      <c r="A60" s="214" t="s">
        <v>2794</v>
      </c>
      <c r="B60" s="64">
        <v>5.32</v>
      </c>
      <c r="C60" s="64">
        <v>20.3</v>
      </c>
      <c r="D60" s="64">
        <v>30.7</v>
      </c>
      <c r="E60" s="64">
        <v>4.72</v>
      </c>
      <c r="F60" s="64">
        <v>18</v>
      </c>
      <c r="G60" s="64">
        <v>29.75</v>
      </c>
      <c r="H60" s="64">
        <v>5.25</v>
      </c>
      <c r="I60" s="64">
        <v>4.08</v>
      </c>
      <c r="J60" s="64">
        <v>0.28999999999999998</v>
      </c>
      <c r="K60" s="64">
        <v>280.82</v>
      </c>
      <c r="L60" s="64">
        <v>33.369999999999997</v>
      </c>
      <c r="M60" s="64">
        <v>68.7</v>
      </c>
      <c r="N60" s="64">
        <v>389.4</v>
      </c>
      <c r="O60" s="64">
        <v>0</v>
      </c>
      <c r="P60" s="64">
        <v>0.39</v>
      </c>
      <c r="Q60" s="64">
        <v>9.16</v>
      </c>
      <c r="R60" s="198"/>
      <c r="S60" s="198"/>
      <c r="T60" s="198"/>
      <c r="U60" s="198"/>
    </row>
    <row r="61" spans="1:21" s="12" customFormat="1" x14ac:dyDescent="0.25">
      <c r="A61" s="214" t="s">
        <v>2795</v>
      </c>
      <c r="B61" s="64">
        <v>6.99</v>
      </c>
      <c r="C61" s="64">
        <v>20.51</v>
      </c>
      <c r="D61" s="64">
        <v>28.53</v>
      </c>
      <c r="E61" s="64">
        <v>4.7699999999999996</v>
      </c>
      <c r="F61" s="64">
        <v>11.72</v>
      </c>
      <c r="G61" s="64">
        <v>32.200000000000003</v>
      </c>
      <c r="H61" s="64">
        <v>5.84</v>
      </c>
      <c r="I61" s="64">
        <v>4.01</v>
      </c>
      <c r="J61" s="64">
        <v>0.54</v>
      </c>
      <c r="K61" s="64">
        <v>314.82</v>
      </c>
      <c r="L61" s="64">
        <v>33.24</v>
      </c>
      <c r="M61" s="64">
        <v>69.13</v>
      </c>
      <c r="N61" s="64">
        <v>275.10000000000002</v>
      </c>
      <c r="O61" s="64">
        <v>0</v>
      </c>
      <c r="P61" s="64">
        <v>0.41</v>
      </c>
      <c r="Q61" s="64">
        <v>9.16</v>
      </c>
      <c r="R61" s="198"/>
      <c r="S61" s="198"/>
      <c r="T61" s="198"/>
      <c r="U61" s="198"/>
    </row>
    <row r="62" spans="1:21" s="12" customFormat="1" x14ac:dyDescent="0.25">
      <c r="A62" s="214" t="s">
        <v>2796</v>
      </c>
      <c r="B62" s="64">
        <v>6.37</v>
      </c>
      <c r="C62" s="64">
        <v>21.85</v>
      </c>
      <c r="D62" s="64">
        <v>32.049999999999997</v>
      </c>
      <c r="E62" s="64">
        <v>4.5</v>
      </c>
      <c r="F62" s="64">
        <v>17.399999999999999</v>
      </c>
      <c r="G62" s="64">
        <v>42.73</v>
      </c>
      <c r="H62" s="64">
        <v>8.4</v>
      </c>
      <c r="I62" s="64">
        <v>4.0599999999999996</v>
      </c>
      <c r="J62" s="64">
        <v>0.34</v>
      </c>
      <c r="K62" s="64">
        <v>326.7</v>
      </c>
      <c r="L62" s="64">
        <v>33.950000000000003</v>
      </c>
      <c r="M62" s="64">
        <v>65.349999999999994</v>
      </c>
      <c r="N62" s="64">
        <v>418.6</v>
      </c>
      <c r="O62" s="64">
        <v>0</v>
      </c>
      <c r="P62" s="64">
        <v>0.42</v>
      </c>
      <c r="Q62" s="64">
        <v>9.17</v>
      </c>
      <c r="R62" s="198"/>
      <c r="S62" s="198"/>
      <c r="T62" s="198"/>
      <c r="U62" s="198"/>
    </row>
    <row r="63" spans="1:21" s="12" customFormat="1" x14ac:dyDescent="0.25">
      <c r="A63" s="214" t="s">
        <v>2797</v>
      </c>
      <c r="B63" s="64">
        <v>5.64</v>
      </c>
      <c r="C63" s="64">
        <v>21.23</v>
      </c>
      <c r="D63" s="64">
        <v>31.99</v>
      </c>
      <c r="E63" s="64">
        <v>6.16</v>
      </c>
      <c r="F63" s="64">
        <v>18.91</v>
      </c>
      <c r="G63" s="64">
        <v>42.73</v>
      </c>
      <c r="H63" s="64">
        <v>8.4</v>
      </c>
      <c r="I63" s="64">
        <v>4.0199999999999996</v>
      </c>
      <c r="J63" s="64">
        <v>0.18</v>
      </c>
      <c r="K63" s="64">
        <v>306.39</v>
      </c>
      <c r="L63" s="64">
        <v>33.85</v>
      </c>
      <c r="M63" s="64">
        <v>63</v>
      </c>
      <c r="N63" s="64">
        <v>407.5</v>
      </c>
      <c r="O63" s="64">
        <v>0</v>
      </c>
      <c r="P63" s="64">
        <v>0.39</v>
      </c>
      <c r="Q63" s="64">
        <v>9.18</v>
      </c>
      <c r="R63" s="198"/>
      <c r="S63" s="198"/>
      <c r="T63" s="198"/>
      <c r="U63" s="198"/>
    </row>
    <row r="64" spans="1:21" s="12" customFormat="1" x14ac:dyDescent="0.25">
      <c r="A64" s="214" t="s">
        <v>2798</v>
      </c>
      <c r="B64" s="64">
        <v>7.47</v>
      </c>
      <c r="C64" s="64">
        <v>23.66</v>
      </c>
      <c r="D64" s="64">
        <v>33.83</v>
      </c>
      <c r="E64" s="64">
        <v>4.92</v>
      </c>
      <c r="F64" s="64">
        <v>24.42</v>
      </c>
      <c r="G64" s="64">
        <v>42.73</v>
      </c>
      <c r="H64" s="64">
        <v>8.4</v>
      </c>
      <c r="I64" s="64">
        <v>3.95</v>
      </c>
      <c r="J64" s="64">
        <v>0.59</v>
      </c>
      <c r="K64" s="64">
        <v>349.33</v>
      </c>
      <c r="L64" s="64">
        <v>34.6</v>
      </c>
      <c r="M64" s="64">
        <v>61.22</v>
      </c>
      <c r="N64" s="64">
        <v>409.6</v>
      </c>
      <c r="O64" s="64">
        <v>0</v>
      </c>
      <c r="P64" s="64">
        <v>0.5</v>
      </c>
      <c r="Q64" s="64">
        <v>9.19</v>
      </c>
      <c r="R64" s="198"/>
      <c r="S64" s="198"/>
      <c r="T64" s="198"/>
      <c r="U64" s="198"/>
    </row>
    <row r="65" spans="1:21" s="12" customFormat="1" x14ac:dyDescent="0.25">
      <c r="A65" s="214" t="s">
        <v>2799</v>
      </c>
      <c r="B65" s="64">
        <v>7.07</v>
      </c>
      <c r="C65" s="64">
        <v>22.57</v>
      </c>
      <c r="D65" s="64">
        <v>32.340000000000003</v>
      </c>
      <c r="E65" s="64">
        <v>5.05</v>
      </c>
      <c r="F65" s="64">
        <v>22.58</v>
      </c>
      <c r="G65" s="64">
        <v>42.8</v>
      </c>
      <c r="H65" s="64">
        <v>8.59</v>
      </c>
      <c r="I65" s="64">
        <v>3.89</v>
      </c>
      <c r="J65" s="64">
        <v>0.75</v>
      </c>
      <c r="K65" s="64">
        <v>338.67</v>
      </c>
      <c r="L65" s="64">
        <v>35.43</v>
      </c>
      <c r="M65" s="64">
        <v>57.17</v>
      </c>
      <c r="N65" s="64">
        <v>442.5</v>
      </c>
      <c r="O65" s="64">
        <v>0</v>
      </c>
      <c r="P65" s="64">
        <v>0.48</v>
      </c>
      <c r="Q65" s="64">
        <v>9.19</v>
      </c>
      <c r="R65" s="198"/>
      <c r="S65" s="198"/>
      <c r="T65" s="198"/>
      <c r="U65" s="198"/>
    </row>
    <row r="66" spans="1:21" s="12" customFormat="1" x14ac:dyDescent="0.25">
      <c r="A66" s="214" t="s">
        <v>2800</v>
      </c>
      <c r="B66" s="64">
        <v>3.75</v>
      </c>
      <c r="C66" s="64">
        <v>14.93</v>
      </c>
      <c r="D66" s="64">
        <v>22.82</v>
      </c>
      <c r="E66" s="64">
        <v>5.13</v>
      </c>
      <c r="F66" s="64">
        <v>29.16</v>
      </c>
      <c r="G66" s="64">
        <v>43.12</v>
      </c>
      <c r="H66" s="64">
        <v>9.3800000000000008</v>
      </c>
      <c r="I66" s="64">
        <v>3.96</v>
      </c>
      <c r="J66" s="64">
        <v>0.5</v>
      </c>
      <c r="K66" s="64">
        <v>120.26</v>
      </c>
      <c r="L66" s="64">
        <v>33.24</v>
      </c>
      <c r="M66" s="64">
        <v>62.42</v>
      </c>
      <c r="N66" s="64">
        <v>342.4</v>
      </c>
      <c r="O66" s="64">
        <v>0</v>
      </c>
      <c r="P66" s="64">
        <v>0.26</v>
      </c>
      <c r="Q66" s="64">
        <v>9.18</v>
      </c>
      <c r="R66" s="198"/>
      <c r="S66" s="198"/>
      <c r="T66" s="198"/>
      <c r="U66" s="198"/>
    </row>
    <row r="67" spans="1:21" s="12" customFormat="1" x14ac:dyDescent="0.25">
      <c r="A67" s="214" t="s">
        <v>2801</v>
      </c>
      <c r="B67" s="64">
        <v>5.13</v>
      </c>
      <c r="C67" s="64">
        <v>19.899999999999999</v>
      </c>
      <c r="D67" s="64">
        <v>30.2</v>
      </c>
      <c r="E67" s="64">
        <v>5.24</v>
      </c>
      <c r="F67" s="64">
        <v>27.06</v>
      </c>
      <c r="G67" s="64">
        <v>43.12</v>
      </c>
      <c r="H67" s="64">
        <v>9.3800000000000008</v>
      </c>
      <c r="I67" s="64">
        <v>3.98</v>
      </c>
      <c r="J67" s="64">
        <v>0.12</v>
      </c>
      <c r="K67" s="64">
        <v>132.82</v>
      </c>
      <c r="L67" s="64">
        <v>32.93</v>
      </c>
      <c r="M67" s="64">
        <v>64.239999999999995</v>
      </c>
      <c r="N67" s="64">
        <v>312.2</v>
      </c>
      <c r="O67" s="64">
        <v>0</v>
      </c>
      <c r="P67" s="64">
        <v>0.36</v>
      </c>
      <c r="Q67" s="64">
        <v>9.17</v>
      </c>
      <c r="R67" s="198"/>
      <c r="S67" s="198"/>
      <c r="T67" s="198"/>
      <c r="U67" s="198"/>
    </row>
    <row r="68" spans="1:21" s="12" customFormat="1" x14ac:dyDescent="0.25">
      <c r="A68" s="214" t="s">
        <v>2802</v>
      </c>
      <c r="B68" s="64">
        <v>9.7100000000000009</v>
      </c>
      <c r="C68" s="64">
        <v>30.85</v>
      </c>
      <c r="D68" s="64">
        <v>44.14</v>
      </c>
      <c r="E68" s="64">
        <v>5.18</v>
      </c>
      <c r="F68" s="64">
        <v>22.49</v>
      </c>
      <c r="G68" s="64">
        <v>43.12</v>
      </c>
      <c r="H68" s="64">
        <v>9.3800000000000008</v>
      </c>
      <c r="I68" s="64">
        <v>4.09</v>
      </c>
      <c r="J68" s="64">
        <v>0.56000000000000005</v>
      </c>
      <c r="K68" s="64">
        <v>343.93</v>
      </c>
      <c r="L68" s="64">
        <v>33.89</v>
      </c>
      <c r="M68" s="64">
        <v>62.48</v>
      </c>
      <c r="N68" s="64">
        <v>250.3</v>
      </c>
      <c r="O68" s="64">
        <v>0</v>
      </c>
      <c r="P68" s="64">
        <v>0.47</v>
      </c>
      <c r="Q68" s="64">
        <v>9.16</v>
      </c>
      <c r="R68" s="198"/>
      <c r="S68" s="198"/>
      <c r="T68" s="198"/>
      <c r="U68" s="198"/>
    </row>
    <row r="69" spans="1:21" s="12" customFormat="1" x14ac:dyDescent="0.25">
      <c r="A69" s="214" t="s">
        <v>2803</v>
      </c>
      <c r="B69" s="64">
        <v>8.0500000000000007</v>
      </c>
      <c r="C69" s="64">
        <v>28.11</v>
      </c>
      <c r="D69" s="64">
        <v>41.45</v>
      </c>
      <c r="E69" s="64">
        <v>5.4</v>
      </c>
      <c r="F69" s="64">
        <v>26.98</v>
      </c>
      <c r="G69" s="64">
        <v>42.66</v>
      </c>
      <c r="H69" s="64">
        <v>10.84</v>
      </c>
      <c r="I69" s="64">
        <v>4.1900000000000004</v>
      </c>
      <c r="J69" s="64">
        <v>0.28000000000000003</v>
      </c>
      <c r="K69" s="64">
        <v>355.54</v>
      </c>
      <c r="L69" s="64">
        <v>34</v>
      </c>
      <c r="M69" s="64">
        <v>60.64</v>
      </c>
      <c r="N69" s="64">
        <v>213.4</v>
      </c>
      <c r="O69" s="64">
        <v>0</v>
      </c>
      <c r="P69" s="64">
        <v>0.43</v>
      </c>
      <c r="Q69" s="64">
        <v>9.18</v>
      </c>
      <c r="R69" s="198"/>
      <c r="S69" s="198"/>
      <c r="T69" s="198"/>
      <c r="U69" s="198"/>
    </row>
    <row r="70" spans="1:21" s="12" customFormat="1" x14ac:dyDescent="0.25">
      <c r="A70" s="214" t="s">
        <v>2804</v>
      </c>
      <c r="B70" s="64">
        <v>6.23</v>
      </c>
      <c r="C70" s="64">
        <v>25.13</v>
      </c>
      <c r="D70" s="64">
        <v>38.549999999999997</v>
      </c>
      <c r="E70" s="64">
        <v>5.51</v>
      </c>
      <c r="F70" s="64">
        <v>25.26</v>
      </c>
      <c r="G70" s="64">
        <v>40.72</v>
      </c>
      <c r="H70" s="64">
        <v>17.12</v>
      </c>
      <c r="I70" s="64">
        <v>4.09</v>
      </c>
      <c r="J70" s="64">
        <v>0.09</v>
      </c>
      <c r="K70" s="64">
        <v>307.39</v>
      </c>
      <c r="L70" s="64">
        <v>33.39</v>
      </c>
      <c r="M70" s="64">
        <v>62.18</v>
      </c>
      <c r="N70" s="64">
        <v>160.9</v>
      </c>
      <c r="O70" s="64">
        <v>0</v>
      </c>
      <c r="P70" s="64">
        <v>0.44</v>
      </c>
      <c r="Q70" s="64">
        <v>9.1999999999999993</v>
      </c>
      <c r="R70" s="198"/>
      <c r="S70" s="198"/>
      <c r="T70" s="198"/>
      <c r="U70" s="198"/>
    </row>
    <row r="71" spans="1:21" s="12" customFormat="1" x14ac:dyDescent="0.25">
      <c r="A71" s="214" t="s">
        <v>2805</v>
      </c>
      <c r="B71" s="64">
        <v>4.5599999999999996</v>
      </c>
      <c r="C71" s="64">
        <v>24.01</v>
      </c>
      <c r="D71" s="64">
        <v>38.950000000000003</v>
      </c>
      <c r="E71" s="64">
        <v>5.52</v>
      </c>
      <c r="F71" s="64">
        <v>12.4</v>
      </c>
      <c r="G71" s="64">
        <v>40.72</v>
      </c>
      <c r="H71" s="64">
        <v>17.12</v>
      </c>
      <c r="I71" s="64">
        <v>4.08</v>
      </c>
      <c r="J71" s="64">
        <v>0.63</v>
      </c>
      <c r="K71" s="64">
        <v>77.88</v>
      </c>
      <c r="L71" s="64">
        <v>30.61</v>
      </c>
      <c r="M71" s="64">
        <v>71.14</v>
      </c>
      <c r="N71" s="64">
        <v>51.5</v>
      </c>
      <c r="O71" s="64">
        <v>0</v>
      </c>
      <c r="P71" s="64">
        <v>0.48</v>
      </c>
      <c r="Q71" s="64">
        <v>9.1999999999999993</v>
      </c>
      <c r="R71" s="198"/>
      <c r="S71" s="198"/>
      <c r="T71" s="198"/>
      <c r="U71" s="198"/>
    </row>
    <row r="72" spans="1:21" s="12" customFormat="1" x14ac:dyDescent="0.25">
      <c r="A72" s="214" t="s">
        <v>2806</v>
      </c>
      <c r="B72" s="64">
        <v>4.87</v>
      </c>
      <c r="C72" s="64">
        <v>18.809999999999999</v>
      </c>
      <c r="D72" s="64">
        <v>28.53</v>
      </c>
      <c r="E72" s="64">
        <v>4.0999999999999996</v>
      </c>
      <c r="F72" s="64">
        <v>9.89</v>
      </c>
      <c r="G72" s="64">
        <v>40.72</v>
      </c>
      <c r="H72" s="64">
        <v>17.12</v>
      </c>
      <c r="I72" s="64">
        <v>4.03</v>
      </c>
      <c r="J72" s="64">
        <v>0.88</v>
      </c>
      <c r="K72" s="64">
        <v>73.31</v>
      </c>
      <c r="L72" s="64">
        <v>26.28</v>
      </c>
      <c r="M72" s="64">
        <v>93.85</v>
      </c>
      <c r="N72" s="64">
        <v>40.6</v>
      </c>
      <c r="O72" s="64">
        <v>5.8</v>
      </c>
      <c r="P72" s="64">
        <v>0.41</v>
      </c>
      <c r="Q72" s="64">
        <v>9.1999999999999993</v>
      </c>
      <c r="R72" s="198"/>
      <c r="S72" s="198"/>
      <c r="T72" s="198"/>
      <c r="U72" s="198"/>
    </row>
    <row r="73" spans="1:21" s="12" customFormat="1" x14ac:dyDescent="0.25">
      <c r="A73" s="214" t="s">
        <v>2807</v>
      </c>
      <c r="B73" s="64">
        <v>5.09</v>
      </c>
      <c r="C73" s="64">
        <v>18.329999999999998</v>
      </c>
      <c r="D73" s="64">
        <v>27.28</v>
      </c>
      <c r="E73" s="64">
        <v>3.74</v>
      </c>
      <c r="F73" s="64">
        <v>7.33</v>
      </c>
      <c r="G73" s="64">
        <v>40.89</v>
      </c>
      <c r="H73" s="64">
        <v>20.59</v>
      </c>
      <c r="I73" s="64">
        <v>3.92</v>
      </c>
      <c r="J73" s="64">
        <v>1.69</v>
      </c>
      <c r="K73" s="64">
        <v>99.24</v>
      </c>
      <c r="L73" s="64">
        <v>22.41</v>
      </c>
      <c r="M73" s="64">
        <v>102.79</v>
      </c>
      <c r="N73" s="64">
        <v>32.5</v>
      </c>
      <c r="O73" s="64">
        <v>9.8000000000000007</v>
      </c>
      <c r="P73" s="64">
        <v>0.4</v>
      </c>
      <c r="Q73" s="64">
        <v>9.1999999999999993</v>
      </c>
      <c r="R73" s="198"/>
      <c r="S73" s="198"/>
      <c r="T73" s="198"/>
      <c r="U73" s="198"/>
    </row>
    <row r="74" spans="1:21" s="12" customFormat="1" x14ac:dyDescent="0.25">
      <c r="A74" s="214" t="s">
        <v>2808</v>
      </c>
      <c r="B74" s="64">
        <v>4.5599999999999996</v>
      </c>
      <c r="C74" s="64">
        <v>17.170000000000002</v>
      </c>
      <c r="D74" s="64">
        <v>25.87</v>
      </c>
      <c r="E74" s="64">
        <v>3.74</v>
      </c>
      <c r="F74" s="64">
        <v>6.05</v>
      </c>
      <c r="G74" s="64">
        <v>41.63</v>
      </c>
      <c r="H74" s="64">
        <v>35.47</v>
      </c>
      <c r="I74" s="64">
        <v>3.97</v>
      </c>
      <c r="J74" s="64">
        <v>0.89</v>
      </c>
      <c r="K74" s="64">
        <v>136.1</v>
      </c>
      <c r="L74" s="64">
        <v>22.71</v>
      </c>
      <c r="M74" s="64">
        <v>102.97</v>
      </c>
      <c r="N74" s="64">
        <v>30.8</v>
      </c>
      <c r="O74" s="64">
        <v>1.6</v>
      </c>
      <c r="P74" s="64">
        <v>0.39</v>
      </c>
      <c r="Q74" s="64">
        <v>9.1999999999999993</v>
      </c>
      <c r="R74" s="198"/>
      <c r="S74" s="198"/>
      <c r="T74" s="198"/>
      <c r="U74" s="198"/>
    </row>
    <row r="75" spans="1:21" s="12" customFormat="1" x14ac:dyDescent="0.25">
      <c r="A75" s="214" t="s">
        <v>2809</v>
      </c>
      <c r="B75" s="64">
        <v>4.54</v>
      </c>
      <c r="C75" s="64">
        <v>16.579999999999998</v>
      </c>
      <c r="D75" s="64">
        <v>24.75</v>
      </c>
      <c r="E75" s="64">
        <v>3.75</v>
      </c>
      <c r="F75" s="64">
        <v>5.48</v>
      </c>
      <c r="G75" s="64">
        <v>41.63</v>
      </c>
      <c r="H75" s="64">
        <v>35.47</v>
      </c>
      <c r="I75" s="64">
        <v>4.07</v>
      </c>
      <c r="J75" s="64">
        <v>1.0900000000000001</v>
      </c>
      <c r="K75" s="64">
        <v>163.66</v>
      </c>
      <c r="L75" s="64">
        <v>22.54</v>
      </c>
      <c r="M75" s="64">
        <v>103.11</v>
      </c>
      <c r="N75" s="64">
        <v>32</v>
      </c>
      <c r="O75" s="64">
        <v>0.2</v>
      </c>
      <c r="P75" s="64">
        <v>0.39</v>
      </c>
      <c r="Q75" s="64">
        <v>9.2200000000000006</v>
      </c>
      <c r="R75" s="198"/>
      <c r="S75" s="198"/>
      <c r="T75" s="198"/>
      <c r="U75" s="198"/>
    </row>
    <row r="76" spans="1:21" s="12" customFormat="1" x14ac:dyDescent="0.25">
      <c r="A76" s="214" t="s">
        <v>2810</v>
      </c>
      <c r="B76" s="64">
        <v>4.5599999999999996</v>
      </c>
      <c r="C76" s="64">
        <v>16.010000000000002</v>
      </c>
      <c r="D76" s="64">
        <v>23.65</v>
      </c>
      <c r="E76" s="64">
        <v>3.88</v>
      </c>
      <c r="F76" s="64">
        <v>6.17</v>
      </c>
      <c r="G76" s="64">
        <v>41.63</v>
      </c>
      <c r="H76" s="64">
        <v>35.47</v>
      </c>
      <c r="I76" s="64">
        <v>4.0199999999999996</v>
      </c>
      <c r="J76" s="64">
        <v>0.91</v>
      </c>
      <c r="K76" s="64">
        <v>164.83</v>
      </c>
      <c r="L76" s="64">
        <v>22.33</v>
      </c>
      <c r="M76" s="64">
        <v>102.89</v>
      </c>
      <c r="N76" s="64">
        <v>31.6</v>
      </c>
      <c r="O76" s="64">
        <v>0</v>
      </c>
      <c r="P76" s="64">
        <v>0.37</v>
      </c>
      <c r="Q76" s="64">
        <v>9.24</v>
      </c>
      <c r="R76" s="198"/>
      <c r="S76" s="198"/>
      <c r="T76" s="198"/>
      <c r="U76" s="198"/>
    </row>
    <row r="77" spans="1:21" s="12" customFormat="1" x14ac:dyDescent="0.25">
      <c r="A77" s="214" t="s">
        <v>2811</v>
      </c>
      <c r="B77" s="64">
        <v>5.0199999999999996</v>
      </c>
      <c r="C77" s="64">
        <v>16.170000000000002</v>
      </c>
      <c r="D77" s="64">
        <v>23.24</v>
      </c>
      <c r="E77" s="64">
        <v>3.71</v>
      </c>
      <c r="F77" s="64">
        <v>7.81</v>
      </c>
      <c r="G77" s="64">
        <v>40.090000000000003</v>
      </c>
      <c r="H77" s="64">
        <v>33.81</v>
      </c>
      <c r="I77" s="64">
        <v>3.96</v>
      </c>
      <c r="J77" s="64">
        <v>0.35</v>
      </c>
      <c r="K77" s="64">
        <v>154.12</v>
      </c>
      <c r="L77" s="64">
        <v>22.55</v>
      </c>
      <c r="M77" s="64">
        <v>102.12</v>
      </c>
      <c r="N77" s="64">
        <v>30.7</v>
      </c>
      <c r="O77" s="64">
        <v>0</v>
      </c>
      <c r="P77" s="64">
        <v>0.35</v>
      </c>
      <c r="Q77" s="64">
        <v>9.24</v>
      </c>
      <c r="R77" s="198"/>
      <c r="S77" s="198"/>
      <c r="T77" s="198"/>
      <c r="U77" s="198"/>
    </row>
    <row r="78" spans="1:21" s="12" customFormat="1" x14ac:dyDescent="0.25">
      <c r="A78" s="214" t="s">
        <v>2812</v>
      </c>
      <c r="B78" s="64">
        <v>23.49</v>
      </c>
      <c r="C78" s="64">
        <v>41.66</v>
      </c>
      <c r="D78" s="64">
        <v>43.69</v>
      </c>
      <c r="E78" s="64">
        <v>4.05</v>
      </c>
      <c r="F78" s="64">
        <v>9.6300000000000008</v>
      </c>
      <c r="G78" s="64">
        <v>33.46</v>
      </c>
      <c r="H78" s="64">
        <v>26.68</v>
      </c>
      <c r="I78" s="64">
        <v>4.1500000000000004</v>
      </c>
      <c r="J78" s="64">
        <v>0.26</v>
      </c>
      <c r="K78" s="64">
        <v>344.62</v>
      </c>
      <c r="L78" s="64">
        <v>23</v>
      </c>
      <c r="M78" s="64">
        <v>102.19</v>
      </c>
      <c r="N78" s="64">
        <v>29.3</v>
      </c>
      <c r="O78" s="64">
        <v>0</v>
      </c>
      <c r="P78" s="64">
        <v>0.65</v>
      </c>
      <c r="Q78" s="64">
        <v>9.25</v>
      </c>
      <c r="R78" s="198"/>
      <c r="S78" s="198"/>
      <c r="T78" s="198"/>
      <c r="U78" s="198"/>
    </row>
    <row r="79" spans="1:21" s="12" customFormat="1" x14ac:dyDescent="0.25">
      <c r="A79" s="214" t="s">
        <v>2813</v>
      </c>
      <c r="B79" s="64">
        <v>9.16</v>
      </c>
      <c r="C79" s="64">
        <v>23.74</v>
      </c>
      <c r="D79" s="64">
        <v>31.38</v>
      </c>
      <c r="E79" s="64">
        <v>3.73</v>
      </c>
      <c r="F79" s="64">
        <v>7.62</v>
      </c>
      <c r="G79" s="64">
        <v>33.46</v>
      </c>
      <c r="H79" s="64">
        <v>26.68</v>
      </c>
      <c r="I79" s="64">
        <v>4.01</v>
      </c>
      <c r="J79" s="64">
        <v>0.22</v>
      </c>
      <c r="K79" s="64">
        <v>118.74</v>
      </c>
      <c r="L79" s="64">
        <v>23.04</v>
      </c>
      <c r="M79" s="64">
        <v>102.23</v>
      </c>
      <c r="N79" s="64">
        <v>29.3</v>
      </c>
      <c r="O79" s="64">
        <v>0</v>
      </c>
      <c r="P79" s="64">
        <v>0.4</v>
      </c>
      <c r="Q79" s="64">
        <v>9.26</v>
      </c>
      <c r="R79" s="198"/>
      <c r="S79" s="198"/>
      <c r="T79" s="198"/>
      <c r="U79" s="198"/>
    </row>
    <row r="80" spans="1:21" s="12" customFormat="1" x14ac:dyDescent="0.25">
      <c r="A80" s="214" t="s">
        <v>2814</v>
      </c>
      <c r="B80" s="64">
        <v>6.69</v>
      </c>
      <c r="C80" s="64">
        <v>16.829999999999998</v>
      </c>
      <c r="D80" s="64">
        <v>21.95</v>
      </c>
      <c r="E80" s="64">
        <v>3.85</v>
      </c>
      <c r="F80" s="64">
        <v>5.43</v>
      </c>
      <c r="G80" s="64">
        <v>33.46</v>
      </c>
      <c r="H80" s="64">
        <v>26.68</v>
      </c>
      <c r="I80" s="64">
        <v>4.08</v>
      </c>
      <c r="J80" s="64">
        <v>0.26</v>
      </c>
      <c r="K80" s="64">
        <v>117.87</v>
      </c>
      <c r="L80" s="64">
        <v>23.25</v>
      </c>
      <c r="M80" s="64">
        <v>102.22</v>
      </c>
      <c r="N80" s="64">
        <v>28.4</v>
      </c>
      <c r="O80" s="64">
        <v>0</v>
      </c>
      <c r="P80" s="64">
        <v>0.4</v>
      </c>
      <c r="Q80" s="64">
        <v>9.25</v>
      </c>
      <c r="R80" s="198"/>
      <c r="S80" s="198"/>
      <c r="T80" s="198"/>
      <c r="U80" s="198"/>
    </row>
    <row r="81" spans="1:26" s="12" customFormat="1" x14ac:dyDescent="0.25">
      <c r="A81" s="214" t="s">
        <v>2815</v>
      </c>
      <c r="B81" s="64">
        <v>6.46</v>
      </c>
      <c r="C81" s="64">
        <v>19.079999999999998</v>
      </c>
      <c r="D81" s="64">
        <v>26.59</v>
      </c>
      <c r="E81" s="64">
        <v>3.64</v>
      </c>
      <c r="F81" s="64">
        <v>4.59</v>
      </c>
      <c r="G81" s="64">
        <v>32.619999999999997</v>
      </c>
      <c r="H81" s="64">
        <v>25.09</v>
      </c>
      <c r="I81" s="64">
        <v>4.07</v>
      </c>
      <c r="J81" s="64">
        <v>0.56999999999999995</v>
      </c>
      <c r="K81" s="64">
        <v>150.76</v>
      </c>
      <c r="L81" s="64">
        <v>23.42</v>
      </c>
      <c r="M81" s="64">
        <v>102.34</v>
      </c>
      <c r="N81" s="64">
        <v>27.9</v>
      </c>
      <c r="O81" s="64">
        <v>0</v>
      </c>
      <c r="P81" s="64">
        <v>0.41</v>
      </c>
      <c r="Q81" s="64">
        <v>9.27</v>
      </c>
      <c r="R81" s="198"/>
      <c r="S81" s="198"/>
      <c r="T81" s="198"/>
      <c r="U81" s="198"/>
    </row>
    <row r="82" spans="1:26" s="12" customFormat="1" x14ac:dyDescent="0.25">
      <c r="A82" s="214" t="s">
        <v>2816</v>
      </c>
      <c r="B82" s="64">
        <v>6.55</v>
      </c>
      <c r="C82" s="64">
        <v>18.21</v>
      </c>
      <c r="D82" s="64">
        <v>24.8</v>
      </c>
      <c r="E82" s="64">
        <v>3.85</v>
      </c>
      <c r="F82" s="64">
        <v>5.03</v>
      </c>
      <c r="G82" s="64">
        <v>29</v>
      </c>
      <c r="H82" s="64">
        <v>18.25</v>
      </c>
      <c r="I82" s="64">
        <v>4.04</v>
      </c>
      <c r="J82" s="64">
        <v>0.33</v>
      </c>
      <c r="K82" s="64">
        <v>166.52</v>
      </c>
      <c r="L82" s="64">
        <v>23.28</v>
      </c>
      <c r="M82" s="64">
        <v>102.38</v>
      </c>
      <c r="N82" s="64">
        <v>27.6</v>
      </c>
      <c r="O82" s="64">
        <v>0</v>
      </c>
      <c r="P82" s="64">
        <v>0.39</v>
      </c>
      <c r="Q82" s="64">
        <v>9.2799999999999994</v>
      </c>
      <c r="R82" s="198"/>
      <c r="S82" s="198"/>
      <c r="T82" s="198"/>
      <c r="U82" s="198"/>
    </row>
    <row r="83" spans="1:26" s="12" customFormat="1" x14ac:dyDescent="0.25">
      <c r="A83" s="214" t="s">
        <v>2817</v>
      </c>
      <c r="B83" s="64">
        <v>6.44</v>
      </c>
      <c r="C83" s="64">
        <v>16.89</v>
      </c>
      <c r="D83" s="64">
        <v>22.45</v>
      </c>
      <c r="E83" s="64">
        <v>3.65</v>
      </c>
      <c r="F83" s="64">
        <v>5.21</v>
      </c>
      <c r="G83" s="64">
        <v>29</v>
      </c>
      <c r="H83" s="64">
        <v>18.25</v>
      </c>
      <c r="I83" s="64">
        <v>3.92</v>
      </c>
      <c r="J83" s="64">
        <v>0.05</v>
      </c>
      <c r="K83" s="64">
        <v>171.75</v>
      </c>
      <c r="L83" s="64">
        <v>23.46</v>
      </c>
      <c r="M83" s="64">
        <v>102.38</v>
      </c>
      <c r="N83" s="64">
        <v>26.4</v>
      </c>
      <c r="O83" s="64">
        <v>0</v>
      </c>
      <c r="P83" s="64">
        <v>0.41</v>
      </c>
      <c r="Q83" s="64">
        <v>9.2799999999999994</v>
      </c>
      <c r="R83" s="198"/>
      <c r="S83" s="198"/>
      <c r="T83" s="198"/>
      <c r="U83" s="198"/>
    </row>
    <row r="84" spans="1:26" s="12" customFormat="1" x14ac:dyDescent="0.25">
      <c r="A84" s="214" t="s">
        <v>2818</v>
      </c>
      <c r="B84" s="64">
        <v>6.09</v>
      </c>
      <c r="C84" s="64">
        <v>16.48</v>
      </c>
      <c r="D84" s="64">
        <v>22.19</v>
      </c>
      <c r="E84" s="64">
        <v>3.45</v>
      </c>
      <c r="F84" s="64">
        <v>5.09</v>
      </c>
      <c r="G84" s="64">
        <v>29</v>
      </c>
      <c r="H84" s="64">
        <v>18.25</v>
      </c>
      <c r="I84" s="64">
        <v>4</v>
      </c>
      <c r="J84" s="64">
        <v>0.3</v>
      </c>
      <c r="K84" s="64">
        <v>148.71</v>
      </c>
      <c r="L84" s="64">
        <v>23.37</v>
      </c>
      <c r="M84" s="64">
        <v>102.38</v>
      </c>
      <c r="N84" s="64">
        <v>26.8</v>
      </c>
      <c r="O84" s="64">
        <v>0</v>
      </c>
      <c r="P84" s="64">
        <v>0.39</v>
      </c>
      <c r="Q84" s="64">
        <v>9.27</v>
      </c>
      <c r="R84" s="198"/>
      <c r="S84" s="198"/>
      <c r="T84" s="198"/>
      <c r="U84" s="198"/>
    </row>
    <row r="85" spans="1:26" s="12" customFormat="1" x14ac:dyDescent="0.25">
      <c r="A85" s="214" t="s">
        <v>2819</v>
      </c>
      <c r="B85" s="64">
        <v>6.26</v>
      </c>
      <c r="C85" s="64">
        <v>15.75</v>
      </c>
      <c r="D85" s="64">
        <v>20.55</v>
      </c>
      <c r="E85" s="64">
        <v>3.62</v>
      </c>
      <c r="F85" s="64">
        <v>3.95</v>
      </c>
      <c r="G85" s="64">
        <v>28.36</v>
      </c>
      <c r="H85" s="64">
        <v>17.57</v>
      </c>
      <c r="I85" s="64">
        <v>4.01</v>
      </c>
      <c r="J85" s="64">
        <v>0.56000000000000005</v>
      </c>
      <c r="K85" s="64">
        <v>164.71</v>
      </c>
      <c r="L85" s="64">
        <v>23.33</v>
      </c>
      <c r="M85" s="64">
        <v>102.43</v>
      </c>
      <c r="N85" s="64">
        <v>27</v>
      </c>
      <c r="O85" s="64">
        <v>0</v>
      </c>
      <c r="P85" s="64">
        <v>0.4</v>
      </c>
      <c r="Q85" s="64">
        <v>9.25</v>
      </c>
      <c r="R85" s="198"/>
      <c r="S85" s="198"/>
      <c r="T85" s="198"/>
      <c r="U85" s="198"/>
    </row>
    <row r="86" spans="1:26" s="12" customFormat="1" x14ac:dyDescent="0.25">
      <c r="A86" s="214" t="s">
        <v>2820</v>
      </c>
      <c r="B86" s="64">
        <v>6</v>
      </c>
      <c r="C86" s="64">
        <v>15.98</v>
      </c>
      <c r="D86" s="64">
        <v>21.37</v>
      </c>
      <c r="E86" s="64">
        <v>3.26</v>
      </c>
      <c r="F86" s="64">
        <v>5.68</v>
      </c>
      <c r="G86" s="64">
        <v>25.61</v>
      </c>
      <c r="H86" s="64">
        <v>14.63</v>
      </c>
      <c r="I86" s="64">
        <v>4.18</v>
      </c>
      <c r="J86" s="64">
        <v>0.61</v>
      </c>
      <c r="K86" s="64">
        <v>164.92</v>
      </c>
      <c r="L86" s="64">
        <v>23.41</v>
      </c>
      <c r="M86" s="64">
        <v>102.51</v>
      </c>
      <c r="N86" s="64">
        <v>26.9</v>
      </c>
      <c r="O86" s="64">
        <v>0</v>
      </c>
      <c r="P86" s="64">
        <v>0.38</v>
      </c>
      <c r="Q86" s="64">
        <v>9.25</v>
      </c>
      <c r="R86" s="198"/>
      <c r="S86" s="198"/>
      <c r="T86" s="198"/>
      <c r="U86" s="198"/>
    </row>
    <row r="87" spans="1:26" s="12" customFormat="1" x14ac:dyDescent="0.25">
      <c r="A87" s="214" t="s">
        <v>2821</v>
      </c>
      <c r="B87" s="64">
        <v>6.15</v>
      </c>
      <c r="C87" s="64">
        <v>15.2</v>
      </c>
      <c r="D87" s="64">
        <v>19.649999999999999</v>
      </c>
      <c r="E87" s="64">
        <v>3.43</v>
      </c>
      <c r="F87" s="64">
        <v>4.1500000000000004</v>
      </c>
      <c r="G87" s="64">
        <v>25.61</v>
      </c>
      <c r="H87" s="64">
        <v>14.63</v>
      </c>
      <c r="I87" s="64">
        <v>4.09</v>
      </c>
      <c r="J87" s="64">
        <v>0.99</v>
      </c>
      <c r="K87" s="64">
        <v>150.97999999999999</v>
      </c>
      <c r="L87" s="64">
        <v>23.53</v>
      </c>
      <c r="M87" s="64">
        <v>102.58</v>
      </c>
      <c r="N87" s="64">
        <v>26.7</v>
      </c>
      <c r="O87" s="64">
        <v>0</v>
      </c>
      <c r="P87" s="64">
        <v>0.4</v>
      </c>
      <c r="Q87" s="64">
        <v>9.24</v>
      </c>
      <c r="R87" s="198"/>
      <c r="S87" s="198"/>
      <c r="T87" s="198"/>
      <c r="U87" s="198"/>
    </row>
    <row r="88" spans="1:26" s="12" customFormat="1" x14ac:dyDescent="0.25">
      <c r="A88" s="214" t="s">
        <v>2822</v>
      </c>
      <c r="B88" s="64">
        <v>6.23</v>
      </c>
      <c r="C88" s="64">
        <v>15.68</v>
      </c>
      <c r="D88" s="64">
        <v>20.46</v>
      </c>
      <c r="E88" s="64">
        <v>3.84</v>
      </c>
      <c r="F88" s="64">
        <v>3.58</v>
      </c>
      <c r="G88" s="64">
        <v>25.61</v>
      </c>
      <c r="H88" s="64">
        <v>14.63</v>
      </c>
      <c r="I88" s="64">
        <v>3.92</v>
      </c>
      <c r="J88" s="64">
        <v>0.33</v>
      </c>
      <c r="K88" s="64">
        <v>157.74</v>
      </c>
      <c r="L88" s="64">
        <v>23.65</v>
      </c>
      <c r="M88" s="64">
        <v>102.65</v>
      </c>
      <c r="N88" s="64">
        <v>26.7</v>
      </c>
      <c r="O88" s="64">
        <v>0</v>
      </c>
      <c r="P88" s="64">
        <v>0.39</v>
      </c>
      <c r="Q88" s="64">
        <v>9.23</v>
      </c>
      <c r="R88" s="198"/>
      <c r="S88" s="198"/>
      <c r="T88" s="198"/>
      <c r="U88" s="198"/>
    </row>
    <row r="89" spans="1:26" s="12" customFormat="1" x14ac:dyDescent="0.25">
      <c r="A89" s="214" t="s">
        <v>2823</v>
      </c>
      <c r="B89" s="64">
        <v>6.5</v>
      </c>
      <c r="C89" s="64">
        <v>16.71</v>
      </c>
      <c r="D89" s="64">
        <v>22</v>
      </c>
      <c r="E89" s="64">
        <v>3.77</v>
      </c>
      <c r="F89" s="64">
        <v>7.45</v>
      </c>
      <c r="G89" s="64">
        <v>25.08</v>
      </c>
      <c r="H89" s="64">
        <v>13.44</v>
      </c>
      <c r="I89" s="64">
        <v>3.89</v>
      </c>
      <c r="J89" s="64">
        <v>0.06</v>
      </c>
      <c r="K89" s="64">
        <v>242.16</v>
      </c>
      <c r="L89" s="64">
        <v>23.72</v>
      </c>
      <c r="M89" s="64">
        <v>102.72</v>
      </c>
      <c r="N89" s="64">
        <v>26.3</v>
      </c>
      <c r="O89" s="64">
        <v>0</v>
      </c>
      <c r="P89" s="64">
        <v>0.42</v>
      </c>
      <c r="Q89" s="64">
        <v>9.23</v>
      </c>
      <c r="R89" s="198"/>
      <c r="S89" s="198"/>
      <c r="T89" s="198"/>
      <c r="U89" s="198"/>
    </row>
    <row r="90" spans="1:26" s="12" customFormat="1" x14ac:dyDescent="0.25">
      <c r="A90" s="214" t="s">
        <v>2824</v>
      </c>
      <c r="B90" s="64">
        <v>6.89</v>
      </c>
      <c r="C90" s="64">
        <v>18.57</v>
      </c>
      <c r="D90" s="64">
        <v>24.96</v>
      </c>
      <c r="E90" s="64">
        <v>3.26</v>
      </c>
      <c r="F90" s="64">
        <v>10.62</v>
      </c>
      <c r="G90" s="64">
        <v>22.83</v>
      </c>
      <c r="H90" s="64">
        <v>8.34</v>
      </c>
      <c r="I90" s="64">
        <v>4</v>
      </c>
      <c r="J90" s="64">
        <v>0.1</v>
      </c>
      <c r="K90" s="64">
        <v>228.22</v>
      </c>
      <c r="L90" s="64">
        <v>23.62</v>
      </c>
      <c r="M90" s="64">
        <v>102.81</v>
      </c>
      <c r="N90" s="64">
        <v>26.5</v>
      </c>
      <c r="O90" s="64">
        <v>0</v>
      </c>
      <c r="P90" s="64">
        <v>0.43</v>
      </c>
      <c r="Q90" s="64">
        <v>9.2200000000000006</v>
      </c>
      <c r="R90" s="198"/>
      <c r="S90" s="198"/>
      <c r="T90" s="198"/>
      <c r="U90" s="198"/>
    </row>
    <row r="91" spans="1:26" s="12" customFormat="1" x14ac:dyDescent="0.25">
      <c r="A91" s="214" t="s">
        <v>2825</v>
      </c>
      <c r="B91" s="64">
        <v>10.49</v>
      </c>
      <c r="C91" s="64">
        <v>22.21</v>
      </c>
      <c r="D91" s="64">
        <v>26.4</v>
      </c>
      <c r="E91" s="64">
        <v>3.63</v>
      </c>
      <c r="F91" s="64">
        <v>9.52</v>
      </c>
      <c r="G91" s="64">
        <v>22.83</v>
      </c>
      <c r="H91" s="64">
        <v>8.34</v>
      </c>
      <c r="I91" s="64">
        <v>3.89</v>
      </c>
      <c r="J91" s="64">
        <v>0.41</v>
      </c>
      <c r="K91" s="64">
        <v>333.78</v>
      </c>
      <c r="L91" s="64">
        <v>23.71</v>
      </c>
      <c r="M91" s="64">
        <v>103.06</v>
      </c>
      <c r="N91" s="64">
        <v>26.4</v>
      </c>
      <c r="O91" s="64">
        <v>0</v>
      </c>
      <c r="P91" s="64">
        <v>0.54</v>
      </c>
      <c r="Q91" s="64">
        <v>9.23</v>
      </c>
      <c r="R91" s="198"/>
      <c r="S91" s="198"/>
      <c r="T91" s="198"/>
      <c r="U91" s="198"/>
    </row>
    <row r="92" spans="1:26" s="12" customFormat="1" x14ac:dyDescent="0.25">
      <c r="A92" s="214" t="s">
        <v>2826</v>
      </c>
      <c r="B92" s="64">
        <v>14.78</v>
      </c>
      <c r="C92" s="64">
        <v>29.35</v>
      </c>
      <c r="D92" s="64">
        <v>33.479999999999997</v>
      </c>
      <c r="E92" s="64">
        <v>3.84</v>
      </c>
      <c r="F92" s="64">
        <v>9.81</v>
      </c>
      <c r="G92" s="64">
        <v>22.83</v>
      </c>
      <c r="H92" s="64">
        <v>8.34</v>
      </c>
      <c r="I92" s="64">
        <v>3.99</v>
      </c>
      <c r="J92" s="64">
        <v>0.14000000000000001</v>
      </c>
      <c r="K92" s="64">
        <v>340.26</v>
      </c>
      <c r="L92" s="64">
        <v>23.72</v>
      </c>
      <c r="M92" s="64">
        <v>102.54</v>
      </c>
      <c r="N92" s="64">
        <v>26.2</v>
      </c>
      <c r="O92" s="64">
        <v>0</v>
      </c>
      <c r="P92" s="64">
        <v>0.64</v>
      </c>
      <c r="Q92" s="64">
        <v>9.24</v>
      </c>
      <c r="R92" s="198"/>
      <c r="S92" s="198"/>
      <c r="T92" s="198"/>
      <c r="U92" s="198"/>
    </row>
    <row r="93" spans="1:26" s="12" customFormat="1" x14ac:dyDescent="0.25">
      <c r="A93" s="214" t="s">
        <v>2827</v>
      </c>
      <c r="B93" s="64">
        <v>11.31</v>
      </c>
      <c r="C93" s="64">
        <v>24.19</v>
      </c>
      <c r="D93" s="64">
        <v>28.95</v>
      </c>
      <c r="E93" s="64">
        <v>3.71</v>
      </c>
      <c r="F93" s="64">
        <v>9.48</v>
      </c>
      <c r="G93" s="64">
        <v>23.72</v>
      </c>
      <c r="H93" s="64">
        <v>8.59</v>
      </c>
      <c r="I93" s="64">
        <v>3.97</v>
      </c>
      <c r="J93" s="64">
        <v>0.11</v>
      </c>
      <c r="K93" s="64">
        <v>305.67</v>
      </c>
      <c r="L93" s="64">
        <v>23.79</v>
      </c>
      <c r="M93" s="64">
        <v>102.5</v>
      </c>
      <c r="N93" s="64">
        <v>26.2</v>
      </c>
      <c r="O93" s="64">
        <v>0</v>
      </c>
      <c r="P93" s="64">
        <v>0.61</v>
      </c>
      <c r="Q93" s="64">
        <v>9.26</v>
      </c>
      <c r="R93" s="198"/>
      <c r="S93" s="198"/>
      <c r="T93" s="198"/>
      <c r="U93" s="198"/>
    </row>
    <row r="94" spans="1:26" s="12" customFormat="1" x14ac:dyDescent="0.25">
      <c r="A94" s="214" t="s">
        <v>2828</v>
      </c>
      <c r="B94" s="64">
        <v>12.86</v>
      </c>
      <c r="C94" s="64">
        <v>25.74</v>
      </c>
      <c r="D94" s="64">
        <v>29.52</v>
      </c>
      <c r="E94" s="64">
        <v>3.69</v>
      </c>
      <c r="F94" s="64">
        <v>7.57</v>
      </c>
      <c r="G94" s="64">
        <v>27.51</v>
      </c>
      <c r="H94" s="64">
        <v>9.67</v>
      </c>
      <c r="I94" s="64">
        <v>4.04</v>
      </c>
      <c r="J94" s="64">
        <v>0.16</v>
      </c>
      <c r="K94" s="64">
        <v>309.39999999999998</v>
      </c>
      <c r="L94" s="64">
        <v>23.8</v>
      </c>
      <c r="M94" s="64">
        <v>102.08</v>
      </c>
      <c r="N94" s="64">
        <v>26.3</v>
      </c>
      <c r="O94" s="64">
        <v>0</v>
      </c>
      <c r="P94" s="64">
        <v>0.52</v>
      </c>
      <c r="Q94" s="64">
        <v>9.2799999999999994</v>
      </c>
      <c r="R94" s="198"/>
      <c r="S94" s="198"/>
      <c r="T94" s="198"/>
      <c r="U94" s="198"/>
    </row>
    <row r="95" spans="1:26" s="12" customFormat="1" x14ac:dyDescent="0.25">
      <c r="A95" s="214" t="s">
        <v>2829</v>
      </c>
      <c r="B95" s="64">
        <v>10.7</v>
      </c>
      <c r="C95" s="64">
        <v>22.56</v>
      </c>
      <c r="D95" s="64">
        <v>26.76</v>
      </c>
      <c r="E95" s="64">
        <v>4.08</v>
      </c>
      <c r="F95" s="64">
        <v>7.18</v>
      </c>
      <c r="G95" s="64">
        <v>27.51</v>
      </c>
      <c r="H95" s="64">
        <v>9.67</v>
      </c>
      <c r="I95" s="64">
        <v>4.0999999999999996</v>
      </c>
      <c r="J95" s="64">
        <v>0.22</v>
      </c>
      <c r="K95" s="64">
        <v>298.99</v>
      </c>
      <c r="L95" s="64">
        <v>23.88</v>
      </c>
      <c r="M95" s="64">
        <v>102.11</v>
      </c>
      <c r="N95" s="64">
        <v>26.1</v>
      </c>
      <c r="O95" s="64">
        <v>0</v>
      </c>
      <c r="P95" s="64">
        <v>0.52</v>
      </c>
      <c r="Q95" s="64">
        <v>9.31</v>
      </c>
      <c r="R95" s="198"/>
      <c r="S95" s="198"/>
      <c r="T95" s="198"/>
      <c r="U95" s="198"/>
    </row>
    <row r="96" spans="1:26" s="12" customFormat="1" x14ac:dyDescent="0.25">
      <c r="A96" s="214" t="s">
        <v>2830</v>
      </c>
      <c r="B96" s="64">
        <v>10.7</v>
      </c>
      <c r="C96" s="64">
        <v>20.34</v>
      </c>
      <c r="D96" s="64">
        <v>22.51</v>
      </c>
      <c r="E96" s="64">
        <v>4.0599999999999996</v>
      </c>
      <c r="F96" s="64">
        <v>7.44</v>
      </c>
      <c r="G96" s="64">
        <v>27.51</v>
      </c>
      <c r="H96" s="64">
        <v>9.67</v>
      </c>
      <c r="I96" s="64">
        <v>3.91</v>
      </c>
      <c r="J96" s="64">
        <v>0.15</v>
      </c>
      <c r="K96" s="64">
        <v>295.60000000000002</v>
      </c>
      <c r="L96" s="64">
        <v>23.86</v>
      </c>
      <c r="M96" s="64">
        <v>102.15</v>
      </c>
      <c r="N96" s="64">
        <v>26.1</v>
      </c>
      <c r="O96" s="64">
        <v>0</v>
      </c>
      <c r="P96" s="64">
        <v>0.48</v>
      </c>
      <c r="Q96" s="64">
        <v>9.32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2831</v>
      </c>
      <c r="B97" s="64">
        <v>10.95</v>
      </c>
      <c r="C97" s="64">
        <v>19.62</v>
      </c>
      <c r="D97" s="64">
        <v>20.75</v>
      </c>
      <c r="E97" s="64">
        <v>3.94</v>
      </c>
      <c r="F97" s="64">
        <v>3.57</v>
      </c>
      <c r="G97" s="64">
        <v>27.6</v>
      </c>
      <c r="H97" s="64">
        <v>9.89</v>
      </c>
      <c r="I97" s="64">
        <v>4.08</v>
      </c>
      <c r="J97" s="64">
        <v>0.06</v>
      </c>
      <c r="K97" s="64">
        <v>278.63</v>
      </c>
      <c r="L97" s="64">
        <v>23.91</v>
      </c>
      <c r="M97" s="64">
        <v>102.16</v>
      </c>
      <c r="N97" s="64">
        <v>26.1</v>
      </c>
      <c r="O97" s="64">
        <v>0</v>
      </c>
      <c r="P97" s="64">
        <v>0.49</v>
      </c>
      <c r="Q97" s="64">
        <v>9.33</v>
      </c>
      <c r="R97" s="198"/>
      <c r="S97" s="198"/>
      <c r="T97" s="198"/>
      <c r="U97" s="198"/>
    </row>
    <row r="98" spans="1:33" s="12" customFormat="1" x14ac:dyDescent="0.25">
      <c r="A98" s="214" t="s">
        <v>2832</v>
      </c>
      <c r="B98" s="64">
        <v>11.08</v>
      </c>
      <c r="C98" s="64">
        <v>19.739999999999998</v>
      </c>
      <c r="D98" s="64">
        <v>20.77</v>
      </c>
      <c r="E98" s="64">
        <v>3.92</v>
      </c>
      <c r="F98" s="64">
        <v>3.52</v>
      </c>
      <c r="G98" s="64">
        <v>27.95</v>
      </c>
      <c r="H98" s="64">
        <v>10.82</v>
      </c>
      <c r="I98" s="64">
        <v>3.71</v>
      </c>
      <c r="J98" s="64">
        <v>0.14000000000000001</v>
      </c>
      <c r="K98" s="64">
        <v>309.14999999999998</v>
      </c>
      <c r="L98" s="64">
        <v>24</v>
      </c>
      <c r="M98" s="64">
        <v>102.18</v>
      </c>
      <c r="N98" s="64">
        <v>26.1</v>
      </c>
      <c r="O98" s="64">
        <v>0</v>
      </c>
      <c r="P98" s="64">
        <v>0.49</v>
      </c>
      <c r="Q98" s="64">
        <v>9.33</v>
      </c>
      <c r="R98" s="198"/>
      <c r="S98" s="198"/>
      <c r="T98" s="198"/>
      <c r="U98" s="198"/>
    </row>
    <row r="99" spans="1:33" s="12" customFormat="1" x14ac:dyDescent="0.25">
      <c r="A99" s="214" t="s">
        <v>2833</v>
      </c>
      <c r="B99" s="64">
        <v>11.66</v>
      </c>
      <c r="C99" s="64">
        <v>21.76</v>
      </c>
      <c r="D99" s="64">
        <v>23.76</v>
      </c>
      <c r="E99" s="64">
        <v>3.71</v>
      </c>
      <c r="F99" s="64">
        <v>4.67</v>
      </c>
      <c r="G99" s="64">
        <v>27.95</v>
      </c>
      <c r="H99" s="64">
        <v>10.82</v>
      </c>
      <c r="I99" s="64">
        <v>4.01</v>
      </c>
      <c r="J99" s="64">
        <v>0.12</v>
      </c>
      <c r="K99" s="64">
        <v>313.36</v>
      </c>
      <c r="L99" s="64">
        <v>24.02</v>
      </c>
      <c r="M99" s="64">
        <v>102.18</v>
      </c>
      <c r="N99" s="64">
        <v>25.9</v>
      </c>
      <c r="O99" s="64">
        <v>0</v>
      </c>
      <c r="P99" s="64">
        <v>0.48</v>
      </c>
      <c r="Q99" s="64">
        <v>9.34</v>
      </c>
      <c r="R99" s="198"/>
      <c r="S99" s="198"/>
      <c r="T99" s="198"/>
      <c r="U99" s="198"/>
    </row>
    <row r="100" spans="1:33" s="12" customFormat="1" x14ac:dyDescent="0.25">
      <c r="A100" s="214" t="s">
        <v>2834</v>
      </c>
      <c r="B100" s="64">
        <v>10.78</v>
      </c>
      <c r="C100" s="64">
        <v>19.57</v>
      </c>
      <c r="D100" s="64">
        <v>20.92</v>
      </c>
      <c r="E100" s="64">
        <v>3.74</v>
      </c>
      <c r="F100" s="64">
        <v>5</v>
      </c>
      <c r="G100" s="64">
        <v>27.95</v>
      </c>
      <c r="H100" s="64">
        <v>10.82</v>
      </c>
      <c r="I100" s="64">
        <v>4.16</v>
      </c>
      <c r="J100" s="64">
        <v>0.12</v>
      </c>
      <c r="K100" s="64">
        <v>299.89</v>
      </c>
      <c r="L100" s="64">
        <v>24.07</v>
      </c>
      <c r="M100" s="64">
        <v>102.2</v>
      </c>
      <c r="N100" s="64">
        <v>25.9</v>
      </c>
      <c r="O100" s="64">
        <v>0</v>
      </c>
      <c r="P100" s="64">
        <v>0.51</v>
      </c>
      <c r="Q100" s="64">
        <v>9.36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2835</v>
      </c>
      <c r="B101" s="64">
        <v>26.81</v>
      </c>
      <c r="C101" s="64">
        <v>38.03</v>
      </c>
      <c r="D101" s="64">
        <v>31.63</v>
      </c>
      <c r="E101" s="64">
        <v>4.12</v>
      </c>
      <c r="F101" s="64">
        <v>4.9800000000000004</v>
      </c>
      <c r="G101" s="64">
        <v>28.62</v>
      </c>
      <c r="H101" s="64">
        <v>10.42</v>
      </c>
      <c r="I101" s="64">
        <v>4.2300000000000004</v>
      </c>
      <c r="J101" s="64">
        <v>0.1</v>
      </c>
      <c r="K101" s="64">
        <v>299.67</v>
      </c>
      <c r="L101" s="64">
        <v>24.06</v>
      </c>
      <c r="M101" s="64">
        <v>102.22</v>
      </c>
      <c r="N101" s="64">
        <v>25.9</v>
      </c>
      <c r="O101" s="64">
        <v>0</v>
      </c>
      <c r="P101" s="64">
        <v>0.67</v>
      </c>
      <c r="Q101" s="64">
        <v>9.36</v>
      </c>
      <c r="R101" s="198"/>
      <c r="S101" s="198"/>
      <c r="T101" s="198"/>
      <c r="U101" s="198"/>
    </row>
    <row r="102" spans="1:33" s="12" customFormat="1" x14ac:dyDescent="0.25">
      <c r="A102" s="214" t="s">
        <v>2836</v>
      </c>
      <c r="B102" s="64">
        <v>14.33</v>
      </c>
      <c r="C102" s="64">
        <v>22.52</v>
      </c>
      <c r="D102" s="64">
        <v>21.11</v>
      </c>
      <c r="E102" s="64">
        <v>3.53</v>
      </c>
      <c r="F102" s="64">
        <v>4.3</v>
      </c>
      <c r="G102" s="64">
        <v>31.51</v>
      </c>
      <c r="H102" s="64">
        <v>8.7100000000000009</v>
      </c>
      <c r="I102" s="64">
        <v>3.85</v>
      </c>
      <c r="J102" s="64">
        <v>0.3</v>
      </c>
      <c r="K102" s="64">
        <v>317.55</v>
      </c>
      <c r="L102" s="64">
        <v>24.12</v>
      </c>
      <c r="M102" s="64">
        <v>102.23</v>
      </c>
      <c r="N102" s="64">
        <v>25.9</v>
      </c>
      <c r="O102" s="64">
        <v>0</v>
      </c>
      <c r="P102" s="64">
        <v>0.56000000000000005</v>
      </c>
      <c r="Q102" s="64">
        <v>9.41</v>
      </c>
      <c r="R102" s="198"/>
      <c r="S102" s="198"/>
      <c r="T102" s="198"/>
      <c r="U102" s="198"/>
    </row>
    <row r="103" spans="1:33" s="12" customFormat="1" x14ac:dyDescent="0.25">
      <c r="A103" s="214" t="s">
        <v>2837</v>
      </c>
      <c r="B103" s="64">
        <v>13.25</v>
      </c>
      <c r="C103" s="64">
        <v>21.9</v>
      </c>
      <c r="D103" s="64">
        <v>21.58</v>
      </c>
      <c r="E103" s="64">
        <v>3.57</v>
      </c>
      <c r="F103" s="64">
        <v>3.55</v>
      </c>
      <c r="G103" s="64">
        <v>31.51</v>
      </c>
      <c r="H103" s="64">
        <v>8.7100000000000009</v>
      </c>
      <c r="I103" s="64">
        <v>3.86</v>
      </c>
      <c r="J103" s="64">
        <v>0.14000000000000001</v>
      </c>
      <c r="K103" s="64">
        <v>304.87</v>
      </c>
      <c r="L103" s="64">
        <v>24.12</v>
      </c>
      <c r="M103" s="64">
        <v>102.25</v>
      </c>
      <c r="N103" s="64">
        <v>26.1</v>
      </c>
      <c r="O103" s="64">
        <v>0</v>
      </c>
      <c r="P103" s="64">
        <v>0.61</v>
      </c>
      <c r="Q103" s="64">
        <v>9.44</v>
      </c>
      <c r="R103" s="198"/>
      <c r="S103" s="198"/>
      <c r="T103" s="198"/>
      <c r="U103" s="198"/>
    </row>
    <row r="104" spans="1:33" s="12" customFormat="1" x14ac:dyDescent="0.25">
      <c r="A104" s="214" t="s">
        <v>2838</v>
      </c>
      <c r="B104" s="64">
        <v>16.14</v>
      </c>
      <c r="C104" s="64">
        <v>28.03</v>
      </c>
      <c r="D104" s="64">
        <v>28.88</v>
      </c>
      <c r="E104" s="64">
        <v>4.97</v>
      </c>
      <c r="F104" s="64">
        <v>5.8</v>
      </c>
      <c r="G104" s="64">
        <v>31.51</v>
      </c>
      <c r="H104" s="64">
        <v>8.7100000000000009</v>
      </c>
      <c r="I104" s="64">
        <v>4.03</v>
      </c>
      <c r="J104" s="64">
        <v>0.08</v>
      </c>
      <c r="K104" s="64">
        <v>304.22000000000003</v>
      </c>
      <c r="L104" s="64">
        <v>24.1</v>
      </c>
      <c r="M104" s="64">
        <v>102.27</v>
      </c>
      <c r="N104" s="64">
        <v>26.1</v>
      </c>
      <c r="O104" s="64">
        <v>0</v>
      </c>
      <c r="P104" s="64">
        <v>0.67</v>
      </c>
      <c r="Q104" s="64">
        <v>9.4499999999999993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3.75</v>
      </c>
      <c r="C106" s="67">
        <f>MIN(C9:C104)</f>
        <v>14.93</v>
      </c>
      <c r="D106" s="67">
        <f t="shared" ref="D106:Q106" si="0">MIN(D9:D104)</f>
        <v>16.82</v>
      </c>
      <c r="E106" s="67">
        <f t="shared" si="0"/>
        <v>3.26</v>
      </c>
      <c r="F106" s="67">
        <f t="shared" si="0"/>
        <v>3.03</v>
      </c>
      <c r="G106" s="67">
        <f t="shared" si="0"/>
        <v>12.61</v>
      </c>
      <c r="H106" s="67">
        <f t="shared" si="0"/>
        <v>2.27</v>
      </c>
      <c r="I106" s="67">
        <f t="shared" si="0"/>
        <v>3.71</v>
      </c>
      <c r="J106" s="67">
        <f t="shared" si="0"/>
        <v>0.05</v>
      </c>
      <c r="K106" s="67">
        <f t="shared" si="0"/>
        <v>73.31</v>
      </c>
      <c r="L106" s="67">
        <f t="shared" si="0"/>
        <v>22.33</v>
      </c>
      <c r="M106" s="67">
        <f t="shared" si="0"/>
        <v>57.17</v>
      </c>
      <c r="N106" s="67">
        <f t="shared" si="0"/>
        <v>25.9</v>
      </c>
      <c r="O106" s="67">
        <f t="shared" si="0"/>
        <v>0</v>
      </c>
      <c r="P106" s="67">
        <f t="shared" si="0"/>
        <v>0.17</v>
      </c>
      <c r="Q106" s="67">
        <f t="shared" si="0"/>
        <v>9.16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26.81</v>
      </c>
      <c r="C107" s="66">
        <f t="shared" ref="C107:Q107" si="1">MAX(C9:C104)</f>
        <v>41.66</v>
      </c>
      <c r="D107" s="66">
        <f t="shared" si="1"/>
        <v>44.14</v>
      </c>
      <c r="E107" s="66">
        <f t="shared" si="1"/>
        <v>6.16</v>
      </c>
      <c r="F107" s="66">
        <f t="shared" si="1"/>
        <v>29.16</v>
      </c>
      <c r="G107" s="66">
        <f t="shared" si="1"/>
        <v>43.12</v>
      </c>
      <c r="H107" s="66">
        <f t="shared" si="1"/>
        <v>35.47</v>
      </c>
      <c r="I107" s="66">
        <f t="shared" si="1"/>
        <v>4.2300000000000004</v>
      </c>
      <c r="J107" s="66">
        <f t="shared" si="1"/>
        <v>1.69</v>
      </c>
      <c r="K107" s="66">
        <f t="shared" si="1"/>
        <v>355.54</v>
      </c>
      <c r="L107" s="66">
        <f t="shared" si="1"/>
        <v>38.68</v>
      </c>
      <c r="M107" s="66">
        <f t="shared" si="1"/>
        <v>103.11</v>
      </c>
      <c r="N107" s="66">
        <f t="shared" si="1"/>
        <v>799.4</v>
      </c>
      <c r="O107" s="66">
        <f t="shared" si="1"/>
        <v>9.8000000000000007</v>
      </c>
      <c r="P107" s="66">
        <f t="shared" si="1"/>
        <v>0.67</v>
      </c>
      <c r="Q107" s="66">
        <f t="shared" si="1"/>
        <v>9.59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11.371666666666668</v>
      </c>
      <c r="C108" s="67">
        <f t="shared" ref="C108:Q108" si="2">AVERAGE(C9:C104)</f>
        <v>21.956458333333334</v>
      </c>
      <c r="D108" s="67">
        <f t="shared" si="2"/>
        <v>24.570208333333344</v>
      </c>
      <c r="E108" s="67">
        <f t="shared" si="2"/>
        <v>4.0617708333333331</v>
      </c>
      <c r="F108" s="67">
        <f t="shared" si="2"/>
        <v>7.2336458333333331</v>
      </c>
      <c r="G108" s="67">
        <f t="shared" si="2"/>
        <v>27.427395833333339</v>
      </c>
      <c r="H108" s="67">
        <f t="shared" si="2"/>
        <v>9.7307291666666682</v>
      </c>
      <c r="I108" s="67">
        <f t="shared" si="2"/>
        <v>4.0086458333333335</v>
      </c>
      <c r="J108" s="67">
        <f t="shared" si="2"/>
        <v>0.38204081632653064</v>
      </c>
      <c r="K108" s="67">
        <f t="shared" si="2"/>
        <v>242.19265306122443</v>
      </c>
      <c r="L108" s="67">
        <f t="shared" si="2"/>
        <v>27.205999999999989</v>
      </c>
      <c r="M108" s="67">
        <f t="shared" si="2"/>
        <v>89.778999999999996</v>
      </c>
      <c r="N108" s="67">
        <f t="shared" si="2"/>
        <v>162.41999999999999</v>
      </c>
      <c r="O108" s="67">
        <f t="shared" si="2"/>
        <v>0.18125000000000002</v>
      </c>
      <c r="P108" s="67">
        <f t="shared" si="2"/>
        <v>0.390625</v>
      </c>
      <c r="Q108" s="67">
        <f t="shared" si="2"/>
        <v>9.366354166666671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4.5904348301467666</v>
      </c>
      <c r="C109" s="67">
        <f t="shared" ref="C109:Q109" si="3">STDEV(C9:C104)</f>
        <v>4.2301740611609802</v>
      </c>
      <c r="D109" s="67">
        <f t="shared" si="3"/>
        <v>6.2188445329145186</v>
      </c>
      <c r="E109" s="67">
        <f t="shared" si="3"/>
        <v>0.57494529678766015</v>
      </c>
      <c r="F109" s="67">
        <f t="shared" si="3"/>
        <v>6.2426635880243957</v>
      </c>
      <c r="G109" s="67">
        <f t="shared" si="3"/>
        <v>8.9564074382288066</v>
      </c>
      <c r="H109" s="67">
        <f t="shared" si="3"/>
        <v>7.7469798862173445</v>
      </c>
      <c r="I109" s="67">
        <f t="shared" si="3"/>
        <v>0.10066745453973082</v>
      </c>
      <c r="J109" s="67">
        <f t="shared" si="3"/>
        <v>0.33070618626305304</v>
      </c>
      <c r="K109" s="67">
        <f t="shared" si="3"/>
        <v>88.132174785364086</v>
      </c>
      <c r="L109" s="67">
        <f t="shared" si="3"/>
        <v>5.2538106675643297</v>
      </c>
      <c r="M109" s="67">
        <f t="shared" si="3"/>
        <v>17.68028398631472</v>
      </c>
      <c r="N109" s="67">
        <f t="shared" si="3"/>
        <v>226.33663478301071</v>
      </c>
      <c r="O109" s="67">
        <f t="shared" si="3"/>
        <v>1.1658574888083562</v>
      </c>
      <c r="P109" s="67">
        <f t="shared" si="3"/>
        <v>0.11565659241228365</v>
      </c>
      <c r="Q109" s="67">
        <f t="shared" si="3"/>
        <v>0.1381008006506512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COUNT(J9:J104)+47</f>
        <v>96</v>
      </c>
      <c r="K110" s="66">
        <f>COUNT(K9:K104)+47</f>
        <v>96</v>
      </c>
      <c r="L110" s="66">
        <f>COUNT(L9:L104)+46</f>
        <v>96</v>
      </c>
      <c r="M110" s="66">
        <f t="shared" ref="M110:N110" si="5">COUNT(M9:M104)+46</f>
        <v>96</v>
      </c>
      <c r="N110" s="66">
        <f t="shared" si="5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E12" sqref="E1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2839</v>
      </c>
      <c r="B9" s="64">
        <v>12.45</v>
      </c>
      <c r="C9" s="64">
        <v>22.64</v>
      </c>
      <c r="D9" s="64">
        <v>24.23</v>
      </c>
      <c r="E9" s="64">
        <v>5.68</v>
      </c>
      <c r="F9" s="64">
        <v>5.24</v>
      </c>
      <c r="G9" s="64">
        <v>32.5</v>
      </c>
      <c r="H9" s="64">
        <v>9.2799999999999994</v>
      </c>
      <c r="I9" s="64">
        <v>4.01</v>
      </c>
      <c r="J9" s="64">
        <v>0.26</v>
      </c>
      <c r="K9" s="64">
        <v>338.88</v>
      </c>
      <c r="L9" s="64">
        <v>24.09</v>
      </c>
      <c r="M9" s="64">
        <v>102.27</v>
      </c>
      <c r="N9" s="64">
        <v>25.9</v>
      </c>
      <c r="O9" s="64">
        <v>0</v>
      </c>
      <c r="P9" s="64">
        <v>0.64</v>
      </c>
      <c r="Q9" s="64">
        <v>9.4700000000000006</v>
      </c>
      <c r="R9" s="198"/>
      <c r="S9" s="198"/>
      <c r="T9" s="198"/>
      <c r="U9" s="198"/>
    </row>
    <row r="10" spans="1:21" s="12" customFormat="1" x14ac:dyDescent="0.25">
      <c r="A10" s="214" t="s">
        <v>2840</v>
      </c>
      <c r="B10" s="64">
        <v>12.48</v>
      </c>
      <c r="C10" s="64">
        <v>22.29</v>
      </c>
      <c r="D10" s="64">
        <v>23.51</v>
      </c>
      <c r="E10" s="64">
        <v>5.48</v>
      </c>
      <c r="F10" s="64">
        <v>4.95</v>
      </c>
      <c r="G10" s="64">
        <v>36.47</v>
      </c>
      <c r="H10" s="64">
        <v>11.7</v>
      </c>
      <c r="I10" s="64">
        <v>3.85</v>
      </c>
      <c r="J10" s="64">
        <v>0.13</v>
      </c>
      <c r="K10" s="64">
        <v>304.83</v>
      </c>
      <c r="L10" s="64">
        <v>24.1</v>
      </c>
      <c r="M10" s="64">
        <v>102.28</v>
      </c>
      <c r="N10" s="64">
        <v>25.9</v>
      </c>
      <c r="O10" s="64">
        <v>0</v>
      </c>
      <c r="P10" s="64">
        <v>0.64</v>
      </c>
      <c r="Q10" s="64">
        <v>9.4600000000000009</v>
      </c>
      <c r="R10" s="198"/>
      <c r="S10" s="198"/>
      <c r="T10" s="198"/>
      <c r="U10" s="198"/>
    </row>
    <row r="11" spans="1:21" s="12" customFormat="1" x14ac:dyDescent="0.25">
      <c r="A11" s="214" t="s">
        <v>2841</v>
      </c>
      <c r="B11" s="64">
        <v>10.25</v>
      </c>
      <c r="C11" s="64">
        <v>23.79</v>
      </c>
      <c r="D11" s="64">
        <v>29.8</v>
      </c>
      <c r="E11" s="64">
        <v>5.89</v>
      </c>
      <c r="F11" s="64">
        <v>8.1999999999999993</v>
      </c>
      <c r="G11" s="64">
        <v>36.47</v>
      </c>
      <c r="H11" s="64">
        <v>11.7</v>
      </c>
      <c r="I11" s="64">
        <v>3.95</v>
      </c>
      <c r="J11" s="64">
        <v>0.09</v>
      </c>
      <c r="K11" s="64">
        <v>282.58</v>
      </c>
      <c r="L11" s="64">
        <v>24.05</v>
      </c>
      <c r="M11" s="64">
        <v>102.3</v>
      </c>
      <c r="N11" s="64">
        <v>26</v>
      </c>
      <c r="O11" s="64">
        <v>0</v>
      </c>
      <c r="P11" s="64">
        <v>0.73</v>
      </c>
      <c r="Q11" s="64">
        <v>9.4600000000000009</v>
      </c>
      <c r="R11" s="198"/>
      <c r="S11" s="198"/>
      <c r="T11" s="198"/>
      <c r="U11" s="198"/>
    </row>
    <row r="12" spans="1:21" s="12" customFormat="1" x14ac:dyDescent="0.25">
      <c r="A12" s="214" t="s">
        <v>2842</v>
      </c>
      <c r="B12" s="64">
        <v>9.2100000000000009</v>
      </c>
      <c r="C12" s="64">
        <v>22.56</v>
      </c>
      <c r="D12" s="64">
        <v>29.04</v>
      </c>
      <c r="E12" s="64">
        <v>5.44</v>
      </c>
      <c r="F12" s="64">
        <v>7.72</v>
      </c>
      <c r="G12" s="64">
        <v>36.47</v>
      </c>
      <c r="H12" s="64">
        <v>11.7</v>
      </c>
      <c r="I12" s="64">
        <v>3.81</v>
      </c>
      <c r="J12" s="64">
        <v>0.28000000000000003</v>
      </c>
      <c r="K12" s="64">
        <v>314.70999999999998</v>
      </c>
      <c r="L12" s="64">
        <v>24.03</v>
      </c>
      <c r="M12" s="64">
        <v>102.33</v>
      </c>
      <c r="N12" s="64">
        <v>25.8</v>
      </c>
      <c r="O12" s="64">
        <v>0</v>
      </c>
      <c r="P12" s="64">
        <v>0.67</v>
      </c>
      <c r="Q12" s="64">
        <v>9.4700000000000006</v>
      </c>
      <c r="R12" s="198"/>
      <c r="S12" s="198"/>
      <c r="T12" s="198"/>
      <c r="U12" s="198"/>
    </row>
    <row r="13" spans="1:21" s="12" customFormat="1" x14ac:dyDescent="0.25">
      <c r="A13" s="214" t="s">
        <v>2843</v>
      </c>
      <c r="B13" s="64">
        <v>10.02</v>
      </c>
      <c r="C13" s="64">
        <v>21.51</v>
      </c>
      <c r="D13" s="64">
        <v>25.79</v>
      </c>
      <c r="E13" s="64">
        <v>5.29</v>
      </c>
      <c r="F13" s="64">
        <v>7.6</v>
      </c>
      <c r="G13" s="64">
        <v>36.86</v>
      </c>
      <c r="H13" s="64">
        <v>11.73</v>
      </c>
      <c r="I13" s="64">
        <v>3.92</v>
      </c>
      <c r="J13" s="64">
        <v>0.17</v>
      </c>
      <c r="K13" s="64">
        <v>296.22000000000003</v>
      </c>
      <c r="L13" s="64">
        <v>24.04</v>
      </c>
      <c r="M13" s="64">
        <v>102.35</v>
      </c>
      <c r="N13" s="64">
        <v>25.9</v>
      </c>
      <c r="O13" s="64">
        <v>0</v>
      </c>
      <c r="P13" s="64">
        <v>0.63</v>
      </c>
      <c r="Q13" s="64">
        <v>9.4700000000000006</v>
      </c>
      <c r="R13" s="198"/>
      <c r="S13" s="198"/>
      <c r="T13" s="198"/>
      <c r="U13" s="198"/>
    </row>
    <row r="14" spans="1:21" s="12" customFormat="1" x14ac:dyDescent="0.25">
      <c r="A14" s="214" t="s">
        <v>2844</v>
      </c>
      <c r="B14" s="64">
        <v>8.6999999999999993</v>
      </c>
      <c r="C14" s="64">
        <v>20.53</v>
      </c>
      <c r="D14" s="64">
        <v>25.93</v>
      </c>
      <c r="E14" s="64">
        <v>5.5</v>
      </c>
      <c r="F14" s="64">
        <v>7.12</v>
      </c>
      <c r="G14" s="64">
        <v>38.520000000000003</v>
      </c>
      <c r="H14" s="64">
        <v>11.88</v>
      </c>
      <c r="I14" s="64">
        <v>4.01</v>
      </c>
      <c r="J14" s="64">
        <v>0.12</v>
      </c>
      <c r="K14" s="64">
        <v>293.64999999999998</v>
      </c>
      <c r="L14" s="64">
        <v>24.13</v>
      </c>
      <c r="M14" s="64">
        <v>102.37</v>
      </c>
      <c r="N14" s="64">
        <v>25.9</v>
      </c>
      <c r="O14" s="64">
        <v>0</v>
      </c>
      <c r="P14" s="64">
        <v>0.65</v>
      </c>
      <c r="Q14" s="64">
        <v>9.4700000000000006</v>
      </c>
      <c r="R14" s="198"/>
      <c r="S14" s="198"/>
      <c r="T14" s="198"/>
      <c r="U14" s="198"/>
    </row>
    <row r="15" spans="1:21" s="12" customFormat="1" x14ac:dyDescent="0.25">
      <c r="A15" s="214" t="s">
        <v>2845</v>
      </c>
      <c r="B15" s="64">
        <v>9.14</v>
      </c>
      <c r="C15" s="64">
        <v>20.51</v>
      </c>
      <c r="D15" s="64">
        <v>25.22</v>
      </c>
      <c r="E15" s="64">
        <v>5.68</v>
      </c>
      <c r="F15" s="64">
        <v>7.74</v>
      </c>
      <c r="G15" s="64">
        <v>38.520000000000003</v>
      </c>
      <c r="H15" s="64">
        <v>11.88</v>
      </c>
      <c r="I15" s="64">
        <v>4.17</v>
      </c>
      <c r="J15" s="64">
        <v>0.13</v>
      </c>
      <c r="K15" s="64">
        <v>297.17</v>
      </c>
      <c r="L15" s="64">
        <v>24.16</v>
      </c>
      <c r="M15" s="64">
        <v>102.37</v>
      </c>
      <c r="N15" s="64">
        <v>25.8</v>
      </c>
      <c r="O15" s="64">
        <v>0</v>
      </c>
      <c r="P15" s="64">
        <v>0.65</v>
      </c>
      <c r="Q15" s="64">
        <v>9.4700000000000006</v>
      </c>
      <c r="R15" s="198"/>
      <c r="S15" s="198"/>
      <c r="T15" s="198"/>
      <c r="U15" s="198"/>
    </row>
    <row r="16" spans="1:21" s="12" customFormat="1" x14ac:dyDescent="0.25">
      <c r="A16" s="214" t="s">
        <v>2846</v>
      </c>
      <c r="B16" s="64">
        <v>8.14</v>
      </c>
      <c r="C16" s="64">
        <v>20.91</v>
      </c>
      <c r="D16" s="64">
        <v>27.52</v>
      </c>
      <c r="E16" s="64">
        <v>5.54</v>
      </c>
      <c r="F16" s="64">
        <v>7.77</v>
      </c>
      <c r="G16" s="64">
        <v>38.520000000000003</v>
      </c>
      <c r="H16" s="64">
        <v>11.88</v>
      </c>
      <c r="I16" s="64">
        <v>3.97</v>
      </c>
      <c r="J16" s="64">
        <v>0.1</v>
      </c>
      <c r="K16" s="64">
        <v>311.64</v>
      </c>
      <c r="L16" s="64">
        <v>24.11</v>
      </c>
      <c r="M16" s="64">
        <v>102.4</v>
      </c>
      <c r="N16" s="64">
        <v>26</v>
      </c>
      <c r="O16" s="64">
        <v>0</v>
      </c>
      <c r="P16" s="64">
        <v>0.65</v>
      </c>
      <c r="Q16" s="64">
        <v>9.4700000000000006</v>
      </c>
      <c r="R16" s="198"/>
      <c r="S16" s="198"/>
      <c r="T16" s="198"/>
      <c r="U16" s="198"/>
    </row>
    <row r="17" spans="1:21" s="12" customFormat="1" x14ac:dyDescent="0.25">
      <c r="A17" s="214" t="s">
        <v>2847</v>
      </c>
      <c r="B17" s="64">
        <v>9.39</v>
      </c>
      <c r="C17" s="64">
        <v>23.42</v>
      </c>
      <c r="D17" s="64">
        <v>30.41</v>
      </c>
      <c r="E17" s="64">
        <v>5.79</v>
      </c>
      <c r="F17" s="64">
        <v>6.42</v>
      </c>
      <c r="G17" s="64">
        <v>39.04</v>
      </c>
      <c r="H17" s="64">
        <v>12.97</v>
      </c>
      <c r="I17" s="64">
        <v>4.01</v>
      </c>
      <c r="J17" s="64">
        <v>0.1</v>
      </c>
      <c r="K17" s="64">
        <v>356.6</v>
      </c>
      <c r="L17" s="64">
        <v>24.06</v>
      </c>
      <c r="M17" s="64">
        <v>102.42</v>
      </c>
      <c r="N17" s="64">
        <v>25.8</v>
      </c>
      <c r="O17" s="64">
        <v>0</v>
      </c>
      <c r="P17" s="64">
        <v>0.63</v>
      </c>
      <c r="Q17" s="64">
        <v>9.4700000000000006</v>
      </c>
      <c r="R17" s="198"/>
      <c r="S17" s="198"/>
      <c r="T17" s="198"/>
      <c r="U17" s="198"/>
    </row>
    <row r="18" spans="1:21" s="12" customFormat="1" x14ac:dyDescent="0.25">
      <c r="A18" s="214" t="s">
        <v>2848</v>
      </c>
      <c r="B18" s="64">
        <v>8.89</v>
      </c>
      <c r="C18" s="64">
        <v>21.49</v>
      </c>
      <c r="D18" s="64">
        <v>27.49</v>
      </c>
      <c r="E18" s="64">
        <v>5.79</v>
      </c>
      <c r="F18" s="64">
        <v>7.57</v>
      </c>
      <c r="G18" s="64">
        <v>41.24</v>
      </c>
      <c r="H18" s="64">
        <v>17.670000000000002</v>
      </c>
      <c r="I18" s="64">
        <v>3.9</v>
      </c>
      <c r="J18" s="64">
        <v>0.4</v>
      </c>
      <c r="K18" s="64">
        <v>351.35</v>
      </c>
      <c r="L18" s="64">
        <v>24</v>
      </c>
      <c r="M18" s="64">
        <v>102.44</v>
      </c>
      <c r="N18" s="64">
        <v>25.7</v>
      </c>
      <c r="O18" s="64">
        <v>0</v>
      </c>
      <c r="P18" s="64">
        <v>0.61</v>
      </c>
      <c r="Q18" s="64">
        <v>9.48</v>
      </c>
      <c r="R18" s="198"/>
      <c r="S18" s="198"/>
      <c r="T18" s="198"/>
      <c r="U18" s="198"/>
    </row>
    <row r="19" spans="1:21" s="12" customFormat="1" x14ac:dyDescent="0.25">
      <c r="A19" s="214" t="s">
        <v>2849</v>
      </c>
      <c r="B19" s="64">
        <v>12.14</v>
      </c>
      <c r="C19" s="64">
        <v>20.440000000000001</v>
      </c>
      <c r="D19" s="64">
        <v>20.49</v>
      </c>
      <c r="E19" s="64">
        <v>5.48</v>
      </c>
      <c r="F19" s="64">
        <v>5.19</v>
      </c>
      <c r="G19" s="64">
        <v>41.24</v>
      </c>
      <c r="H19" s="64">
        <v>17.670000000000002</v>
      </c>
      <c r="I19" s="64">
        <v>3.81</v>
      </c>
      <c r="J19" s="64">
        <v>0.38</v>
      </c>
      <c r="K19" s="64">
        <v>335.68</v>
      </c>
      <c r="L19" s="64">
        <v>24.01</v>
      </c>
      <c r="M19" s="64">
        <v>102.44</v>
      </c>
      <c r="N19" s="64">
        <v>25.8</v>
      </c>
      <c r="O19" s="64">
        <v>0</v>
      </c>
      <c r="P19" s="64">
        <v>0.64</v>
      </c>
      <c r="Q19" s="64">
        <v>9.4600000000000009</v>
      </c>
      <c r="R19" s="198"/>
      <c r="S19" s="198"/>
      <c r="T19" s="198"/>
      <c r="U19" s="198"/>
    </row>
    <row r="20" spans="1:21" s="12" customFormat="1" x14ac:dyDescent="0.25">
      <c r="A20" s="214" t="s">
        <v>2850</v>
      </c>
      <c r="B20" s="64">
        <v>12.12</v>
      </c>
      <c r="C20" s="64">
        <v>20.22</v>
      </c>
      <c r="D20" s="64">
        <v>20.100000000000001</v>
      </c>
      <c r="E20" s="64">
        <v>6.08</v>
      </c>
      <c r="F20" s="64">
        <v>5.07</v>
      </c>
      <c r="G20" s="64">
        <v>41.24</v>
      </c>
      <c r="H20" s="64">
        <v>17.670000000000002</v>
      </c>
      <c r="I20" s="64">
        <v>4.03</v>
      </c>
      <c r="J20" s="64">
        <v>0.28999999999999998</v>
      </c>
      <c r="K20" s="64">
        <v>329.3</v>
      </c>
      <c r="L20" s="64">
        <v>24.01</v>
      </c>
      <c r="M20" s="64">
        <v>102.45</v>
      </c>
      <c r="N20" s="64">
        <v>25.8</v>
      </c>
      <c r="O20" s="64">
        <v>0</v>
      </c>
      <c r="P20" s="64">
        <v>0.61</v>
      </c>
      <c r="Q20" s="64">
        <v>9.4499999999999993</v>
      </c>
      <c r="R20" s="198"/>
      <c r="S20" s="198"/>
      <c r="T20" s="198"/>
      <c r="U20" s="198"/>
    </row>
    <row r="21" spans="1:21" s="12" customFormat="1" x14ac:dyDescent="0.25">
      <c r="A21" s="214" t="s">
        <v>2851</v>
      </c>
      <c r="B21" s="64">
        <v>11.36</v>
      </c>
      <c r="C21" s="64">
        <v>20.05</v>
      </c>
      <c r="D21" s="64">
        <v>20.94</v>
      </c>
      <c r="E21" s="64">
        <v>5.79</v>
      </c>
      <c r="F21" s="64">
        <v>5.88</v>
      </c>
      <c r="G21" s="64">
        <v>41.45</v>
      </c>
      <c r="H21" s="64">
        <v>18.03</v>
      </c>
      <c r="I21" s="64">
        <v>3.86</v>
      </c>
      <c r="J21" s="64">
        <v>0.16</v>
      </c>
      <c r="K21" s="64">
        <v>351.48</v>
      </c>
      <c r="L21" s="64">
        <v>24.05</v>
      </c>
      <c r="M21" s="64">
        <v>102.45</v>
      </c>
      <c r="N21" s="64">
        <v>25.9</v>
      </c>
      <c r="O21" s="64">
        <v>0</v>
      </c>
      <c r="P21" s="64">
        <v>0.61</v>
      </c>
      <c r="Q21" s="64">
        <v>9.4600000000000009</v>
      </c>
      <c r="R21" s="198"/>
      <c r="S21" s="198"/>
      <c r="T21" s="198"/>
      <c r="U21" s="198"/>
    </row>
    <row r="22" spans="1:21" s="12" customFormat="1" x14ac:dyDescent="0.25">
      <c r="A22" s="214" t="s">
        <v>2852</v>
      </c>
      <c r="B22" s="64">
        <v>11.29</v>
      </c>
      <c r="C22" s="64">
        <v>19.239999999999998</v>
      </c>
      <c r="D22" s="64">
        <v>19.489999999999998</v>
      </c>
      <c r="E22" s="64">
        <v>5.71</v>
      </c>
      <c r="F22" s="64">
        <v>5.95</v>
      </c>
      <c r="G22" s="64">
        <v>42.33</v>
      </c>
      <c r="H22" s="64">
        <v>19.579999999999998</v>
      </c>
      <c r="I22" s="64">
        <v>4.17</v>
      </c>
      <c r="J22" s="64">
        <v>0.09</v>
      </c>
      <c r="K22" s="64">
        <v>189.28</v>
      </c>
      <c r="L22" s="64">
        <v>23.99</v>
      </c>
      <c r="M22" s="64">
        <v>102.38</v>
      </c>
      <c r="N22" s="64">
        <v>26</v>
      </c>
      <c r="O22" s="64">
        <v>0</v>
      </c>
      <c r="P22" s="64">
        <v>0.61</v>
      </c>
      <c r="Q22" s="64">
        <v>9.44</v>
      </c>
      <c r="R22" s="198"/>
      <c r="S22" s="198"/>
      <c r="T22" s="198"/>
      <c r="U22" s="198"/>
    </row>
    <row r="23" spans="1:21" s="12" customFormat="1" x14ac:dyDescent="0.25">
      <c r="A23" s="214" t="s">
        <v>2853</v>
      </c>
      <c r="B23" s="64">
        <v>8.67</v>
      </c>
      <c r="C23" s="64">
        <v>16.88</v>
      </c>
      <c r="D23" s="64">
        <v>19</v>
      </c>
      <c r="E23" s="64">
        <v>5.57</v>
      </c>
      <c r="F23" s="64">
        <v>6.57</v>
      </c>
      <c r="G23" s="64">
        <v>42.33</v>
      </c>
      <c r="H23" s="64">
        <v>19.579999999999998</v>
      </c>
      <c r="I23" s="64">
        <v>4.0599999999999996</v>
      </c>
      <c r="J23" s="64">
        <v>0.05</v>
      </c>
      <c r="K23" s="64">
        <v>224.38</v>
      </c>
      <c r="L23" s="64">
        <v>23.91</v>
      </c>
      <c r="M23" s="64">
        <v>102.43</v>
      </c>
      <c r="N23" s="64">
        <v>26.1</v>
      </c>
      <c r="O23" s="64">
        <v>0</v>
      </c>
      <c r="P23" s="64">
        <v>0.53</v>
      </c>
      <c r="Q23" s="64">
        <v>9.41</v>
      </c>
      <c r="R23" s="198"/>
      <c r="S23" s="198"/>
      <c r="T23" s="198"/>
      <c r="U23" s="198"/>
    </row>
    <row r="24" spans="1:21" s="12" customFormat="1" x14ac:dyDescent="0.25">
      <c r="A24" s="214" t="s">
        <v>2854</v>
      </c>
      <c r="B24" s="64">
        <v>10.63</v>
      </c>
      <c r="C24" s="64">
        <v>17.96</v>
      </c>
      <c r="D24" s="64">
        <v>18.05</v>
      </c>
      <c r="E24" s="64">
        <v>5.52</v>
      </c>
      <c r="F24" s="64">
        <v>4.9000000000000004</v>
      </c>
      <c r="G24" s="64">
        <v>42.33</v>
      </c>
      <c r="H24" s="64">
        <v>19.579999999999998</v>
      </c>
      <c r="I24" s="64">
        <v>4.01</v>
      </c>
      <c r="J24" s="64">
        <v>0.14000000000000001</v>
      </c>
      <c r="K24" s="64">
        <v>203.28</v>
      </c>
      <c r="L24" s="64">
        <v>23.94</v>
      </c>
      <c r="M24" s="64">
        <v>102.5</v>
      </c>
      <c r="N24" s="64">
        <v>25.9</v>
      </c>
      <c r="O24" s="64">
        <v>0</v>
      </c>
      <c r="P24" s="64">
        <v>0.61</v>
      </c>
      <c r="Q24" s="64">
        <v>9.4</v>
      </c>
      <c r="R24" s="198"/>
      <c r="S24" s="198"/>
      <c r="T24" s="198"/>
      <c r="U24" s="198"/>
    </row>
    <row r="25" spans="1:21" s="12" customFormat="1" x14ac:dyDescent="0.25">
      <c r="A25" s="214" t="s">
        <v>2855</v>
      </c>
      <c r="B25" s="64">
        <v>9.4</v>
      </c>
      <c r="C25" s="64">
        <v>18.399999999999999</v>
      </c>
      <c r="D25" s="64">
        <v>20.8</v>
      </c>
      <c r="E25" s="64">
        <v>5.64</v>
      </c>
      <c r="F25" s="64">
        <v>4.57</v>
      </c>
      <c r="G25" s="64">
        <v>43.02</v>
      </c>
      <c r="H25" s="64">
        <v>19.920000000000002</v>
      </c>
      <c r="I25" s="64">
        <v>3.92</v>
      </c>
      <c r="J25" s="64">
        <v>0.1</v>
      </c>
      <c r="K25" s="64">
        <v>208.68</v>
      </c>
      <c r="L25" s="64">
        <v>23.89</v>
      </c>
      <c r="M25" s="64">
        <v>102.58</v>
      </c>
      <c r="N25" s="64">
        <v>25.9</v>
      </c>
      <c r="O25" s="64">
        <v>0</v>
      </c>
      <c r="P25" s="64">
        <v>0.61</v>
      </c>
      <c r="Q25" s="64">
        <v>9.3800000000000008</v>
      </c>
      <c r="R25" s="198"/>
      <c r="S25" s="198"/>
      <c r="T25" s="198"/>
      <c r="U25" s="198"/>
    </row>
    <row r="26" spans="1:21" s="12" customFormat="1" x14ac:dyDescent="0.25">
      <c r="A26" s="214" t="s">
        <v>2856</v>
      </c>
      <c r="B26" s="64">
        <v>9.25</v>
      </c>
      <c r="C26" s="64">
        <v>18.579999999999998</v>
      </c>
      <c r="D26" s="64">
        <v>21.36</v>
      </c>
      <c r="E26" s="64">
        <v>5.71</v>
      </c>
      <c r="F26" s="64">
        <v>4.4400000000000004</v>
      </c>
      <c r="G26" s="64">
        <v>45.98</v>
      </c>
      <c r="H26" s="64">
        <v>21.37</v>
      </c>
      <c r="I26" s="64">
        <v>4.0599999999999996</v>
      </c>
      <c r="J26" s="64">
        <v>0.04</v>
      </c>
      <c r="K26" s="64">
        <v>321.66000000000003</v>
      </c>
      <c r="L26" s="64">
        <v>23.86</v>
      </c>
      <c r="M26" s="64">
        <v>102.6</v>
      </c>
      <c r="N26" s="64">
        <v>26.1</v>
      </c>
      <c r="O26" s="64">
        <v>0</v>
      </c>
      <c r="P26" s="64">
        <v>0.6</v>
      </c>
      <c r="Q26" s="64">
        <v>9.3699999999999992</v>
      </c>
      <c r="R26" s="198"/>
      <c r="S26" s="198"/>
      <c r="T26" s="198"/>
      <c r="U26" s="198"/>
    </row>
    <row r="27" spans="1:21" s="12" customFormat="1" x14ac:dyDescent="0.25">
      <c r="A27" s="214" t="s">
        <v>2857</v>
      </c>
      <c r="B27" s="64">
        <v>10.7</v>
      </c>
      <c r="C27" s="64">
        <v>18.34</v>
      </c>
      <c r="D27" s="64">
        <v>18.68</v>
      </c>
      <c r="E27" s="64">
        <v>5.64</v>
      </c>
      <c r="F27" s="64">
        <v>4.51</v>
      </c>
      <c r="G27" s="64">
        <v>45.98</v>
      </c>
      <c r="H27" s="64">
        <v>21.37</v>
      </c>
      <c r="I27" s="64">
        <v>3.98</v>
      </c>
      <c r="J27" s="64">
        <v>0.06</v>
      </c>
      <c r="K27" s="64">
        <v>236.64</v>
      </c>
      <c r="L27" s="64">
        <v>23.82</v>
      </c>
      <c r="M27" s="64">
        <v>102.61</v>
      </c>
      <c r="N27" s="64">
        <v>25.8</v>
      </c>
      <c r="O27" s="64">
        <v>0</v>
      </c>
      <c r="P27" s="64">
        <v>0.61</v>
      </c>
      <c r="Q27" s="64">
        <v>9.35</v>
      </c>
      <c r="R27" s="198"/>
      <c r="S27" s="198"/>
      <c r="T27" s="198"/>
      <c r="U27" s="198"/>
    </row>
    <row r="28" spans="1:21" s="12" customFormat="1" x14ac:dyDescent="0.25">
      <c r="A28" s="214" t="s">
        <v>2858</v>
      </c>
      <c r="B28" s="64">
        <v>8.73</v>
      </c>
      <c r="C28" s="64">
        <v>18.440000000000001</v>
      </c>
      <c r="D28" s="64">
        <v>21.89</v>
      </c>
      <c r="E28" s="64">
        <v>5.63</v>
      </c>
      <c r="F28" s="64">
        <v>5.32</v>
      </c>
      <c r="G28" s="64">
        <v>45.98</v>
      </c>
      <c r="H28" s="64">
        <v>21.37</v>
      </c>
      <c r="I28" s="64">
        <v>3.92</v>
      </c>
      <c r="J28" s="64">
        <v>0.16</v>
      </c>
      <c r="K28" s="64">
        <v>202.38</v>
      </c>
      <c r="L28" s="64">
        <v>23.82</v>
      </c>
      <c r="M28" s="64">
        <v>102.64</v>
      </c>
      <c r="N28" s="64">
        <v>25.7</v>
      </c>
      <c r="O28" s="64">
        <v>0</v>
      </c>
      <c r="P28" s="64">
        <v>0.65</v>
      </c>
      <c r="Q28" s="64">
        <v>9.36</v>
      </c>
      <c r="R28" s="198"/>
      <c r="S28" s="198"/>
      <c r="T28" s="198"/>
      <c r="U28" s="198"/>
    </row>
    <row r="29" spans="1:21" s="12" customFormat="1" x14ac:dyDescent="0.25">
      <c r="A29" s="214" t="s">
        <v>2859</v>
      </c>
      <c r="B29" s="64">
        <v>6.8</v>
      </c>
      <c r="C29" s="64">
        <v>16.350000000000001</v>
      </c>
      <c r="D29" s="64">
        <v>20.86</v>
      </c>
      <c r="E29" s="64">
        <v>5.66</v>
      </c>
      <c r="F29" s="64">
        <v>6.94</v>
      </c>
      <c r="G29" s="64">
        <v>45.18</v>
      </c>
      <c r="H29" s="64">
        <v>21.08</v>
      </c>
      <c r="I29" s="64">
        <v>3.92</v>
      </c>
      <c r="J29" s="64">
        <v>0.08</v>
      </c>
      <c r="K29" s="64">
        <v>208.41</v>
      </c>
      <c r="L29" s="64">
        <v>23.7</v>
      </c>
      <c r="M29" s="64">
        <v>102.75</v>
      </c>
      <c r="N29" s="64">
        <v>26.5</v>
      </c>
      <c r="O29" s="64">
        <v>0</v>
      </c>
      <c r="P29" s="64">
        <v>0.62</v>
      </c>
      <c r="Q29" s="64">
        <v>9.3699999999999992</v>
      </c>
      <c r="R29" s="198"/>
      <c r="S29" s="198"/>
      <c r="T29" s="198"/>
      <c r="U29" s="198"/>
    </row>
    <row r="30" spans="1:21" s="12" customFormat="1" x14ac:dyDescent="0.25">
      <c r="A30" s="214" t="s">
        <v>2860</v>
      </c>
      <c r="B30" s="64">
        <v>6.51</v>
      </c>
      <c r="C30" s="64">
        <v>15.31</v>
      </c>
      <c r="D30" s="64">
        <v>19.32</v>
      </c>
      <c r="E30" s="64">
        <v>5.74</v>
      </c>
      <c r="F30" s="64">
        <v>6.91</v>
      </c>
      <c r="G30" s="64">
        <v>41.74</v>
      </c>
      <c r="H30" s="64">
        <v>19.8</v>
      </c>
      <c r="I30" s="64">
        <v>3.98</v>
      </c>
      <c r="J30" s="64">
        <v>0.08</v>
      </c>
      <c r="K30" s="64">
        <v>220.85</v>
      </c>
      <c r="L30" s="64">
        <v>23.62</v>
      </c>
      <c r="M30" s="64">
        <v>102.9</v>
      </c>
      <c r="N30" s="64">
        <v>29.1</v>
      </c>
      <c r="O30" s="64">
        <v>0</v>
      </c>
      <c r="P30" s="64">
        <v>0.56999999999999995</v>
      </c>
      <c r="Q30" s="64">
        <v>9.3699999999999992</v>
      </c>
      <c r="R30" s="198"/>
      <c r="S30" s="198"/>
      <c r="T30" s="198"/>
      <c r="U30" s="198"/>
    </row>
    <row r="31" spans="1:21" s="12" customFormat="1" x14ac:dyDescent="0.25">
      <c r="A31" s="214" t="s">
        <v>2861</v>
      </c>
      <c r="B31" s="64">
        <v>7.65</v>
      </c>
      <c r="C31" s="64">
        <v>16.29</v>
      </c>
      <c r="D31" s="64">
        <v>19.420000000000002</v>
      </c>
      <c r="E31" s="64">
        <v>5.86</v>
      </c>
      <c r="F31" s="64">
        <v>7.43</v>
      </c>
      <c r="G31" s="64">
        <v>41.74</v>
      </c>
      <c r="H31" s="64">
        <v>19.8</v>
      </c>
      <c r="I31" s="64">
        <v>4.09</v>
      </c>
      <c r="J31" s="64">
        <v>0.43</v>
      </c>
      <c r="K31" s="64">
        <v>151.28</v>
      </c>
      <c r="L31" s="64">
        <v>23.62</v>
      </c>
      <c r="M31" s="64">
        <v>102.78</v>
      </c>
      <c r="N31" s="64">
        <v>36</v>
      </c>
      <c r="O31" s="64">
        <v>0</v>
      </c>
      <c r="P31" s="64">
        <v>0.53</v>
      </c>
      <c r="Q31" s="64">
        <v>9.3699999999999992</v>
      </c>
      <c r="R31" s="198"/>
      <c r="S31" s="198"/>
      <c r="T31" s="198"/>
      <c r="U31" s="198"/>
    </row>
    <row r="32" spans="1:21" s="12" customFormat="1" x14ac:dyDescent="0.25">
      <c r="A32" s="214" t="s">
        <v>2862</v>
      </c>
      <c r="B32" s="64">
        <v>9.3699999999999992</v>
      </c>
      <c r="C32" s="64">
        <v>18.45</v>
      </c>
      <c r="D32" s="64">
        <v>20.92</v>
      </c>
      <c r="E32" s="64">
        <v>5.49</v>
      </c>
      <c r="F32" s="64">
        <v>7.85</v>
      </c>
      <c r="G32" s="64">
        <v>41.74</v>
      </c>
      <c r="H32" s="64">
        <v>19.8</v>
      </c>
      <c r="I32" s="64">
        <v>4.0599999999999996</v>
      </c>
      <c r="J32" s="64">
        <v>0.5</v>
      </c>
      <c r="K32" s="64">
        <v>160.06</v>
      </c>
      <c r="L32" s="64">
        <v>23.75</v>
      </c>
      <c r="M32" s="64">
        <v>102.76</v>
      </c>
      <c r="N32" s="64">
        <v>45.9</v>
      </c>
      <c r="O32" s="64">
        <v>0</v>
      </c>
      <c r="P32" s="64">
        <v>0.53</v>
      </c>
      <c r="Q32" s="64">
        <v>9.3800000000000008</v>
      </c>
      <c r="R32" s="198"/>
      <c r="S32" s="198"/>
      <c r="T32" s="198"/>
      <c r="U32" s="198"/>
    </row>
    <row r="33" spans="1:21" s="12" customFormat="1" x14ac:dyDescent="0.25">
      <c r="A33" s="214" t="s">
        <v>2863</v>
      </c>
      <c r="B33" s="64">
        <v>9.99</v>
      </c>
      <c r="C33" s="64">
        <v>19.13</v>
      </c>
      <c r="D33" s="64">
        <v>21.28</v>
      </c>
      <c r="E33" s="64">
        <v>5.94</v>
      </c>
      <c r="F33" s="64">
        <v>7.19</v>
      </c>
      <c r="G33" s="64">
        <v>41.12</v>
      </c>
      <c r="H33" s="64">
        <v>19.54</v>
      </c>
      <c r="I33" s="64">
        <v>3.96</v>
      </c>
      <c r="J33" s="64">
        <v>0.43</v>
      </c>
      <c r="K33" s="64">
        <v>169.72</v>
      </c>
      <c r="L33" s="64">
        <v>23.86</v>
      </c>
      <c r="M33" s="64">
        <v>102.79</v>
      </c>
      <c r="N33" s="64">
        <v>64</v>
      </c>
      <c r="O33" s="64">
        <v>0</v>
      </c>
      <c r="P33" s="64">
        <v>0.54</v>
      </c>
      <c r="Q33" s="64">
        <v>9.39</v>
      </c>
      <c r="R33" s="198"/>
      <c r="S33" s="198"/>
      <c r="T33" s="198"/>
      <c r="U33" s="198"/>
    </row>
    <row r="34" spans="1:21" s="12" customFormat="1" x14ac:dyDescent="0.25">
      <c r="A34" s="214" t="s">
        <v>2864</v>
      </c>
      <c r="B34" s="64">
        <v>8.9700000000000006</v>
      </c>
      <c r="C34" s="64">
        <v>18.510000000000002</v>
      </c>
      <c r="D34" s="64">
        <v>21.65</v>
      </c>
      <c r="E34" s="64">
        <v>5.71</v>
      </c>
      <c r="F34" s="64">
        <v>7.88</v>
      </c>
      <c r="G34" s="64">
        <v>38.5</v>
      </c>
      <c r="H34" s="64">
        <v>18.5</v>
      </c>
      <c r="I34" s="64">
        <v>4.1500000000000004</v>
      </c>
      <c r="J34" s="64">
        <v>0.15</v>
      </c>
      <c r="K34" s="64">
        <v>188.05</v>
      </c>
      <c r="L34" s="64">
        <v>24.03</v>
      </c>
      <c r="M34" s="64">
        <v>102.93</v>
      </c>
      <c r="N34" s="64">
        <v>91.3</v>
      </c>
      <c r="O34" s="64">
        <v>0</v>
      </c>
      <c r="P34" s="64">
        <v>0.48</v>
      </c>
      <c r="Q34" s="64">
        <v>9.3800000000000008</v>
      </c>
      <c r="R34" s="198"/>
      <c r="S34" s="198"/>
      <c r="T34" s="198"/>
      <c r="U34" s="198"/>
    </row>
    <row r="35" spans="1:21" s="12" customFormat="1" x14ac:dyDescent="0.25">
      <c r="A35" s="214" t="s">
        <v>2865</v>
      </c>
      <c r="B35" s="64">
        <v>9.1999999999999993</v>
      </c>
      <c r="C35" s="64">
        <v>17.739999999999998</v>
      </c>
      <c r="D35" s="64">
        <v>19.84</v>
      </c>
      <c r="E35" s="64">
        <v>5.53</v>
      </c>
      <c r="F35" s="64">
        <v>8.91</v>
      </c>
      <c r="G35" s="64">
        <v>38.5</v>
      </c>
      <c r="H35" s="64">
        <v>18.5</v>
      </c>
      <c r="I35" s="64">
        <v>3.96</v>
      </c>
      <c r="J35" s="64">
        <v>0.17</v>
      </c>
      <c r="K35" s="64">
        <v>216.78</v>
      </c>
      <c r="L35" s="64">
        <v>24.29</v>
      </c>
      <c r="M35" s="64">
        <v>102.98</v>
      </c>
      <c r="N35" s="64">
        <v>131.1</v>
      </c>
      <c r="O35" s="64">
        <v>0</v>
      </c>
      <c r="P35" s="64">
        <v>0.49</v>
      </c>
      <c r="Q35" s="64">
        <v>9.4</v>
      </c>
      <c r="R35" s="198"/>
      <c r="S35" s="198"/>
      <c r="T35" s="198"/>
      <c r="U35" s="198"/>
    </row>
    <row r="36" spans="1:21" s="12" customFormat="1" x14ac:dyDescent="0.25">
      <c r="A36" s="214" t="s">
        <v>2866</v>
      </c>
      <c r="B36" s="64">
        <v>11.21</v>
      </c>
      <c r="C36" s="64">
        <v>19.05</v>
      </c>
      <c r="D36" s="64">
        <v>19.260000000000002</v>
      </c>
      <c r="E36" s="64">
        <v>5.74</v>
      </c>
      <c r="F36" s="64">
        <v>3.83</v>
      </c>
      <c r="G36" s="64">
        <v>38.5</v>
      </c>
      <c r="H36" s="64">
        <v>18.5</v>
      </c>
      <c r="I36" s="64">
        <v>3.95</v>
      </c>
      <c r="J36" s="64">
        <v>0.1</v>
      </c>
      <c r="K36" s="64">
        <v>270.13</v>
      </c>
      <c r="L36" s="64">
        <v>24.74</v>
      </c>
      <c r="M36" s="64">
        <v>102.92</v>
      </c>
      <c r="N36" s="64">
        <v>168</v>
      </c>
      <c r="O36" s="64">
        <v>0</v>
      </c>
      <c r="P36" s="64">
        <v>0.56999999999999995</v>
      </c>
      <c r="Q36" s="64">
        <v>9.39</v>
      </c>
      <c r="R36" s="198"/>
      <c r="S36" s="198"/>
      <c r="T36" s="198"/>
      <c r="U36" s="198"/>
    </row>
    <row r="37" spans="1:21" s="12" customFormat="1" x14ac:dyDescent="0.25">
      <c r="A37" s="214" t="s">
        <v>2867</v>
      </c>
      <c r="B37" s="64">
        <v>12.76</v>
      </c>
      <c r="C37" s="64">
        <v>19.7</v>
      </c>
      <c r="D37" s="64">
        <v>18.12</v>
      </c>
      <c r="E37" s="64">
        <v>5.55</v>
      </c>
      <c r="F37" s="64">
        <v>4.41</v>
      </c>
      <c r="G37" s="64">
        <v>38.090000000000003</v>
      </c>
      <c r="H37" s="64">
        <v>18.14</v>
      </c>
      <c r="I37" s="64">
        <v>4.01</v>
      </c>
      <c r="J37" s="64">
        <v>0.13</v>
      </c>
      <c r="K37" s="64">
        <v>264.32</v>
      </c>
      <c r="L37" s="64">
        <v>25.28</v>
      </c>
      <c r="M37" s="64">
        <v>103.06</v>
      </c>
      <c r="N37" s="64">
        <v>135.6</v>
      </c>
      <c r="O37" s="64">
        <v>0</v>
      </c>
      <c r="P37" s="64">
        <v>0.55000000000000004</v>
      </c>
      <c r="Q37" s="64">
        <v>9.3699999999999992</v>
      </c>
      <c r="R37" s="198"/>
      <c r="S37" s="198"/>
      <c r="T37" s="198"/>
      <c r="U37" s="198"/>
    </row>
    <row r="38" spans="1:21" s="12" customFormat="1" x14ac:dyDescent="0.25">
      <c r="A38" s="214" t="s">
        <v>2868</v>
      </c>
      <c r="B38" s="64">
        <v>16.47</v>
      </c>
      <c r="C38" s="64">
        <v>24.19</v>
      </c>
      <c r="D38" s="64">
        <v>21.03</v>
      </c>
      <c r="E38" s="64">
        <v>5.53</v>
      </c>
      <c r="F38" s="64">
        <v>3.72</v>
      </c>
      <c r="G38" s="64">
        <v>36.35</v>
      </c>
      <c r="H38" s="64">
        <v>16.690000000000001</v>
      </c>
      <c r="I38" s="64">
        <v>4.03</v>
      </c>
      <c r="J38" s="64">
        <v>0.09</v>
      </c>
      <c r="K38" s="64">
        <v>261.37</v>
      </c>
      <c r="L38" s="64">
        <v>25.44</v>
      </c>
      <c r="M38" s="64">
        <v>103.15</v>
      </c>
      <c r="N38" s="64">
        <v>155.4</v>
      </c>
      <c r="O38" s="64">
        <v>0</v>
      </c>
      <c r="P38" s="64">
        <v>0.61</v>
      </c>
      <c r="Q38" s="64">
        <v>9.3800000000000008</v>
      </c>
      <c r="R38" s="198"/>
      <c r="S38" s="198"/>
      <c r="T38" s="198"/>
      <c r="U38" s="198"/>
    </row>
    <row r="39" spans="1:21" s="12" customFormat="1" x14ac:dyDescent="0.25">
      <c r="A39" s="214" t="s">
        <v>2869</v>
      </c>
      <c r="B39" s="64">
        <v>13.09</v>
      </c>
      <c r="C39" s="64">
        <v>20.46</v>
      </c>
      <c r="D39" s="64">
        <v>19.07</v>
      </c>
      <c r="E39" s="64">
        <v>5.51</v>
      </c>
      <c r="F39" s="64">
        <v>4.17</v>
      </c>
      <c r="G39" s="64">
        <v>36.35</v>
      </c>
      <c r="H39" s="64">
        <v>16.690000000000001</v>
      </c>
      <c r="I39" s="64">
        <v>3.93</v>
      </c>
      <c r="J39" s="64">
        <v>0.08</v>
      </c>
      <c r="K39" s="64">
        <v>242.1</v>
      </c>
      <c r="L39" s="64">
        <v>25.71</v>
      </c>
      <c r="M39" s="64">
        <v>103.18</v>
      </c>
      <c r="N39" s="64">
        <v>217.5</v>
      </c>
      <c r="O39" s="64">
        <v>0</v>
      </c>
      <c r="P39" s="64">
        <v>0.57999999999999996</v>
      </c>
      <c r="Q39" s="64">
        <v>9.4</v>
      </c>
      <c r="R39" s="198"/>
      <c r="S39" s="198"/>
      <c r="T39" s="198"/>
      <c r="U39" s="198"/>
    </row>
    <row r="40" spans="1:21" s="12" customFormat="1" x14ac:dyDescent="0.25">
      <c r="A40" s="214" t="s">
        <v>2870</v>
      </c>
      <c r="B40" s="64">
        <v>14.32</v>
      </c>
      <c r="C40" s="64">
        <v>22.86</v>
      </c>
      <c r="D40" s="64">
        <v>21.78</v>
      </c>
      <c r="E40" s="64">
        <v>5.23</v>
      </c>
      <c r="F40" s="64">
        <v>4.76</v>
      </c>
      <c r="G40" s="64">
        <v>36.35</v>
      </c>
      <c r="H40" s="64">
        <v>16.690000000000001</v>
      </c>
      <c r="I40" s="64">
        <v>3.84</v>
      </c>
      <c r="J40" s="64">
        <v>0.12</v>
      </c>
      <c r="K40" s="64">
        <v>310.94</v>
      </c>
      <c r="L40" s="64">
        <v>26.81</v>
      </c>
      <c r="M40" s="64">
        <v>100.47</v>
      </c>
      <c r="N40" s="64">
        <v>347.7</v>
      </c>
      <c r="O40" s="64">
        <v>0</v>
      </c>
      <c r="P40" s="64">
        <v>0.57999999999999996</v>
      </c>
      <c r="Q40" s="64">
        <v>9.4</v>
      </c>
      <c r="R40" s="198"/>
      <c r="S40" s="198"/>
      <c r="T40" s="198"/>
      <c r="U40" s="198"/>
    </row>
    <row r="41" spans="1:21" s="12" customFormat="1" x14ac:dyDescent="0.25">
      <c r="A41" s="214" t="s">
        <v>2871</v>
      </c>
      <c r="B41" s="64">
        <v>14.43</v>
      </c>
      <c r="C41" s="64">
        <v>24.15</v>
      </c>
      <c r="D41" s="64">
        <v>24.07</v>
      </c>
      <c r="E41" s="64">
        <v>4.97</v>
      </c>
      <c r="F41" s="64">
        <v>5.56</v>
      </c>
      <c r="G41" s="64">
        <v>36.36</v>
      </c>
      <c r="H41" s="64">
        <v>16.25</v>
      </c>
      <c r="I41" s="64">
        <v>3.98</v>
      </c>
      <c r="J41" s="64">
        <v>0.18</v>
      </c>
      <c r="K41" s="64">
        <v>340.66</v>
      </c>
      <c r="L41" s="64">
        <v>28.05</v>
      </c>
      <c r="M41" s="64">
        <v>93.98</v>
      </c>
      <c r="N41" s="64">
        <v>393.1</v>
      </c>
      <c r="O41" s="64">
        <v>0</v>
      </c>
      <c r="P41" s="64">
        <v>0.56999999999999995</v>
      </c>
      <c r="Q41" s="64">
        <v>9.42</v>
      </c>
      <c r="R41" s="198"/>
      <c r="S41" s="198"/>
      <c r="T41" s="198"/>
      <c r="U41" s="198"/>
    </row>
    <row r="42" spans="1:21" s="12" customFormat="1" x14ac:dyDescent="0.25">
      <c r="A42" s="214" t="s">
        <v>2872</v>
      </c>
      <c r="B42" s="64">
        <v>13.2</v>
      </c>
      <c r="C42" s="64">
        <v>23.38</v>
      </c>
      <c r="D42" s="64">
        <v>24.5</v>
      </c>
      <c r="E42" s="64">
        <v>5.28</v>
      </c>
      <c r="F42" s="64">
        <v>9.02</v>
      </c>
      <c r="G42" s="64">
        <v>36.380000000000003</v>
      </c>
      <c r="H42" s="64">
        <v>14.46</v>
      </c>
      <c r="I42" s="64">
        <v>4.0999999999999996</v>
      </c>
      <c r="J42" s="64">
        <v>0.28999999999999998</v>
      </c>
      <c r="K42" s="64">
        <v>3.38</v>
      </c>
      <c r="L42" s="64">
        <v>29.1</v>
      </c>
      <c r="M42" s="64">
        <v>87.52</v>
      </c>
      <c r="N42" s="64">
        <v>453.8</v>
      </c>
      <c r="O42" s="64">
        <v>0</v>
      </c>
      <c r="P42" s="64">
        <v>0.56000000000000005</v>
      </c>
      <c r="Q42" s="64">
        <v>9.41</v>
      </c>
      <c r="R42" s="198"/>
      <c r="S42" s="198"/>
      <c r="T42" s="198"/>
      <c r="U42" s="198"/>
    </row>
    <row r="43" spans="1:21" s="12" customFormat="1" x14ac:dyDescent="0.25">
      <c r="A43" s="214" t="s">
        <v>2873</v>
      </c>
      <c r="B43" s="64">
        <v>13.33</v>
      </c>
      <c r="C43" s="64">
        <v>23.09</v>
      </c>
      <c r="D43" s="64">
        <v>23.74</v>
      </c>
      <c r="E43" s="64">
        <v>5.26</v>
      </c>
      <c r="F43" s="64">
        <v>6.76</v>
      </c>
      <c r="G43" s="64">
        <v>36.380000000000003</v>
      </c>
      <c r="H43" s="64">
        <v>14.46</v>
      </c>
      <c r="I43" s="64">
        <v>4.0599999999999996</v>
      </c>
      <c r="J43" s="64">
        <v>0.42</v>
      </c>
      <c r="K43" s="64">
        <v>327.39999999999998</v>
      </c>
      <c r="L43" s="64">
        <v>30.62</v>
      </c>
      <c r="M43" s="64">
        <v>81.14</v>
      </c>
      <c r="N43" s="64">
        <v>493.7</v>
      </c>
      <c r="O43" s="64">
        <v>0</v>
      </c>
      <c r="P43" s="64">
        <v>0.57999999999999996</v>
      </c>
      <c r="Q43" s="64">
        <v>9.4</v>
      </c>
      <c r="R43" s="198"/>
      <c r="S43" s="198"/>
      <c r="T43" s="198"/>
      <c r="U43" s="198"/>
    </row>
    <row r="44" spans="1:21" s="12" customFormat="1" x14ac:dyDescent="0.25">
      <c r="A44" s="214" t="s">
        <v>2874</v>
      </c>
      <c r="B44" s="64">
        <v>13.09</v>
      </c>
      <c r="C44" s="64">
        <v>23.31</v>
      </c>
      <c r="D44" s="64">
        <v>24.53</v>
      </c>
      <c r="E44" s="64">
        <v>5.0999999999999996</v>
      </c>
      <c r="F44" s="64">
        <v>4.62</v>
      </c>
      <c r="G44" s="64">
        <v>36.380000000000003</v>
      </c>
      <c r="H44" s="64">
        <v>14.46</v>
      </c>
      <c r="I44" s="64">
        <v>3.9</v>
      </c>
      <c r="J44" s="64">
        <v>0.54</v>
      </c>
      <c r="K44" s="64">
        <v>328.47</v>
      </c>
      <c r="L44" s="64">
        <v>31.96</v>
      </c>
      <c r="M44" s="64">
        <v>75.84</v>
      </c>
      <c r="N44" s="64">
        <v>516.9</v>
      </c>
      <c r="O44" s="64">
        <v>0</v>
      </c>
      <c r="P44" s="64">
        <v>0.6</v>
      </c>
      <c r="Q44" s="64">
        <v>9.39</v>
      </c>
      <c r="R44" s="198"/>
      <c r="S44" s="198"/>
      <c r="T44" s="198"/>
      <c r="U44" s="198"/>
    </row>
    <row r="45" spans="1:21" s="12" customFormat="1" x14ac:dyDescent="0.25">
      <c r="A45" s="214" t="s">
        <v>2875</v>
      </c>
      <c r="B45" s="64">
        <v>13.89</v>
      </c>
      <c r="C45" s="64">
        <v>26.65</v>
      </c>
      <c r="D45" s="64">
        <v>29.69</v>
      </c>
      <c r="E45" s="64">
        <v>5.61</v>
      </c>
      <c r="F45" s="64">
        <v>8.7799999999999994</v>
      </c>
      <c r="G45" s="64">
        <v>37.340000000000003</v>
      </c>
      <c r="H45" s="64">
        <v>15</v>
      </c>
      <c r="I45" s="64">
        <v>3.89</v>
      </c>
      <c r="J45" s="64">
        <v>0.68</v>
      </c>
      <c r="K45" s="64">
        <v>339.27</v>
      </c>
      <c r="L45" s="64">
        <v>32.71</v>
      </c>
      <c r="M45" s="64">
        <v>72.95</v>
      </c>
      <c r="N45" s="64">
        <v>614.79999999999995</v>
      </c>
      <c r="O45" s="64">
        <v>0</v>
      </c>
      <c r="P45" s="64">
        <v>0.66</v>
      </c>
      <c r="Q45" s="64">
        <v>9.39</v>
      </c>
      <c r="R45" s="198"/>
      <c r="S45" s="198"/>
      <c r="T45" s="198"/>
      <c r="U45" s="198"/>
    </row>
    <row r="46" spans="1:21" s="12" customFormat="1" x14ac:dyDescent="0.25">
      <c r="A46" s="214" t="s">
        <v>2876</v>
      </c>
      <c r="B46" s="64">
        <v>11.95</v>
      </c>
      <c r="C46" s="64">
        <v>31.3</v>
      </c>
      <c r="D46" s="64">
        <v>41.57</v>
      </c>
      <c r="E46" s="64">
        <v>5.76</v>
      </c>
      <c r="F46" s="64">
        <v>14.84</v>
      </c>
      <c r="G46" s="64">
        <v>41.45</v>
      </c>
      <c r="H46" s="64">
        <v>17.18</v>
      </c>
      <c r="I46" s="64">
        <v>3.94</v>
      </c>
      <c r="J46" s="64">
        <v>0.18</v>
      </c>
      <c r="K46" s="64">
        <v>21.89</v>
      </c>
      <c r="L46" s="64">
        <v>32.299999999999997</v>
      </c>
      <c r="M46" s="64">
        <v>73.48</v>
      </c>
      <c r="N46" s="64">
        <v>622.9</v>
      </c>
      <c r="O46" s="64">
        <v>0</v>
      </c>
      <c r="P46" s="64">
        <v>0.78</v>
      </c>
      <c r="Q46" s="64">
        <v>9.39</v>
      </c>
      <c r="R46" s="198"/>
      <c r="S46" s="198"/>
      <c r="T46" s="198"/>
      <c r="U46" s="198"/>
    </row>
    <row r="47" spans="1:21" s="12" customFormat="1" x14ac:dyDescent="0.25">
      <c r="A47" s="214" t="s">
        <v>2877</v>
      </c>
      <c r="B47" s="64">
        <v>17.28</v>
      </c>
      <c r="C47" s="64">
        <v>40.06</v>
      </c>
      <c r="D47" s="64">
        <v>50.15</v>
      </c>
      <c r="E47" s="64">
        <v>5.8</v>
      </c>
      <c r="F47" s="64">
        <v>16.43</v>
      </c>
      <c r="G47" s="64">
        <v>0</v>
      </c>
      <c r="H47" s="64">
        <v>17.18</v>
      </c>
      <c r="I47" s="64">
        <v>3.98</v>
      </c>
      <c r="J47" s="64">
        <v>0.72</v>
      </c>
      <c r="K47" s="64">
        <v>354.56</v>
      </c>
      <c r="L47" s="64">
        <v>1.75</v>
      </c>
      <c r="M47" s="64">
        <v>71.150000000000006</v>
      </c>
      <c r="N47" s="64">
        <v>491.7</v>
      </c>
      <c r="O47" s="64">
        <v>0</v>
      </c>
      <c r="P47" s="64">
        <v>0.95</v>
      </c>
      <c r="Q47" s="64">
        <v>9.39</v>
      </c>
      <c r="R47" s="198"/>
      <c r="S47" s="198"/>
      <c r="T47" s="198"/>
      <c r="U47" s="198"/>
    </row>
    <row r="48" spans="1:21" s="12" customFormat="1" x14ac:dyDescent="0.25">
      <c r="A48" s="214" t="s">
        <v>2878</v>
      </c>
      <c r="B48" s="64">
        <v>12.09</v>
      </c>
      <c r="C48" s="64">
        <v>30.11</v>
      </c>
      <c r="D48" s="64">
        <v>39.07</v>
      </c>
      <c r="E48" s="64">
        <v>6.46</v>
      </c>
      <c r="F48" s="64">
        <v>16.25</v>
      </c>
      <c r="G48" s="64">
        <v>41.45</v>
      </c>
      <c r="H48" s="64">
        <v>17.18</v>
      </c>
      <c r="I48" s="64">
        <v>3.92</v>
      </c>
      <c r="J48" s="64">
        <v>0.74</v>
      </c>
      <c r="K48" s="64">
        <v>102.97</v>
      </c>
      <c r="L48" s="64">
        <v>31.21</v>
      </c>
      <c r="M48" s="64">
        <v>77.069999999999993</v>
      </c>
      <c r="N48" s="64">
        <v>675.1</v>
      </c>
      <c r="O48" s="64">
        <v>0</v>
      </c>
      <c r="P48" s="64">
        <v>0.84</v>
      </c>
      <c r="Q48" s="64">
        <v>9.4</v>
      </c>
      <c r="R48" s="198"/>
      <c r="S48" s="198"/>
      <c r="T48" s="198"/>
      <c r="U48" s="198"/>
    </row>
    <row r="49" spans="1:21" s="12" customFormat="1" x14ac:dyDescent="0.25">
      <c r="A49" s="214" t="s">
        <v>2879</v>
      </c>
      <c r="B49" s="64">
        <v>11.15</v>
      </c>
      <c r="C49" s="64">
        <v>30.95</v>
      </c>
      <c r="D49" s="64">
        <v>42.12</v>
      </c>
      <c r="E49" s="64">
        <v>6.79</v>
      </c>
      <c r="F49" s="64">
        <v>16.16</v>
      </c>
      <c r="G49" s="64">
        <v>45.28</v>
      </c>
      <c r="H49" s="64">
        <v>18.38</v>
      </c>
      <c r="I49" s="64">
        <v>4.26</v>
      </c>
      <c r="J49" s="64">
        <v>0.48</v>
      </c>
      <c r="K49" s="64">
        <v>93.92</v>
      </c>
      <c r="L49" s="64">
        <v>30.11</v>
      </c>
      <c r="M49" s="64">
        <v>82.13</v>
      </c>
      <c r="N49" s="64">
        <v>691.6</v>
      </c>
      <c r="O49" s="64">
        <v>0</v>
      </c>
      <c r="P49" s="64">
        <v>0.86</v>
      </c>
      <c r="Q49" s="64">
        <v>9.4</v>
      </c>
      <c r="R49" s="198"/>
      <c r="S49" s="198"/>
      <c r="T49" s="198"/>
      <c r="U49" s="198"/>
    </row>
    <row r="50" spans="1:21" s="12" customFormat="1" x14ac:dyDescent="0.25">
      <c r="A50" s="214" t="s">
        <v>2880</v>
      </c>
      <c r="B50" s="64">
        <v>9.74</v>
      </c>
      <c r="C50" s="64">
        <v>27.69</v>
      </c>
      <c r="D50" s="64">
        <v>38.049999999999997</v>
      </c>
      <c r="E50" s="64">
        <v>7.15</v>
      </c>
      <c r="F50" s="64">
        <v>16.07</v>
      </c>
      <c r="G50" s="64">
        <v>61.73</v>
      </c>
      <c r="H50" s="64">
        <v>23.51</v>
      </c>
      <c r="I50" s="64">
        <v>3.92</v>
      </c>
      <c r="J50" s="64">
        <v>1.27</v>
      </c>
      <c r="K50" s="64">
        <v>113.46</v>
      </c>
      <c r="L50" s="64">
        <v>29.76</v>
      </c>
      <c r="M50" s="64">
        <v>80.8</v>
      </c>
      <c r="N50" s="64">
        <v>579.4</v>
      </c>
      <c r="O50" s="64">
        <v>0</v>
      </c>
      <c r="P50" s="64">
        <v>0.7</v>
      </c>
      <c r="Q50" s="64">
        <v>9.4</v>
      </c>
      <c r="R50" s="198"/>
      <c r="S50" s="198"/>
      <c r="T50" s="198"/>
      <c r="U50" s="198"/>
    </row>
    <row r="51" spans="1:21" s="12" customFormat="1" x14ac:dyDescent="0.25">
      <c r="A51" s="214" t="s">
        <v>2881</v>
      </c>
      <c r="B51" s="64">
        <v>7.32</v>
      </c>
      <c r="C51" s="64">
        <v>25.98</v>
      </c>
      <c r="D51" s="64">
        <v>38.5</v>
      </c>
      <c r="E51" s="64">
        <v>7.38</v>
      </c>
      <c r="F51" s="64">
        <v>21.34</v>
      </c>
      <c r="G51" s="64">
        <v>61.73</v>
      </c>
      <c r="H51" s="64">
        <v>23.51</v>
      </c>
      <c r="I51" s="64">
        <v>4.0999999999999996</v>
      </c>
      <c r="J51" s="64">
        <v>0.48</v>
      </c>
      <c r="K51" s="64">
        <v>87.44</v>
      </c>
      <c r="L51" s="64">
        <v>30.45</v>
      </c>
      <c r="M51" s="64">
        <v>77.06</v>
      </c>
      <c r="N51" s="64">
        <v>756.2</v>
      </c>
      <c r="O51" s="64">
        <v>0</v>
      </c>
      <c r="P51" s="64">
        <v>0.64</v>
      </c>
      <c r="Q51" s="64">
        <v>9.32</v>
      </c>
      <c r="R51" s="198"/>
      <c r="S51" s="198"/>
      <c r="T51" s="198"/>
      <c r="U51" s="198"/>
    </row>
    <row r="52" spans="1:21" s="12" customFormat="1" x14ac:dyDescent="0.25">
      <c r="A52" s="214" t="s">
        <v>2882</v>
      </c>
      <c r="B52" s="64">
        <v>9.17</v>
      </c>
      <c r="C52" s="64">
        <v>28.79</v>
      </c>
      <c r="D52" s="64">
        <v>41.02</v>
      </c>
      <c r="E52" s="64">
        <v>7.82</v>
      </c>
      <c r="F52" s="64">
        <v>20.49</v>
      </c>
      <c r="G52" s="64">
        <v>61.73</v>
      </c>
      <c r="H52" s="64">
        <v>23.51</v>
      </c>
      <c r="I52" s="64">
        <v>3.81</v>
      </c>
      <c r="J52" s="64">
        <v>0.45</v>
      </c>
      <c r="K52" s="64">
        <v>80.02</v>
      </c>
      <c r="L52" s="64">
        <v>31.26</v>
      </c>
      <c r="M52" s="64">
        <v>71.64</v>
      </c>
      <c r="N52" s="64">
        <v>764.7</v>
      </c>
      <c r="O52" s="64">
        <v>0</v>
      </c>
      <c r="P52" s="64">
        <v>0.56000000000000005</v>
      </c>
      <c r="Q52" s="64">
        <v>9.23</v>
      </c>
      <c r="R52" s="198"/>
      <c r="S52" s="198"/>
      <c r="T52" s="198"/>
      <c r="U52" s="198"/>
    </row>
    <row r="53" spans="1:21" s="12" customFormat="1" x14ac:dyDescent="0.25">
      <c r="A53" s="214" t="s">
        <v>2883</v>
      </c>
      <c r="B53" s="64">
        <v>6.35</v>
      </c>
      <c r="C53" s="64">
        <v>22.74</v>
      </c>
      <c r="D53" s="64">
        <v>33.78</v>
      </c>
      <c r="E53" s="64">
        <v>8.2899999999999991</v>
      </c>
      <c r="F53" s="64">
        <v>19.52</v>
      </c>
      <c r="G53" s="64">
        <v>59.36</v>
      </c>
      <c r="H53" s="64">
        <v>21.87</v>
      </c>
      <c r="I53" s="64">
        <v>4.2300000000000004</v>
      </c>
      <c r="J53" s="64">
        <v>0.38</v>
      </c>
      <c r="K53" s="64">
        <v>57.46</v>
      </c>
      <c r="L53" s="64">
        <v>31.21</v>
      </c>
      <c r="M53" s="64">
        <v>70.959999999999994</v>
      </c>
      <c r="N53" s="64">
        <v>804.9</v>
      </c>
      <c r="O53" s="64">
        <v>0</v>
      </c>
      <c r="P53" s="64">
        <v>0.46</v>
      </c>
      <c r="Q53" s="64">
        <v>9.1999999999999993</v>
      </c>
      <c r="R53" s="198"/>
      <c r="S53" s="198"/>
      <c r="T53" s="198"/>
      <c r="U53" s="198"/>
    </row>
    <row r="54" spans="1:21" s="12" customFormat="1" x14ac:dyDescent="0.25">
      <c r="A54" s="214" t="s">
        <v>2884</v>
      </c>
      <c r="B54" s="64">
        <v>4.96</v>
      </c>
      <c r="C54" s="64">
        <v>20.149999999999999</v>
      </c>
      <c r="D54" s="64">
        <v>30.95</v>
      </c>
      <c r="E54" s="64">
        <v>8.2100000000000009</v>
      </c>
      <c r="F54" s="64">
        <v>14.56</v>
      </c>
      <c r="G54" s="64">
        <v>49.21</v>
      </c>
      <c r="H54" s="64">
        <v>14.8</v>
      </c>
      <c r="I54" s="64">
        <v>4.12</v>
      </c>
      <c r="J54" s="64">
        <v>0.46</v>
      </c>
      <c r="K54" s="64">
        <v>83.73</v>
      </c>
      <c r="L54" s="64">
        <v>31.66</v>
      </c>
      <c r="M54" s="64">
        <v>68.16</v>
      </c>
      <c r="N54" s="64">
        <v>876.1</v>
      </c>
      <c r="O54" s="64">
        <v>0</v>
      </c>
      <c r="P54" s="64">
        <v>0.5</v>
      </c>
      <c r="Q54" s="64">
        <v>9.18</v>
      </c>
      <c r="R54" s="198"/>
      <c r="S54" s="198"/>
      <c r="T54" s="198"/>
      <c r="U54" s="198"/>
    </row>
    <row r="55" spans="1:21" s="12" customFormat="1" x14ac:dyDescent="0.25">
      <c r="A55" s="214" t="s">
        <v>2885</v>
      </c>
      <c r="B55" s="64">
        <v>6.61</v>
      </c>
      <c r="C55" s="64">
        <v>20.43</v>
      </c>
      <c r="D55" s="64">
        <v>28.97</v>
      </c>
      <c r="E55" s="64">
        <v>7.89</v>
      </c>
      <c r="F55" s="64">
        <v>15.19</v>
      </c>
      <c r="G55" s="64">
        <v>49.21</v>
      </c>
      <c r="H55" s="64">
        <v>14.8</v>
      </c>
      <c r="I55" s="64">
        <v>4.07</v>
      </c>
      <c r="J55" s="64">
        <v>0.42</v>
      </c>
      <c r="K55" s="64">
        <v>66.489999999999995</v>
      </c>
      <c r="L55" s="64">
        <v>32.36</v>
      </c>
      <c r="M55" s="64">
        <v>66.22</v>
      </c>
      <c r="N55" s="64">
        <v>889.5</v>
      </c>
      <c r="O55" s="64">
        <v>0</v>
      </c>
      <c r="P55" s="64">
        <v>0.46</v>
      </c>
      <c r="Q55" s="64">
        <v>9.17</v>
      </c>
      <c r="R55" s="198"/>
      <c r="S55" s="198"/>
      <c r="T55" s="198"/>
      <c r="U55" s="198"/>
    </row>
    <row r="56" spans="1:21" s="12" customFormat="1" x14ac:dyDescent="0.25">
      <c r="A56" s="214" t="s">
        <v>2886</v>
      </c>
      <c r="B56" s="64">
        <v>6.81</v>
      </c>
      <c r="C56" s="64">
        <v>21.89</v>
      </c>
      <c r="D56" s="64">
        <v>31.44</v>
      </c>
      <c r="E56" s="64">
        <v>7.93</v>
      </c>
      <c r="F56" s="64">
        <v>17.239999999999998</v>
      </c>
      <c r="G56" s="64">
        <v>49.21</v>
      </c>
      <c r="H56" s="64">
        <v>14.8</v>
      </c>
      <c r="I56" s="64">
        <v>3.93</v>
      </c>
      <c r="J56" s="64">
        <v>0.62</v>
      </c>
      <c r="K56" s="64">
        <v>359.93</v>
      </c>
      <c r="L56" s="64">
        <v>33.049999999999997</v>
      </c>
      <c r="M56" s="64">
        <v>65.150000000000006</v>
      </c>
      <c r="N56" s="64">
        <v>889.1</v>
      </c>
      <c r="O56" s="64">
        <v>0</v>
      </c>
      <c r="P56" s="64">
        <v>0.44</v>
      </c>
      <c r="Q56" s="64">
        <v>9.17</v>
      </c>
      <c r="R56" s="198"/>
      <c r="S56" s="198"/>
      <c r="T56" s="198"/>
      <c r="U56" s="198"/>
    </row>
    <row r="57" spans="1:21" s="12" customFormat="1" x14ac:dyDescent="0.25">
      <c r="A57" s="214" t="s">
        <v>2887</v>
      </c>
      <c r="B57" s="64">
        <v>7.13</v>
      </c>
      <c r="C57" s="64">
        <v>23.99</v>
      </c>
      <c r="D57" s="64">
        <v>34.979999999999997</v>
      </c>
      <c r="E57" s="64">
        <v>8.9</v>
      </c>
      <c r="F57" s="64">
        <v>18.32</v>
      </c>
      <c r="G57" s="64">
        <v>48.54</v>
      </c>
      <c r="H57" s="64">
        <v>15.7</v>
      </c>
      <c r="I57" s="64">
        <v>4.0199999999999996</v>
      </c>
      <c r="J57" s="64">
        <v>0.34</v>
      </c>
      <c r="K57" s="64">
        <v>69.760000000000005</v>
      </c>
      <c r="L57" s="64">
        <v>33.51</v>
      </c>
      <c r="M57" s="64">
        <v>61.92</v>
      </c>
      <c r="N57" s="64">
        <v>761</v>
      </c>
      <c r="O57" s="64">
        <v>0</v>
      </c>
      <c r="P57" s="64">
        <v>0.41</v>
      </c>
      <c r="Q57" s="64">
        <v>9.17</v>
      </c>
      <c r="R57" s="198"/>
      <c r="S57" s="198"/>
      <c r="T57" s="198"/>
      <c r="U57" s="198"/>
    </row>
    <row r="58" spans="1:21" s="12" customFormat="1" x14ac:dyDescent="0.25">
      <c r="A58" s="214" t="s">
        <v>2888</v>
      </c>
      <c r="B58" s="64">
        <v>6.35</v>
      </c>
      <c r="C58" s="64">
        <v>22.49</v>
      </c>
      <c r="D58" s="64">
        <v>33.299999999999997</v>
      </c>
      <c r="E58" s="64">
        <v>8.42</v>
      </c>
      <c r="F58" s="64">
        <v>21.38</v>
      </c>
      <c r="G58" s="64">
        <v>45.67</v>
      </c>
      <c r="H58" s="64">
        <v>19.600000000000001</v>
      </c>
      <c r="I58" s="64">
        <v>3.97</v>
      </c>
      <c r="J58" s="64">
        <v>0.38</v>
      </c>
      <c r="K58" s="64">
        <v>86.32</v>
      </c>
      <c r="L58" s="64">
        <v>32.04</v>
      </c>
      <c r="M58" s="64">
        <v>67.260000000000005</v>
      </c>
      <c r="N58" s="64">
        <v>708.5</v>
      </c>
      <c r="O58" s="64">
        <v>0</v>
      </c>
      <c r="P58" s="64">
        <v>0.38</v>
      </c>
      <c r="Q58" s="64">
        <v>9.17</v>
      </c>
      <c r="R58" s="198"/>
      <c r="S58" s="198"/>
      <c r="T58" s="198"/>
      <c r="U58" s="198"/>
    </row>
    <row r="59" spans="1:21" s="12" customFormat="1" x14ac:dyDescent="0.25">
      <c r="A59" s="214" t="s">
        <v>2889</v>
      </c>
      <c r="B59" s="64">
        <v>9.5399999999999991</v>
      </c>
      <c r="C59" s="64">
        <v>26.08</v>
      </c>
      <c r="D59" s="64">
        <v>35.270000000000003</v>
      </c>
      <c r="E59" s="64">
        <v>8.7100000000000009</v>
      </c>
      <c r="F59" s="64">
        <v>23.27</v>
      </c>
      <c r="G59" s="64">
        <v>45.67</v>
      </c>
      <c r="H59" s="64">
        <v>19.600000000000001</v>
      </c>
      <c r="I59" s="64">
        <v>4.1100000000000003</v>
      </c>
      <c r="J59" s="64">
        <v>0.48</v>
      </c>
      <c r="K59" s="64">
        <v>70.05</v>
      </c>
      <c r="L59" s="64">
        <v>32.69</v>
      </c>
      <c r="M59" s="64">
        <v>65.31</v>
      </c>
      <c r="N59" s="64">
        <v>648.6</v>
      </c>
      <c r="O59" s="64">
        <v>0</v>
      </c>
      <c r="P59" s="64">
        <v>0.39</v>
      </c>
      <c r="Q59" s="64">
        <v>9.16</v>
      </c>
      <c r="R59" s="198"/>
      <c r="S59" s="198"/>
      <c r="T59" s="198"/>
      <c r="U59" s="198"/>
    </row>
    <row r="60" spans="1:21" s="12" customFormat="1" x14ac:dyDescent="0.25">
      <c r="A60" s="214" t="s">
        <v>2890</v>
      </c>
      <c r="B60" s="64">
        <v>6</v>
      </c>
      <c r="C60" s="64">
        <v>20.34</v>
      </c>
      <c r="D60" s="64">
        <v>29.73</v>
      </c>
      <c r="E60" s="64">
        <v>8.56</v>
      </c>
      <c r="F60" s="64">
        <v>18.66</v>
      </c>
      <c r="G60" s="64">
        <v>45.67</v>
      </c>
      <c r="H60" s="64">
        <v>19.600000000000001</v>
      </c>
      <c r="I60" s="64">
        <v>3.98</v>
      </c>
      <c r="J60" s="64">
        <v>0.91</v>
      </c>
      <c r="K60" s="64">
        <v>105.24</v>
      </c>
      <c r="L60" s="64">
        <v>32.25</v>
      </c>
      <c r="M60" s="64">
        <v>64.87</v>
      </c>
      <c r="N60" s="64">
        <v>509.3</v>
      </c>
      <c r="O60" s="64">
        <v>0</v>
      </c>
      <c r="P60" s="64">
        <v>0.33</v>
      </c>
      <c r="Q60" s="64">
        <v>9.16</v>
      </c>
      <c r="R60" s="198"/>
      <c r="S60" s="198"/>
      <c r="T60" s="198"/>
      <c r="U60" s="198"/>
    </row>
    <row r="61" spans="1:21" s="12" customFormat="1" x14ac:dyDescent="0.25">
      <c r="A61" s="214" t="s">
        <v>2891</v>
      </c>
      <c r="B61" s="64">
        <v>3.93</v>
      </c>
      <c r="C61" s="64">
        <v>18.14</v>
      </c>
      <c r="D61" s="64">
        <v>28.69</v>
      </c>
      <c r="E61" s="64">
        <v>9</v>
      </c>
      <c r="F61" s="64">
        <v>16.21</v>
      </c>
      <c r="G61" s="64">
        <v>44.85</v>
      </c>
      <c r="H61" s="64">
        <v>19.600000000000001</v>
      </c>
      <c r="I61" s="64">
        <v>4.07</v>
      </c>
      <c r="J61" s="64">
        <v>1.24</v>
      </c>
      <c r="K61" s="64">
        <v>118.4</v>
      </c>
      <c r="L61" s="64">
        <v>31.6</v>
      </c>
      <c r="M61" s="64">
        <v>64.92</v>
      </c>
      <c r="N61" s="64">
        <v>506.3</v>
      </c>
      <c r="O61" s="64">
        <v>0</v>
      </c>
      <c r="P61" s="64">
        <v>0</v>
      </c>
      <c r="Q61" s="64">
        <v>9.16</v>
      </c>
      <c r="R61" s="198"/>
      <c r="S61" s="198"/>
      <c r="T61" s="198"/>
      <c r="U61" s="198"/>
    </row>
    <row r="62" spans="1:21" s="12" customFormat="1" x14ac:dyDescent="0.25">
      <c r="A62" s="214" t="s">
        <v>2892</v>
      </c>
      <c r="B62" s="64">
        <v>6.53</v>
      </c>
      <c r="C62" s="64">
        <v>25.15</v>
      </c>
      <c r="D62" s="64">
        <v>38.119999999999997</v>
      </c>
      <c r="E62" s="64">
        <v>9.2100000000000009</v>
      </c>
      <c r="F62" s="64">
        <v>22.92</v>
      </c>
      <c r="G62" s="64">
        <v>41.34</v>
      </c>
      <c r="H62" s="64">
        <v>19.59</v>
      </c>
      <c r="I62" s="64">
        <v>3.97</v>
      </c>
      <c r="J62" s="64">
        <v>0.47</v>
      </c>
      <c r="K62" s="64">
        <v>350.25</v>
      </c>
      <c r="L62" s="64">
        <v>32.94</v>
      </c>
      <c r="M62" s="64">
        <v>62.96</v>
      </c>
      <c r="N62" s="64">
        <v>393.5</v>
      </c>
      <c r="O62" s="64">
        <v>0</v>
      </c>
      <c r="P62" s="64">
        <v>0.02</v>
      </c>
      <c r="Q62" s="64">
        <v>9.17</v>
      </c>
      <c r="R62" s="198"/>
      <c r="S62" s="198"/>
      <c r="T62" s="198"/>
      <c r="U62" s="198"/>
    </row>
    <row r="63" spans="1:21" s="12" customFormat="1" x14ac:dyDescent="0.25">
      <c r="A63" s="214" t="s">
        <v>2893</v>
      </c>
      <c r="B63" s="64">
        <v>3.87</v>
      </c>
      <c r="C63" s="64">
        <v>19.46</v>
      </c>
      <c r="D63" s="64">
        <v>31.31</v>
      </c>
      <c r="E63" s="64">
        <v>8.56</v>
      </c>
      <c r="F63" s="64">
        <v>21.53</v>
      </c>
      <c r="G63" s="64">
        <v>41.34</v>
      </c>
      <c r="H63" s="64">
        <v>19.59</v>
      </c>
      <c r="I63" s="64">
        <v>4.17</v>
      </c>
      <c r="J63" s="64">
        <v>0.74</v>
      </c>
      <c r="K63" s="64">
        <v>103.45</v>
      </c>
      <c r="L63" s="64">
        <v>32.479999999999997</v>
      </c>
      <c r="M63" s="64">
        <v>63.2</v>
      </c>
      <c r="N63" s="64">
        <v>348.6</v>
      </c>
      <c r="O63" s="64">
        <v>0</v>
      </c>
      <c r="P63" s="64">
        <v>0.01</v>
      </c>
      <c r="Q63" s="64">
        <v>9.16</v>
      </c>
      <c r="R63" s="198"/>
      <c r="S63" s="198"/>
      <c r="T63" s="198"/>
      <c r="U63" s="198"/>
    </row>
    <row r="64" spans="1:21" s="12" customFormat="1" x14ac:dyDescent="0.25">
      <c r="A64" s="214" t="s">
        <v>2894</v>
      </c>
      <c r="B64" s="64">
        <v>5.27</v>
      </c>
      <c r="C64" s="64">
        <v>20.05</v>
      </c>
      <c r="D64" s="64">
        <v>30.28</v>
      </c>
      <c r="E64" s="64">
        <v>9.48</v>
      </c>
      <c r="F64" s="64">
        <v>22.51</v>
      </c>
      <c r="G64" s="64">
        <v>41.34</v>
      </c>
      <c r="H64" s="64">
        <v>19.59</v>
      </c>
      <c r="I64" s="64">
        <v>4</v>
      </c>
      <c r="J64" s="64">
        <v>0.12</v>
      </c>
      <c r="K64" s="64">
        <v>289.16000000000003</v>
      </c>
      <c r="L64" s="64">
        <v>32.19</v>
      </c>
      <c r="M64" s="64">
        <v>63.58</v>
      </c>
      <c r="N64" s="64">
        <v>335.9</v>
      </c>
      <c r="O64" s="64">
        <v>0</v>
      </c>
      <c r="P64" s="64">
        <v>0.02</v>
      </c>
      <c r="Q64" s="64">
        <v>9.15</v>
      </c>
      <c r="R64" s="198"/>
      <c r="S64" s="198"/>
      <c r="T64" s="198"/>
      <c r="U64" s="198"/>
    </row>
    <row r="65" spans="1:21" s="12" customFormat="1" x14ac:dyDescent="0.25">
      <c r="A65" s="214" t="s">
        <v>2895</v>
      </c>
      <c r="B65" s="64">
        <v>4.79</v>
      </c>
      <c r="C65" s="64">
        <v>18.86</v>
      </c>
      <c r="D65" s="64">
        <v>28.74</v>
      </c>
      <c r="E65" s="64">
        <v>12.23</v>
      </c>
      <c r="F65" s="64">
        <v>27.46</v>
      </c>
      <c r="G65" s="64">
        <v>43.55</v>
      </c>
      <c r="H65" s="64">
        <v>20.2</v>
      </c>
      <c r="I65" s="64">
        <v>4.17</v>
      </c>
      <c r="J65" s="64">
        <v>0.2</v>
      </c>
      <c r="K65" s="64">
        <v>291.43</v>
      </c>
      <c r="L65" s="64">
        <v>33.08</v>
      </c>
      <c r="M65" s="64">
        <v>59.94</v>
      </c>
      <c r="N65" s="64">
        <v>293.5</v>
      </c>
      <c r="O65" s="64">
        <v>0</v>
      </c>
      <c r="P65" s="64">
        <v>0.55000000000000004</v>
      </c>
      <c r="Q65" s="64">
        <v>9.15</v>
      </c>
      <c r="R65" s="198"/>
      <c r="S65" s="198"/>
      <c r="T65" s="198"/>
      <c r="U65" s="198"/>
    </row>
    <row r="66" spans="1:21" s="12" customFormat="1" x14ac:dyDescent="0.25">
      <c r="A66" s="214" t="s">
        <v>2896</v>
      </c>
      <c r="B66" s="64">
        <v>5.93</v>
      </c>
      <c r="C66" s="64">
        <v>21.77</v>
      </c>
      <c r="D66" s="64">
        <v>32.58</v>
      </c>
      <c r="E66" s="64">
        <v>12.03</v>
      </c>
      <c r="F66" s="64">
        <v>23.91</v>
      </c>
      <c r="G66" s="64">
        <v>53.08</v>
      </c>
      <c r="H66" s="64">
        <v>22.8</v>
      </c>
      <c r="I66" s="64">
        <v>4.0199999999999996</v>
      </c>
      <c r="J66" s="64">
        <v>0.21</v>
      </c>
      <c r="K66" s="64">
        <v>327.02</v>
      </c>
      <c r="L66" s="64">
        <v>33.64</v>
      </c>
      <c r="M66" s="64">
        <v>58.62</v>
      </c>
      <c r="N66" s="64">
        <v>285.7</v>
      </c>
      <c r="O66" s="64">
        <v>0</v>
      </c>
      <c r="P66" s="64">
        <v>0.55000000000000004</v>
      </c>
      <c r="Q66" s="64">
        <v>9.16</v>
      </c>
      <c r="R66" s="198"/>
      <c r="S66" s="198"/>
      <c r="T66" s="198"/>
      <c r="U66" s="198"/>
    </row>
    <row r="67" spans="1:21" s="12" customFormat="1" x14ac:dyDescent="0.25">
      <c r="A67" s="214" t="s">
        <v>2897</v>
      </c>
      <c r="B67" s="64">
        <v>5.28</v>
      </c>
      <c r="C67" s="64">
        <v>21.58</v>
      </c>
      <c r="D67" s="64">
        <v>33.19</v>
      </c>
      <c r="E67" s="64">
        <v>12.02</v>
      </c>
      <c r="F67" s="64">
        <v>29.22</v>
      </c>
      <c r="G67" s="64">
        <v>53.08</v>
      </c>
      <c r="H67" s="64">
        <v>22.8</v>
      </c>
      <c r="I67" s="64">
        <v>3.95</v>
      </c>
      <c r="J67" s="64">
        <v>0.11</v>
      </c>
      <c r="K67" s="64">
        <v>283.54000000000002</v>
      </c>
      <c r="L67" s="64">
        <v>33.43</v>
      </c>
      <c r="M67" s="64">
        <v>58.67</v>
      </c>
      <c r="N67" s="64">
        <v>278.8</v>
      </c>
      <c r="O67" s="64">
        <v>0</v>
      </c>
      <c r="P67" s="64">
        <v>0.52</v>
      </c>
      <c r="Q67" s="64">
        <v>9.16</v>
      </c>
      <c r="R67" s="198"/>
      <c r="S67" s="198"/>
      <c r="T67" s="198"/>
      <c r="U67" s="198"/>
    </row>
    <row r="68" spans="1:21" s="12" customFormat="1" x14ac:dyDescent="0.25">
      <c r="A68" s="214" t="s">
        <v>2898</v>
      </c>
      <c r="B68" s="64">
        <v>6.38</v>
      </c>
      <c r="C68" s="64">
        <v>27.55</v>
      </c>
      <c r="D68" s="64">
        <v>42.94</v>
      </c>
      <c r="E68" s="64">
        <v>12.42</v>
      </c>
      <c r="F68" s="64">
        <v>32.01</v>
      </c>
      <c r="G68" s="64">
        <v>53.08</v>
      </c>
      <c r="H68" s="64">
        <v>22.8</v>
      </c>
      <c r="I68" s="64">
        <v>4.04</v>
      </c>
      <c r="J68" s="64">
        <v>0.4</v>
      </c>
      <c r="K68" s="64">
        <v>17.420000000000002</v>
      </c>
      <c r="L68" s="64">
        <v>33.79</v>
      </c>
      <c r="M68" s="64">
        <v>57.86</v>
      </c>
      <c r="N68" s="64">
        <v>209.6</v>
      </c>
      <c r="O68" s="64">
        <v>0</v>
      </c>
      <c r="P68" s="64">
        <v>0.6</v>
      </c>
      <c r="Q68" s="64">
        <v>9.15</v>
      </c>
      <c r="R68" s="198"/>
      <c r="S68" s="198"/>
      <c r="T68" s="198"/>
      <c r="U68" s="198"/>
    </row>
    <row r="69" spans="1:21" s="12" customFormat="1" x14ac:dyDescent="0.25">
      <c r="A69" s="214" t="s">
        <v>2899</v>
      </c>
      <c r="B69" s="64">
        <v>3.41</v>
      </c>
      <c r="C69" s="64">
        <v>20.88</v>
      </c>
      <c r="D69" s="64">
        <v>34.729999999999997</v>
      </c>
      <c r="E69" s="64">
        <v>11.94</v>
      </c>
      <c r="F69" s="64">
        <v>32.89</v>
      </c>
      <c r="G69" s="64">
        <v>52.36</v>
      </c>
      <c r="H69" s="64">
        <v>22.94</v>
      </c>
      <c r="I69" s="64">
        <v>4.0599999999999996</v>
      </c>
      <c r="J69" s="64">
        <v>0.69</v>
      </c>
      <c r="K69" s="64">
        <v>119.31</v>
      </c>
      <c r="L69" s="64">
        <v>32.31</v>
      </c>
      <c r="M69" s="64">
        <v>60.32</v>
      </c>
      <c r="N69" s="64">
        <v>176.8</v>
      </c>
      <c r="O69" s="64">
        <v>0</v>
      </c>
      <c r="P69" s="64">
        <v>0.47</v>
      </c>
      <c r="Q69" s="64">
        <v>9.15</v>
      </c>
      <c r="R69" s="198"/>
      <c r="S69" s="198"/>
      <c r="T69" s="198"/>
      <c r="U69" s="198"/>
    </row>
    <row r="70" spans="1:21" s="12" customFormat="1" x14ac:dyDescent="0.25">
      <c r="A70" s="214" t="s">
        <v>2900</v>
      </c>
      <c r="B70" s="64">
        <v>3.81</v>
      </c>
      <c r="C70" s="64">
        <v>24.46</v>
      </c>
      <c r="D70" s="64">
        <v>40.98</v>
      </c>
      <c r="E70" s="64">
        <v>11.65</v>
      </c>
      <c r="F70" s="64">
        <v>27.63</v>
      </c>
      <c r="G70" s="64">
        <v>49.25</v>
      </c>
      <c r="H70" s="64">
        <v>23.55</v>
      </c>
      <c r="I70" s="64">
        <v>3.95</v>
      </c>
      <c r="J70" s="64">
        <v>0.41</v>
      </c>
      <c r="K70" s="64">
        <v>138.24</v>
      </c>
      <c r="L70" s="64">
        <v>32.22</v>
      </c>
      <c r="M70" s="64">
        <v>62.2</v>
      </c>
      <c r="N70" s="64">
        <v>181.2</v>
      </c>
      <c r="O70" s="64">
        <v>0</v>
      </c>
      <c r="P70" s="64">
        <v>0.52</v>
      </c>
      <c r="Q70" s="64">
        <v>9.16</v>
      </c>
      <c r="R70" s="198"/>
      <c r="S70" s="198"/>
      <c r="T70" s="198"/>
      <c r="U70" s="198"/>
    </row>
    <row r="71" spans="1:21" s="12" customFormat="1" x14ac:dyDescent="0.25">
      <c r="A71" s="214" t="s">
        <v>2901</v>
      </c>
      <c r="B71" s="64">
        <v>3.66</v>
      </c>
      <c r="C71" s="64">
        <v>21.58</v>
      </c>
      <c r="D71" s="64">
        <v>35.69</v>
      </c>
      <c r="E71" s="64">
        <v>11.03</v>
      </c>
      <c r="F71" s="64">
        <v>16.260000000000002</v>
      </c>
      <c r="G71" s="64">
        <v>49.25</v>
      </c>
      <c r="H71" s="64">
        <v>23.55</v>
      </c>
      <c r="I71" s="64">
        <v>4.09</v>
      </c>
      <c r="J71" s="64">
        <v>0.48</v>
      </c>
      <c r="K71" s="64">
        <v>126.32</v>
      </c>
      <c r="L71" s="64">
        <v>32.229999999999997</v>
      </c>
      <c r="M71" s="64">
        <v>63.31</v>
      </c>
      <c r="N71" s="64">
        <v>211.6</v>
      </c>
      <c r="O71" s="64">
        <v>0</v>
      </c>
      <c r="P71" s="64">
        <v>0.46</v>
      </c>
      <c r="Q71" s="64">
        <v>9.17</v>
      </c>
      <c r="R71" s="198"/>
      <c r="S71" s="198"/>
      <c r="T71" s="198"/>
      <c r="U71" s="198"/>
    </row>
    <row r="72" spans="1:21" s="12" customFormat="1" x14ac:dyDescent="0.25">
      <c r="A72" s="214" t="s">
        <v>2902</v>
      </c>
      <c r="B72" s="64">
        <v>3.57</v>
      </c>
      <c r="C72" s="64">
        <v>18.87</v>
      </c>
      <c r="D72" s="64">
        <v>30.63</v>
      </c>
      <c r="E72" s="64">
        <v>7.48</v>
      </c>
      <c r="F72" s="64">
        <v>17.170000000000002</v>
      </c>
      <c r="G72" s="64">
        <v>49.25</v>
      </c>
      <c r="H72" s="64">
        <v>23.55</v>
      </c>
      <c r="I72" s="64">
        <v>3.89</v>
      </c>
      <c r="J72" s="64">
        <v>0.32</v>
      </c>
      <c r="K72" s="64">
        <v>152.26</v>
      </c>
      <c r="L72" s="64">
        <v>32.200000000000003</v>
      </c>
      <c r="M72" s="64">
        <v>63.09</v>
      </c>
      <c r="N72" s="64">
        <v>183.3</v>
      </c>
      <c r="O72" s="64">
        <v>0</v>
      </c>
      <c r="P72" s="64">
        <v>0.46</v>
      </c>
      <c r="Q72" s="64">
        <v>9.16</v>
      </c>
      <c r="R72" s="198"/>
      <c r="S72" s="198"/>
      <c r="T72" s="198"/>
      <c r="U72" s="198"/>
    </row>
    <row r="73" spans="1:21" s="12" customFormat="1" x14ac:dyDescent="0.25">
      <c r="A73" s="214" t="s">
        <v>2903</v>
      </c>
      <c r="B73" s="64">
        <v>4.8099999999999996</v>
      </c>
      <c r="C73" s="64">
        <v>23.08</v>
      </c>
      <c r="D73" s="64">
        <v>36.78</v>
      </c>
      <c r="E73" s="64">
        <v>8.51</v>
      </c>
      <c r="F73" s="64">
        <v>20.85</v>
      </c>
      <c r="G73" s="64">
        <v>49.66</v>
      </c>
      <c r="H73" s="64">
        <v>23.4</v>
      </c>
      <c r="I73" s="64">
        <v>4.08</v>
      </c>
      <c r="J73" s="64">
        <v>0.56999999999999995</v>
      </c>
      <c r="K73" s="64">
        <v>114.73</v>
      </c>
      <c r="L73" s="64">
        <v>32.26</v>
      </c>
      <c r="M73" s="64">
        <v>62.85</v>
      </c>
      <c r="N73" s="64">
        <v>220.4</v>
      </c>
      <c r="O73" s="64">
        <v>0</v>
      </c>
      <c r="P73" s="64">
        <v>0.5</v>
      </c>
      <c r="Q73" s="64">
        <v>9.16</v>
      </c>
      <c r="R73" s="198"/>
      <c r="S73" s="198"/>
      <c r="T73" s="198"/>
      <c r="U73" s="198"/>
    </row>
    <row r="74" spans="1:21" s="12" customFormat="1" x14ac:dyDescent="0.25">
      <c r="A74" s="214" t="s">
        <v>2904</v>
      </c>
      <c r="B74" s="64">
        <v>3.8</v>
      </c>
      <c r="C74" s="64">
        <v>19.37</v>
      </c>
      <c r="D74" s="64">
        <v>31.24</v>
      </c>
      <c r="E74" s="64">
        <v>8.58</v>
      </c>
      <c r="F74" s="64">
        <v>22.09</v>
      </c>
      <c r="G74" s="64">
        <v>51.41</v>
      </c>
      <c r="H74" s="64">
        <v>22.78</v>
      </c>
      <c r="I74" s="64">
        <v>3.86</v>
      </c>
      <c r="J74" s="64">
        <v>0.52</v>
      </c>
      <c r="K74" s="64">
        <v>126.36</v>
      </c>
      <c r="L74" s="64">
        <v>32.18</v>
      </c>
      <c r="M74" s="64">
        <v>61.37</v>
      </c>
      <c r="N74" s="64">
        <v>208.9</v>
      </c>
      <c r="O74" s="64">
        <v>0</v>
      </c>
      <c r="P74" s="64">
        <v>0.46</v>
      </c>
      <c r="Q74" s="64">
        <v>9.14</v>
      </c>
      <c r="R74" s="198"/>
      <c r="S74" s="198"/>
      <c r="T74" s="198"/>
      <c r="U74" s="198"/>
    </row>
    <row r="75" spans="1:21" s="12" customFormat="1" x14ac:dyDescent="0.25">
      <c r="A75" s="214" t="s">
        <v>2905</v>
      </c>
      <c r="B75" s="64">
        <v>3.45</v>
      </c>
      <c r="C75" s="64">
        <v>18.39</v>
      </c>
      <c r="D75" s="64">
        <v>29.9</v>
      </c>
      <c r="E75" s="64">
        <v>8.93</v>
      </c>
      <c r="F75" s="64">
        <v>22.33</v>
      </c>
      <c r="G75" s="64">
        <v>51.41</v>
      </c>
      <c r="H75" s="64">
        <v>22.78</v>
      </c>
      <c r="I75" s="64">
        <v>3.97</v>
      </c>
      <c r="J75" s="64">
        <v>0.44</v>
      </c>
      <c r="K75" s="64">
        <v>148.28</v>
      </c>
      <c r="L75" s="64">
        <v>32.24</v>
      </c>
      <c r="M75" s="64">
        <v>58.87</v>
      </c>
      <c r="N75" s="64">
        <v>173</v>
      </c>
      <c r="O75" s="64">
        <v>0</v>
      </c>
      <c r="P75" s="64">
        <v>0.41</v>
      </c>
      <c r="Q75" s="64">
        <v>9.1199999999999992</v>
      </c>
      <c r="R75" s="198"/>
      <c r="S75" s="198"/>
      <c r="T75" s="198"/>
      <c r="U75" s="198"/>
    </row>
    <row r="76" spans="1:21" s="12" customFormat="1" x14ac:dyDescent="0.25">
      <c r="A76" s="214" t="s">
        <v>2906</v>
      </c>
      <c r="B76" s="64">
        <v>3.93</v>
      </c>
      <c r="C76" s="64">
        <v>20.100000000000001</v>
      </c>
      <c r="D76" s="64">
        <v>32.44</v>
      </c>
      <c r="E76" s="64">
        <v>9.2799999999999994</v>
      </c>
      <c r="F76" s="64">
        <v>22.57</v>
      </c>
      <c r="G76" s="64">
        <v>51.41</v>
      </c>
      <c r="H76" s="64">
        <v>22.78</v>
      </c>
      <c r="I76" s="64">
        <v>3.94</v>
      </c>
      <c r="J76" s="64">
        <v>0.02</v>
      </c>
      <c r="K76" s="64">
        <v>209.27</v>
      </c>
      <c r="L76" s="64">
        <v>32.479999999999997</v>
      </c>
      <c r="M76" s="64">
        <v>57.73</v>
      </c>
      <c r="N76" s="64">
        <v>126.4</v>
      </c>
      <c r="O76" s="64">
        <v>0</v>
      </c>
      <c r="P76" s="64">
        <v>0.42</v>
      </c>
      <c r="Q76" s="64">
        <v>9.1199999999999992</v>
      </c>
      <c r="R76" s="198"/>
      <c r="S76" s="198"/>
      <c r="T76" s="198"/>
      <c r="U76" s="198"/>
    </row>
    <row r="77" spans="1:21" s="12" customFormat="1" x14ac:dyDescent="0.25">
      <c r="A77" s="214" t="s">
        <v>2907</v>
      </c>
      <c r="B77" s="64">
        <v>4.1900000000000004</v>
      </c>
      <c r="C77" s="64">
        <v>20.05</v>
      </c>
      <c r="D77" s="64">
        <v>31.95</v>
      </c>
      <c r="E77" s="64">
        <v>8.4499999999999993</v>
      </c>
      <c r="F77" s="64">
        <v>20.38</v>
      </c>
      <c r="G77" s="64">
        <v>52.58</v>
      </c>
      <c r="H77" s="64">
        <v>21.28</v>
      </c>
      <c r="I77" s="64">
        <v>3.89</v>
      </c>
      <c r="J77" s="64">
        <v>0.05</v>
      </c>
      <c r="K77" s="64">
        <v>272.62</v>
      </c>
      <c r="L77" s="64">
        <v>32.19</v>
      </c>
      <c r="M77" s="64">
        <v>60.17</v>
      </c>
      <c r="N77" s="64">
        <v>81.599999999999994</v>
      </c>
      <c r="O77" s="64">
        <v>0</v>
      </c>
      <c r="P77" s="64">
        <v>0.48</v>
      </c>
      <c r="Q77" s="64">
        <v>9.1300000000000008</v>
      </c>
      <c r="R77" s="198"/>
      <c r="S77" s="198"/>
      <c r="T77" s="198"/>
      <c r="U77" s="198"/>
    </row>
    <row r="78" spans="1:21" s="12" customFormat="1" x14ac:dyDescent="0.25">
      <c r="A78" s="214" t="s">
        <v>2908</v>
      </c>
      <c r="B78" s="64">
        <v>3.26</v>
      </c>
      <c r="C78" s="64">
        <v>17.12</v>
      </c>
      <c r="D78" s="64">
        <v>27.76</v>
      </c>
      <c r="E78" s="64">
        <v>8.3699999999999992</v>
      </c>
      <c r="F78" s="64">
        <v>24.09</v>
      </c>
      <c r="G78" s="64">
        <v>57.58</v>
      </c>
      <c r="H78" s="64">
        <v>14.81</v>
      </c>
      <c r="I78" s="64">
        <v>3.92</v>
      </c>
      <c r="J78" s="64">
        <v>0.12</v>
      </c>
      <c r="K78" s="64">
        <v>208.29</v>
      </c>
      <c r="L78" s="64">
        <v>31.73</v>
      </c>
      <c r="M78" s="64">
        <v>63.42</v>
      </c>
      <c r="N78" s="64">
        <v>66.599999999999994</v>
      </c>
      <c r="O78" s="64">
        <v>0</v>
      </c>
      <c r="P78" s="64">
        <v>0.49</v>
      </c>
      <c r="Q78" s="64">
        <v>9.14</v>
      </c>
      <c r="R78" s="198"/>
      <c r="S78" s="198"/>
      <c r="T78" s="198"/>
      <c r="U78" s="198"/>
    </row>
    <row r="79" spans="1:21" s="12" customFormat="1" x14ac:dyDescent="0.25">
      <c r="A79" s="214" t="s">
        <v>2909</v>
      </c>
      <c r="B79" s="64">
        <v>3.49</v>
      </c>
      <c r="C79" s="64">
        <v>20.84</v>
      </c>
      <c r="D79" s="64">
        <v>34.53</v>
      </c>
      <c r="E79" s="64">
        <v>8</v>
      </c>
      <c r="F79" s="64">
        <v>21.93</v>
      </c>
      <c r="G79" s="64">
        <v>57.58</v>
      </c>
      <c r="H79" s="64">
        <v>14.81</v>
      </c>
      <c r="I79" s="64">
        <v>4.01</v>
      </c>
      <c r="J79" s="64">
        <v>0.65</v>
      </c>
      <c r="K79" s="64">
        <v>149.25</v>
      </c>
      <c r="L79" s="64">
        <v>31.48</v>
      </c>
      <c r="M79" s="64">
        <v>64.709999999999994</v>
      </c>
      <c r="N79" s="64">
        <v>58.4</v>
      </c>
      <c r="O79" s="64">
        <v>0</v>
      </c>
      <c r="P79" s="64">
        <v>0.5</v>
      </c>
      <c r="Q79" s="64">
        <v>9.14</v>
      </c>
      <c r="R79" s="198"/>
      <c r="S79" s="198"/>
      <c r="T79" s="198"/>
      <c r="U79" s="198"/>
    </row>
    <row r="80" spans="1:21" s="12" customFormat="1" x14ac:dyDescent="0.25">
      <c r="A80" s="214" t="s">
        <v>2910</v>
      </c>
      <c r="B80" s="64">
        <v>3.66</v>
      </c>
      <c r="C80" s="64">
        <v>18.68</v>
      </c>
      <c r="D80" s="64">
        <v>30.13</v>
      </c>
      <c r="E80" s="64">
        <v>7.18</v>
      </c>
      <c r="F80" s="64">
        <v>5.76</v>
      </c>
      <c r="G80" s="64">
        <v>57.58</v>
      </c>
      <c r="H80" s="64">
        <v>14.81</v>
      </c>
      <c r="I80" s="64">
        <v>4</v>
      </c>
      <c r="J80" s="64">
        <v>0.31</v>
      </c>
      <c r="K80" s="64">
        <v>304.22000000000003</v>
      </c>
      <c r="L80" s="64">
        <v>30.84</v>
      </c>
      <c r="M80" s="64">
        <v>70.09</v>
      </c>
      <c r="N80" s="64">
        <v>49.4</v>
      </c>
      <c r="O80" s="64">
        <v>0</v>
      </c>
      <c r="P80" s="64">
        <v>0.49</v>
      </c>
      <c r="Q80" s="64">
        <v>9.1199999999999992</v>
      </c>
      <c r="R80" s="198"/>
      <c r="S80" s="198"/>
      <c r="T80" s="198"/>
      <c r="U80" s="198"/>
    </row>
    <row r="81" spans="1:26" s="12" customFormat="1" x14ac:dyDescent="0.25">
      <c r="A81" s="214" t="s">
        <v>2911</v>
      </c>
      <c r="B81" s="64">
        <v>4.3499999999999996</v>
      </c>
      <c r="C81" s="64">
        <v>19.13</v>
      </c>
      <c r="D81" s="64">
        <v>29.94</v>
      </c>
      <c r="E81" s="64">
        <v>6.7</v>
      </c>
      <c r="F81" s="64">
        <v>12.17</v>
      </c>
      <c r="G81" s="64">
        <v>57.72</v>
      </c>
      <c r="H81" s="64">
        <v>13.89</v>
      </c>
      <c r="I81" s="64">
        <v>4.09</v>
      </c>
      <c r="J81" s="64">
        <v>0.24</v>
      </c>
      <c r="K81" s="64">
        <v>310.24</v>
      </c>
      <c r="L81" s="64">
        <v>29.27</v>
      </c>
      <c r="M81" s="64">
        <v>72.95</v>
      </c>
      <c r="N81" s="64">
        <v>40.1</v>
      </c>
      <c r="O81" s="64">
        <v>0</v>
      </c>
      <c r="P81" s="64">
        <v>0.55000000000000004</v>
      </c>
      <c r="Q81" s="64">
        <v>9.1199999999999992</v>
      </c>
      <c r="R81" s="198"/>
      <c r="S81" s="198"/>
      <c r="T81" s="198"/>
      <c r="U81" s="198"/>
    </row>
    <row r="82" spans="1:26" s="12" customFormat="1" x14ac:dyDescent="0.25">
      <c r="A82" s="214" t="s">
        <v>2912</v>
      </c>
      <c r="B82" s="64">
        <v>7.54</v>
      </c>
      <c r="C82" s="64">
        <v>24.46</v>
      </c>
      <c r="D82" s="64">
        <v>35.24</v>
      </c>
      <c r="E82" s="64">
        <v>6.7</v>
      </c>
      <c r="F82" s="64">
        <v>14.61</v>
      </c>
      <c r="G82" s="64">
        <v>58.32</v>
      </c>
      <c r="H82" s="64">
        <v>9.92</v>
      </c>
      <c r="I82" s="64">
        <v>4.21</v>
      </c>
      <c r="J82" s="64">
        <v>0.69</v>
      </c>
      <c r="K82" s="64">
        <v>334.28</v>
      </c>
      <c r="L82" s="64">
        <v>28.64</v>
      </c>
      <c r="M82" s="64">
        <v>75.02</v>
      </c>
      <c r="N82" s="64">
        <v>31.1</v>
      </c>
      <c r="O82" s="64">
        <v>0</v>
      </c>
      <c r="P82" s="64">
        <v>0.71</v>
      </c>
      <c r="Q82" s="64">
        <v>9.14</v>
      </c>
      <c r="R82" s="198"/>
      <c r="S82" s="198"/>
      <c r="T82" s="198"/>
      <c r="U82" s="198"/>
    </row>
    <row r="83" spans="1:26" s="12" customFormat="1" x14ac:dyDescent="0.25">
      <c r="A83" s="214" t="s">
        <v>2913</v>
      </c>
      <c r="B83" s="64">
        <v>8.67</v>
      </c>
      <c r="C83" s="64">
        <v>27.07</v>
      </c>
      <c r="D83" s="64">
        <v>38.5</v>
      </c>
      <c r="E83" s="64">
        <v>7.01</v>
      </c>
      <c r="F83" s="64">
        <v>14.14</v>
      </c>
      <c r="G83" s="64">
        <v>58.32</v>
      </c>
      <c r="H83" s="64">
        <v>9.92</v>
      </c>
      <c r="I83" s="64">
        <v>3.95</v>
      </c>
      <c r="J83" s="64">
        <v>0.71</v>
      </c>
      <c r="K83" s="64">
        <v>327.11</v>
      </c>
      <c r="L83" s="64">
        <v>28.41</v>
      </c>
      <c r="M83" s="64">
        <v>77.53</v>
      </c>
      <c r="N83" s="64">
        <v>27.1</v>
      </c>
      <c r="O83" s="64">
        <v>0</v>
      </c>
      <c r="P83" s="64">
        <v>0.8</v>
      </c>
      <c r="Q83" s="64">
        <v>9.16</v>
      </c>
      <c r="R83" s="198"/>
      <c r="S83" s="198"/>
      <c r="T83" s="198"/>
      <c r="U83" s="198"/>
    </row>
    <row r="84" spans="1:26" s="12" customFormat="1" x14ac:dyDescent="0.25">
      <c r="A84" s="214" t="s">
        <v>2914</v>
      </c>
      <c r="B84" s="64">
        <v>6.19</v>
      </c>
      <c r="C84" s="64">
        <v>21.28</v>
      </c>
      <c r="D84" s="64">
        <v>31.23</v>
      </c>
      <c r="E84" s="64">
        <v>6.88</v>
      </c>
      <c r="F84" s="64">
        <v>12.32</v>
      </c>
      <c r="G84" s="64">
        <v>58.32</v>
      </c>
      <c r="H84" s="64">
        <v>9.92</v>
      </c>
      <c r="I84" s="64">
        <v>4.04</v>
      </c>
      <c r="J84" s="64">
        <v>0.36</v>
      </c>
      <c r="K84" s="64">
        <v>313.31</v>
      </c>
      <c r="L84" s="64">
        <v>28.29</v>
      </c>
      <c r="M84" s="64">
        <v>77.319999999999993</v>
      </c>
      <c r="N84" s="64">
        <v>26.4</v>
      </c>
      <c r="O84" s="64">
        <v>0</v>
      </c>
      <c r="P84" s="64">
        <v>0.7</v>
      </c>
      <c r="Q84" s="64">
        <v>9.18</v>
      </c>
      <c r="R84" s="198"/>
      <c r="S84" s="198"/>
      <c r="T84" s="198"/>
      <c r="U84" s="198"/>
    </row>
    <row r="85" spans="1:26" s="12" customFormat="1" x14ac:dyDescent="0.25">
      <c r="A85" s="214" t="s">
        <v>2915</v>
      </c>
      <c r="B85" s="64">
        <v>7.49</v>
      </c>
      <c r="C85" s="64">
        <v>28.57</v>
      </c>
      <c r="D85" s="64">
        <v>43.17</v>
      </c>
      <c r="E85" s="64">
        <v>6.98</v>
      </c>
      <c r="F85" s="64">
        <v>10.48</v>
      </c>
      <c r="G85" s="64">
        <v>58</v>
      </c>
      <c r="H85" s="64">
        <v>21.81</v>
      </c>
      <c r="I85" s="64">
        <v>4.0599999999999996</v>
      </c>
      <c r="J85" s="64">
        <v>0.12</v>
      </c>
      <c r="K85" s="64">
        <v>335.87</v>
      </c>
      <c r="L85" s="64">
        <v>28.1</v>
      </c>
      <c r="M85" s="64">
        <v>77.430000000000007</v>
      </c>
      <c r="N85" s="64">
        <v>26.5</v>
      </c>
      <c r="O85" s="64">
        <v>0</v>
      </c>
      <c r="P85" s="64">
        <v>0.73</v>
      </c>
      <c r="Q85" s="64">
        <v>9.1999999999999993</v>
      </c>
      <c r="R85" s="198"/>
      <c r="S85" s="198"/>
      <c r="T85" s="198"/>
      <c r="U85" s="198"/>
    </row>
    <row r="86" spans="1:26" s="12" customFormat="1" x14ac:dyDescent="0.25">
      <c r="A86" s="214" t="s">
        <v>2916</v>
      </c>
      <c r="B86" s="64">
        <v>7.01</v>
      </c>
      <c r="C86" s="64">
        <v>23.65</v>
      </c>
      <c r="D86" s="64">
        <v>34.51</v>
      </c>
      <c r="E86" s="64">
        <v>6.53</v>
      </c>
      <c r="F86" s="64">
        <v>12.54</v>
      </c>
      <c r="G86" s="64">
        <v>56.63</v>
      </c>
      <c r="H86" s="64">
        <v>72.86</v>
      </c>
      <c r="I86" s="64">
        <v>3.84</v>
      </c>
      <c r="J86" s="64">
        <v>0.13</v>
      </c>
      <c r="K86" s="64">
        <v>349.27</v>
      </c>
      <c r="L86" s="64">
        <v>27.87</v>
      </c>
      <c r="M86" s="64">
        <v>78.430000000000007</v>
      </c>
      <c r="N86" s="64">
        <v>26.3</v>
      </c>
      <c r="O86" s="64">
        <v>0</v>
      </c>
      <c r="P86" s="64">
        <v>0.67</v>
      </c>
      <c r="Q86" s="64">
        <v>9.1999999999999993</v>
      </c>
      <c r="R86" s="198"/>
      <c r="S86" s="198"/>
      <c r="T86" s="198"/>
      <c r="U86" s="198"/>
    </row>
    <row r="87" spans="1:26" s="12" customFormat="1" x14ac:dyDescent="0.25">
      <c r="A87" s="214" t="s">
        <v>2917</v>
      </c>
      <c r="B87" s="64">
        <v>8.68</v>
      </c>
      <c r="C87" s="64">
        <v>30.32</v>
      </c>
      <c r="D87" s="64">
        <v>44.71</v>
      </c>
      <c r="E87" s="64">
        <v>6.26</v>
      </c>
      <c r="F87" s="64">
        <v>11.71</v>
      </c>
      <c r="G87" s="64">
        <v>56.63</v>
      </c>
      <c r="H87" s="64">
        <v>72.86</v>
      </c>
      <c r="I87" s="64">
        <v>3.93</v>
      </c>
      <c r="J87" s="64">
        <v>0.15</v>
      </c>
      <c r="K87" s="64">
        <v>322.08</v>
      </c>
      <c r="L87" s="64">
        <v>27.86</v>
      </c>
      <c r="M87" s="64">
        <v>77.89</v>
      </c>
      <c r="N87" s="64">
        <v>26.4</v>
      </c>
      <c r="O87" s="64">
        <v>0</v>
      </c>
      <c r="P87" s="64">
        <v>0.81</v>
      </c>
      <c r="Q87" s="64">
        <v>9.2200000000000006</v>
      </c>
      <c r="R87" s="198"/>
      <c r="S87" s="198"/>
      <c r="T87" s="198"/>
      <c r="U87" s="198"/>
    </row>
    <row r="88" spans="1:26" s="12" customFormat="1" x14ac:dyDescent="0.25">
      <c r="A88" s="214" t="s">
        <v>2918</v>
      </c>
      <c r="B88" s="64">
        <v>5.91</v>
      </c>
      <c r="C88" s="64">
        <v>22.76</v>
      </c>
      <c r="D88" s="64">
        <v>34.49</v>
      </c>
      <c r="E88" s="64">
        <v>6.53</v>
      </c>
      <c r="F88" s="64">
        <v>16.18</v>
      </c>
      <c r="G88" s="64">
        <v>56.63</v>
      </c>
      <c r="H88" s="64">
        <v>72.86</v>
      </c>
      <c r="I88" s="64">
        <v>4.0599999999999996</v>
      </c>
      <c r="J88" s="64">
        <v>0.06</v>
      </c>
      <c r="K88" s="64">
        <v>253.69</v>
      </c>
      <c r="L88" s="64">
        <v>27.42</v>
      </c>
      <c r="M88" s="64">
        <v>84.2</v>
      </c>
      <c r="N88" s="64">
        <v>25.2</v>
      </c>
      <c r="O88" s="64">
        <v>0</v>
      </c>
      <c r="P88" s="64">
        <v>0.78</v>
      </c>
      <c r="Q88" s="64">
        <v>9.23</v>
      </c>
      <c r="R88" s="198"/>
      <c r="S88" s="198"/>
      <c r="T88" s="198"/>
      <c r="U88" s="198"/>
    </row>
    <row r="89" spans="1:26" s="12" customFormat="1" x14ac:dyDescent="0.25">
      <c r="A89" s="214" t="s">
        <v>2919</v>
      </c>
      <c r="B89" s="64">
        <v>10.38</v>
      </c>
      <c r="C89" s="64">
        <v>27.81</v>
      </c>
      <c r="D89" s="64">
        <v>37.299999999999997</v>
      </c>
      <c r="E89" s="64">
        <v>6.38</v>
      </c>
      <c r="F89" s="64">
        <v>7.2</v>
      </c>
      <c r="G89" s="64">
        <v>56.37</v>
      </c>
      <c r="H89" s="64">
        <v>70.61</v>
      </c>
      <c r="I89" s="64">
        <v>4.01</v>
      </c>
      <c r="J89" s="64">
        <v>0.14000000000000001</v>
      </c>
      <c r="K89" s="64">
        <v>341.25</v>
      </c>
      <c r="L89" s="64">
        <v>26.67</v>
      </c>
      <c r="M89" s="64">
        <v>95.68</v>
      </c>
      <c r="N89" s="64">
        <v>25.2</v>
      </c>
      <c r="O89" s="64">
        <v>0</v>
      </c>
      <c r="P89" s="64">
        <v>0.9</v>
      </c>
      <c r="Q89" s="64">
        <v>9.24</v>
      </c>
      <c r="R89" s="198"/>
      <c r="S89" s="198"/>
      <c r="T89" s="198"/>
      <c r="U89" s="198"/>
    </row>
    <row r="90" spans="1:26" s="12" customFormat="1" x14ac:dyDescent="0.25">
      <c r="A90" s="214" t="s">
        <v>2920</v>
      </c>
      <c r="B90" s="64">
        <v>9.81</v>
      </c>
      <c r="C90" s="64">
        <v>29.48</v>
      </c>
      <c r="D90" s="64">
        <v>41.37</v>
      </c>
      <c r="E90" s="64">
        <v>6.2</v>
      </c>
      <c r="F90" s="64">
        <v>6.87</v>
      </c>
      <c r="G90" s="64">
        <v>55.31</v>
      </c>
      <c r="H90" s="64">
        <v>60.96</v>
      </c>
      <c r="I90" s="64">
        <v>3.84</v>
      </c>
      <c r="J90" s="64">
        <v>0.03</v>
      </c>
      <c r="K90" s="64">
        <v>176.99</v>
      </c>
      <c r="L90" s="64">
        <v>26.16</v>
      </c>
      <c r="M90" s="64">
        <v>100.78</v>
      </c>
      <c r="N90" s="64">
        <v>25.9</v>
      </c>
      <c r="O90" s="64">
        <v>0.2</v>
      </c>
      <c r="P90" s="64">
        <v>1.1000000000000001</v>
      </c>
      <c r="Q90" s="64">
        <v>9.25</v>
      </c>
      <c r="R90" s="198"/>
      <c r="S90" s="198"/>
      <c r="T90" s="198"/>
      <c r="U90" s="198"/>
    </row>
    <row r="91" spans="1:26" s="12" customFormat="1" x14ac:dyDescent="0.25">
      <c r="A91" s="214" t="s">
        <v>2921</v>
      </c>
      <c r="B91" s="64">
        <v>7.72</v>
      </c>
      <c r="C91" s="64">
        <v>28.82</v>
      </c>
      <c r="D91" s="64">
        <v>43.32</v>
      </c>
      <c r="E91" s="64">
        <v>6</v>
      </c>
      <c r="F91" s="64">
        <v>4.8</v>
      </c>
      <c r="G91" s="64">
        <v>55.31</v>
      </c>
      <c r="H91" s="64">
        <v>60.96</v>
      </c>
      <c r="I91" s="64">
        <v>4</v>
      </c>
      <c r="J91" s="64">
        <v>0.03</v>
      </c>
      <c r="K91" s="64">
        <v>276.27</v>
      </c>
      <c r="L91" s="64">
        <v>26.27</v>
      </c>
      <c r="M91" s="64">
        <v>99.68</v>
      </c>
      <c r="N91" s="64">
        <v>26.1</v>
      </c>
      <c r="O91" s="64">
        <v>0</v>
      </c>
      <c r="P91" s="64">
        <v>0.96</v>
      </c>
      <c r="Q91" s="64">
        <v>9.27</v>
      </c>
      <c r="R91" s="198"/>
      <c r="S91" s="198"/>
      <c r="T91" s="198"/>
      <c r="U91" s="198"/>
    </row>
    <row r="92" spans="1:26" s="12" customFormat="1" x14ac:dyDescent="0.25">
      <c r="A92" s="214" t="s">
        <v>2922</v>
      </c>
      <c r="B92" s="64">
        <v>6.76</v>
      </c>
      <c r="C92" s="64">
        <v>19.55</v>
      </c>
      <c r="D92" s="64">
        <v>27.05</v>
      </c>
      <c r="E92" s="64">
        <v>5.96</v>
      </c>
      <c r="F92" s="64">
        <v>4.8499999999999996</v>
      </c>
      <c r="G92" s="64">
        <v>55.31</v>
      </c>
      <c r="H92" s="64">
        <v>60.96</v>
      </c>
      <c r="I92" s="64">
        <v>3.94</v>
      </c>
      <c r="J92" s="64">
        <v>0.13</v>
      </c>
      <c r="K92" s="64">
        <v>350.94</v>
      </c>
      <c r="L92" s="64">
        <v>26.48</v>
      </c>
      <c r="M92" s="64">
        <v>96.14</v>
      </c>
      <c r="N92" s="64">
        <v>25.6</v>
      </c>
      <c r="O92" s="64">
        <v>0</v>
      </c>
      <c r="P92" s="64">
        <v>0.75</v>
      </c>
      <c r="Q92" s="64">
        <v>9.27</v>
      </c>
      <c r="R92" s="198"/>
      <c r="S92" s="198"/>
      <c r="T92" s="198"/>
      <c r="U92" s="198"/>
    </row>
    <row r="93" spans="1:26" s="12" customFormat="1" x14ac:dyDescent="0.25">
      <c r="A93" s="214" t="s">
        <v>2923</v>
      </c>
      <c r="B93" s="64">
        <v>8.18</v>
      </c>
      <c r="C93" s="64">
        <v>21.1</v>
      </c>
      <c r="D93" s="64">
        <v>27.83</v>
      </c>
      <c r="E93" s="64">
        <v>5.88</v>
      </c>
      <c r="F93" s="64">
        <v>3.41</v>
      </c>
      <c r="G93" s="64">
        <v>54.3</v>
      </c>
      <c r="H93" s="64">
        <v>53.96</v>
      </c>
      <c r="I93" s="64">
        <v>4.16</v>
      </c>
      <c r="J93" s="64">
        <v>0.21</v>
      </c>
      <c r="K93" s="64">
        <v>320.95999999999998</v>
      </c>
      <c r="L93" s="64">
        <v>26.47</v>
      </c>
      <c r="M93" s="64">
        <v>94.97</v>
      </c>
      <c r="N93" s="64">
        <v>26.4</v>
      </c>
      <c r="O93" s="64">
        <v>0</v>
      </c>
      <c r="P93" s="64">
        <v>0.79</v>
      </c>
      <c r="Q93" s="64">
        <v>9.27</v>
      </c>
      <c r="R93" s="198"/>
      <c r="S93" s="198"/>
      <c r="T93" s="198"/>
      <c r="U93" s="198"/>
    </row>
    <row r="94" spans="1:26" s="12" customFormat="1" x14ac:dyDescent="0.25">
      <c r="A94" s="214" t="s">
        <v>2924</v>
      </c>
      <c r="B94" s="64">
        <v>7.57</v>
      </c>
      <c r="C94" s="64">
        <v>19.95</v>
      </c>
      <c r="D94" s="64">
        <v>26.56</v>
      </c>
      <c r="E94" s="64">
        <v>5.49</v>
      </c>
      <c r="F94" s="64">
        <v>3.8</v>
      </c>
      <c r="G94" s="64">
        <v>49.97</v>
      </c>
      <c r="H94" s="64">
        <v>23.92</v>
      </c>
      <c r="I94" s="64">
        <v>4.0999999999999996</v>
      </c>
      <c r="J94" s="64">
        <v>0.28000000000000003</v>
      </c>
      <c r="K94" s="64">
        <v>314.29000000000002</v>
      </c>
      <c r="L94" s="64">
        <v>26.46</v>
      </c>
      <c r="M94" s="64">
        <v>89.87</v>
      </c>
      <c r="N94" s="64">
        <v>27.4</v>
      </c>
      <c r="O94" s="64">
        <v>0</v>
      </c>
      <c r="P94" s="64">
        <v>0.76</v>
      </c>
      <c r="Q94" s="64">
        <v>9.27</v>
      </c>
      <c r="R94" s="198"/>
      <c r="S94" s="198"/>
      <c r="T94" s="198"/>
      <c r="U94" s="198"/>
    </row>
    <row r="95" spans="1:26" s="12" customFormat="1" x14ac:dyDescent="0.25">
      <c r="A95" s="214" t="s">
        <v>2925</v>
      </c>
      <c r="B95" s="64">
        <v>6.65</v>
      </c>
      <c r="C95" s="64">
        <v>18.11</v>
      </c>
      <c r="D95" s="64">
        <v>24.46</v>
      </c>
      <c r="E95" s="64">
        <v>5.58</v>
      </c>
      <c r="F95" s="64">
        <v>4.4400000000000004</v>
      </c>
      <c r="G95" s="64">
        <v>49.97</v>
      </c>
      <c r="H95" s="64">
        <v>23.92</v>
      </c>
      <c r="I95" s="64">
        <v>3.97</v>
      </c>
      <c r="J95" s="64">
        <v>0.28000000000000003</v>
      </c>
      <c r="K95" s="64">
        <v>310.06</v>
      </c>
      <c r="L95" s="64">
        <v>26.11</v>
      </c>
      <c r="M95" s="64">
        <v>90.31</v>
      </c>
      <c r="N95" s="64">
        <v>26.7</v>
      </c>
      <c r="O95" s="64">
        <v>0</v>
      </c>
      <c r="P95" s="64">
        <v>0.75</v>
      </c>
      <c r="Q95" s="64">
        <v>9.26</v>
      </c>
      <c r="R95" s="198"/>
      <c r="S95" s="198"/>
      <c r="T95" s="198"/>
      <c r="U95" s="198"/>
    </row>
    <row r="96" spans="1:26" s="12" customFormat="1" x14ac:dyDescent="0.25">
      <c r="A96" s="214" t="s">
        <v>2926</v>
      </c>
      <c r="B96" s="64">
        <v>5.87</v>
      </c>
      <c r="C96" s="64">
        <v>17.579999999999998</v>
      </c>
      <c r="D96" s="64">
        <v>24.63</v>
      </c>
      <c r="E96" s="64">
        <v>5.65</v>
      </c>
      <c r="F96" s="64">
        <v>4.25</v>
      </c>
      <c r="G96" s="64">
        <v>49.97</v>
      </c>
      <c r="H96" s="64">
        <v>23.92</v>
      </c>
      <c r="I96" s="64">
        <v>3.96</v>
      </c>
      <c r="J96" s="64">
        <v>7.0000000000000007E-2</v>
      </c>
      <c r="K96" s="64">
        <v>321.55</v>
      </c>
      <c r="L96" s="64">
        <v>25.82</v>
      </c>
      <c r="M96" s="64">
        <v>93.48</v>
      </c>
      <c r="N96" s="64">
        <v>26.6</v>
      </c>
      <c r="O96" s="64">
        <v>0</v>
      </c>
      <c r="P96" s="64">
        <v>0.7</v>
      </c>
      <c r="Q96" s="64">
        <v>9.26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2927</v>
      </c>
      <c r="B97" s="64">
        <v>5.42</v>
      </c>
      <c r="C97" s="64">
        <v>16.89</v>
      </c>
      <c r="D97" s="64">
        <v>24.01</v>
      </c>
      <c r="E97" s="64">
        <v>5.0999999999999996</v>
      </c>
      <c r="F97" s="64">
        <v>4.43</v>
      </c>
      <c r="G97" s="64">
        <v>49.44</v>
      </c>
      <c r="H97" s="64">
        <v>19.670000000000002</v>
      </c>
      <c r="I97" s="64">
        <v>4.13</v>
      </c>
      <c r="J97" s="64">
        <v>0.1</v>
      </c>
      <c r="K97" s="64">
        <v>327.95</v>
      </c>
      <c r="L97" s="64">
        <v>25.69</v>
      </c>
      <c r="M97" s="64">
        <v>94.44</v>
      </c>
      <c r="N97" s="64">
        <v>26.4</v>
      </c>
      <c r="O97" s="64">
        <v>0</v>
      </c>
      <c r="P97" s="64">
        <v>0.68</v>
      </c>
      <c r="Q97" s="64">
        <v>9.23</v>
      </c>
      <c r="R97" s="198"/>
      <c r="S97" s="198"/>
      <c r="T97" s="198"/>
      <c r="U97" s="198"/>
    </row>
    <row r="98" spans="1:33" s="12" customFormat="1" x14ac:dyDescent="0.25">
      <c r="A98" s="214" t="s">
        <v>2928</v>
      </c>
      <c r="B98" s="64">
        <v>5.12</v>
      </c>
      <c r="C98" s="64">
        <v>15.98</v>
      </c>
      <c r="D98" s="64">
        <v>22.73</v>
      </c>
      <c r="E98" s="64">
        <v>5.52</v>
      </c>
      <c r="F98" s="64">
        <v>4.32</v>
      </c>
      <c r="G98" s="64">
        <v>47.33</v>
      </c>
      <c r="H98" s="64">
        <v>1.44</v>
      </c>
      <c r="I98" s="64">
        <v>4.0999999999999996</v>
      </c>
      <c r="J98" s="64">
        <v>0.12</v>
      </c>
      <c r="K98" s="64">
        <v>326.25</v>
      </c>
      <c r="L98" s="64">
        <v>25.64</v>
      </c>
      <c r="M98" s="64">
        <v>94.95</v>
      </c>
      <c r="N98" s="64">
        <v>26.3</v>
      </c>
      <c r="O98" s="64">
        <v>0</v>
      </c>
      <c r="P98" s="64">
        <v>0.68</v>
      </c>
      <c r="Q98" s="64">
        <v>9.1999999999999993</v>
      </c>
      <c r="R98" s="198"/>
      <c r="S98" s="198"/>
      <c r="T98" s="198"/>
      <c r="U98" s="198"/>
    </row>
    <row r="99" spans="1:33" s="12" customFormat="1" x14ac:dyDescent="0.25">
      <c r="A99" s="214" t="s">
        <v>2929</v>
      </c>
      <c r="B99" s="64">
        <v>6.02</v>
      </c>
      <c r="C99" s="64">
        <v>17.64</v>
      </c>
      <c r="D99" s="64">
        <v>24.52</v>
      </c>
      <c r="E99" s="64">
        <v>5.41</v>
      </c>
      <c r="F99" s="64">
        <v>5.18</v>
      </c>
      <c r="G99" s="64">
        <v>47.33</v>
      </c>
      <c r="H99" s="64">
        <v>1.44</v>
      </c>
      <c r="I99" s="64">
        <v>4</v>
      </c>
      <c r="J99" s="64">
        <v>0.12</v>
      </c>
      <c r="K99" s="64">
        <v>303.58999999999997</v>
      </c>
      <c r="L99" s="64">
        <v>25.64</v>
      </c>
      <c r="M99" s="64">
        <v>95.3</v>
      </c>
      <c r="N99" s="64">
        <v>26.1</v>
      </c>
      <c r="O99" s="64">
        <v>0</v>
      </c>
      <c r="P99" s="64">
        <v>0.64</v>
      </c>
      <c r="Q99" s="64">
        <v>9.2100000000000009</v>
      </c>
      <c r="R99" s="198"/>
      <c r="S99" s="198"/>
      <c r="T99" s="198"/>
      <c r="U99" s="198"/>
    </row>
    <row r="100" spans="1:33" s="12" customFormat="1" x14ac:dyDescent="0.25">
      <c r="A100" s="214" t="s">
        <v>2930</v>
      </c>
      <c r="B100" s="64">
        <v>5.09</v>
      </c>
      <c r="C100" s="64">
        <v>16.14</v>
      </c>
      <c r="D100" s="64">
        <v>23.09</v>
      </c>
      <c r="E100" s="64">
        <v>5.27</v>
      </c>
      <c r="F100" s="64">
        <v>4.18</v>
      </c>
      <c r="G100" s="64">
        <v>47.33</v>
      </c>
      <c r="H100" s="64">
        <v>1.44</v>
      </c>
      <c r="I100" s="64">
        <v>4.03</v>
      </c>
      <c r="J100" s="64">
        <v>0.18</v>
      </c>
      <c r="K100" s="64">
        <v>303.67</v>
      </c>
      <c r="L100" s="64">
        <v>25.57</v>
      </c>
      <c r="M100" s="64">
        <v>94.54</v>
      </c>
      <c r="N100" s="64">
        <v>26.2</v>
      </c>
      <c r="O100" s="64">
        <v>0</v>
      </c>
      <c r="P100" s="64">
        <v>0.61</v>
      </c>
      <c r="Q100" s="64">
        <v>9.1999999999999993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2931</v>
      </c>
      <c r="B101" s="64">
        <v>4.74</v>
      </c>
      <c r="C101" s="64">
        <v>15.11</v>
      </c>
      <c r="D101" s="64">
        <v>21.63</v>
      </c>
      <c r="E101" s="64">
        <v>4.97</v>
      </c>
      <c r="F101" s="64">
        <v>7.3</v>
      </c>
      <c r="G101" s="64">
        <v>45.37</v>
      </c>
      <c r="H101" s="64">
        <v>1.19</v>
      </c>
      <c r="I101" s="64">
        <v>3.99</v>
      </c>
      <c r="J101" s="64">
        <v>0.1</v>
      </c>
      <c r="K101" s="64">
        <v>278.79000000000002</v>
      </c>
      <c r="L101" s="64">
        <v>25.36</v>
      </c>
      <c r="M101" s="64">
        <v>92.68</v>
      </c>
      <c r="N101" s="64">
        <v>26.4</v>
      </c>
      <c r="O101" s="64">
        <v>0</v>
      </c>
      <c r="P101" s="64">
        <v>0.55000000000000004</v>
      </c>
      <c r="Q101" s="64">
        <v>9.19</v>
      </c>
      <c r="R101" s="198"/>
      <c r="S101" s="198"/>
      <c r="T101" s="198"/>
      <c r="U101" s="198"/>
    </row>
    <row r="102" spans="1:33" s="12" customFormat="1" x14ac:dyDescent="0.25">
      <c r="A102" s="214" t="s">
        <v>2932</v>
      </c>
      <c r="B102" s="64">
        <v>4.33</v>
      </c>
      <c r="C102" s="64">
        <v>14.26</v>
      </c>
      <c r="D102" s="64">
        <v>20.64</v>
      </c>
      <c r="E102" s="64">
        <v>5.37</v>
      </c>
      <c r="F102" s="64">
        <v>6.97</v>
      </c>
      <c r="G102" s="64">
        <v>37.54</v>
      </c>
      <c r="H102" s="64">
        <v>0.21</v>
      </c>
      <c r="I102" s="64">
        <v>3.96</v>
      </c>
      <c r="J102" s="64">
        <v>0.13</v>
      </c>
      <c r="K102" s="64">
        <v>283.68</v>
      </c>
      <c r="L102" s="64">
        <v>25.19</v>
      </c>
      <c r="M102" s="64">
        <v>91.92</v>
      </c>
      <c r="N102" s="64">
        <v>26.5</v>
      </c>
      <c r="O102" s="64">
        <v>0</v>
      </c>
      <c r="P102" s="64">
        <v>0.49</v>
      </c>
      <c r="Q102" s="64">
        <v>9.18</v>
      </c>
      <c r="R102" s="198"/>
      <c r="S102" s="198"/>
      <c r="T102" s="198"/>
      <c r="U102" s="198"/>
    </row>
    <row r="103" spans="1:33" s="12" customFormat="1" x14ac:dyDescent="0.25">
      <c r="A103" s="214" t="s">
        <v>2933</v>
      </c>
      <c r="B103" s="64">
        <v>4.3899999999999997</v>
      </c>
      <c r="C103" s="64">
        <v>14.13</v>
      </c>
      <c r="D103" s="64">
        <v>20.309999999999999</v>
      </c>
      <c r="E103" s="64">
        <v>5.28</v>
      </c>
      <c r="F103" s="64">
        <v>5.81</v>
      </c>
      <c r="G103" s="64">
        <v>37.54</v>
      </c>
      <c r="H103" s="64">
        <v>0.21</v>
      </c>
      <c r="I103" s="64">
        <v>4</v>
      </c>
      <c r="J103" s="64">
        <v>0.11</v>
      </c>
      <c r="K103" s="64">
        <v>309.70999999999998</v>
      </c>
      <c r="L103" s="64">
        <v>25.09</v>
      </c>
      <c r="M103" s="64">
        <v>89.99</v>
      </c>
      <c r="N103" s="64">
        <v>26.5</v>
      </c>
      <c r="O103" s="64">
        <v>0</v>
      </c>
      <c r="P103" s="64">
        <v>0.51</v>
      </c>
      <c r="Q103" s="64">
        <v>9.19</v>
      </c>
      <c r="R103" s="198"/>
      <c r="S103" s="198"/>
      <c r="T103" s="198"/>
      <c r="U103" s="198"/>
    </row>
    <row r="104" spans="1:33" s="12" customFormat="1" x14ac:dyDescent="0.25">
      <c r="A104" s="214" t="s">
        <v>2934</v>
      </c>
      <c r="B104" s="64">
        <v>4.18</v>
      </c>
      <c r="C104" s="64">
        <v>13.42</v>
      </c>
      <c r="D104" s="64">
        <v>19.27</v>
      </c>
      <c r="E104" s="64">
        <v>4.76</v>
      </c>
      <c r="F104" s="64">
        <v>6.22</v>
      </c>
      <c r="G104" s="64">
        <v>37.54</v>
      </c>
      <c r="H104" s="64">
        <v>0.21</v>
      </c>
      <c r="I104" s="64">
        <v>4.08</v>
      </c>
      <c r="J104" s="64">
        <v>0.14000000000000001</v>
      </c>
      <c r="K104" s="64">
        <v>295.93</v>
      </c>
      <c r="L104" s="64">
        <v>25.07</v>
      </c>
      <c r="M104" s="64">
        <v>88.69</v>
      </c>
      <c r="N104" s="64">
        <v>26.2</v>
      </c>
      <c r="O104" s="64">
        <v>0</v>
      </c>
      <c r="P104" s="64">
        <v>0.5</v>
      </c>
      <c r="Q104" s="64">
        <v>9.17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3.26</v>
      </c>
      <c r="C106" s="67">
        <f>MIN(C9:C104)</f>
        <v>13.42</v>
      </c>
      <c r="D106" s="67">
        <f t="shared" ref="D106:Q106" si="0">MIN(D9:D104)</f>
        <v>18.05</v>
      </c>
      <c r="E106" s="67">
        <f t="shared" si="0"/>
        <v>4.76</v>
      </c>
      <c r="F106" s="67">
        <f t="shared" si="0"/>
        <v>3.41</v>
      </c>
      <c r="G106" s="67">
        <f t="shared" si="0"/>
        <v>0</v>
      </c>
      <c r="H106" s="67">
        <f t="shared" si="0"/>
        <v>0.21</v>
      </c>
      <c r="I106" s="67">
        <f t="shared" si="0"/>
        <v>3.81</v>
      </c>
      <c r="J106" s="67">
        <f t="shared" si="0"/>
        <v>0.02</v>
      </c>
      <c r="K106" s="67">
        <f t="shared" si="0"/>
        <v>3.38</v>
      </c>
      <c r="L106" s="67">
        <f t="shared" si="0"/>
        <v>1.75</v>
      </c>
      <c r="M106" s="67">
        <f t="shared" si="0"/>
        <v>57.73</v>
      </c>
      <c r="N106" s="67">
        <f t="shared" si="0"/>
        <v>25.2</v>
      </c>
      <c r="O106" s="67">
        <f t="shared" si="0"/>
        <v>0</v>
      </c>
      <c r="P106" s="67">
        <f t="shared" si="0"/>
        <v>0</v>
      </c>
      <c r="Q106" s="67">
        <f t="shared" si="0"/>
        <v>9.1199999999999992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17.28</v>
      </c>
      <c r="C107" s="66">
        <f t="shared" ref="C107:Q107" si="1">MAX(C9:C104)</f>
        <v>40.06</v>
      </c>
      <c r="D107" s="66">
        <f t="shared" si="1"/>
        <v>50.15</v>
      </c>
      <c r="E107" s="66">
        <f t="shared" si="1"/>
        <v>12.42</v>
      </c>
      <c r="F107" s="66">
        <f t="shared" si="1"/>
        <v>32.89</v>
      </c>
      <c r="G107" s="66">
        <f t="shared" si="1"/>
        <v>61.73</v>
      </c>
      <c r="H107" s="66">
        <f t="shared" si="1"/>
        <v>72.86</v>
      </c>
      <c r="I107" s="66">
        <f t="shared" si="1"/>
        <v>4.26</v>
      </c>
      <c r="J107" s="66">
        <f t="shared" si="1"/>
        <v>1.27</v>
      </c>
      <c r="K107" s="66">
        <f t="shared" si="1"/>
        <v>359.93</v>
      </c>
      <c r="L107" s="66">
        <f t="shared" si="1"/>
        <v>33.79</v>
      </c>
      <c r="M107" s="66">
        <f t="shared" si="1"/>
        <v>103.18</v>
      </c>
      <c r="N107" s="66">
        <f t="shared" si="1"/>
        <v>889.5</v>
      </c>
      <c r="O107" s="66">
        <f t="shared" si="1"/>
        <v>0.2</v>
      </c>
      <c r="P107" s="66">
        <f t="shared" si="1"/>
        <v>1.1000000000000001</v>
      </c>
      <c r="Q107" s="66">
        <f t="shared" si="1"/>
        <v>9.48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8.0706249999999926</v>
      </c>
      <c r="C108" s="67">
        <f t="shared" ref="C108:Q108" si="2">AVERAGE(C9:C104)</f>
        <v>21.552083333333329</v>
      </c>
      <c r="D108" s="67">
        <f t="shared" si="2"/>
        <v>28.862916666666678</v>
      </c>
      <c r="E108" s="67">
        <f t="shared" si="2"/>
        <v>6.847812499999999</v>
      </c>
      <c r="F108" s="67">
        <f t="shared" si="2"/>
        <v>11.865520833333335</v>
      </c>
      <c r="G108" s="67">
        <f t="shared" si="2"/>
        <v>45.904999999999994</v>
      </c>
      <c r="H108" s="67">
        <f t="shared" si="2"/>
        <v>20.887291666666673</v>
      </c>
      <c r="I108" s="67">
        <f t="shared" si="2"/>
        <v>4.0009374999999983</v>
      </c>
      <c r="J108" s="67">
        <f t="shared" si="2"/>
        <v>0.29927083333333337</v>
      </c>
      <c r="K108" s="67">
        <f t="shared" si="2"/>
        <v>236.92052083333337</v>
      </c>
      <c r="L108" s="67">
        <f t="shared" si="2"/>
        <v>27.708645833333339</v>
      </c>
      <c r="M108" s="67">
        <f t="shared" si="2"/>
        <v>84.562083333333348</v>
      </c>
      <c r="N108" s="67">
        <f t="shared" si="2"/>
        <v>209.85208333333335</v>
      </c>
      <c r="O108" s="67">
        <f t="shared" si="2"/>
        <v>2.0833333333333333E-3</v>
      </c>
      <c r="P108" s="67">
        <f t="shared" si="2"/>
        <v>0.58281249999999996</v>
      </c>
      <c r="Q108" s="67">
        <f t="shared" si="2"/>
        <v>9.2851041666666649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3.2983456180014747</v>
      </c>
      <c r="C109" s="67">
        <f t="shared" ref="C109:Q109" si="3">STDEV(C9:C104)</f>
        <v>4.4178051031960131</v>
      </c>
      <c r="D109" s="67">
        <f t="shared" si="3"/>
        <v>7.5758235844332615</v>
      </c>
      <c r="E109" s="67">
        <f t="shared" si="3"/>
        <v>1.8850236369451996</v>
      </c>
      <c r="F109" s="67">
        <f t="shared" si="3"/>
        <v>7.6946911117227108</v>
      </c>
      <c r="G109" s="67">
        <f t="shared" si="3"/>
        <v>8.9892789945637706</v>
      </c>
      <c r="H109" s="67">
        <f t="shared" si="3"/>
        <v>14.939432489691004</v>
      </c>
      <c r="I109" s="67">
        <f t="shared" si="3"/>
        <v>9.6791453787593185E-2</v>
      </c>
      <c r="J109" s="67">
        <f t="shared" si="3"/>
        <v>0.25156455608291278</v>
      </c>
      <c r="K109" s="67">
        <f t="shared" si="3"/>
        <v>99.582527778085705</v>
      </c>
      <c r="L109" s="67">
        <f t="shared" si="3"/>
        <v>4.4491710924718726</v>
      </c>
      <c r="M109" s="67">
        <f t="shared" si="3"/>
        <v>16.702426480930146</v>
      </c>
      <c r="N109" s="67">
        <f t="shared" si="3"/>
        <v>259.01393255725071</v>
      </c>
      <c r="O109" s="67">
        <f t="shared" si="3"/>
        <v>2.0412414523193152E-2</v>
      </c>
      <c r="P109" s="67">
        <f t="shared" si="3"/>
        <v>0.1787424087456877</v>
      </c>
      <c r="Q109" s="67">
        <f t="shared" si="3"/>
        <v>0.12167250947277924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COUNT(G9:G104)+6</f>
        <v>102</v>
      </c>
      <c r="H110" s="66">
        <f>COUNT(H9:H104)+6</f>
        <v>102</v>
      </c>
      <c r="I110" s="66">
        <f>COUNT(I9:I104)</f>
        <v>96</v>
      </c>
      <c r="J110" s="66">
        <f>COUNT(J9:J104)+2</f>
        <v>98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A91" zoomScale="85" zoomScaleNormal="85" workbookViewId="0">
      <selection activeCell="G15" sqref="G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224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2935</v>
      </c>
      <c r="B9" s="64">
        <v>4.03</v>
      </c>
      <c r="C9" s="64">
        <v>13.01</v>
      </c>
      <c r="D9" s="64">
        <v>18.71</v>
      </c>
      <c r="E9" s="64">
        <v>4.68</v>
      </c>
      <c r="F9" s="64">
        <v>7.13</v>
      </c>
      <c r="G9" s="64">
        <v>35.71</v>
      </c>
      <c r="H9" s="64">
        <v>0.18</v>
      </c>
      <c r="I9" s="64">
        <v>3.91</v>
      </c>
      <c r="J9" s="64">
        <v>0.12</v>
      </c>
      <c r="K9" s="64">
        <v>293.64999999999998</v>
      </c>
      <c r="L9" s="64">
        <v>25.05</v>
      </c>
      <c r="M9" s="64">
        <v>90.34</v>
      </c>
      <c r="N9" s="64">
        <v>26.2</v>
      </c>
      <c r="O9" s="64">
        <v>0</v>
      </c>
      <c r="P9" s="64">
        <v>0.44</v>
      </c>
      <c r="Q9" s="64">
        <v>9.16</v>
      </c>
      <c r="R9" s="198"/>
      <c r="S9" s="198"/>
      <c r="T9" s="198"/>
      <c r="U9" s="198"/>
    </row>
    <row r="10" spans="1:21" s="12" customFormat="1" x14ac:dyDescent="0.25">
      <c r="A10" s="214" t="s">
        <v>2936</v>
      </c>
      <c r="B10" s="64">
        <v>4</v>
      </c>
      <c r="C10" s="64">
        <v>12.72</v>
      </c>
      <c r="D10" s="64">
        <v>18.21</v>
      </c>
      <c r="E10" s="64">
        <v>4.4000000000000004</v>
      </c>
      <c r="F10" s="64">
        <v>5.78</v>
      </c>
      <c r="G10" s="64">
        <v>27.84</v>
      </c>
      <c r="H10" s="64">
        <v>0.02</v>
      </c>
      <c r="I10" s="64">
        <v>3.94</v>
      </c>
      <c r="J10" s="64">
        <v>0.23</v>
      </c>
      <c r="K10" s="64">
        <v>280.39</v>
      </c>
      <c r="L10" s="64">
        <v>24.98</v>
      </c>
      <c r="M10" s="64">
        <v>92.36</v>
      </c>
      <c r="N10" s="64">
        <v>26.2</v>
      </c>
      <c r="O10" s="64">
        <v>0</v>
      </c>
      <c r="P10" s="64">
        <v>0.47</v>
      </c>
      <c r="Q10" s="64">
        <v>9.14</v>
      </c>
      <c r="R10" s="198"/>
      <c r="S10" s="198"/>
      <c r="T10" s="198"/>
      <c r="U10" s="198"/>
    </row>
    <row r="11" spans="1:21" s="12" customFormat="1" x14ac:dyDescent="0.25">
      <c r="A11" s="214" t="s">
        <v>2937</v>
      </c>
      <c r="B11" s="64">
        <v>3.83</v>
      </c>
      <c r="C11" s="64">
        <v>12.38</v>
      </c>
      <c r="D11" s="64">
        <v>17.82</v>
      </c>
      <c r="E11" s="64">
        <v>4.63</v>
      </c>
      <c r="F11" s="64">
        <v>5.37</v>
      </c>
      <c r="G11" s="64">
        <v>27.84</v>
      </c>
      <c r="H11" s="64">
        <v>0.02</v>
      </c>
      <c r="I11" s="64">
        <v>3.94</v>
      </c>
      <c r="J11" s="64">
        <v>0.25</v>
      </c>
      <c r="K11" s="64">
        <v>278.8</v>
      </c>
      <c r="L11" s="64">
        <v>24.91</v>
      </c>
      <c r="M11" s="64">
        <v>95.05</v>
      </c>
      <c r="N11" s="64">
        <v>26.2</v>
      </c>
      <c r="O11" s="64">
        <v>0</v>
      </c>
      <c r="P11" s="64">
        <v>0.47</v>
      </c>
      <c r="Q11" s="64">
        <v>9.1300000000000008</v>
      </c>
      <c r="R11" s="198"/>
      <c r="S11" s="198"/>
      <c r="T11" s="198"/>
      <c r="U11" s="198"/>
    </row>
    <row r="12" spans="1:21" s="12" customFormat="1" x14ac:dyDescent="0.25">
      <c r="A12" s="214" t="s">
        <v>2938</v>
      </c>
      <c r="B12" s="64">
        <v>3.73</v>
      </c>
      <c r="C12" s="64">
        <v>12.47</v>
      </c>
      <c r="D12" s="64">
        <v>18.14</v>
      </c>
      <c r="E12" s="64">
        <v>4.6100000000000003</v>
      </c>
      <c r="F12" s="64">
        <v>3.45</v>
      </c>
      <c r="G12" s="64">
        <v>27.84</v>
      </c>
      <c r="H12" s="64">
        <v>0.02</v>
      </c>
      <c r="I12" s="64">
        <v>4.09</v>
      </c>
      <c r="J12" s="64">
        <v>0.19</v>
      </c>
      <c r="K12" s="64">
        <v>291.07</v>
      </c>
      <c r="L12" s="64">
        <v>24.93</v>
      </c>
      <c r="M12" s="64">
        <v>96.75</v>
      </c>
      <c r="N12" s="64">
        <v>26.1</v>
      </c>
      <c r="O12" s="64">
        <v>0</v>
      </c>
      <c r="P12" s="64">
        <v>0.43</v>
      </c>
      <c r="Q12" s="64">
        <v>9.1199999999999992</v>
      </c>
      <c r="R12" s="198"/>
      <c r="S12" s="198"/>
      <c r="T12" s="198"/>
      <c r="U12" s="198"/>
    </row>
    <row r="13" spans="1:21" s="12" customFormat="1" x14ac:dyDescent="0.25">
      <c r="A13" s="214" t="s">
        <v>2939</v>
      </c>
      <c r="B13" s="64">
        <v>3.73</v>
      </c>
      <c r="C13" s="64">
        <v>12.03</v>
      </c>
      <c r="D13" s="64">
        <v>17.3</v>
      </c>
      <c r="E13" s="64">
        <v>4.84</v>
      </c>
      <c r="F13" s="64">
        <v>5.48</v>
      </c>
      <c r="G13" s="64">
        <v>26.9</v>
      </c>
      <c r="H13" s="64">
        <v>10.039999999999999</v>
      </c>
      <c r="I13" s="64">
        <v>3.97</v>
      </c>
      <c r="J13" s="64">
        <v>0.14000000000000001</v>
      </c>
      <c r="K13" s="64">
        <v>280</v>
      </c>
      <c r="L13" s="64">
        <v>24.86</v>
      </c>
      <c r="M13" s="64">
        <v>98.22</v>
      </c>
      <c r="N13" s="64">
        <v>26.2</v>
      </c>
      <c r="O13" s="64">
        <v>0</v>
      </c>
      <c r="P13" s="64">
        <v>0.4</v>
      </c>
      <c r="Q13" s="64">
        <v>9.1199999999999992</v>
      </c>
      <c r="R13" s="198"/>
      <c r="S13" s="198"/>
      <c r="T13" s="198"/>
      <c r="U13" s="198"/>
    </row>
    <row r="14" spans="1:21" s="12" customFormat="1" x14ac:dyDescent="0.25">
      <c r="A14" s="214" t="s">
        <v>2940</v>
      </c>
      <c r="B14" s="64">
        <v>3.68</v>
      </c>
      <c r="C14" s="64">
        <v>11.66</v>
      </c>
      <c r="D14" s="64">
        <v>16.68</v>
      </c>
      <c r="E14" s="64">
        <v>4.7699999999999996</v>
      </c>
      <c r="F14" s="64">
        <v>4.12</v>
      </c>
      <c r="G14" s="64">
        <v>22.86</v>
      </c>
      <c r="H14" s="64">
        <v>53.06</v>
      </c>
      <c r="I14" s="64">
        <v>4</v>
      </c>
      <c r="J14" s="64">
        <v>0.08</v>
      </c>
      <c r="K14" s="64">
        <v>273.98</v>
      </c>
      <c r="L14" s="64">
        <v>24.81</v>
      </c>
      <c r="M14" s="64">
        <v>98.85</v>
      </c>
      <c r="N14" s="64">
        <v>26.2</v>
      </c>
      <c r="O14" s="64">
        <v>0</v>
      </c>
      <c r="P14" s="64">
        <v>0.44</v>
      </c>
      <c r="Q14" s="64">
        <v>9.11</v>
      </c>
      <c r="R14" s="198"/>
      <c r="S14" s="198"/>
      <c r="T14" s="198"/>
      <c r="U14" s="198"/>
    </row>
    <row r="15" spans="1:21" s="12" customFormat="1" x14ac:dyDescent="0.25">
      <c r="A15" s="214" t="s">
        <v>2941</v>
      </c>
      <c r="B15" s="64">
        <v>3.86</v>
      </c>
      <c r="C15" s="64">
        <v>11.9</v>
      </c>
      <c r="D15" s="64">
        <v>16.86</v>
      </c>
      <c r="E15" s="64">
        <v>4.97</v>
      </c>
      <c r="F15" s="64">
        <v>4.0199999999999996</v>
      </c>
      <c r="G15" s="64">
        <v>22.86</v>
      </c>
      <c r="H15" s="64">
        <v>53.06</v>
      </c>
      <c r="I15" s="64">
        <v>4.0199999999999996</v>
      </c>
      <c r="J15" s="64">
        <v>0.11</v>
      </c>
      <c r="K15" s="64">
        <v>273.87</v>
      </c>
      <c r="L15" s="64">
        <v>24.71</v>
      </c>
      <c r="M15" s="64">
        <v>100.04</v>
      </c>
      <c r="N15" s="64">
        <v>26.2</v>
      </c>
      <c r="O15" s="64">
        <v>0</v>
      </c>
      <c r="P15" s="64">
        <v>0.44</v>
      </c>
      <c r="Q15" s="64">
        <v>9.11</v>
      </c>
      <c r="R15" s="198"/>
      <c r="S15" s="198"/>
      <c r="T15" s="198"/>
      <c r="U15" s="198"/>
    </row>
    <row r="16" spans="1:21" s="12" customFormat="1" x14ac:dyDescent="0.25">
      <c r="A16" s="214" t="s">
        <v>2942</v>
      </c>
      <c r="B16" s="64">
        <v>4.05</v>
      </c>
      <c r="C16" s="64">
        <v>11.74</v>
      </c>
      <c r="D16" s="64">
        <v>16.25</v>
      </c>
      <c r="E16" s="64">
        <v>4.24</v>
      </c>
      <c r="F16" s="64">
        <v>4.26</v>
      </c>
      <c r="G16" s="64">
        <v>22.86</v>
      </c>
      <c r="H16" s="64">
        <v>53.06</v>
      </c>
      <c r="I16" s="64">
        <v>3.95</v>
      </c>
      <c r="J16" s="64">
        <v>0.15</v>
      </c>
      <c r="K16" s="64">
        <v>279.42</v>
      </c>
      <c r="L16" s="64">
        <v>24.69</v>
      </c>
      <c r="M16" s="64">
        <v>100.89</v>
      </c>
      <c r="N16" s="64">
        <v>26.1</v>
      </c>
      <c r="O16" s="64">
        <v>0</v>
      </c>
      <c r="P16" s="64">
        <v>0.43</v>
      </c>
      <c r="Q16" s="64">
        <v>9.11</v>
      </c>
      <c r="R16" s="198"/>
      <c r="S16" s="198"/>
      <c r="T16" s="198"/>
      <c r="U16" s="198"/>
    </row>
    <row r="17" spans="1:21" s="12" customFormat="1" x14ac:dyDescent="0.25">
      <c r="A17" s="214" t="s">
        <v>2943</v>
      </c>
      <c r="B17" s="64">
        <v>4.04</v>
      </c>
      <c r="C17" s="64">
        <v>11.61</v>
      </c>
      <c r="D17" s="64">
        <v>16.02</v>
      </c>
      <c r="E17" s="64">
        <v>4.74</v>
      </c>
      <c r="F17" s="64">
        <v>4.95</v>
      </c>
      <c r="G17" s="64">
        <v>23.07</v>
      </c>
      <c r="H17" s="64">
        <v>45.88</v>
      </c>
      <c r="I17" s="64">
        <v>4.0999999999999996</v>
      </c>
      <c r="J17" s="64">
        <v>0.22</v>
      </c>
      <c r="K17" s="64">
        <v>188.11</v>
      </c>
      <c r="L17" s="64">
        <v>24.55</v>
      </c>
      <c r="M17" s="64">
        <v>101.35</v>
      </c>
      <c r="N17" s="64">
        <v>26.2</v>
      </c>
      <c r="O17" s="64">
        <v>0</v>
      </c>
      <c r="P17" s="64">
        <v>0.45</v>
      </c>
      <c r="Q17" s="64">
        <v>9.1</v>
      </c>
      <c r="R17" s="198"/>
      <c r="S17" s="198"/>
      <c r="T17" s="198"/>
      <c r="U17" s="198"/>
    </row>
    <row r="18" spans="1:21" s="12" customFormat="1" x14ac:dyDescent="0.25">
      <c r="A18" s="214" t="s">
        <v>2944</v>
      </c>
      <c r="B18" s="64">
        <v>4.1500000000000004</v>
      </c>
      <c r="C18" s="64">
        <v>11.7</v>
      </c>
      <c r="D18" s="64">
        <v>16.02</v>
      </c>
      <c r="E18" s="64">
        <v>4.07</v>
      </c>
      <c r="F18" s="64">
        <v>5.59</v>
      </c>
      <c r="G18" s="64">
        <v>23.97</v>
      </c>
      <c r="H18" s="64">
        <v>17.16</v>
      </c>
      <c r="I18" s="64">
        <v>3.86</v>
      </c>
      <c r="J18" s="64">
        <v>0.14000000000000001</v>
      </c>
      <c r="K18" s="64">
        <v>187.19</v>
      </c>
      <c r="L18" s="64">
        <v>24.44</v>
      </c>
      <c r="M18" s="64">
        <v>102.43</v>
      </c>
      <c r="N18" s="64">
        <v>26.2</v>
      </c>
      <c r="O18" s="64">
        <v>0</v>
      </c>
      <c r="P18" s="64">
        <v>0.41</v>
      </c>
      <c r="Q18" s="64">
        <v>9.11</v>
      </c>
      <c r="R18" s="198"/>
      <c r="S18" s="198"/>
      <c r="T18" s="198"/>
      <c r="U18" s="198"/>
    </row>
    <row r="19" spans="1:21" s="12" customFormat="1" x14ac:dyDescent="0.25">
      <c r="A19" s="214" t="s">
        <v>2945</v>
      </c>
      <c r="B19" s="64">
        <v>4.4000000000000004</v>
      </c>
      <c r="C19" s="64">
        <v>11.57</v>
      </c>
      <c r="D19" s="64">
        <v>15.4</v>
      </c>
      <c r="E19" s="64">
        <v>4.01</v>
      </c>
      <c r="F19" s="64">
        <v>4.3600000000000003</v>
      </c>
      <c r="G19" s="64">
        <v>23.97</v>
      </c>
      <c r="H19" s="64">
        <v>17.16</v>
      </c>
      <c r="I19" s="64">
        <v>3.95</v>
      </c>
      <c r="J19" s="64">
        <v>0.2</v>
      </c>
      <c r="K19" s="64">
        <v>158.82</v>
      </c>
      <c r="L19" s="64">
        <v>24.32</v>
      </c>
      <c r="M19" s="64">
        <v>102.62</v>
      </c>
      <c r="N19" s="64">
        <v>26.2</v>
      </c>
      <c r="O19" s="64">
        <v>0</v>
      </c>
      <c r="P19" s="64">
        <v>0.43</v>
      </c>
      <c r="Q19" s="64">
        <v>9.1</v>
      </c>
      <c r="R19" s="198"/>
      <c r="S19" s="198"/>
      <c r="T19" s="198"/>
      <c r="U19" s="198"/>
    </row>
    <row r="20" spans="1:21" s="12" customFormat="1" x14ac:dyDescent="0.25">
      <c r="A20" s="214" t="s">
        <v>2946</v>
      </c>
      <c r="B20" s="64">
        <v>4.43</v>
      </c>
      <c r="C20" s="64">
        <v>11.74</v>
      </c>
      <c r="D20" s="64">
        <v>15.68</v>
      </c>
      <c r="E20" s="64">
        <v>4.1100000000000003</v>
      </c>
      <c r="F20" s="64">
        <v>6.03</v>
      </c>
      <c r="G20" s="64">
        <v>23.97</v>
      </c>
      <c r="H20" s="64">
        <v>17.16</v>
      </c>
      <c r="I20" s="64">
        <v>3.98</v>
      </c>
      <c r="J20" s="64">
        <v>0.12</v>
      </c>
      <c r="K20" s="64">
        <v>218.56</v>
      </c>
      <c r="L20" s="64">
        <v>24.24</v>
      </c>
      <c r="M20" s="64">
        <v>102.65</v>
      </c>
      <c r="N20" s="64">
        <v>26.2</v>
      </c>
      <c r="O20" s="64">
        <v>0</v>
      </c>
      <c r="P20" s="64">
        <v>0.37</v>
      </c>
      <c r="Q20" s="64">
        <v>9.11</v>
      </c>
      <c r="R20" s="198"/>
      <c r="S20" s="198"/>
      <c r="T20" s="198"/>
      <c r="U20" s="198"/>
    </row>
    <row r="21" spans="1:21" s="12" customFormat="1" x14ac:dyDescent="0.25">
      <c r="A21" s="214" t="s">
        <v>2947</v>
      </c>
      <c r="B21" s="64">
        <v>4.18</v>
      </c>
      <c r="C21" s="64">
        <v>11.55</v>
      </c>
      <c r="D21" s="64">
        <v>15.7</v>
      </c>
      <c r="E21" s="64">
        <v>4.5999999999999996</v>
      </c>
      <c r="F21" s="64">
        <v>10.23</v>
      </c>
      <c r="G21" s="64">
        <v>23.51</v>
      </c>
      <c r="H21" s="64">
        <v>14.43</v>
      </c>
      <c r="I21" s="64">
        <v>3.86</v>
      </c>
      <c r="J21" s="64">
        <v>0.11</v>
      </c>
      <c r="K21" s="64">
        <v>284.27999999999997</v>
      </c>
      <c r="L21" s="64">
        <v>24.29</v>
      </c>
      <c r="M21" s="64">
        <v>102.62</v>
      </c>
      <c r="N21" s="64">
        <v>26.1</v>
      </c>
      <c r="O21" s="64">
        <v>0</v>
      </c>
      <c r="P21" s="64">
        <v>0.32</v>
      </c>
      <c r="Q21" s="64">
        <v>9.1199999999999992</v>
      </c>
      <c r="R21" s="198"/>
      <c r="S21" s="198"/>
      <c r="T21" s="198"/>
      <c r="U21" s="198"/>
    </row>
    <row r="22" spans="1:21" s="12" customFormat="1" x14ac:dyDescent="0.25">
      <c r="A22" s="214" t="s">
        <v>2948</v>
      </c>
      <c r="B22" s="64">
        <v>4.38</v>
      </c>
      <c r="C22" s="64">
        <v>11.65</v>
      </c>
      <c r="D22" s="64">
        <v>15.57</v>
      </c>
      <c r="E22" s="64">
        <v>4.8600000000000003</v>
      </c>
      <c r="F22" s="64">
        <v>9.26</v>
      </c>
      <c r="G22" s="64">
        <v>21.53</v>
      </c>
      <c r="H22" s="64">
        <v>2.75</v>
      </c>
      <c r="I22" s="64">
        <v>4.08</v>
      </c>
      <c r="J22" s="64">
        <v>0.14000000000000001</v>
      </c>
      <c r="K22" s="64">
        <v>284.08</v>
      </c>
      <c r="L22" s="64">
        <v>24.33</v>
      </c>
      <c r="M22" s="64">
        <v>102.49</v>
      </c>
      <c r="N22" s="64">
        <v>26.1</v>
      </c>
      <c r="O22" s="64">
        <v>0</v>
      </c>
      <c r="P22" s="64">
        <v>0.34</v>
      </c>
      <c r="Q22" s="64">
        <v>9.1199999999999992</v>
      </c>
      <c r="R22" s="198"/>
      <c r="S22" s="198"/>
      <c r="T22" s="198"/>
      <c r="U22" s="198"/>
    </row>
    <row r="23" spans="1:21" s="12" customFormat="1" x14ac:dyDescent="0.25">
      <c r="A23" s="214" t="s">
        <v>2949</v>
      </c>
      <c r="B23" s="64">
        <v>4.6500000000000004</v>
      </c>
      <c r="C23" s="64">
        <v>12.01</v>
      </c>
      <c r="D23" s="64">
        <v>15.86</v>
      </c>
      <c r="E23" s="64">
        <v>4.26</v>
      </c>
      <c r="F23" s="64">
        <v>8.7899999999999991</v>
      </c>
      <c r="G23" s="64">
        <v>21.53</v>
      </c>
      <c r="H23" s="64">
        <v>2.75</v>
      </c>
      <c r="I23" s="64">
        <v>4.0199999999999996</v>
      </c>
      <c r="J23" s="64">
        <v>0.1</v>
      </c>
      <c r="K23" s="64">
        <v>274.16000000000003</v>
      </c>
      <c r="L23" s="64">
        <v>24.31</v>
      </c>
      <c r="M23" s="64">
        <v>102.43</v>
      </c>
      <c r="N23" s="64">
        <v>26.1</v>
      </c>
      <c r="O23" s="64">
        <v>0</v>
      </c>
      <c r="P23" s="64">
        <v>0.34</v>
      </c>
      <c r="Q23" s="64">
        <v>9.1300000000000008</v>
      </c>
      <c r="R23" s="198"/>
      <c r="S23" s="198"/>
      <c r="T23" s="198"/>
      <c r="U23" s="198"/>
    </row>
    <row r="24" spans="1:21" s="12" customFormat="1" x14ac:dyDescent="0.25">
      <c r="A24" s="214" t="s">
        <v>2950</v>
      </c>
      <c r="B24" s="64">
        <v>4.58</v>
      </c>
      <c r="C24" s="64">
        <v>12.06</v>
      </c>
      <c r="D24" s="64">
        <v>16.059999999999999</v>
      </c>
      <c r="E24" s="64">
        <v>4.37</v>
      </c>
      <c r="F24" s="64">
        <v>9.09</v>
      </c>
      <c r="G24" s="64">
        <v>21.53</v>
      </c>
      <c r="H24" s="64">
        <v>2.75</v>
      </c>
      <c r="I24" s="64">
        <v>3.94</v>
      </c>
      <c r="J24" s="64">
        <v>0.1</v>
      </c>
      <c r="K24" s="64">
        <v>233.79</v>
      </c>
      <c r="L24" s="64">
        <v>24.28</v>
      </c>
      <c r="M24" s="64">
        <v>102.5</v>
      </c>
      <c r="N24" s="64">
        <v>26.1</v>
      </c>
      <c r="O24" s="64">
        <v>0</v>
      </c>
      <c r="P24" s="64">
        <v>0.32</v>
      </c>
      <c r="Q24" s="64">
        <v>9.14</v>
      </c>
      <c r="R24" s="198"/>
      <c r="S24" s="198"/>
      <c r="T24" s="198"/>
      <c r="U24" s="198"/>
    </row>
    <row r="25" spans="1:21" s="12" customFormat="1" x14ac:dyDescent="0.25">
      <c r="A25" s="214" t="s">
        <v>2951</v>
      </c>
      <c r="B25" s="64">
        <v>4.43</v>
      </c>
      <c r="C25" s="64">
        <v>12.16</v>
      </c>
      <c r="D25" s="64">
        <v>16.48</v>
      </c>
      <c r="E25" s="64">
        <v>4.5999999999999996</v>
      </c>
      <c r="F25" s="64">
        <v>10.52</v>
      </c>
      <c r="G25" s="64">
        <v>21.47</v>
      </c>
      <c r="H25" s="64">
        <v>200.48</v>
      </c>
      <c r="I25" s="64">
        <v>3.85</v>
      </c>
      <c r="J25" s="64">
        <v>0.14000000000000001</v>
      </c>
      <c r="K25" s="64">
        <v>171.31</v>
      </c>
      <c r="L25" s="64">
        <v>24.22</v>
      </c>
      <c r="M25" s="64">
        <v>102.45</v>
      </c>
      <c r="N25" s="64">
        <v>26.1</v>
      </c>
      <c r="O25" s="64">
        <v>0</v>
      </c>
      <c r="P25" s="64">
        <v>0.3</v>
      </c>
      <c r="Q25" s="64">
        <v>9.14</v>
      </c>
      <c r="R25" s="198"/>
      <c r="S25" s="198"/>
      <c r="T25" s="198"/>
      <c r="U25" s="198"/>
    </row>
    <row r="26" spans="1:21" s="12" customFormat="1" x14ac:dyDescent="0.25">
      <c r="A26" s="214" t="s">
        <v>2952</v>
      </c>
      <c r="B26" s="64">
        <v>4.4400000000000004</v>
      </c>
      <c r="C26" s="64">
        <v>12.22</v>
      </c>
      <c r="D26" s="64">
        <v>16.57</v>
      </c>
      <c r="E26" s="64">
        <v>4.58</v>
      </c>
      <c r="F26" s="64">
        <v>10.81</v>
      </c>
      <c r="G26" s="64">
        <v>21.21</v>
      </c>
      <c r="H26" s="64">
        <v>991.42</v>
      </c>
      <c r="I26" s="64">
        <v>3.93</v>
      </c>
      <c r="J26" s="64">
        <v>7.0000000000000007E-2</v>
      </c>
      <c r="K26" s="64">
        <v>272.31</v>
      </c>
      <c r="L26" s="64">
        <v>24.12</v>
      </c>
      <c r="M26" s="64">
        <v>102.47</v>
      </c>
      <c r="N26" s="64">
        <v>26.2</v>
      </c>
      <c r="O26" s="64">
        <v>0</v>
      </c>
      <c r="P26" s="64">
        <v>0.31</v>
      </c>
      <c r="Q26" s="64">
        <v>9.16</v>
      </c>
      <c r="R26" s="198"/>
      <c r="S26" s="198"/>
      <c r="T26" s="198"/>
      <c r="U26" s="198"/>
    </row>
    <row r="27" spans="1:21" s="12" customFormat="1" x14ac:dyDescent="0.25">
      <c r="A27" s="214" t="s">
        <v>2953</v>
      </c>
      <c r="B27" s="64">
        <v>4.58</v>
      </c>
      <c r="C27" s="64">
        <v>12.88</v>
      </c>
      <c r="D27" s="64">
        <v>17.63</v>
      </c>
      <c r="E27" s="64">
        <v>4.6399999999999997</v>
      </c>
      <c r="F27" s="64">
        <v>9.2899999999999991</v>
      </c>
      <c r="G27" s="64">
        <v>21.21</v>
      </c>
      <c r="H27" s="64">
        <v>991.42</v>
      </c>
      <c r="I27" s="64">
        <v>4</v>
      </c>
      <c r="J27" s="64">
        <v>0.12</v>
      </c>
      <c r="K27" s="64">
        <v>205.82</v>
      </c>
      <c r="L27" s="64">
        <v>24.09</v>
      </c>
      <c r="M27" s="64">
        <v>102.25</v>
      </c>
      <c r="N27" s="64">
        <v>26.1</v>
      </c>
      <c r="O27" s="64">
        <v>0</v>
      </c>
      <c r="P27" s="64">
        <v>0.3</v>
      </c>
      <c r="Q27" s="64">
        <v>9.18</v>
      </c>
      <c r="R27" s="198"/>
      <c r="S27" s="198"/>
      <c r="T27" s="198"/>
      <c r="U27" s="198"/>
    </row>
    <row r="28" spans="1:21" s="12" customFormat="1" x14ac:dyDescent="0.25">
      <c r="A28" s="214" t="s">
        <v>2954</v>
      </c>
      <c r="B28" s="64">
        <v>5.24</v>
      </c>
      <c r="C28" s="64">
        <v>13.18</v>
      </c>
      <c r="D28" s="64">
        <v>17.190000000000001</v>
      </c>
      <c r="E28" s="64">
        <v>5.0199999999999996</v>
      </c>
      <c r="F28" s="64">
        <v>5.59</v>
      </c>
      <c r="G28" s="64">
        <v>21.21</v>
      </c>
      <c r="H28" s="64">
        <v>991.42</v>
      </c>
      <c r="I28" s="64">
        <v>3.83</v>
      </c>
      <c r="J28" s="64">
        <v>0.13</v>
      </c>
      <c r="K28" s="64">
        <v>218.7</v>
      </c>
      <c r="L28" s="64">
        <v>23.92</v>
      </c>
      <c r="M28" s="64">
        <v>102.21</v>
      </c>
      <c r="N28" s="64">
        <v>26.2</v>
      </c>
      <c r="O28" s="64">
        <v>0</v>
      </c>
      <c r="P28" s="64">
        <v>0.34</v>
      </c>
      <c r="Q28" s="64">
        <v>9.18</v>
      </c>
      <c r="R28" s="198"/>
      <c r="S28" s="198"/>
      <c r="T28" s="198"/>
      <c r="U28" s="198"/>
    </row>
    <row r="29" spans="1:21" s="12" customFormat="1" x14ac:dyDescent="0.25">
      <c r="A29" s="214" t="s">
        <v>2955</v>
      </c>
      <c r="B29" s="64">
        <v>6.17</v>
      </c>
      <c r="C29" s="64">
        <v>12.96</v>
      </c>
      <c r="D29" s="64">
        <v>15.34</v>
      </c>
      <c r="E29" s="64">
        <v>4.55</v>
      </c>
      <c r="F29" s="64">
        <v>4.07</v>
      </c>
      <c r="G29" s="64">
        <v>21.91</v>
      </c>
      <c r="H29" s="64">
        <v>793.14</v>
      </c>
      <c r="I29" s="64">
        <v>4.0599999999999996</v>
      </c>
      <c r="J29" s="64">
        <v>0.12</v>
      </c>
      <c r="K29" s="64">
        <v>215.25</v>
      </c>
      <c r="L29" s="64">
        <v>23.92</v>
      </c>
      <c r="M29" s="64">
        <v>102.05</v>
      </c>
      <c r="N29" s="64">
        <v>26.5</v>
      </c>
      <c r="O29" s="64">
        <v>0</v>
      </c>
      <c r="P29" s="64">
        <v>0.38</v>
      </c>
      <c r="Q29" s="64">
        <v>9.16</v>
      </c>
      <c r="R29" s="198"/>
      <c r="S29" s="198"/>
      <c r="T29" s="198"/>
      <c r="U29" s="198"/>
    </row>
    <row r="30" spans="1:21" s="12" customFormat="1" x14ac:dyDescent="0.25">
      <c r="A30" s="214" t="s">
        <v>2956</v>
      </c>
      <c r="B30" s="64">
        <v>5.9</v>
      </c>
      <c r="C30" s="64">
        <v>13.19</v>
      </c>
      <c r="D30" s="64">
        <v>16.18</v>
      </c>
      <c r="E30" s="64">
        <v>5.0199999999999996</v>
      </c>
      <c r="F30" s="64">
        <v>5.0599999999999996</v>
      </c>
      <c r="G30" s="64">
        <v>24.91</v>
      </c>
      <c r="H30" s="64">
        <v>0</v>
      </c>
      <c r="I30" s="64">
        <v>3.96</v>
      </c>
      <c r="J30" s="64">
        <v>0.16</v>
      </c>
      <c r="K30" s="64">
        <v>190.98</v>
      </c>
      <c r="L30" s="64">
        <v>23.85</v>
      </c>
      <c r="M30" s="64">
        <v>101.97</v>
      </c>
      <c r="N30" s="64">
        <v>30.4</v>
      </c>
      <c r="O30" s="64">
        <v>0</v>
      </c>
      <c r="P30" s="64">
        <v>0.34</v>
      </c>
      <c r="Q30" s="64">
        <v>9.16</v>
      </c>
      <c r="R30" s="198"/>
      <c r="S30" s="198"/>
      <c r="T30" s="198"/>
      <c r="U30" s="198"/>
    </row>
    <row r="31" spans="1:21" s="12" customFormat="1" x14ac:dyDescent="0.25">
      <c r="A31" s="214" t="s">
        <v>2957</v>
      </c>
      <c r="B31" s="64">
        <v>6.29</v>
      </c>
      <c r="C31" s="64">
        <v>13.59</v>
      </c>
      <c r="D31" s="64">
        <v>16.36</v>
      </c>
      <c r="E31" s="64">
        <v>4.32</v>
      </c>
      <c r="F31" s="64">
        <v>3.55</v>
      </c>
      <c r="G31" s="64">
        <v>24.91</v>
      </c>
      <c r="H31" s="64">
        <v>0</v>
      </c>
      <c r="I31" s="64">
        <v>4.0999999999999996</v>
      </c>
      <c r="J31" s="64">
        <v>0.22</v>
      </c>
      <c r="K31" s="64">
        <v>171.97</v>
      </c>
      <c r="L31" s="64">
        <v>23.81</v>
      </c>
      <c r="M31" s="64">
        <v>101.98</v>
      </c>
      <c r="N31" s="64">
        <v>41.7</v>
      </c>
      <c r="O31" s="64">
        <v>0</v>
      </c>
      <c r="P31" s="64">
        <v>0.36</v>
      </c>
      <c r="Q31" s="64">
        <v>9.17</v>
      </c>
      <c r="R31" s="198"/>
      <c r="S31" s="198"/>
      <c r="T31" s="198"/>
      <c r="U31" s="198"/>
    </row>
    <row r="32" spans="1:21" s="12" customFormat="1" x14ac:dyDescent="0.25">
      <c r="A32" s="214" t="s">
        <v>2958</v>
      </c>
      <c r="B32" s="64">
        <v>6.67</v>
      </c>
      <c r="C32" s="64">
        <v>13.63</v>
      </c>
      <c r="D32" s="64">
        <v>15.86</v>
      </c>
      <c r="E32" s="64">
        <v>4.68</v>
      </c>
      <c r="F32" s="64">
        <v>3.28</v>
      </c>
      <c r="G32" s="64">
        <v>24.91</v>
      </c>
      <c r="H32" s="64">
        <v>0</v>
      </c>
      <c r="I32" s="64">
        <v>4.08</v>
      </c>
      <c r="J32" s="64">
        <v>0.09</v>
      </c>
      <c r="K32" s="64">
        <v>243.05</v>
      </c>
      <c r="L32" s="64">
        <v>23.86</v>
      </c>
      <c r="M32" s="64">
        <v>101.94</v>
      </c>
      <c r="N32" s="64">
        <v>56.4</v>
      </c>
      <c r="O32" s="64">
        <v>0</v>
      </c>
      <c r="P32" s="64">
        <v>0.35</v>
      </c>
      <c r="Q32" s="64">
        <v>9.17</v>
      </c>
      <c r="R32" s="198"/>
      <c r="S32" s="198"/>
      <c r="T32" s="198"/>
      <c r="U32" s="198"/>
    </row>
    <row r="33" spans="1:21" s="12" customFormat="1" x14ac:dyDescent="0.25">
      <c r="A33" s="214" t="s">
        <v>2959</v>
      </c>
      <c r="B33" s="64">
        <v>6.73</v>
      </c>
      <c r="C33" s="64">
        <v>14.3</v>
      </c>
      <c r="D33" s="64">
        <v>17.05</v>
      </c>
      <c r="E33" s="64">
        <v>4.33</v>
      </c>
      <c r="F33" s="64">
        <v>4.66</v>
      </c>
      <c r="G33" s="64">
        <v>24.55</v>
      </c>
      <c r="H33" s="64">
        <v>0</v>
      </c>
      <c r="I33" s="64">
        <v>3.98</v>
      </c>
      <c r="J33" s="64">
        <v>0.42</v>
      </c>
      <c r="K33" s="64">
        <v>152.4</v>
      </c>
      <c r="L33" s="64">
        <v>24</v>
      </c>
      <c r="M33" s="64">
        <v>102.03</v>
      </c>
      <c r="N33" s="64">
        <v>75.5</v>
      </c>
      <c r="O33" s="64">
        <v>0</v>
      </c>
      <c r="P33" s="64">
        <v>0.34</v>
      </c>
      <c r="Q33" s="64">
        <v>9.18</v>
      </c>
      <c r="R33" s="198"/>
      <c r="S33" s="198"/>
      <c r="T33" s="198"/>
      <c r="U33" s="198"/>
    </row>
    <row r="34" spans="1:21" s="12" customFormat="1" x14ac:dyDescent="0.25">
      <c r="A34" s="214" t="s">
        <v>2960</v>
      </c>
      <c r="B34" s="64">
        <v>7.14</v>
      </c>
      <c r="C34" s="64">
        <v>14.24</v>
      </c>
      <c r="D34" s="64">
        <v>16.3</v>
      </c>
      <c r="E34" s="64">
        <v>4.2300000000000004</v>
      </c>
      <c r="F34" s="64">
        <v>4.2699999999999996</v>
      </c>
      <c r="G34" s="64">
        <v>23.01</v>
      </c>
      <c r="H34" s="64">
        <v>0</v>
      </c>
      <c r="I34" s="64">
        <v>4.07</v>
      </c>
      <c r="J34" s="64">
        <v>0.43</v>
      </c>
      <c r="K34" s="64">
        <v>167.67</v>
      </c>
      <c r="L34" s="64">
        <v>24.1</v>
      </c>
      <c r="M34" s="64">
        <v>101.92</v>
      </c>
      <c r="N34" s="64">
        <v>95.2</v>
      </c>
      <c r="O34" s="64">
        <v>0</v>
      </c>
      <c r="P34" s="64">
        <v>0.36</v>
      </c>
      <c r="Q34" s="64">
        <v>9.18</v>
      </c>
      <c r="R34" s="198"/>
      <c r="S34" s="198"/>
      <c r="T34" s="198"/>
      <c r="U34" s="198"/>
    </row>
    <row r="35" spans="1:21" s="12" customFormat="1" x14ac:dyDescent="0.25">
      <c r="A35" s="214" t="s">
        <v>2961</v>
      </c>
      <c r="B35" s="64">
        <v>7.2</v>
      </c>
      <c r="C35" s="64">
        <v>14.54</v>
      </c>
      <c r="D35" s="64">
        <v>16.78</v>
      </c>
      <c r="E35" s="64">
        <v>4.55</v>
      </c>
      <c r="F35" s="64">
        <v>3.58</v>
      </c>
      <c r="G35" s="64">
        <v>23.01</v>
      </c>
      <c r="H35" s="64">
        <v>0</v>
      </c>
      <c r="I35" s="64">
        <v>4.0599999999999996</v>
      </c>
      <c r="J35" s="64">
        <v>0.16</v>
      </c>
      <c r="K35" s="64">
        <v>227.39</v>
      </c>
      <c r="L35" s="64">
        <v>24.28</v>
      </c>
      <c r="M35" s="64">
        <v>101.77</v>
      </c>
      <c r="N35" s="64">
        <v>104.6</v>
      </c>
      <c r="O35" s="64">
        <v>0</v>
      </c>
      <c r="P35" s="64">
        <v>0.35</v>
      </c>
      <c r="Q35" s="64">
        <v>9.19</v>
      </c>
      <c r="R35" s="198"/>
      <c r="S35" s="198"/>
      <c r="T35" s="198"/>
      <c r="U35" s="198"/>
    </row>
    <row r="36" spans="1:21" s="12" customFormat="1" x14ac:dyDescent="0.25">
      <c r="A36" s="214" t="s">
        <v>2962</v>
      </c>
      <c r="B36" s="64">
        <v>7.43</v>
      </c>
      <c r="C36" s="64">
        <v>14.81</v>
      </c>
      <c r="D36" s="64">
        <v>16.95</v>
      </c>
      <c r="E36" s="64">
        <v>4.43</v>
      </c>
      <c r="F36" s="64">
        <v>3.59</v>
      </c>
      <c r="G36" s="64">
        <v>23.01</v>
      </c>
      <c r="H36" s="64">
        <v>0</v>
      </c>
      <c r="I36" s="64">
        <v>4.21</v>
      </c>
      <c r="J36" s="64">
        <v>0.2</v>
      </c>
      <c r="K36" s="64">
        <v>261.06</v>
      </c>
      <c r="L36" s="64">
        <v>24.68</v>
      </c>
      <c r="M36" s="64">
        <v>101.75</v>
      </c>
      <c r="N36" s="64">
        <v>120.5</v>
      </c>
      <c r="O36" s="64">
        <v>0</v>
      </c>
      <c r="P36" s="64">
        <v>0.36</v>
      </c>
      <c r="Q36" s="64">
        <v>9.19</v>
      </c>
      <c r="R36" s="198"/>
      <c r="S36" s="198"/>
      <c r="T36" s="198"/>
      <c r="U36" s="198"/>
    </row>
    <row r="37" spans="1:21" s="12" customFormat="1" x14ac:dyDescent="0.25">
      <c r="A37" s="214" t="s">
        <v>2963</v>
      </c>
      <c r="B37" s="64">
        <v>7.25</v>
      </c>
      <c r="C37" s="64">
        <v>14.84</v>
      </c>
      <c r="D37" s="64">
        <v>17.28</v>
      </c>
      <c r="E37" s="64">
        <v>4.01</v>
      </c>
      <c r="F37" s="64">
        <v>3.83</v>
      </c>
      <c r="G37" s="64">
        <v>23.34</v>
      </c>
      <c r="H37" s="64">
        <v>4.32</v>
      </c>
      <c r="I37" s="64">
        <v>3.99</v>
      </c>
      <c r="J37" s="64">
        <v>0.2</v>
      </c>
      <c r="K37" s="64">
        <v>254.42</v>
      </c>
      <c r="L37" s="64">
        <v>24.9</v>
      </c>
      <c r="M37" s="64">
        <v>101.32</v>
      </c>
      <c r="N37" s="64">
        <v>157</v>
      </c>
      <c r="O37" s="64">
        <v>0</v>
      </c>
      <c r="P37" s="64">
        <v>0.35</v>
      </c>
      <c r="Q37" s="64">
        <v>9.19</v>
      </c>
      <c r="R37" s="198"/>
      <c r="S37" s="198"/>
      <c r="T37" s="198"/>
      <c r="U37" s="198"/>
    </row>
    <row r="38" spans="1:21" s="12" customFormat="1" x14ac:dyDescent="0.25">
      <c r="A38" s="214" t="s">
        <v>2964</v>
      </c>
      <c r="B38" s="64">
        <v>6.95</v>
      </c>
      <c r="C38" s="64">
        <v>14.97</v>
      </c>
      <c r="D38" s="64">
        <v>17.989999999999998</v>
      </c>
      <c r="E38" s="64">
        <v>4.3099999999999996</v>
      </c>
      <c r="F38" s="64">
        <v>5.26</v>
      </c>
      <c r="G38" s="64">
        <v>24.75</v>
      </c>
      <c r="H38" s="64">
        <v>21.62</v>
      </c>
      <c r="I38" s="64">
        <v>3.99</v>
      </c>
      <c r="J38" s="64">
        <v>0.24</v>
      </c>
      <c r="K38" s="64">
        <v>278.64</v>
      </c>
      <c r="L38" s="64">
        <v>25.39</v>
      </c>
      <c r="M38" s="64">
        <v>99.04</v>
      </c>
      <c r="N38" s="64">
        <v>198.1</v>
      </c>
      <c r="O38" s="64">
        <v>0</v>
      </c>
      <c r="P38" s="64">
        <v>0.38</v>
      </c>
      <c r="Q38" s="64">
        <v>9.18</v>
      </c>
      <c r="R38" s="198"/>
      <c r="S38" s="198"/>
      <c r="T38" s="198"/>
      <c r="U38" s="198"/>
    </row>
    <row r="39" spans="1:21" s="12" customFormat="1" x14ac:dyDescent="0.25">
      <c r="A39" s="214" t="s">
        <v>2965</v>
      </c>
      <c r="B39" s="64">
        <v>7.5</v>
      </c>
      <c r="C39" s="64">
        <v>17.52</v>
      </c>
      <c r="D39" s="64">
        <v>22.02</v>
      </c>
      <c r="E39" s="64">
        <v>4.1500000000000004</v>
      </c>
      <c r="F39" s="64">
        <v>4.62</v>
      </c>
      <c r="G39" s="64">
        <v>24.75</v>
      </c>
      <c r="H39" s="64">
        <v>21.62</v>
      </c>
      <c r="I39" s="64">
        <v>3.85</v>
      </c>
      <c r="J39" s="64">
        <v>0.22</v>
      </c>
      <c r="K39" s="64">
        <v>279.64</v>
      </c>
      <c r="L39" s="64">
        <v>26</v>
      </c>
      <c r="M39" s="64">
        <v>96.11</v>
      </c>
      <c r="N39" s="64">
        <v>273.8</v>
      </c>
      <c r="O39" s="64">
        <v>0</v>
      </c>
      <c r="P39" s="64">
        <v>0.42</v>
      </c>
      <c r="Q39" s="64">
        <v>9.19</v>
      </c>
      <c r="R39" s="198"/>
      <c r="S39" s="198"/>
      <c r="T39" s="198"/>
      <c r="U39" s="198"/>
    </row>
    <row r="40" spans="1:21" s="12" customFormat="1" x14ac:dyDescent="0.25">
      <c r="A40" s="214" t="s">
        <v>2966</v>
      </c>
      <c r="B40" s="64">
        <v>7.54</v>
      </c>
      <c r="C40" s="64">
        <v>18.899999999999999</v>
      </c>
      <c r="D40" s="64">
        <v>24.59</v>
      </c>
      <c r="E40" s="64">
        <v>5.09</v>
      </c>
      <c r="F40" s="64">
        <v>4.42</v>
      </c>
      <c r="G40" s="64">
        <v>24.75</v>
      </c>
      <c r="H40" s="64">
        <v>21.62</v>
      </c>
      <c r="I40" s="64">
        <v>4.04</v>
      </c>
      <c r="J40" s="64">
        <v>0.28000000000000003</v>
      </c>
      <c r="K40" s="64">
        <v>280.58</v>
      </c>
      <c r="L40" s="64">
        <v>26.93</v>
      </c>
      <c r="M40" s="64">
        <v>91.88</v>
      </c>
      <c r="N40" s="64">
        <v>388.9</v>
      </c>
      <c r="O40" s="64">
        <v>0</v>
      </c>
      <c r="P40" s="64">
        <v>0.47</v>
      </c>
      <c r="Q40" s="64">
        <v>9.1999999999999993</v>
      </c>
      <c r="R40" s="198"/>
      <c r="S40" s="198"/>
      <c r="T40" s="198"/>
      <c r="U40" s="198"/>
    </row>
    <row r="41" spans="1:21" s="12" customFormat="1" x14ac:dyDescent="0.25">
      <c r="A41" s="214" t="s">
        <v>2967</v>
      </c>
      <c r="B41" s="64">
        <v>8.0299999999999994</v>
      </c>
      <c r="C41" s="64">
        <v>20.149999999999999</v>
      </c>
      <c r="D41" s="64">
        <v>26.25</v>
      </c>
      <c r="E41" s="64">
        <v>5.72</v>
      </c>
      <c r="F41" s="64">
        <v>6.93</v>
      </c>
      <c r="G41" s="64">
        <v>25.33</v>
      </c>
      <c r="H41" s="64">
        <v>19.36</v>
      </c>
      <c r="I41" s="64">
        <v>3.98</v>
      </c>
      <c r="J41" s="64">
        <v>0.19</v>
      </c>
      <c r="K41" s="64">
        <v>277.81</v>
      </c>
      <c r="L41" s="64">
        <v>27.39</v>
      </c>
      <c r="M41" s="64">
        <v>90.4</v>
      </c>
      <c r="N41" s="64">
        <v>418.3</v>
      </c>
      <c r="O41" s="64">
        <v>0</v>
      </c>
      <c r="P41" s="64">
        <v>0.53</v>
      </c>
      <c r="Q41" s="64">
        <v>9.19</v>
      </c>
      <c r="R41" s="198"/>
      <c r="S41" s="198"/>
      <c r="T41" s="198"/>
      <c r="U41" s="198"/>
    </row>
    <row r="42" spans="1:21" s="12" customFormat="1" x14ac:dyDescent="0.25">
      <c r="A42" s="214" t="s">
        <v>2968</v>
      </c>
      <c r="B42" s="64">
        <v>8.5299999999999994</v>
      </c>
      <c r="C42" s="64">
        <v>21.38</v>
      </c>
      <c r="D42" s="64">
        <v>27.82</v>
      </c>
      <c r="E42" s="64">
        <v>5.85</v>
      </c>
      <c r="F42" s="64">
        <v>6.67</v>
      </c>
      <c r="G42" s="64">
        <v>27.8</v>
      </c>
      <c r="H42" s="64">
        <v>10.34</v>
      </c>
      <c r="I42" s="64">
        <v>3.99</v>
      </c>
      <c r="J42" s="64">
        <v>0.31</v>
      </c>
      <c r="K42" s="64">
        <v>285.31</v>
      </c>
      <c r="L42" s="64">
        <v>29.03</v>
      </c>
      <c r="M42" s="64">
        <v>82.39</v>
      </c>
      <c r="N42" s="64">
        <v>476</v>
      </c>
      <c r="O42" s="64">
        <v>0</v>
      </c>
      <c r="P42" s="64">
        <v>0.54</v>
      </c>
      <c r="Q42" s="64">
        <v>9.1999999999999993</v>
      </c>
      <c r="R42" s="198"/>
      <c r="S42" s="198"/>
      <c r="T42" s="198"/>
      <c r="U42" s="198"/>
    </row>
    <row r="43" spans="1:21" s="12" customFormat="1" x14ac:dyDescent="0.25">
      <c r="A43" s="214" t="s">
        <v>2969</v>
      </c>
      <c r="B43" s="64">
        <v>7.15</v>
      </c>
      <c r="C43" s="64">
        <v>17.670000000000002</v>
      </c>
      <c r="D43" s="64">
        <v>22.85</v>
      </c>
      <c r="E43" s="64">
        <v>5.59</v>
      </c>
      <c r="F43" s="64">
        <v>7.44</v>
      </c>
      <c r="G43" s="64">
        <v>27.8</v>
      </c>
      <c r="H43" s="64">
        <v>10.34</v>
      </c>
      <c r="I43" s="64">
        <v>3.99</v>
      </c>
      <c r="J43" s="64">
        <v>0.27</v>
      </c>
      <c r="K43" s="64">
        <v>267.29000000000002</v>
      </c>
      <c r="L43" s="64">
        <v>29.1</v>
      </c>
      <c r="M43" s="64">
        <v>81.08</v>
      </c>
      <c r="N43" s="64">
        <v>523.29999999999995</v>
      </c>
      <c r="O43" s="64">
        <v>0</v>
      </c>
      <c r="P43" s="64">
        <v>0.52</v>
      </c>
      <c r="Q43" s="64">
        <v>9.1999999999999993</v>
      </c>
      <c r="R43" s="198"/>
      <c r="S43" s="198"/>
      <c r="T43" s="198"/>
      <c r="U43" s="198"/>
    </row>
    <row r="44" spans="1:21" s="12" customFormat="1" x14ac:dyDescent="0.25">
      <c r="A44" s="214" t="s">
        <v>2970</v>
      </c>
      <c r="B44" s="64">
        <v>7.36</v>
      </c>
      <c r="C44" s="64">
        <v>19.190000000000001</v>
      </c>
      <c r="D44" s="64">
        <v>25.42</v>
      </c>
      <c r="E44" s="64">
        <v>6.11</v>
      </c>
      <c r="F44" s="64">
        <v>7.44</v>
      </c>
      <c r="G44" s="64">
        <v>27.8</v>
      </c>
      <c r="H44" s="64">
        <v>10.34</v>
      </c>
      <c r="I44" s="64">
        <v>4.13</v>
      </c>
      <c r="J44" s="64">
        <v>0.28000000000000003</v>
      </c>
      <c r="K44" s="64">
        <v>277.51</v>
      </c>
      <c r="L44" s="64">
        <v>30.02</v>
      </c>
      <c r="M44" s="64">
        <v>78.19</v>
      </c>
      <c r="N44" s="64">
        <v>562.6</v>
      </c>
      <c r="O44" s="64">
        <v>0</v>
      </c>
      <c r="P44" s="64">
        <v>0.6</v>
      </c>
      <c r="Q44" s="64">
        <v>9.1999999999999993</v>
      </c>
      <c r="R44" s="198"/>
      <c r="S44" s="198"/>
      <c r="T44" s="198"/>
      <c r="U44" s="198"/>
    </row>
    <row r="45" spans="1:21" s="12" customFormat="1" x14ac:dyDescent="0.25">
      <c r="A45" s="214" t="s">
        <v>2971</v>
      </c>
      <c r="B45" s="64">
        <v>7.88</v>
      </c>
      <c r="C45" s="64">
        <v>19.829999999999998</v>
      </c>
      <c r="D45" s="64">
        <v>25.87</v>
      </c>
      <c r="E45" s="64">
        <v>6.04</v>
      </c>
      <c r="F45" s="64">
        <v>9.52</v>
      </c>
      <c r="G45" s="64">
        <v>28.58</v>
      </c>
      <c r="H45" s="64">
        <v>8.4600000000000009</v>
      </c>
      <c r="I45" s="64">
        <v>4.03</v>
      </c>
      <c r="J45" s="64">
        <v>0.24</v>
      </c>
      <c r="K45" s="64">
        <v>286.99</v>
      </c>
      <c r="L45" s="64">
        <v>31.08</v>
      </c>
      <c r="M45" s="64">
        <v>73.83</v>
      </c>
      <c r="N45" s="64">
        <v>627</v>
      </c>
      <c r="O45" s="64">
        <v>0</v>
      </c>
      <c r="P45" s="64">
        <v>0.62</v>
      </c>
      <c r="Q45" s="64">
        <v>9.2100000000000009</v>
      </c>
      <c r="R45" s="198"/>
      <c r="S45" s="198"/>
      <c r="T45" s="198"/>
      <c r="U45" s="198"/>
    </row>
    <row r="46" spans="1:21" s="12" customFormat="1" x14ac:dyDescent="0.25">
      <c r="A46" s="214" t="s">
        <v>2972</v>
      </c>
      <c r="B46" s="64">
        <v>6.46</v>
      </c>
      <c r="C46" s="64">
        <v>16.95</v>
      </c>
      <c r="D46" s="64">
        <v>22.53</v>
      </c>
      <c r="E46" s="64">
        <v>6.09</v>
      </c>
      <c r="F46" s="64">
        <v>4.41</v>
      </c>
      <c r="G46" s="64">
        <v>31.92</v>
      </c>
      <c r="H46" s="64">
        <v>0.94</v>
      </c>
      <c r="I46" s="64">
        <v>4.1100000000000003</v>
      </c>
      <c r="J46" s="64">
        <v>0.34</v>
      </c>
      <c r="K46" s="64">
        <v>290.3</v>
      </c>
      <c r="L46" s="64">
        <v>32.01</v>
      </c>
      <c r="M46" s="64">
        <v>69.52</v>
      </c>
      <c r="N46" s="64">
        <v>680.4</v>
      </c>
      <c r="O46" s="64">
        <v>0</v>
      </c>
      <c r="P46" s="64">
        <v>0.56000000000000005</v>
      </c>
      <c r="Q46" s="64">
        <v>9.1999999999999993</v>
      </c>
      <c r="R46" s="198"/>
      <c r="S46" s="198"/>
      <c r="T46" s="198"/>
      <c r="U46" s="198"/>
    </row>
    <row r="47" spans="1:21" s="12" customFormat="1" x14ac:dyDescent="0.25">
      <c r="A47" s="214" t="s">
        <v>2973</v>
      </c>
      <c r="B47" s="64">
        <v>8.0399999999999991</v>
      </c>
      <c r="C47" s="64">
        <v>21.61</v>
      </c>
      <c r="D47" s="64">
        <v>29.02</v>
      </c>
      <c r="E47" s="64">
        <v>5.95</v>
      </c>
      <c r="F47" s="64">
        <v>10.51</v>
      </c>
      <c r="G47" s="64">
        <v>31.92</v>
      </c>
      <c r="H47" s="64">
        <v>0.94</v>
      </c>
      <c r="I47" s="64">
        <v>4</v>
      </c>
      <c r="J47" s="64">
        <v>0.45</v>
      </c>
      <c r="K47" s="64">
        <v>336.74</v>
      </c>
      <c r="L47" s="64">
        <v>33.72</v>
      </c>
      <c r="M47" s="64">
        <v>61.47</v>
      </c>
      <c r="N47" s="64">
        <v>719.8</v>
      </c>
      <c r="O47" s="64">
        <v>0</v>
      </c>
      <c r="P47" s="64">
        <v>0.56000000000000005</v>
      </c>
      <c r="Q47" s="64">
        <v>9.19</v>
      </c>
      <c r="R47" s="198"/>
      <c r="S47" s="198"/>
      <c r="T47" s="198"/>
      <c r="U47" s="198"/>
    </row>
    <row r="48" spans="1:21" s="12" customFormat="1" x14ac:dyDescent="0.25">
      <c r="A48" s="214" t="s">
        <v>2974</v>
      </c>
      <c r="B48" s="64">
        <v>6.87</v>
      </c>
      <c r="C48" s="64">
        <v>18.09</v>
      </c>
      <c r="D48" s="64">
        <v>24.08</v>
      </c>
      <c r="E48" s="64">
        <v>6.03</v>
      </c>
      <c r="F48" s="64">
        <v>6.08</v>
      </c>
      <c r="G48" s="64">
        <v>31.92</v>
      </c>
      <c r="H48" s="64">
        <v>0.94</v>
      </c>
      <c r="I48" s="64">
        <v>3.81</v>
      </c>
      <c r="J48" s="64">
        <v>0.28000000000000003</v>
      </c>
      <c r="K48" s="64">
        <v>303.68</v>
      </c>
      <c r="L48" s="64">
        <v>34.65</v>
      </c>
      <c r="M48" s="64">
        <v>58.78</v>
      </c>
      <c r="N48" s="64">
        <v>733.2</v>
      </c>
      <c r="O48" s="64">
        <v>0</v>
      </c>
      <c r="P48" s="64">
        <v>0.56000000000000005</v>
      </c>
      <c r="Q48" s="64">
        <v>9.19</v>
      </c>
      <c r="R48" s="198"/>
      <c r="S48" s="198"/>
      <c r="T48" s="198"/>
      <c r="U48" s="198"/>
    </row>
    <row r="49" spans="1:21" s="12" customFormat="1" x14ac:dyDescent="0.25">
      <c r="A49" s="214" t="s">
        <v>2975</v>
      </c>
      <c r="B49" s="64">
        <v>6.68</v>
      </c>
      <c r="C49" s="64">
        <v>17.91</v>
      </c>
      <c r="D49" s="64">
        <v>24.03</v>
      </c>
      <c r="E49" s="64">
        <v>5.73</v>
      </c>
      <c r="F49" s="64">
        <v>6.96</v>
      </c>
      <c r="G49" s="64">
        <v>32.869999999999997</v>
      </c>
      <c r="H49" s="64">
        <v>7.35</v>
      </c>
      <c r="I49" s="64">
        <v>4.01</v>
      </c>
      <c r="J49" s="64">
        <v>0.23</v>
      </c>
      <c r="K49" s="64">
        <v>297.31</v>
      </c>
      <c r="L49" s="64">
        <v>34.159999999999997</v>
      </c>
      <c r="M49" s="64">
        <v>59.92</v>
      </c>
      <c r="N49" s="64">
        <v>693.3</v>
      </c>
      <c r="O49" s="64">
        <v>0</v>
      </c>
      <c r="P49" s="64">
        <v>0.56999999999999995</v>
      </c>
      <c r="Q49" s="64">
        <v>9.18</v>
      </c>
      <c r="R49" s="198"/>
      <c r="S49" s="198"/>
      <c r="T49" s="198"/>
      <c r="U49" s="198"/>
    </row>
    <row r="50" spans="1:21" s="12" customFormat="1" x14ac:dyDescent="0.25">
      <c r="A50" s="214" t="s">
        <v>2976</v>
      </c>
      <c r="B50" s="64">
        <v>5.72</v>
      </c>
      <c r="C50" s="64">
        <v>17.559999999999999</v>
      </c>
      <c r="D50" s="64">
        <v>24.82</v>
      </c>
      <c r="E50" s="64">
        <v>5.83</v>
      </c>
      <c r="F50" s="64">
        <v>7.46</v>
      </c>
      <c r="G50" s="64">
        <v>36.94</v>
      </c>
      <c r="H50" s="64">
        <v>33.020000000000003</v>
      </c>
      <c r="I50" s="64">
        <v>4.07</v>
      </c>
      <c r="J50" s="64">
        <v>0.83</v>
      </c>
      <c r="K50" s="64">
        <v>147.19</v>
      </c>
      <c r="L50" s="64">
        <v>32.39</v>
      </c>
      <c r="M50" s="64">
        <v>64.36</v>
      </c>
      <c r="N50" s="64">
        <v>767.2</v>
      </c>
      <c r="O50" s="64">
        <v>0</v>
      </c>
      <c r="P50" s="64">
        <v>0.54</v>
      </c>
      <c r="Q50" s="64">
        <v>9.19</v>
      </c>
      <c r="R50" s="198"/>
      <c r="S50" s="198"/>
      <c r="T50" s="198"/>
      <c r="U50" s="198"/>
    </row>
    <row r="51" spans="1:21" s="12" customFormat="1" x14ac:dyDescent="0.25">
      <c r="A51" s="214" t="s">
        <v>2977</v>
      </c>
      <c r="B51" s="64">
        <v>5.3</v>
      </c>
      <c r="C51" s="64">
        <v>17.48</v>
      </c>
      <c r="D51" s="64">
        <v>25.31</v>
      </c>
      <c r="E51" s="64">
        <v>5.82</v>
      </c>
      <c r="F51" s="64">
        <v>9.42</v>
      </c>
      <c r="G51" s="64">
        <v>36.94</v>
      </c>
      <c r="H51" s="64">
        <v>33.020000000000003</v>
      </c>
      <c r="I51" s="64">
        <v>3.98</v>
      </c>
      <c r="J51" s="64">
        <v>0.21</v>
      </c>
      <c r="K51" s="64">
        <v>309.72000000000003</v>
      </c>
      <c r="L51" s="64">
        <v>33.119999999999997</v>
      </c>
      <c r="M51" s="64">
        <v>61.47</v>
      </c>
      <c r="N51" s="64">
        <v>754.6</v>
      </c>
      <c r="O51" s="64">
        <v>0</v>
      </c>
      <c r="P51" s="64">
        <v>0.53</v>
      </c>
      <c r="Q51" s="64">
        <v>9.17</v>
      </c>
      <c r="R51" s="198"/>
      <c r="S51" s="198"/>
      <c r="T51" s="198"/>
      <c r="U51" s="198"/>
    </row>
    <row r="52" spans="1:21" s="12" customFormat="1" x14ac:dyDescent="0.25">
      <c r="A52" s="214" t="s">
        <v>2978</v>
      </c>
      <c r="B52" s="64">
        <v>4.95</v>
      </c>
      <c r="C52" s="64">
        <v>18.190000000000001</v>
      </c>
      <c r="D52" s="64">
        <v>27.21</v>
      </c>
      <c r="E52" s="64">
        <v>6</v>
      </c>
      <c r="F52" s="64">
        <v>5.69</v>
      </c>
      <c r="G52" s="64">
        <v>36.94</v>
      </c>
      <c r="H52" s="64">
        <v>33.020000000000003</v>
      </c>
      <c r="I52" s="64">
        <v>4.09</v>
      </c>
      <c r="J52" s="64">
        <v>0.16</v>
      </c>
      <c r="K52" s="64">
        <v>247.74</v>
      </c>
      <c r="L52" s="64">
        <v>33.36</v>
      </c>
      <c r="M52" s="64">
        <v>60.2</v>
      </c>
      <c r="N52" s="64">
        <v>815.6</v>
      </c>
      <c r="O52" s="64">
        <v>0</v>
      </c>
      <c r="P52" s="64">
        <v>0.54</v>
      </c>
      <c r="Q52" s="64">
        <v>9.1300000000000008</v>
      </c>
      <c r="R52" s="198"/>
      <c r="S52" s="198"/>
      <c r="T52" s="198"/>
      <c r="U52" s="198"/>
    </row>
    <row r="53" spans="1:21" s="12" customFormat="1" x14ac:dyDescent="0.25">
      <c r="A53" s="214" t="s">
        <v>2979</v>
      </c>
      <c r="B53" s="64">
        <v>5.13</v>
      </c>
      <c r="C53" s="64">
        <v>19.02</v>
      </c>
      <c r="D53" s="64">
        <v>28.53</v>
      </c>
      <c r="E53" s="64">
        <v>6.3</v>
      </c>
      <c r="F53" s="64">
        <v>7.72</v>
      </c>
      <c r="G53" s="64">
        <v>35.89</v>
      </c>
      <c r="H53" s="64">
        <v>27.21</v>
      </c>
      <c r="I53" s="64">
        <v>4.08</v>
      </c>
      <c r="J53" s="64">
        <v>0.14000000000000001</v>
      </c>
      <c r="K53" s="64">
        <v>292.20999999999998</v>
      </c>
      <c r="L53" s="64">
        <v>34.299999999999997</v>
      </c>
      <c r="M53" s="64">
        <v>56.76</v>
      </c>
      <c r="N53" s="64">
        <v>825.1</v>
      </c>
      <c r="O53" s="64">
        <v>0</v>
      </c>
      <c r="P53" s="64">
        <v>0.54</v>
      </c>
      <c r="Q53" s="64">
        <v>9.1199999999999992</v>
      </c>
      <c r="R53" s="198"/>
      <c r="S53" s="198"/>
      <c r="T53" s="198"/>
      <c r="U53" s="198"/>
    </row>
    <row r="54" spans="1:21" s="12" customFormat="1" x14ac:dyDescent="0.25">
      <c r="A54" s="214" t="s">
        <v>2980</v>
      </c>
      <c r="B54" s="64">
        <v>4.97</v>
      </c>
      <c r="C54" s="64">
        <v>19.07</v>
      </c>
      <c r="D54" s="64">
        <v>28.87</v>
      </c>
      <c r="E54" s="64">
        <v>5.98</v>
      </c>
      <c r="F54" s="64">
        <v>11.29</v>
      </c>
      <c r="G54" s="64">
        <v>31.37</v>
      </c>
      <c r="H54" s="64">
        <v>3.96</v>
      </c>
      <c r="I54" s="64">
        <v>3.83</v>
      </c>
      <c r="J54" s="64">
        <v>0.18</v>
      </c>
      <c r="K54" s="64">
        <v>172.19</v>
      </c>
      <c r="L54" s="64">
        <v>33.01</v>
      </c>
      <c r="M54" s="64">
        <v>59.78</v>
      </c>
      <c r="N54" s="64">
        <v>819.1</v>
      </c>
      <c r="O54" s="64">
        <v>0</v>
      </c>
      <c r="P54" s="64">
        <v>0.52</v>
      </c>
      <c r="Q54" s="64">
        <v>9.1199999999999992</v>
      </c>
      <c r="R54" s="198"/>
      <c r="S54" s="198"/>
      <c r="T54" s="198"/>
      <c r="U54" s="198"/>
    </row>
    <row r="55" spans="1:21" s="12" customFormat="1" x14ac:dyDescent="0.25">
      <c r="A55" s="214" t="s">
        <v>2981</v>
      </c>
      <c r="B55" s="64">
        <v>4.29</v>
      </c>
      <c r="C55" s="64">
        <v>16.2</v>
      </c>
      <c r="D55" s="64">
        <v>24.42</v>
      </c>
      <c r="E55" s="64">
        <v>5.58</v>
      </c>
      <c r="F55" s="64">
        <v>8.1199999999999992</v>
      </c>
      <c r="G55" s="64">
        <v>31.37</v>
      </c>
      <c r="H55" s="64">
        <v>3.96</v>
      </c>
      <c r="I55" s="64">
        <v>4.07</v>
      </c>
      <c r="J55" s="64">
        <v>7.0000000000000007E-2</v>
      </c>
      <c r="K55" s="64">
        <v>217.24</v>
      </c>
      <c r="L55" s="64">
        <v>33.4</v>
      </c>
      <c r="M55" s="64">
        <v>57.14</v>
      </c>
      <c r="N55" s="64">
        <v>810.7</v>
      </c>
      <c r="O55" s="64">
        <v>0</v>
      </c>
      <c r="P55" s="64">
        <v>0.52</v>
      </c>
      <c r="Q55" s="64">
        <v>9.11</v>
      </c>
      <c r="R55" s="198"/>
      <c r="S55" s="198"/>
      <c r="T55" s="198"/>
      <c r="U55" s="198"/>
    </row>
    <row r="56" spans="1:21" s="12" customFormat="1" x14ac:dyDescent="0.25">
      <c r="A56" s="214" t="s">
        <v>2982</v>
      </c>
      <c r="B56" s="64">
        <v>3.92</v>
      </c>
      <c r="C56" s="64">
        <v>15.25</v>
      </c>
      <c r="D56" s="64">
        <v>23.16</v>
      </c>
      <c r="E56" s="64">
        <v>6.31</v>
      </c>
      <c r="F56" s="64">
        <v>15.18</v>
      </c>
      <c r="G56" s="64">
        <v>31.37</v>
      </c>
      <c r="H56" s="64">
        <v>3.96</v>
      </c>
      <c r="I56" s="64">
        <v>3.91</v>
      </c>
      <c r="J56" s="64">
        <v>0.28000000000000003</v>
      </c>
      <c r="K56" s="64">
        <v>174.02</v>
      </c>
      <c r="L56" s="64">
        <v>33.21</v>
      </c>
      <c r="M56" s="64">
        <v>57.85</v>
      </c>
      <c r="N56" s="64">
        <v>809.8</v>
      </c>
      <c r="O56" s="64">
        <v>0</v>
      </c>
      <c r="P56" s="64">
        <v>0.47</v>
      </c>
      <c r="Q56" s="64">
        <v>9.1</v>
      </c>
      <c r="R56" s="198"/>
      <c r="S56" s="198"/>
      <c r="T56" s="198"/>
      <c r="U56" s="198"/>
    </row>
    <row r="57" spans="1:21" s="12" customFormat="1" x14ac:dyDescent="0.25">
      <c r="A57" s="214" t="s">
        <v>2983</v>
      </c>
      <c r="B57" s="64">
        <v>4.9800000000000004</v>
      </c>
      <c r="C57" s="64">
        <v>18.93</v>
      </c>
      <c r="D57" s="64">
        <v>28.58</v>
      </c>
      <c r="E57" s="64">
        <v>6.35</v>
      </c>
      <c r="F57" s="64">
        <v>17.190000000000001</v>
      </c>
      <c r="G57" s="64">
        <v>31.12</v>
      </c>
      <c r="H57" s="64">
        <v>3.28</v>
      </c>
      <c r="I57" s="64">
        <v>3.95</v>
      </c>
      <c r="J57" s="64">
        <v>0.17</v>
      </c>
      <c r="K57" s="64">
        <v>293.07</v>
      </c>
      <c r="L57" s="64">
        <v>34.270000000000003</v>
      </c>
      <c r="M57" s="64">
        <v>55.41</v>
      </c>
      <c r="N57" s="64">
        <v>701.2</v>
      </c>
      <c r="O57" s="64">
        <v>0</v>
      </c>
      <c r="P57" s="64">
        <v>0.52</v>
      </c>
      <c r="Q57" s="64">
        <v>9.11</v>
      </c>
      <c r="R57" s="198"/>
      <c r="S57" s="198"/>
      <c r="T57" s="198"/>
      <c r="U57" s="198"/>
    </row>
    <row r="58" spans="1:21" s="12" customFormat="1" x14ac:dyDescent="0.25">
      <c r="A58" s="214" t="s">
        <v>2984</v>
      </c>
      <c r="B58" s="64">
        <v>7.1</v>
      </c>
      <c r="C58" s="64">
        <v>20.99</v>
      </c>
      <c r="D58" s="64">
        <v>29.28</v>
      </c>
      <c r="E58" s="64">
        <v>6.44</v>
      </c>
      <c r="F58" s="64">
        <v>18.98</v>
      </c>
      <c r="G58" s="64">
        <v>30.1</v>
      </c>
      <c r="H58" s="64">
        <v>0.55000000000000004</v>
      </c>
      <c r="I58" s="64">
        <v>3.95</v>
      </c>
      <c r="J58" s="64">
        <v>0.5</v>
      </c>
      <c r="K58" s="64">
        <v>331.65</v>
      </c>
      <c r="L58" s="64">
        <v>35.76</v>
      </c>
      <c r="M58" s="64">
        <v>50.64</v>
      </c>
      <c r="N58" s="64">
        <v>668.7</v>
      </c>
      <c r="O58" s="64">
        <v>0</v>
      </c>
      <c r="P58" s="64">
        <v>0.52</v>
      </c>
      <c r="Q58" s="64">
        <v>9.1199999999999992</v>
      </c>
      <c r="R58" s="198"/>
      <c r="S58" s="198"/>
      <c r="T58" s="198"/>
      <c r="U58" s="198"/>
    </row>
    <row r="59" spans="1:21" s="12" customFormat="1" x14ac:dyDescent="0.25">
      <c r="A59" s="214" t="s">
        <v>2985</v>
      </c>
      <c r="B59" s="64">
        <v>5.35</v>
      </c>
      <c r="C59" s="64">
        <v>19.7</v>
      </c>
      <c r="D59" s="64">
        <v>29.51</v>
      </c>
      <c r="E59" s="64">
        <v>6.74</v>
      </c>
      <c r="F59" s="64">
        <v>15.72</v>
      </c>
      <c r="G59" s="64">
        <v>30.1</v>
      </c>
      <c r="H59" s="64">
        <v>0.55000000000000004</v>
      </c>
      <c r="I59" s="64">
        <v>4.01</v>
      </c>
      <c r="J59" s="64">
        <v>0.21</v>
      </c>
      <c r="K59" s="64">
        <v>283.77</v>
      </c>
      <c r="L59" s="64">
        <v>35.31</v>
      </c>
      <c r="M59" s="64">
        <v>50.85</v>
      </c>
      <c r="N59" s="64">
        <v>699.8</v>
      </c>
      <c r="O59" s="64">
        <v>0</v>
      </c>
      <c r="P59" s="64">
        <v>0.52</v>
      </c>
      <c r="Q59" s="64">
        <v>9.1199999999999992</v>
      </c>
      <c r="R59" s="198"/>
      <c r="S59" s="198"/>
      <c r="T59" s="198"/>
      <c r="U59" s="198"/>
    </row>
    <row r="60" spans="1:21" s="12" customFormat="1" x14ac:dyDescent="0.25">
      <c r="A60" s="214" t="s">
        <v>2986</v>
      </c>
      <c r="B60" s="64">
        <v>5.18</v>
      </c>
      <c r="C60" s="64">
        <v>20.74</v>
      </c>
      <c r="D60" s="64">
        <v>31.73</v>
      </c>
      <c r="E60" s="64">
        <v>7.71</v>
      </c>
      <c r="F60" s="64">
        <v>22.37</v>
      </c>
      <c r="G60" s="64">
        <v>30.1</v>
      </c>
      <c r="H60" s="64">
        <v>0.55000000000000004</v>
      </c>
      <c r="I60" s="64">
        <v>4.09</v>
      </c>
      <c r="J60" s="64">
        <v>0.19</v>
      </c>
      <c r="K60" s="64">
        <v>166.75</v>
      </c>
      <c r="L60" s="64">
        <v>34.92</v>
      </c>
      <c r="M60" s="64">
        <v>52.06</v>
      </c>
      <c r="N60" s="64">
        <v>493.3</v>
      </c>
      <c r="O60" s="64">
        <v>0</v>
      </c>
      <c r="P60" s="64">
        <v>0.54</v>
      </c>
      <c r="Q60" s="64">
        <v>9.11</v>
      </c>
      <c r="R60" s="198"/>
      <c r="S60" s="198"/>
      <c r="T60" s="198"/>
      <c r="U60" s="198"/>
    </row>
    <row r="61" spans="1:21" s="12" customFormat="1" x14ac:dyDescent="0.25">
      <c r="A61" s="214" t="s">
        <v>2987</v>
      </c>
      <c r="B61" s="64">
        <v>4.3899999999999997</v>
      </c>
      <c r="C61" s="64">
        <v>17.87</v>
      </c>
      <c r="D61" s="64">
        <v>27.47</v>
      </c>
      <c r="E61" s="64">
        <v>7.29</v>
      </c>
      <c r="F61" s="64">
        <v>22.34</v>
      </c>
      <c r="G61" s="64">
        <v>30.75</v>
      </c>
      <c r="H61" s="64">
        <v>3.58</v>
      </c>
      <c r="I61" s="64">
        <v>4.1100000000000003</v>
      </c>
      <c r="J61" s="64">
        <v>0.36</v>
      </c>
      <c r="K61" s="64">
        <v>189.36</v>
      </c>
      <c r="L61" s="64">
        <v>33.94</v>
      </c>
      <c r="M61" s="64">
        <v>55.17</v>
      </c>
      <c r="N61" s="64">
        <v>500</v>
      </c>
      <c r="O61" s="64">
        <v>0</v>
      </c>
      <c r="P61" s="64">
        <v>0.5</v>
      </c>
      <c r="Q61" s="64">
        <v>9.11</v>
      </c>
      <c r="R61" s="198"/>
      <c r="S61" s="198"/>
      <c r="T61" s="198"/>
      <c r="U61" s="198"/>
    </row>
    <row r="62" spans="1:21" s="12" customFormat="1" x14ac:dyDescent="0.25">
      <c r="A62" s="214" t="s">
        <v>2988</v>
      </c>
      <c r="B62" s="64">
        <v>4.2300000000000004</v>
      </c>
      <c r="C62" s="64">
        <v>17.32</v>
      </c>
      <c r="D62" s="64">
        <v>26.65</v>
      </c>
      <c r="E62" s="64">
        <v>7.25</v>
      </c>
      <c r="F62" s="64">
        <v>22.97</v>
      </c>
      <c r="G62" s="64">
        <v>33.56</v>
      </c>
      <c r="H62" s="64">
        <v>15.68</v>
      </c>
      <c r="I62" s="64">
        <v>3.93</v>
      </c>
      <c r="J62" s="64">
        <v>0.2</v>
      </c>
      <c r="K62" s="64">
        <v>201.31</v>
      </c>
      <c r="L62" s="64">
        <v>34.24</v>
      </c>
      <c r="M62" s="64">
        <v>54.16</v>
      </c>
      <c r="N62" s="64">
        <v>427.2</v>
      </c>
      <c r="O62" s="64">
        <v>0</v>
      </c>
      <c r="P62" s="64">
        <v>0.63</v>
      </c>
      <c r="Q62" s="64">
        <v>9.1300000000000008</v>
      </c>
      <c r="R62" s="198"/>
      <c r="S62" s="198"/>
      <c r="T62" s="198"/>
      <c r="U62" s="198"/>
    </row>
    <row r="63" spans="1:21" s="12" customFormat="1" x14ac:dyDescent="0.25">
      <c r="A63" s="214" t="s">
        <v>2989</v>
      </c>
      <c r="B63" s="64">
        <v>4.0599999999999996</v>
      </c>
      <c r="C63" s="64">
        <v>17.329999999999998</v>
      </c>
      <c r="D63" s="64">
        <v>26.93</v>
      </c>
      <c r="E63" s="64">
        <v>6.99</v>
      </c>
      <c r="F63" s="64">
        <v>24.52</v>
      </c>
      <c r="G63" s="64">
        <v>33.56</v>
      </c>
      <c r="H63" s="64">
        <v>15.68</v>
      </c>
      <c r="I63" s="64">
        <v>4.01</v>
      </c>
      <c r="J63" s="64">
        <v>0.35</v>
      </c>
      <c r="K63" s="64">
        <v>161.9</v>
      </c>
      <c r="L63" s="64">
        <v>34.39</v>
      </c>
      <c r="M63" s="64">
        <v>53.56</v>
      </c>
      <c r="N63" s="64">
        <v>390.1</v>
      </c>
      <c r="O63" s="64">
        <v>0</v>
      </c>
      <c r="P63" s="64">
        <v>0.69</v>
      </c>
      <c r="Q63" s="64">
        <v>9.1199999999999992</v>
      </c>
      <c r="R63" s="198"/>
      <c r="S63" s="198"/>
      <c r="T63" s="198"/>
      <c r="U63" s="198"/>
    </row>
    <row r="64" spans="1:21" s="12" customFormat="1" x14ac:dyDescent="0.25">
      <c r="A64" s="214" t="s">
        <v>2990</v>
      </c>
      <c r="B64" s="64">
        <v>4.03</v>
      </c>
      <c r="C64" s="64">
        <v>17.89</v>
      </c>
      <c r="D64" s="64">
        <v>28.06</v>
      </c>
      <c r="E64" s="64">
        <v>7.26</v>
      </c>
      <c r="F64" s="64">
        <v>16.670000000000002</v>
      </c>
      <c r="G64" s="64">
        <v>33.56</v>
      </c>
      <c r="H64" s="64">
        <v>15.68</v>
      </c>
      <c r="I64" s="64">
        <v>4.17</v>
      </c>
      <c r="J64" s="64">
        <v>0.14000000000000001</v>
      </c>
      <c r="K64" s="64">
        <v>225.96</v>
      </c>
      <c r="L64" s="64">
        <v>34.770000000000003</v>
      </c>
      <c r="M64" s="64">
        <v>53.02</v>
      </c>
      <c r="N64" s="64">
        <v>307.5</v>
      </c>
      <c r="O64" s="64">
        <v>0</v>
      </c>
      <c r="P64" s="64">
        <v>0.7</v>
      </c>
      <c r="Q64" s="64">
        <v>9.09</v>
      </c>
      <c r="R64" s="198"/>
      <c r="S64" s="198"/>
      <c r="T64" s="198"/>
      <c r="U64" s="198"/>
    </row>
    <row r="65" spans="1:21" s="12" customFormat="1" x14ac:dyDescent="0.25">
      <c r="A65" s="214" t="s">
        <v>2991</v>
      </c>
      <c r="B65" s="64">
        <v>3.93</v>
      </c>
      <c r="C65" s="64">
        <v>17.37</v>
      </c>
      <c r="D65" s="64">
        <v>27.21</v>
      </c>
      <c r="E65" s="64">
        <v>7.18</v>
      </c>
      <c r="F65" s="64">
        <v>15.06</v>
      </c>
      <c r="G65" s="64">
        <v>35.200000000000003</v>
      </c>
      <c r="H65" s="64">
        <v>13.11</v>
      </c>
      <c r="I65" s="64">
        <v>3.97</v>
      </c>
      <c r="J65" s="64">
        <v>0.31</v>
      </c>
      <c r="K65" s="64">
        <v>274.7</v>
      </c>
      <c r="L65" s="64">
        <v>35.25</v>
      </c>
      <c r="M65" s="64">
        <v>50.17</v>
      </c>
      <c r="N65" s="64">
        <v>413.8</v>
      </c>
      <c r="O65" s="64">
        <v>0</v>
      </c>
      <c r="P65" s="64">
        <v>0.8</v>
      </c>
      <c r="Q65" s="64">
        <v>9.08</v>
      </c>
      <c r="R65" s="198"/>
      <c r="S65" s="198"/>
      <c r="T65" s="198"/>
      <c r="U65" s="198"/>
    </row>
    <row r="66" spans="1:21" s="12" customFormat="1" x14ac:dyDescent="0.25">
      <c r="A66" s="214" t="s">
        <v>2992</v>
      </c>
      <c r="B66" s="64">
        <v>4.07</v>
      </c>
      <c r="C66" s="64">
        <v>19.98</v>
      </c>
      <c r="D66" s="64">
        <v>31.99</v>
      </c>
      <c r="E66" s="64">
        <v>7.38</v>
      </c>
      <c r="F66" s="64">
        <v>13.12</v>
      </c>
      <c r="G66" s="64">
        <v>42.26</v>
      </c>
      <c r="H66" s="64">
        <v>2.82</v>
      </c>
      <c r="I66" s="64">
        <v>4.07</v>
      </c>
      <c r="J66" s="64">
        <v>0.3</v>
      </c>
      <c r="K66" s="64">
        <v>285</v>
      </c>
      <c r="L66" s="64">
        <v>35.43</v>
      </c>
      <c r="M66" s="64">
        <v>49.37</v>
      </c>
      <c r="N66" s="64">
        <v>275.39999999999998</v>
      </c>
      <c r="O66" s="64">
        <v>0</v>
      </c>
      <c r="P66" s="64">
        <v>0.81</v>
      </c>
      <c r="Q66" s="64">
        <v>9.08</v>
      </c>
      <c r="R66" s="198"/>
      <c r="S66" s="198"/>
      <c r="T66" s="198"/>
      <c r="U66" s="198"/>
    </row>
    <row r="67" spans="1:21" s="12" customFormat="1" x14ac:dyDescent="0.25">
      <c r="A67" s="214" t="s">
        <v>2993</v>
      </c>
      <c r="B67" s="64">
        <v>4.09</v>
      </c>
      <c r="C67" s="64">
        <v>19.04</v>
      </c>
      <c r="D67" s="64">
        <v>30.16</v>
      </c>
      <c r="E67" s="64">
        <v>7.16</v>
      </c>
      <c r="F67" s="64">
        <v>14.7</v>
      </c>
      <c r="G67" s="64">
        <v>42.26</v>
      </c>
      <c r="H67" s="64">
        <v>2.82</v>
      </c>
      <c r="I67" s="64">
        <v>3.91</v>
      </c>
      <c r="J67" s="64">
        <v>0.53</v>
      </c>
      <c r="K67" s="64">
        <v>303.85000000000002</v>
      </c>
      <c r="L67" s="64">
        <v>36.380000000000003</v>
      </c>
      <c r="M67" s="64">
        <v>46.79</v>
      </c>
      <c r="N67" s="64">
        <v>324.3</v>
      </c>
      <c r="O67" s="64">
        <v>0</v>
      </c>
      <c r="P67" s="64">
        <v>0.86</v>
      </c>
      <c r="Q67" s="64">
        <v>9.09</v>
      </c>
      <c r="R67" s="198"/>
      <c r="S67" s="198"/>
      <c r="T67" s="198"/>
      <c r="U67" s="198"/>
    </row>
    <row r="68" spans="1:21" s="12" customFormat="1" x14ac:dyDescent="0.25">
      <c r="A68" s="214" t="s">
        <v>2994</v>
      </c>
      <c r="B68" s="64">
        <v>3.82</v>
      </c>
      <c r="C68" s="64">
        <v>17.14</v>
      </c>
      <c r="D68" s="64">
        <v>26.94</v>
      </c>
      <c r="E68" s="64">
        <v>6.7</v>
      </c>
      <c r="F68" s="64">
        <v>8.7100000000000009</v>
      </c>
      <c r="G68" s="64">
        <v>42.26</v>
      </c>
      <c r="H68" s="64">
        <v>2.82</v>
      </c>
      <c r="I68" s="64">
        <v>4.09</v>
      </c>
      <c r="J68" s="64">
        <v>0.48</v>
      </c>
      <c r="K68" s="64">
        <v>287.95</v>
      </c>
      <c r="L68" s="64">
        <v>36.22</v>
      </c>
      <c r="M68" s="64">
        <v>45.51</v>
      </c>
      <c r="N68" s="64">
        <v>280.10000000000002</v>
      </c>
      <c r="O68" s="64">
        <v>0</v>
      </c>
      <c r="P68" s="64">
        <v>0.84</v>
      </c>
      <c r="Q68" s="64">
        <v>9.09</v>
      </c>
      <c r="R68" s="198"/>
      <c r="S68" s="198"/>
      <c r="T68" s="198"/>
      <c r="U68" s="198"/>
    </row>
    <row r="69" spans="1:21" s="12" customFormat="1" x14ac:dyDescent="0.25">
      <c r="A69" s="214" t="s">
        <v>2995</v>
      </c>
      <c r="B69" s="64">
        <v>3.94</v>
      </c>
      <c r="C69" s="64">
        <v>18.190000000000001</v>
      </c>
      <c r="D69" s="64">
        <v>28.78</v>
      </c>
      <c r="E69" s="64">
        <v>6.23</v>
      </c>
      <c r="F69" s="64">
        <v>11.05</v>
      </c>
      <c r="G69" s="64">
        <v>42.78</v>
      </c>
      <c r="H69" s="64">
        <v>2.81</v>
      </c>
      <c r="I69" s="64">
        <v>4.03</v>
      </c>
      <c r="J69" s="64">
        <v>0.53</v>
      </c>
      <c r="K69" s="64">
        <v>294.79000000000002</v>
      </c>
      <c r="L69" s="64">
        <v>35.78</v>
      </c>
      <c r="M69" s="64">
        <v>47.65</v>
      </c>
      <c r="N69" s="64">
        <v>272.7</v>
      </c>
      <c r="O69" s="64">
        <v>0</v>
      </c>
      <c r="P69" s="64">
        <v>0.88</v>
      </c>
      <c r="Q69" s="64">
        <v>9.09</v>
      </c>
      <c r="R69" s="198"/>
      <c r="S69" s="198"/>
      <c r="T69" s="198"/>
      <c r="U69" s="198"/>
    </row>
    <row r="70" spans="1:21" s="12" customFormat="1" x14ac:dyDescent="0.25">
      <c r="A70" s="214" t="s">
        <v>2996</v>
      </c>
      <c r="B70" s="64">
        <v>3.79</v>
      </c>
      <c r="C70" s="64">
        <v>17.850000000000001</v>
      </c>
      <c r="D70" s="64">
        <v>28.35</v>
      </c>
      <c r="E70" s="64">
        <v>6.22</v>
      </c>
      <c r="F70" s="64">
        <v>7.04</v>
      </c>
      <c r="G70" s="64">
        <v>44.98</v>
      </c>
      <c r="H70" s="64">
        <v>2.78</v>
      </c>
      <c r="I70" s="64">
        <v>4.04</v>
      </c>
      <c r="J70" s="64">
        <v>0.39</v>
      </c>
      <c r="K70" s="64">
        <v>283.5</v>
      </c>
      <c r="L70" s="64">
        <v>34.81</v>
      </c>
      <c r="M70" s="64">
        <v>49.08</v>
      </c>
      <c r="N70" s="64">
        <v>352.4</v>
      </c>
      <c r="O70" s="64">
        <v>0</v>
      </c>
      <c r="P70" s="64">
        <v>0.87</v>
      </c>
      <c r="Q70" s="64">
        <v>9.11</v>
      </c>
      <c r="R70" s="198"/>
      <c r="S70" s="198"/>
      <c r="T70" s="198"/>
      <c r="U70" s="198"/>
    </row>
    <row r="71" spans="1:21" s="12" customFormat="1" x14ac:dyDescent="0.25">
      <c r="A71" s="214" t="s">
        <v>2997</v>
      </c>
      <c r="B71" s="64">
        <v>3.83</v>
      </c>
      <c r="C71" s="64">
        <v>18</v>
      </c>
      <c r="D71" s="64">
        <v>28.57</v>
      </c>
      <c r="E71" s="64">
        <v>6.43</v>
      </c>
      <c r="F71" s="64">
        <v>6.17</v>
      </c>
      <c r="G71" s="64">
        <v>44.98</v>
      </c>
      <c r="H71" s="64">
        <v>2.78</v>
      </c>
      <c r="I71" s="64">
        <v>4.04</v>
      </c>
      <c r="J71" s="64">
        <v>0.4</v>
      </c>
      <c r="K71" s="64">
        <v>280.81</v>
      </c>
      <c r="L71" s="64">
        <v>34.76</v>
      </c>
      <c r="M71" s="64">
        <v>50.7</v>
      </c>
      <c r="N71" s="64">
        <v>322.39999999999998</v>
      </c>
      <c r="O71" s="64">
        <v>0</v>
      </c>
      <c r="P71" s="64">
        <v>0.84</v>
      </c>
      <c r="Q71" s="64">
        <v>9.14</v>
      </c>
      <c r="R71" s="198"/>
      <c r="S71" s="198"/>
      <c r="T71" s="198"/>
      <c r="U71" s="198"/>
    </row>
    <row r="72" spans="1:21" s="12" customFormat="1" x14ac:dyDescent="0.25">
      <c r="A72" s="214" t="s">
        <v>2998</v>
      </c>
      <c r="B72" s="64">
        <v>3.75</v>
      </c>
      <c r="C72" s="64">
        <v>16.82</v>
      </c>
      <c r="D72" s="64">
        <v>26.44</v>
      </c>
      <c r="E72" s="64">
        <v>5.59</v>
      </c>
      <c r="F72" s="64">
        <v>8.33</v>
      </c>
      <c r="G72" s="64">
        <v>44.98</v>
      </c>
      <c r="H72" s="64">
        <v>2.78</v>
      </c>
      <c r="I72" s="64">
        <v>3.98</v>
      </c>
      <c r="J72" s="64">
        <v>0.39</v>
      </c>
      <c r="K72" s="64">
        <v>286.43</v>
      </c>
      <c r="L72" s="64">
        <v>34.35</v>
      </c>
      <c r="M72" s="64">
        <v>52.04</v>
      </c>
      <c r="N72" s="64">
        <v>247.8</v>
      </c>
      <c r="O72" s="64">
        <v>0</v>
      </c>
      <c r="P72" s="64">
        <v>0.83</v>
      </c>
      <c r="Q72" s="64">
        <v>9.14</v>
      </c>
      <c r="R72" s="198"/>
      <c r="S72" s="198"/>
      <c r="T72" s="198"/>
      <c r="U72" s="198"/>
    </row>
    <row r="73" spans="1:21" s="12" customFormat="1" x14ac:dyDescent="0.25">
      <c r="A73" s="214" t="s">
        <v>2999</v>
      </c>
      <c r="B73" s="64">
        <v>3.93</v>
      </c>
      <c r="C73" s="64">
        <v>18.350000000000001</v>
      </c>
      <c r="D73" s="64">
        <v>29.08</v>
      </c>
      <c r="E73" s="64">
        <v>5.63</v>
      </c>
      <c r="F73" s="64">
        <v>14.03</v>
      </c>
      <c r="G73" s="64">
        <v>44.79</v>
      </c>
      <c r="H73" s="64">
        <v>2.5299999999999998</v>
      </c>
      <c r="I73" s="64">
        <v>4.0599999999999996</v>
      </c>
      <c r="J73" s="64">
        <v>0.24</v>
      </c>
      <c r="K73" s="64">
        <v>281.02</v>
      </c>
      <c r="L73" s="64">
        <v>34.200000000000003</v>
      </c>
      <c r="M73" s="64">
        <v>51.94</v>
      </c>
      <c r="N73" s="64">
        <v>198</v>
      </c>
      <c r="O73" s="64">
        <v>0</v>
      </c>
      <c r="P73" s="64">
        <v>0.87</v>
      </c>
      <c r="Q73" s="64">
        <v>9.1199999999999992</v>
      </c>
      <c r="R73" s="198"/>
      <c r="S73" s="198"/>
      <c r="T73" s="198"/>
      <c r="U73" s="198"/>
    </row>
    <row r="74" spans="1:21" s="12" customFormat="1" x14ac:dyDescent="0.25">
      <c r="A74" s="214" t="s">
        <v>3000</v>
      </c>
      <c r="B74" s="64">
        <v>6.15</v>
      </c>
      <c r="C74" s="64">
        <v>25.73</v>
      </c>
      <c r="D74" s="64">
        <v>39.799999999999997</v>
      </c>
      <c r="E74" s="64">
        <v>6.28</v>
      </c>
      <c r="F74" s="64">
        <v>20.329999999999998</v>
      </c>
      <c r="G74" s="64">
        <v>43.99</v>
      </c>
      <c r="H74" s="64">
        <v>1.46</v>
      </c>
      <c r="I74" s="64">
        <v>3.97</v>
      </c>
      <c r="J74" s="64">
        <v>0.25</v>
      </c>
      <c r="K74" s="64">
        <v>318.57</v>
      </c>
      <c r="L74" s="64">
        <v>33.68</v>
      </c>
      <c r="M74" s="64">
        <v>53.17</v>
      </c>
      <c r="N74" s="64">
        <v>131.4</v>
      </c>
      <c r="O74" s="64">
        <v>0</v>
      </c>
      <c r="P74" s="64">
        <v>0.82</v>
      </c>
      <c r="Q74" s="64">
        <v>9.1199999999999992</v>
      </c>
      <c r="R74" s="198"/>
      <c r="S74" s="198"/>
      <c r="T74" s="198"/>
      <c r="U74" s="198"/>
    </row>
    <row r="75" spans="1:21" s="12" customFormat="1" x14ac:dyDescent="0.25">
      <c r="A75" s="214" t="s">
        <v>3001</v>
      </c>
      <c r="B75" s="64">
        <v>5.22</v>
      </c>
      <c r="C75" s="64">
        <v>19.13</v>
      </c>
      <c r="D75" s="64">
        <v>28.62</v>
      </c>
      <c r="E75" s="64">
        <v>6.2</v>
      </c>
      <c r="F75" s="64">
        <v>10.1</v>
      </c>
      <c r="G75" s="64">
        <v>43.99</v>
      </c>
      <c r="H75" s="64">
        <v>1.46</v>
      </c>
      <c r="I75" s="64">
        <v>4.0599999999999996</v>
      </c>
      <c r="J75" s="64">
        <v>1.62</v>
      </c>
      <c r="K75" s="64">
        <v>1.4</v>
      </c>
      <c r="L75" s="64">
        <v>30.5</v>
      </c>
      <c r="M75" s="64">
        <v>67.430000000000007</v>
      </c>
      <c r="N75" s="64">
        <v>47.5</v>
      </c>
      <c r="O75" s="64">
        <v>0</v>
      </c>
      <c r="P75" s="64">
        <v>0.77</v>
      </c>
      <c r="Q75" s="64">
        <v>9.14</v>
      </c>
      <c r="R75" s="198"/>
      <c r="S75" s="198"/>
      <c r="T75" s="198"/>
      <c r="U75" s="198"/>
    </row>
    <row r="76" spans="1:21" s="12" customFormat="1" x14ac:dyDescent="0.25">
      <c r="A76" s="214" t="s">
        <v>3002</v>
      </c>
      <c r="B76" s="64">
        <v>6.29</v>
      </c>
      <c r="C76" s="64">
        <v>19.41</v>
      </c>
      <c r="D76" s="64">
        <v>27.5</v>
      </c>
      <c r="E76" s="64">
        <v>5.8</v>
      </c>
      <c r="F76" s="64">
        <v>10.59</v>
      </c>
      <c r="G76" s="64">
        <v>43.99</v>
      </c>
      <c r="H76" s="64">
        <v>1.46</v>
      </c>
      <c r="I76" s="64">
        <v>4.12</v>
      </c>
      <c r="J76" s="64">
        <v>0.77</v>
      </c>
      <c r="K76" s="64">
        <v>351.5</v>
      </c>
      <c r="L76" s="64">
        <v>27.79</v>
      </c>
      <c r="M76" s="64">
        <v>84.85</v>
      </c>
      <c r="N76" s="64">
        <v>48.6</v>
      </c>
      <c r="O76" s="64">
        <v>0</v>
      </c>
      <c r="P76" s="64">
        <v>0.75</v>
      </c>
      <c r="Q76" s="64">
        <v>9.18</v>
      </c>
      <c r="R76" s="198"/>
      <c r="S76" s="198"/>
      <c r="T76" s="198"/>
      <c r="U76" s="198"/>
    </row>
    <row r="77" spans="1:21" s="12" customFormat="1" x14ac:dyDescent="0.25">
      <c r="A77" s="214" t="s">
        <v>3003</v>
      </c>
      <c r="B77" s="64">
        <v>6.9</v>
      </c>
      <c r="C77" s="64">
        <v>19.87</v>
      </c>
      <c r="D77" s="64">
        <v>27.43</v>
      </c>
      <c r="E77" s="64">
        <v>6.12</v>
      </c>
      <c r="F77" s="64">
        <v>9.98</v>
      </c>
      <c r="G77" s="64">
        <v>44.34</v>
      </c>
      <c r="H77" s="64">
        <v>4.41</v>
      </c>
      <c r="I77" s="64">
        <v>4.0199999999999996</v>
      </c>
      <c r="J77" s="64">
        <v>1.37</v>
      </c>
      <c r="K77" s="64">
        <v>347.56</v>
      </c>
      <c r="L77" s="64">
        <v>26.8</v>
      </c>
      <c r="M77" s="64">
        <v>89.09</v>
      </c>
      <c r="N77" s="64">
        <v>39.1</v>
      </c>
      <c r="O77" s="64">
        <v>0</v>
      </c>
      <c r="P77" s="64">
        <v>0.72</v>
      </c>
      <c r="Q77" s="64">
        <v>9.19</v>
      </c>
      <c r="R77" s="198"/>
      <c r="S77" s="198"/>
      <c r="T77" s="198"/>
      <c r="U77" s="198"/>
    </row>
    <row r="78" spans="1:21" s="12" customFormat="1" x14ac:dyDescent="0.25">
      <c r="A78" s="214" t="s">
        <v>3004</v>
      </c>
      <c r="B78" s="64">
        <v>6.47</v>
      </c>
      <c r="C78" s="64">
        <v>19.73</v>
      </c>
      <c r="D78" s="64">
        <v>27.83</v>
      </c>
      <c r="E78" s="64">
        <v>5.6</v>
      </c>
      <c r="F78" s="64">
        <v>7.26</v>
      </c>
      <c r="G78" s="64">
        <v>45.84</v>
      </c>
      <c r="H78" s="64">
        <v>16.23</v>
      </c>
      <c r="I78" s="64">
        <v>3.9</v>
      </c>
      <c r="J78" s="64">
        <v>1.41</v>
      </c>
      <c r="K78" s="64">
        <v>330.58</v>
      </c>
      <c r="L78" s="64">
        <v>25.76</v>
      </c>
      <c r="M78" s="64">
        <v>99.48</v>
      </c>
      <c r="N78" s="64">
        <v>34.1</v>
      </c>
      <c r="O78" s="64">
        <v>2</v>
      </c>
      <c r="P78" s="64">
        <v>0.71</v>
      </c>
      <c r="Q78" s="64">
        <v>9.2100000000000009</v>
      </c>
      <c r="R78" s="198"/>
      <c r="S78" s="198"/>
      <c r="T78" s="198"/>
      <c r="U78" s="198"/>
    </row>
    <row r="79" spans="1:21" s="12" customFormat="1" x14ac:dyDescent="0.25">
      <c r="A79" s="214" t="s">
        <v>3005</v>
      </c>
      <c r="B79" s="64">
        <v>5.92</v>
      </c>
      <c r="C79" s="64">
        <v>18.420000000000002</v>
      </c>
      <c r="D79" s="64">
        <v>26.17</v>
      </c>
      <c r="E79" s="64">
        <v>5.9</v>
      </c>
      <c r="F79" s="64">
        <v>4.37</v>
      </c>
      <c r="G79" s="64">
        <v>45.84</v>
      </c>
      <c r="H79" s="64">
        <v>16.23</v>
      </c>
      <c r="I79" s="64">
        <v>3.85</v>
      </c>
      <c r="J79" s="64">
        <v>1.01</v>
      </c>
      <c r="K79" s="64">
        <v>293.29000000000002</v>
      </c>
      <c r="L79" s="64">
        <v>23.62</v>
      </c>
      <c r="M79" s="64">
        <v>101.85</v>
      </c>
      <c r="N79" s="64">
        <v>31.4</v>
      </c>
      <c r="O79" s="64">
        <v>2.4</v>
      </c>
      <c r="P79" s="64">
        <v>0.7</v>
      </c>
      <c r="Q79" s="64">
        <v>9.23</v>
      </c>
      <c r="R79" s="198"/>
      <c r="S79" s="198"/>
      <c r="T79" s="198"/>
      <c r="U79" s="198"/>
    </row>
    <row r="80" spans="1:21" s="12" customFormat="1" x14ac:dyDescent="0.25">
      <c r="A80" s="214" t="s">
        <v>3006</v>
      </c>
      <c r="B80" s="64">
        <v>4.93</v>
      </c>
      <c r="C80" s="64">
        <v>17.3</v>
      </c>
      <c r="D80" s="64">
        <v>25.54</v>
      </c>
      <c r="E80" s="64">
        <v>5.4</v>
      </c>
      <c r="F80" s="64">
        <v>5.92</v>
      </c>
      <c r="G80" s="64">
        <v>45.84</v>
      </c>
      <c r="H80" s="64">
        <v>16.23</v>
      </c>
      <c r="I80" s="64">
        <v>4.05</v>
      </c>
      <c r="J80" s="64">
        <v>0.38</v>
      </c>
      <c r="K80" s="64">
        <v>293.63</v>
      </c>
      <c r="L80" s="64">
        <v>22.21</v>
      </c>
      <c r="M80" s="64">
        <v>101.87</v>
      </c>
      <c r="N80" s="64">
        <v>28.4</v>
      </c>
      <c r="O80" s="64">
        <v>0.2</v>
      </c>
      <c r="P80" s="64">
        <v>0.62</v>
      </c>
      <c r="Q80" s="64">
        <v>9.2200000000000006</v>
      </c>
      <c r="R80" s="198"/>
      <c r="S80" s="198"/>
      <c r="T80" s="198"/>
      <c r="U80" s="198"/>
    </row>
    <row r="81" spans="1:26" s="12" customFormat="1" x14ac:dyDescent="0.25">
      <c r="A81" s="214" t="s">
        <v>3007</v>
      </c>
      <c r="B81" s="64">
        <v>4.3099999999999996</v>
      </c>
      <c r="C81" s="64">
        <v>16.670000000000002</v>
      </c>
      <c r="D81" s="64">
        <v>25.29</v>
      </c>
      <c r="E81" s="64">
        <v>5.71</v>
      </c>
      <c r="F81" s="64">
        <v>6.48</v>
      </c>
      <c r="G81" s="64">
        <v>43.18</v>
      </c>
      <c r="H81" s="64">
        <v>15.15</v>
      </c>
      <c r="I81" s="64">
        <v>4.1399999999999997</v>
      </c>
      <c r="J81" s="64">
        <v>0.13</v>
      </c>
      <c r="K81" s="64">
        <v>303.7</v>
      </c>
      <c r="L81" s="64">
        <v>22.35</v>
      </c>
      <c r="M81" s="64">
        <v>101.89</v>
      </c>
      <c r="N81" s="64">
        <v>26.6</v>
      </c>
      <c r="O81" s="64">
        <v>0.4</v>
      </c>
      <c r="P81" s="64">
        <v>0.57999999999999996</v>
      </c>
      <c r="Q81" s="64">
        <v>9.1999999999999993</v>
      </c>
      <c r="R81" s="198"/>
      <c r="S81" s="198"/>
      <c r="T81" s="198"/>
      <c r="U81" s="198"/>
    </row>
    <row r="82" spans="1:26" s="12" customFormat="1" x14ac:dyDescent="0.25">
      <c r="A82" s="214" t="s">
        <v>3008</v>
      </c>
      <c r="B82" s="64">
        <v>4.58</v>
      </c>
      <c r="C82" s="64">
        <v>17.32</v>
      </c>
      <c r="D82" s="64">
        <v>26.12</v>
      </c>
      <c r="E82" s="64">
        <v>5.68</v>
      </c>
      <c r="F82" s="64">
        <v>5.44</v>
      </c>
      <c r="G82" s="64">
        <v>31.75</v>
      </c>
      <c r="H82" s="64">
        <v>10.8</v>
      </c>
      <c r="I82" s="64">
        <v>4.0199999999999996</v>
      </c>
      <c r="J82" s="64">
        <v>0.01</v>
      </c>
      <c r="K82" s="64">
        <v>123.24</v>
      </c>
      <c r="L82" s="64">
        <v>22.36</v>
      </c>
      <c r="M82" s="64">
        <v>101.73</v>
      </c>
      <c r="N82" s="64">
        <v>26.5</v>
      </c>
      <c r="O82" s="64">
        <v>0</v>
      </c>
      <c r="P82" s="64">
        <v>0.57999999999999996</v>
      </c>
      <c r="Q82" s="64">
        <v>9.18</v>
      </c>
      <c r="R82" s="198"/>
      <c r="S82" s="198"/>
      <c r="T82" s="198"/>
      <c r="U82" s="198"/>
    </row>
    <row r="83" spans="1:26" s="12" customFormat="1" x14ac:dyDescent="0.25">
      <c r="A83" s="214" t="s">
        <v>3009</v>
      </c>
      <c r="B83" s="64">
        <v>6.26</v>
      </c>
      <c r="C83" s="64">
        <v>22.48</v>
      </c>
      <c r="D83" s="64">
        <v>33.42</v>
      </c>
      <c r="E83" s="64">
        <v>5.6</v>
      </c>
      <c r="F83" s="64">
        <v>4.6100000000000003</v>
      </c>
      <c r="G83" s="64">
        <v>31.75</v>
      </c>
      <c r="H83" s="64">
        <v>10.8</v>
      </c>
      <c r="I83" s="64">
        <v>3.94</v>
      </c>
      <c r="J83" s="64">
        <v>0.61</v>
      </c>
      <c r="K83" s="64">
        <v>118.91</v>
      </c>
      <c r="L83" s="64">
        <v>22.88</v>
      </c>
      <c r="M83" s="64">
        <v>101.95</v>
      </c>
      <c r="N83" s="64">
        <v>27.1</v>
      </c>
      <c r="O83" s="64">
        <v>0.2</v>
      </c>
      <c r="P83" s="64">
        <v>0.55000000000000004</v>
      </c>
      <c r="Q83" s="64">
        <v>9.2100000000000009</v>
      </c>
      <c r="R83" s="198"/>
      <c r="S83" s="198"/>
      <c r="T83" s="198"/>
      <c r="U83" s="198"/>
    </row>
    <row r="84" spans="1:26" s="12" customFormat="1" x14ac:dyDescent="0.25">
      <c r="A84" s="214" t="s">
        <v>3010</v>
      </c>
      <c r="B84" s="64">
        <v>5.34</v>
      </c>
      <c r="C84" s="64">
        <v>18.46</v>
      </c>
      <c r="D84" s="64">
        <v>27.15</v>
      </c>
      <c r="E84" s="64">
        <v>5.61</v>
      </c>
      <c r="F84" s="64">
        <v>3.94</v>
      </c>
      <c r="G84" s="64">
        <v>31.75</v>
      </c>
      <c r="H84" s="64">
        <v>10.8</v>
      </c>
      <c r="I84" s="64">
        <v>4.08</v>
      </c>
      <c r="J84" s="64">
        <v>0.32</v>
      </c>
      <c r="K84" s="64">
        <v>148.77000000000001</v>
      </c>
      <c r="L84" s="64">
        <v>23.12</v>
      </c>
      <c r="M84" s="64">
        <v>101.96</v>
      </c>
      <c r="N84" s="64">
        <v>27.5</v>
      </c>
      <c r="O84" s="64">
        <v>0</v>
      </c>
      <c r="P84" s="64">
        <v>0.56000000000000005</v>
      </c>
      <c r="Q84" s="64">
        <v>9.19</v>
      </c>
      <c r="R84" s="198"/>
      <c r="S84" s="198"/>
      <c r="T84" s="198"/>
      <c r="U84" s="198"/>
    </row>
    <row r="85" spans="1:26" s="12" customFormat="1" x14ac:dyDescent="0.25">
      <c r="A85" s="214" t="s">
        <v>3011</v>
      </c>
      <c r="B85" s="64">
        <v>5.84</v>
      </c>
      <c r="C85" s="64">
        <v>20.170000000000002</v>
      </c>
      <c r="D85" s="64">
        <v>29.65</v>
      </c>
      <c r="E85" s="64">
        <v>5.84</v>
      </c>
      <c r="F85" s="64">
        <v>4.57</v>
      </c>
      <c r="G85" s="64">
        <v>30.57</v>
      </c>
      <c r="H85" s="64">
        <v>9.9499999999999993</v>
      </c>
      <c r="I85" s="64">
        <v>3.82</v>
      </c>
      <c r="J85" s="64">
        <v>0.19</v>
      </c>
      <c r="K85" s="64">
        <v>147.97</v>
      </c>
      <c r="L85" s="64">
        <v>23.18</v>
      </c>
      <c r="M85" s="64">
        <v>102.08</v>
      </c>
      <c r="N85" s="64">
        <v>26.5</v>
      </c>
      <c r="O85" s="64">
        <v>0</v>
      </c>
      <c r="P85" s="64">
        <v>0.53</v>
      </c>
      <c r="Q85" s="64">
        <v>9.1999999999999993</v>
      </c>
      <c r="R85" s="198"/>
      <c r="S85" s="198"/>
      <c r="T85" s="198"/>
      <c r="U85" s="198"/>
    </row>
    <row r="86" spans="1:26" s="12" customFormat="1" x14ac:dyDescent="0.25">
      <c r="A86" s="214" t="s">
        <v>3012</v>
      </c>
      <c r="B86" s="64">
        <v>6.22</v>
      </c>
      <c r="C86" s="64">
        <v>20.64</v>
      </c>
      <c r="D86" s="64">
        <v>29.96</v>
      </c>
      <c r="E86" s="64">
        <v>5.57</v>
      </c>
      <c r="F86" s="64">
        <v>4.0999999999999996</v>
      </c>
      <c r="G86" s="64">
        <v>25.53</v>
      </c>
      <c r="H86" s="64">
        <v>6.55</v>
      </c>
      <c r="I86" s="64">
        <v>4.01</v>
      </c>
      <c r="J86" s="64">
        <v>0.31</v>
      </c>
      <c r="K86" s="64">
        <v>170.54</v>
      </c>
      <c r="L86" s="64">
        <v>23.2</v>
      </c>
      <c r="M86" s="64">
        <v>102.11</v>
      </c>
      <c r="N86" s="64">
        <v>26.3</v>
      </c>
      <c r="O86" s="64">
        <v>0.2</v>
      </c>
      <c r="P86" s="64">
        <v>0.55000000000000004</v>
      </c>
      <c r="Q86" s="64">
        <v>9.2100000000000009</v>
      </c>
      <c r="R86" s="198"/>
      <c r="S86" s="198"/>
      <c r="T86" s="198"/>
      <c r="U86" s="198"/>
    </row>
    <row r="87" spans="1:26" s="12" customFormat="1" x14ac:dyDescent="0.25">
      <c r="A87" s="214" t="s">
        <v>3013</v>
      </c>
      <c r="B87" s="64">
        <v>6.06</v>
      </c>
      <c r="C87" s="64">
        <v>17.37</v>
      </c>
      <c r="D87" s="64">
        <v>23.93</v>
      </c>
      <c r="E87" s="64">
        <v>5.9</v>
      </c>
      <c r="F87" s="64">
        <v>3.57</v>
      </c>
      <c r="G87" s="64">
        <v>25.53</v>
      </c>
      <c r="H87" s="64">
        <v>6.55</v>
      </c>
      <c r="I87" s="64">
        <v>3.95</v>
      </c>
      <c r="J87" s="64">
        <v>7.0000000000000007E-2</v>
      </c>
      <c r="K87" s="64">
        <v>209.62</v>
      </c>
      <c r="L87" s="64">
        <v>23.33</v>
      </c>
      <c r="M87" s="64">
        <v>101.71</v>
      </c>
      <c r="N87" s="64">
        <v>26.1</v>
      </c>
      <c r="O87" s="64">
        <v>0</v>
      </c>
      <c r="P87" s="64">
        <v>0.55000000000000004</v>
      </c>
      <c r="Q87" s="64">
        <v>9.2100000000000009</v>
      </c>
      <c r="R87" s="198"/>
      <c r="S87" s="198"/>
      <c r="T87" s="198"/>
      <c r="U87" s="198"/>
    </row>
    <row r="88" spans="1:26" s="12" customFormat="1" x14ac:dyDescent="0.25">
      <c r="A88" s="214" t="s">
        <v>3014</v>
      </c>
      <c r="B88" s="64">
        <v>6.09</v>
      </c>
      <c r="C88" s="64">
        <v>17.100000000000001</v>
      </c>
      <c r="D88" s="64">
        <v>23.37</v>
      </c>
      <c r="E88" s="64">
        <v>5.46</v>
      </c>
      <c r="F88" s="64">
        <v>4.51</v>
      </c>
      <c r="G88" s="64">
        <v>25.53</v>
      </c>
      <c r="H88" s="64">
        <v>6.55</v>
      </c>
      <c r="I88" s="64">
        <v>3.98</v>
      </c>
      <c r="J88" s="64">
        <v>0.11</v>
      </c>
      <c r="K88" s="64">
        <v>201.54</v>
      </c>
      <c r="L88" s="64">
        <v>23.5</v>
      </c>
      <c r="M88" s="64">
        <v>101.77</v>
      </c>
      <c r="N88" s="64">
        <v>26.3</v>
      </c>
      <c r="O88" s="64">
        <v>0</v>
      </c>
      <c r="P88" s="64">
        <v>0.53</v>
      </c>
      <c r="Q88" s="64">
        <v>9.2200000000000006</v>
      </c>
      <c r="R88" s="198"/>
      <c r="S88" s="198"/>
      <c r="T88" s="198"/>
      <c r="U88" s="198"/>
    </row>
    <row r="89" spans="1:26" s="12" customFormat="1" x14ac:dyDescent="0.25">
      <c r="A89" s="214" t="s">
        <v>3015</v>
      </c>
      <c r="B89" s="64">
        <v>6.1</v>
      </c>
      <c r="C89" s="64">
        <v>16.23</v>
      </c>
      <c r="D89" s="64">
        <v>21.69</v>
      </c>
      <c r="E89" s="64">
        <v>5.23</v>
      </c>
      <c r="F89" s="64">
        <v>4.33</v>
      </c>
      <c r="G89" s="64">
        <v>23.93</v>
      </c>
      <c r="H89" s="64">
        <v>6.93</v>
      </c>
      <c r="I89" s="64">
        <v>3.89</v>
      </c>
      <c r="J89" s="64">
        <v>0.25</v>
      </c>
      <c r="K89" s="64">
        <v>165.45</v>
      </c>
      <c r="L89" s="64">
        <v>23.61</v>
      </c>
      <c r="M89" s="64">
        <v>101.5</v>
      </c>
      <c r="N89" s="64">
        <v>26.1</v>
      </c>
      <c r="O89" s="64">
        <v>0</v>
      </c>
      <c r="P89" s="64">
        <v>0.55000000000000004</v>
      </c>
      <c r="Q89" s="64">
        <v>9.2100000000000009</v>
      </c>
      <c r="R89" s="198"/>
      <c r="S89" s="198"/>
      <c r="T89" s="198"/>
      <c r="U89" s="198"/>
    </row>
    <row r="90" spans="1:26" s="12" customFormat="1" x14ac:dyDescent="0.25">
      <c r="A90" s="214" t="s">
        <v>3016</v>
      </c>
      <c r="B90" s="64">
        <v>5.97</v>
      </c>
      <c r="C90" s="64">
        <v>16.32</v>
      </c>
      <c r="D90" s="64">
        <v>22.07</v>
      </c>
      <c r="E90" s="64">
        <v>5.37</v>
      </c>
      <c r="F90" s="64">
        <v>4.6399999999999997</v>
      </c>
      <c r="G90" s="64">
        <v>17.09</v>
      </c>
      <c r="H90" s="64">
        <v>8.43</v>
      </c>
      <c r="I90" s="64">
        <v>4.01</v>
      </c>
      <c r="J90" s="64">
        <v>0.02</v>
      </c>
      <c r="K90" s="64">
        <v>278.32</v>
      </c>
      <c r="L90" s="64">
        <v>23.72</v>
      </c>
      <c r="M90" s="64">
        <v>101.33</v>
      </c>
      <c r="N90" s="64">
        <v>26.4</v>
      </c>
      <c r="O90" s="64">
        <v>0</v>
      </c>
      <c r="P90" s="64">
        <v>0.52</v>
      </c>
      <c r="Q90" s="64">
        <v>9.1999999999999993</v>
      </c>
      <c r="R90" s="198"/>
      <c r="S90" s="198"/>
      <c r="T90" s="198"/>
      <c r="U90" s="198"/>
    </row>
    <row r="91" spans="1:26" s="12" customFormat="1" x14ac:dyDescent="0.25">
      <c r="A91" s="214" t="s">
        <v>3017</v>
      </c>
      <c r="B91" s="64">
        <v>5.88</v>
      </c>
      <c r="C91" s="64">
        <v>17.84</v>
      </c>
      <c r="D91" s="64">
        <v>25.12</v>
      </c>
      <c r="E91" s="64">
        <v>5.44</v>
      </c>
      <c r="F91" s="64">
        <v>7.21</v>
      </c>
      <c r="G91" s="64">
        <v>17.09</v>
      </c>
      <c r="H91" s="64">
        <v>8.43</v>
      </c>
      <c r="I91" s="64">
        <v>4</v>
      </c>
      <c r="J91" s="64">
        <v>0.21</v>
      </c>
      <c r="K91" s="64">
        <v>196.66</v>
      </c>
      <c r="L91" s="64">
        <v>23.81</v>
      </c>
      <c r="M91" s="64">
        <v>101.37</v>
      </c>
      <c r="N91" s="64">
        <v>27</v>
      </c>
      <c r="O91" s="64">
        <v>0</v>
      </c>
      <c r="P91" s="64">
        <v>0.52</v>
      </c>
      <c r="Q91" s="64">
        <v>9.1999999999999993</v>
      </c>
      <c r="R91" s="198"/>
      <c r="S91" s="198"/>
      <c r="T91" s="198"/>
      <c r="U91" s="198"/>
    </row>
    <row r="92" spans="1:26" s="12" customFormat="1" x14ac:dyDescent="0.25">
      <c r="A92" s="214" t="s">
        <v>3018</v>
      </c>
      <c r="B92" s="64">
        <v>6.35</v>
      </c>
      <c r="C92" s="64">
        <v>18.63</v>
      </c>
      <c r="D92" s="64">
        <v>25.91</v>
      </c>
      <c r="E92" s="64">
        <v>5.58</v>
      </c>
      <c r="F92" s="64">
        <v>6.09</v>
      </c>
      <c r="G92" s="64">
        <v>17.09</v>
      </c>
      <c r="H92" s="64">
        <v>8.43</v>
      </c>
      <c r="I92" s="64">
        <v>3.96</v>
      </c>
      <c r="J92" s="64">
        <v>0.92</v>
      </c>
      <c r="K92" s="64">
        <v>151.11000000000001</v>
      </c>
      <c r="L92" s="64">
        <v>23.86</v>
      </c>
      <c r="M92" s="64">
        <v>101.42</v>
      </c>
      <c r="N92" s="64">
        <v>27.8</v>
      </c>
      <c r="O92" s="64">
        <v>0</v>
      </c>
      <c r="P92" s="64">
        <v>0.5</v>
      </c>
      <c r="Q92" s="64">
        <v>9.1999999999999993</v>
      </c>
      <c r="R92" s="198"/>
      <c r="S92" s="198"/>
      <c r="T92" s="198"/>
      <c r="U92" s="198"/>
    </row>
    <row r="93" spans="1:26" s="12" customFormat="1" x14ac:dyDescent="0.25">
      <c r="A93" s="214" t="s">
        <v>3019</v>
      </c>
      <c r="B93" s="64">
        <v>6.05</v>
      </c>
      <c r="C93" s="64">
        <v>17.72</v>
      </c>
      <c r="D93" s="64">
        <v>24.63</v>
      </c>
      <c r="E93" s="64">
        <v>5.31</v>
      </c>
      <c r="F93" s="64">
        <v>11.96</v>
      </c>
      <c r="G93" s="64">
        <v>17.41</v>
      </c>
      <c r="H93" s="64">
        <v>7.52</v>
      </c>
      <c r="I93" s="64">
        <v>3.99</v>
      </c>
      <c r="J93" s="64">
        <v>0.12</v>
      </c>
      <c r="K93" s="64">
        <v>199.35</v>
      </c>
      <c r="L93" s="64">
        <v>23.94</v>
      </c>
      <c r="M93" s="64">
        <v>101.48</v>
      </c>
      <c r="N93" s="64">
        <v>27.4</v>
      </c>
      <c r="O93" s="64">
        <v>0</v>
      </c>
      <c r="P93" s="64">
        <v>0.42</v>
      </c>
      <c r="Q93" s="64">
        <v>9.2100000000000009</v>
      </c>
      <c r="R93" s="198"/>
      <c r="S93" s="198"/>
      <c r="T93" s="198"/>
      <c r="U93" s="198"/>
    </row>
    <row r="94" spans="1:26" s="12" customFormat="1" x14ac:dyDescent="0.25">
      <c r="A94" s="214" t="s">
        <v>3020</v>
      </c>
      <c r="B94" s="64">
        <v>5.56</v>
      </c>
      <c r="C94" s="64">
        <v>20.079999999999998</v>
      </c>
      <c r="D94" s="64">
        <v>29.89</v>
      </c>
      <c r="E94" s="64">
        <v>4.92</v>
      </c>
      <c r="F94" s="64">
        <v>9.69</v>
      </c>
      <c r="G94" s="64">
        <v>18.7</v>
      </c>
      <c r="H94" s="64">
        <v>3.84</v>
      </c>
      <c r="I94" s="64">
        <v>4.07</v>
      </c>
      <c r="J94" s="64">
        <v>0.1</v>
      </c>
      <c r="K94" s="64">
        <v>201.62</v>
      </c>
      <c r="L94" s="64">
        <v>24.07</v>
      </c>
      <c r="M94" s="64">
        <v>101.41</v>
      </c>
      <c r="N94" s="64">
        <v>27.2</v>
      </c>
      <c r="O94" s="64">
        <v>0</v>
      </c>
      <c r="P94" s="64">
        <v>0.46</v>
      </c>
      <c r="Q94" s="64">
        <v>9.2200000000000006</v>
      </c>
      <c r="R94" s="198"/>
      <c r="S94" s="198"/>
      <c r="T94" s="198"/>
      <c r="U94" s="198"/>
    </row>
    <row r="95" spans="1:26" s="12" customFormat="1" x14ac:dyDescent="0.25">
      <c r="A95" s="214" t="s">
        <v>3021</v>
      </c>
      <c r="B95" s="64">
        <v>5.43</v>
      </c>
      <c r="C95" s="64">
        <v>17.579999999999998</v>
      </c>
      <c r="D95" s="64">
        <v>25.31</v>
      </c>
      <c r="E95" s="64">
        <v>5.5</v>
      </c>
      <c r="F95" s="64">
        <v>10.87</v>
      </c>
      <c r="G95" s="64">
        <v>18.7</v>
      </c>
      <c r="H95" s="64">
        <v>3.84</v>
      </c>
      <c r="I95" s="64">
        <v>4.01</v>
      </c>
      <c r="J95" s="64">
        <v>0.11</v>
      </c>
      <c r="K95" s="64">
        <v>217.93</v>
      </c>
      <c r="L95" s="64">
        <v>24.18</v>
      </c>
      <c r="M95" s="64">
        <v>101.53</v>
      </c>
      <c r="N95" s="64">
        <v>27.6</v>
      </c>
      <c r="O95" s="64">
        <v>0</v>
      </c>
      <c r="P95" s="64">
        <v>0.44</v>
      </c>
      <c r="Q95" s="64">
        <v>9.24</v>
      </c>
      <c r="R95" s="198"/>
      <c r="S95" s="198"/>
      <c r="T95" s="198"/>
      <c r="U95" s="198"/>
    </row>
    <row r="96" spans="1:26" s="12" customFormat="1" x14ac:dyDescent="0.25">
      <c r="A96" s="214" t="s">
        <v>3022</v>
      </c>
      <c r="B96" s="64">
        <v>5.49</v>
      </c>
      <c r="C96" s="64">
        <v>15.11</v>
      </c>
      <c r="D96" s="64">
        <v>20.5</v>
      </c>
      <c r="E96" s="64">
        <v>5.71</v>
      </c>
      <c r="F96" s="64">
        <v>11.25</v>
      </c>
      <c r="G96" s="64">
        <v>18.7</v>
      </c>
      <c r="H96" s="64">
        <v>3.84</v>
      </c>
      <c r="I96" s="64">
        <v>4.1399999999999997</v>
      </c>
      <c r="J96" s="64">
        <v>0.15</v>
      </c>
      <c r="K96" s="64">
        <v>196.27</v>
      </c>
      <c r="L96" s="64">
        <v>24.26</v>
      </c>
      <c r="M96" s="64">
        <v>101.6</v>
      </c>
      <c r="N96" s="64">
        <v>27.5</v>
      </c>
      <c r="O96" s="64">
        <v>0</v>
      </c>
      <c r="P96" s="64">
        <v>0.45</v>
      </c>
      <c r="Q96" s="64">
        <v>9.23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3023</v>
      </c>
      <c r="B97" s="64">
        <v>4.93</v>
      </c>
      <c r="C97" s="64">
        <v>17.59</v>
      </c>
      <c r="D97" s="64">
        <v>26.1</v>
      </c>
      <c r="E97" s="64">
        <v>5.22</v>
      </c>
      <c r="F97" s="64">
        <v>10.84</v>
      </c>
      <c r="G97" s="64">
        <v>18</v>
      </c>
      <c r="H97" s="64">
        <v>3.46</v>
      </c>
      <c r="I97" s="64">
        <v>4.09</v>
      </c>
      <c r="J97" s="64">
        <v>0.06</v>
      </c>
      <c r="K97" s="64">
        <v>216.1</v>
      </c>
      <c r="L97" s="64">
        <v>24.34</v>
      </c>
      <c r="M97" s="64">
        <v>101.59</v>
      </c>
      <c r="N97" s="64">
        <v>27</v>
      </c>
      <c r="O97" s="64">
        <v>0</v>
      </c>
      <c r="P97" s="64">
        <v>0.44</v>
      </c>
      <c r="Q97" s="64">
        <v>9.23</v>
      </c>
      <c r="R97" s="198"/>
      <c r="S97" s="198"/>
      <c r="T97" s="198"/>
      <c r="U97" s="198"/>
    </row>
    <row r="98" spans="1:33" s="12" customFormat="1" x14ac:dyDescent="0.25">
      <c r="A98" s="214" t="s">
        <v>3024</v>
      </c>
      <c r="B98" s="64">
        <v>4.91</v>
      </c>
      <c r="C98" s="64">
        <v>18.82</v>
      </c>
      <c r="D98" s="64">
        <v>28.47</v>
      </c>
      <c r="E98" s="64">
        <v>5.69</v>
      </c>
      <c r="F98" s="64">
        <v>8.4</v>
      </c>
      <c r="G98" s="64">
        <v>15</v>
      </c>
      <c r="H98" s="64">
        <v>1.91</v>
      </c>
      <c r="I98" s="64">
        <v>4.12</v>
      </c>
      <c r="J98" s="64">
        <v>0.03</v>
      </c>
      <c r="K98" s="64">
        <v>273.5</v>
      </c>
      <c r="L98" s="64">
        <v>24.39</v>
      </c>
      <c r="M98" s="64">
        <v>101.6</v>
      </c>
      <c r="N98" s="64">
        <v>26.9</v>
      </c>
      <c r="O98" s="64">
        <v>0</v>
      </c>
      <c r="P98" s="64">
        <v>0.44</v>
      </c>
      <c r="Q98" s="64">
        <v>9.23</v>
      </c>
      <c r="R98" s="198"/>
      <c r="S98" s="198"/>
      <c r="T98" s="198"/>
      <c r="U98" s="198"/>
    </row>
    <row r="99" spans="1:33" s="12" customFormat="1" x14ac:dyDescent="0.25">
      <c r="A99" s="214" t="s">
        <v>3025</v>
      </c>
      <c r="B99" s="64">
        <v>6.36</v>
      </c>
      <c r="C99" s="64">
        <v>17.059999999999999</v>
      </c>
      <c r="D99" s="64">
        <v>22.9</v>
      </c>
      <c r="E99" s="64">
        <v>5.82</v>
      </c>
      <c r="F99" s="64">
        <v>4.3099999999999996</v>
      </c>
      <c r="G99" s="64">
        <v>15</v>
      </c>
      <c r="H99" s="64">
        <v>1.91</v>
      </c>
      <c r="I99" s="64">
        <v>4.09</v>
      </c>
      <c r="J99" s="64">
        <v>0.27</v>
      </c>
      <c r="K99" s="64">
        <v>150.29</v>
      </c>
      <c r="L99" s="64">
        <v>24.43</v>
      </c>
      <c r="M99" s="64">
        <v>101.19</v>
      </c>
      <c r="N99" s="64">
        <v>27.4</v>
      </c>
      <c r="O99" s="64">
        <v>0</v>
      </c>
      <c r="P99" s="64">
        <v>0.49</v>
      </c>
      <c r="Q99" s="64">
        <v>9.23</v>
      </c>
      <c r="R99" s="198"/>
      <c r="S99" s="198"/>
      <c r="T99" s="198"/>
      <c r="U99" s="198"/>
    </row>
    <row r="100" spans="1:33" s="12" customFormat="1" x14ac:dyDescent="0.25">
      <c r="A100" s="214" t="s">
        <v>3026</v>
      </c>
      <c r="B100" s="64">
        <v>8.64</v>
      </c>
      <c r="C100" s="64">
        <v>19.11</v>
      </c>
      <c r="D100" s="64">
        <v>23.31</v>
      </c>
      <c r="E100" s="64">
        <v>5.69</v>
      </c>
      <c r="F100" s="64">
        <v>5.1100000000000003</v>
      </c>
      <c r="G100" s="64">
        <v>15</v>
      </c>
      <c r="H100" s="64">
        <v>1.91</v>
      </c>
      <c r="I100" s="64">
        <v>3.94</v>
      </c>
      <c r="J100" s="64">
        <v>0.09</v>
      </c>
      <c r="K100" s="64">
        <v>1.92</v>
      </c>
      <c r="L100" s="64">
        <v>24.4</v>
      </c>
      <c r="M100" s="64">
        <v>100.9</v>
      </c>
      <c r="N100" s="64">
        <v>27.1</v>
      </c>
      <c r="O100" s="64">
        <v>0</v>
      </c>
      <c r="P100" s="64">
        <v>0.5</v>
      </c>
      <c r="Q100" s="64">
        <v>9.23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3027</v>
      </c>
      <c r="B101" s="64">
        <v>12.73</v>
      </c>
      <c r="C101" s="64">
        <v>27.59</v>
      </c>
      <c r="D101" s="64">
        <v>33.26</v>
      </c>
      <c r="E101" s="64">
        <v>6.08</v>
      </c>
      <c r="F101" s="64">
        <v>6.24</v>
      </c>
      <c r="G101" s="64">
        <v>16.850000000000001</v>
      </c>
      <c r="H101" s="64">
        <v>1.89</v>
      </c>
      <c r="I101" s="64">
        <v>3.91</v>
      </c>
      <c r="J101" s="64">
        <v>0.2</v>
      </c>
      <c r="K101" s="64">
        <v>346.15</v>
      </c>
      <c r="L101" s="64">
        <v>24.36</v>
      </c>
      <c r="M101" s="64">
        <v>101.31</v>
      </c>
      <c r="N101" s="64">
        <v>26.7</v>
      </c>
      <c r="O101" s="64">
        <v>0</v>
      </c>
      <c r="P101" s="64">
        <v>0.57999999999999996</v>
      </c>
      <c r="Q101" s="64">
        <v>9.24</v>
      </c>
      <c r="R101" s="198"/>
      <c r="S101" s="198"/>
      <c r="T101" s="198"/>
      <c r="U101" s="198"/>
    </row>
    <row r="102" spans="1:33" s="12" customFormat="1" x14ac:dyDescent="0.25">
      <c r="A102" s="214" t="s">
        <v>3028</v>
      </c>
      <c r="B102" s="64">
        <v>8.41</v>
      </c>
      <c r="C102" s="64">
        <v>17.96</v>
      </c>
      <c r="D102" s="64">
        <v>21.45</v>
      </c>
      <c r="E102" s="64">
        <v>5.62</v>
      </c>
      <c r="F102" s="64">
        <v>4.87</v>
      </c>
      <c r="G102" s="64">
        <v>24.81</v>
      </c>
      <c r="H102" s="64">
        <v>1.78</v>
      </c>
      <c r="I102" s="64">
        <v>4.1100000000000003</v>
      </c>
      <c r="J102" s="64">
        <v>0.63</v>
      </c>
      <c r="K102" s="64">
        <v>331.44</v>
      </c>
      <c r="L102" s="64">
        <v>24.4</v>
      </c>
      <c r="M102" s="64">
        <v>100.9</v>
      </c>
      <c r="N102" s="64">
        <v>26.8</v>
      </c>
      <c r="O102" s="64">
        <v>0</v>
      </c>
      <c r="P102" s="64">
        <v>0.51</v>
      </c>
      <c r="Q102" s="64">
        <v>9.26</v>
      </c>
      <c r="R102" s="198"/>
      <c r="S102" s="198"/>
      <c r="T102" s="198"/>
      <c r="U102" s="198"/>
    </row>
    <row r="103" spans="1:33" s="12" customFormat="1" x14ac:dyDescent="0.25">
      <c r="A103" s="214" t="s">
        <v>3029</v>
      </c>
      <c r="B103" s="64">
        <v>10.28</v>
      </c>
      <c r="C103" s="64">
        <v>18.64</v>
      </c>
      <c r="D103" s="64">
        <v>19.91</v>
      </c>
      <c r="E103" s="64">
        <v>5.55</v>
      </c>
      <c r="F103" s="64">
        <v>4.49</v>
      </c>
      <c r="G103" s="64">
        <v>24.81</v>
      </c>
      <c r="H103" s="64">
        <v>1.78</v>
      </c>
      <c r="I103" s="64">
        <v>4.0199999999999996</v>
      </c>
      <c r="J103" s="64">
        <v>0.78</v>
      </c>
      <c r="K103" s="64">
        <v>339.8</v>
      </c>
      <c r="L103" s="64">
        <v>24.62</v>
      </c>
      <c r="M103" s="64">
        <v>101.02</v>
      </c>
      <c r="N103" s="64">
        <v>26.8</v>
      </c>
      <c r="O103" s="64">
        <v>0</v>
      </c>
      <c r="P103" s="64">
        <v>0.49</v>
      </c>
      <c r="Q103" s="64">
        <v>9.26</v>
      </c>
      <c r="R103" s="198"/>
      <c r="S103" s="198"/>
      <c r="T103" s="198"/>
      <c r="U103" s="198"/>
    </row>
    <row r="104" spans="1:33" s="12" customFormat="1" x14ac:dyDescent="0.25">
      <c r="A104" s="214" t="s">
        <v>3030</v>
      </c>
      <c r="B104" s="64">
        <v>9.08</v>
      </c>
      <c r="C104" s="64">
        <v>19.11</v>
      </c>
      <c r="D104" s="64">
        <v>22.63</v>
      </c>
      <c r="E104" s="64">
        <v>3.78</v>
      </c>
      <c r="F104" s="64">
        <v>6.01</v>
      </c>
      <c r="G104" s="64">
        <v>24.81</v>
      </c>
      <c r="H104" s="64">
        <v>1.78</v>
      </c>
      <c r="I104" s="64">
        <v>4.01</v>
      </c>
      <c r="J104" s="64">
        <v>7.0000000000000007E-2</v>
      </c>
      <c r="K104" s="64">
        <v>126.08</v>
      </c>
      <c r="L104" s="64">
        <v>24.58</v>
      </c>
      <c r="M104" s="64">
        <v>101.21</v>
      </c>
      <c r="N104" s="64">
        <v>26.9</v>
      </c>
      <c r="O104" s="64">
        <v>0</v>
      </c>
      <c r="P104" s="64">
        <v>0.49</v>
      </c>
      <c r="Q104" s="64">
        <v>9.27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3.68</v>
      </c>
      <c r="C106" s="67">
        <f>MIN(C9:C104)</f>
        <v>11.55</v>
      </c>
      <c r="D106" s="67">
        <f t="shared" ref="D106:Q106" si="0">MIN(D9:D104)</f>
        <v>15.34</v>
      </c>
      <c r="E106" s="67">
        <f t="shared" si="0"/>
        <v>3.78</v>
      </c>
      <c r="F106" s="67">
        <f t="shared" si="0"/>
        <v>3.28</v>
      </c>
      <c r="G106" s="67">
        <f t="shared" si="0"/>
        <v>15</v>
      </c>
      <c r="H106" s="67">
        <f t="shared" si="0"/>
        <v>0</v>
      </c>
      <c r="I106" s="67">
        <f t="shared" si="0"/>
        <v>3.81</v>
      </c>
      <c r="J106" s="67">
        <f t="shared" si="0"/>
        <v>0.01</v>
      </c>
      <c r="K106" s="67">
        <f t="shared" si="0"/>
        <v>1.4</v>
      </c>
      <c r="L106" s="67">
        <f t="shared" si="0"/>
        <v>22.21</v>
      </c>
      <c r="M106" s="67">
        <f t="shared" si="0"/>
        <v>45.51</v>
      </c>
      <c r="N106" s="67">
        <f t="shared" si="0"/>
        <v>26.1</v>
      </c>
      <c r="O106" s="67">
        <f t="shared" si="0"/>
        <v>0</v>
      </c>
      <c r="P106" s="67">
        <f t="shared" si="0"/>
        <v>0.3</v>
      </c>
      <c r="Q106" s="67">
        <f t="shared" si="0"/>
        <v>9.08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12.73</v>
      </c>
      <c r="C107" s="66">
        <f t="shared" ref="C107:Q107" si="1">MAX(C9:C104)</f>
        <v>27.59</v>
      </c>
      <c r="D107" s="66">
        <f t="shared" si="1"/>
        <v>39.799999999999997</v>
      </c>
      <c r="E107" s="66">
        <f t="shared" si="1"/>
        <v>7.71</v>
      </c>
      <c r="F107" s="66">
        <f t="shared" si="1"/>
        <v>24.52</v>
      </c>
      <c r="G107" s="66">
        <f t="shared" si="1"/>
        <v>45.84</v>
      </c>
      <c r="H107" s="66">
        <f t="shared" si="1"/>
        <v>991.42</v>
      </c>
      <c r="I107" s="66">
        <f t="shared" si="1"/>
        <v>4.21</v>
      </c>
      <c r="J107" s="66">
        <f t="shared" si="1"/>
        <v>1.62</v>
      </c>
      <c r="K107" s="66">
        <f t="shared" si="1"/>
        <v>351.5</v>
      </c>
      <c r="L107" s="66">
        <f t="shared" si="1"/>
        <v>36.380000000000003</v>
      </c>
      <c r="M107" s="66">
        <f t="shared" si="1"/>
        <v>102.65</v>
      </c>
      <c r="N107" s="66">
        <f t="shared" si="1"/>
        <v>825.1</v>
      </c>
      <c r="O107" s="66">
        <f t="shared" si="1"/>
        <v>2.4</v>
      </c>
      <c r="P107" s="66">
        <f t="shared" si="1"/>
        <v>0.88</v>
      </c>
      <c r="Q107" s="66">
        <f t="shared" si="1"/>
        <v>9.27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5.6425000000000018</v>
      </c>
      <c r="C108" s="67">
        <f t="shared" ref="C108:Q108" si="2">AVERAGE(C9:C104)</f>
        <v>16.812291666666667</v>
      </c>
      <c r="D108" s="67">
        <f t="shared" si="2"/>
        <v>23.517708333333331</v>
      </c>
      <c r="E108" s="67">
        <f t="shared" si="2"/>
        <v>5.4930208333333326</v>
      </c>
      <c r="F108" s="67">
        <f t="shared" si="2"/>
        <v>8.2937500000000064</v>
      </c>
      <c r="G108" s="67">
        <f t="shared" si="2"/>
        <v>28.92927083333333</v>
      </c>
      <c r="H108" s="67">
        <f t="shared" si="2"/>
        <v>50.279479166666668</v>
      </c>
      <c r="I108" s="67">
        <f t="shared" si="2"/>
        <v>4.003854166666664</v>
      </c>
      <c r="J108" s="67">
        <f t="shared" si="2"/>
        <v>0.2950000000000001</v>
      </c>
      <c r="K108" s="67">
        <f t="shared" si="2"/>
        <v>239.99208333333345</v>
      </c>
      <c r="L108" s="67">
        <f t="shared" si="2"/>
        <v>27.6640625</v>
      </c>
      <c r="M108" s="67">
        <f t="shared" si="2"/>
        <v>85.21135416666668</v>
      </c>
      <c r="N108" s="67">
        <f t="shared" si="2"/>
        <v>218.83854166666663</v>
      </c>
      <c r="O108" s="67">
        <f t="shared" si="2"/>
        <v>5.6250000000000015E-2</v>
      </c>
      <c r="P108" s="67">
        <f t="shared" si="2"/>
        <v>0.52572916666666647</v>
      </c>
      <c r="Q108" s="67">
        <f t="shared" si="2"/>
        <v>9.1653125000000077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1.6364866088827636</v>
      </c>
      <c r="C109" s="67">
        <f t="shared" ref="C109:Q109" si="3">STDEV(C9:C104)</f>
        <v>3.2750898675228615</v>
      </c>
      <c r="D109" s="67">
        <f t="shared" si="3"/>
        <v>5.443262465831495</v>
      </c>
      <c r="E109" s="67">
        <f t="shared" si="3"/>
        <v>0.89203625108266382</v>
      </c>
      <c r="F109" s="67">
        <f t="shared" si="3"/>
        <v>4.860976347672497</v>
      </c>
      <c r="G109" s="67">
        <f t="shared" si="3"/>
        <v>8.5961979655380283</v>
      </c>
      <c r="H109" s="67">
        <f t="shared" si="3"/>
        <v>189.08086525343859</v>
      </c>
      <c r="I109" s="67">
        <f t="shared" si="3"/>
        <v>8.4247377490549127E-2</v>
      </c>
      <c r="J109" s="67">
        <f t="shared" si="3"/>
        <v>0.28659893120599911</v>
      </c>
      <c r="K109" s="67">
        <f t="shared" si="3"/>
        <v>69.248757555514302</v>
      </c>
      <c r="L109" s="67">
        <f t="shared" si="3"/>
        <v>4.6987392660999658</v>
      </c>
      <c r="M109" s="67">
        <f t="shared" si="3"/>
        <v>21.265385891027069</v>
      </c>
      <c r="N109" s="67">
        <f t="shared" si="3"/>
        <v>268.60380072154874</v>
      </c>
      <c r="O109" s="67">
        <f t="shared" si="3"/>
        <v>0.32013566203293115</v>
      </c>
      <c r="P109" s="67">
        <f t="shared" si="3"/>
        <v>0.1498964189148928</v>
      </c>
      <c r="Q109" s="67">
        <f t="shared" si="3"/>
        <v>4.8143494395729035E-2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COUNT(I9:I104)+17</f>
        <v>113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C1" zoomScale="85" zoomScaleNormal="85" workbookViewId="0">
      <pane ySplit="8" topLeftCell="A36" activePane="bottomLeft" state="frozen"/>
      <selection activeCell="N106" sqref="N106:P109"/>
      <selection pane="bottomLeft" activeCell="T17" sqref="T1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224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3031</v>
      </c>
      <c r="B9" s="64">
        <v>9.48</v>
      </c>
      <c r="C9" s="64">
        <v>20.61</v>
      </c>
      <c r="D9" s="64">
        <v>24.89</v>
      </c>
      <c r="E9" s="64">
        <v>4.1900000000000004</v>
      </c>
      <c r="F9" s="64">
        <v>5.83</v>
      </c>
      <c r="G9" s="64">
        <v>26.7</v>
      </c>
      <c r="H9" s="64">
        <v>5.4</v>
      </c>
      <c r="I9" s="64">
        <v>4.1100000000000003</v>
      </c>
      <c r="J9" s="64">
        <v>0.05</v>
      </c>
      <c r="K9" s="64">
        <v>317.95999999999998</v>
      </c>
      <c r="L9" s="64">
        <v>24.45</v>
      </c>
      <c r="M9" s="64">
        <v>100.88</v>
      </c>
      <c r="N9" s="64">
        <v>26.8</v>
      </c>
      <c r="O9" s="64">
        <v>0</v>
      </c>
      <c r="P9" s="64">
        <v>0.57999999999999996</v>
      </c>
      <c r="Q9" s="64">
        <v>9.27</v>
      </c>
      <c r="R9" s="198"/>
      <c r="S9" s="198"/>
      <c r="T9" s="198"/>
      <c r="U9" s="198"/>
    </row>
    <row r="10" spans="1:21" s="12" customFormat="1" x14ac:dyDescent="0.25">
      <c r="A10" s="214" t="s">
        <v>3032</v>
      </c>
      <c r="B10" s="64">
        <v>8.61</v>
      </c>
      <c r="C10" s="64">
        <v>20.29</v>
      </c>
      <c r="D10" s="64">
        <v>25.63</v>
      </c>
      <c r="E10" s="64">
        <v>4.18</v>
      </c>
      <c r="F10" s="64">
        <v>5</v>
      </c>
      <c r="G10" s="64">
        <v>34.26</v>
      </c>
      <c r="H10" s="64">
        <v>19.850000000000001</v>
      </c>
      <c r="I10" s="64">
        <v>4.03</v>
      </c>
      <c r="J10" s="64">
        <v>0.25</v>
      </c>
      <c r="K10" s="64">
        <v>316.5</v>
      </c>
      <c r="L10" s="64">
        <v>24.43</v>
      </c>
      <c r="M10" s="64">
        <v>100.94</v>
      </c>
      <c r="N10" s="64">
        <v>26.5</v>
      </c>
      <c r="O10" s="64">
        <v>0</v>
      </c>
      <c r="P10" s="64">
        <v>0.57999999999999996</v>
      </c>
      <c r="Q10" s="64">
        <v>9.27</v>
      </c>
      <c r="R10" s="198"/>
      <c r="S10" s="198"/>
      <c r="T10" s="198"/>
      <c r="U10" s="198"/>
    </row>
    <row r="11" spans="1:21" s="12" customFormat="1" x14ac:dyDescent="0.25">
      <c r="A11" s="214" t="s">
        <v>3033</v>
      </c>
      <c r="B11" s="64">
        <v>8.8000000000000007</v>
      </c>
      <c r="C11" s="64">
        <v>18.12</v>
      </c>
      <c r="D11" s="64">
        <v>21.17</v>
      </c>
      <c r="E11" s="64">
        <v>3.69</v>
      </c>
      <c r="F11" s="64">
        <v>5.04</v>
      </c>
      <c r="G11" s="64">
        <v>34.26</v>
      </c>
      <c r="H11" s="64">
        <v>19.850000000000001</v>
      </c>
      <c r="I11" s="64">
        <v>3.89</v>
      </c>
      <c r="J11" s="64">
        <v>0.33</v>
      </c>
      <c r="K11" s="64">
        <v>327.02</v>
      </c>
      <c r="L11" s="64">
        <v>24.45</v>
      </c>
      <c r="M11" s="64">
        <v>100.99</v>
      </c>
      <c r="N11" s="64">
        <v>26.7</v>
      </c>
      <c r="O11" s="64">
        <v>0</v>
      </c>
      <c r="P11" s="64">
        <v>0.51</v>
      </c>
      <c r="Q11" s="64">
        <v>9.27</v>
      </c>
      <c r="R11" s="198"/>
      <c r="S11" s="198"/>
      <c r="T11" s="198"/>
      <c r="U11" s="198"/>
    </row>
    <row r="12" spans="1:21" s="12" customFormat="1" x14ac:dyDescent="0.25">
      <c r="A12" s="214" t="s">
        <v>3034</v>
      </c>
      <c r="B12" s="64">
        <v>7.85</v>
      </c>
      <c r="C12" s="64">
        <v>16.98</v>
      </c>
      <c r="D12" s="64">
        <v>20.46</v>
      </c>
      <c r="E12" s="64">
        <v>4</v>
      </c>
      <c r="F12" s="64">
        <v>6.17</v>
      </c>
      <c r="G12" s="64">
        <v>34.26</v>
      </c>
      <c r="H12" s="64">
        <v>19.850000000000001</v>
      </c>
      <c r="I12" s="64">
        <v>3.94</v>
      </c>
      <c r="J12" s="64">
        <v>0.15</v>
      </c>
      <c r="K12" s="64">
        <v>164.74</v>
      </c>
      <c r="L12" s="64">
        <v>24.6</v>
      </c>
      <c r="M12" s="64">
        <v>101.17</v>
      </c>
      <c r="N12" s="64">
        <v>26.6</v>
      </c>
      <c r="O12" s="64">
        <v>0</v>
      </c>
      <c r="P12" s="64">
        <v>0.5</v>
      </c>
      <c r="Q12" s="64">
        <v>9.26</v>
      </c>
      <c r="R12" s="198"/>
      <c r="S12" s="198"/>
      <c r="T12" s="198"/>
      <c r="U12" s="198"/>
    </row>
    <row r="13" spans="1:21" s="12" customFormat="1" x14ac:dyDescent="0.25">
      <c r="A13" s="214" t="s">
        <v>3035</v>
      </c>
      <c r="B13" s="64">
        <v>5.81</v>
      </c>
      <c r="C13" s="64">
        <v>16.98</v>
      </c>
      <c r="D13" s="64">
        <v>23.58</v>
      </c>
      <c r="E13" s="64">
        <v>3.8</v>
      </c>
      <c r="F13" s="64">
        <v>9.93</v>
      </c>
      <c r="G13" s="64">
        <v>34.14</v>
      </c>
      <c r="H13" s="64">
        <v>17.68</v>
      </c>
      <c r="I13" s="64">
        <v>3.95</v>
      </c>
      <c r="J13" s="64">
        <v>0.06</v>
      </c>
      <c r="K13" s="64">
        <v>222.84</v>
      </c>
      <c r="L13" s="64">
        <v>24.71</v>
      </c>
      <c r="M13" s="64">
        <v>101.31</v>
      </c>
      <c r="N13" s="64">
        <v>26.5</v>
      </c>
      <c r="O13" s="64">
        <v>0</v>
      </c>
      <c r="P13" s="64">
        <v>0.43</v>
      </c>
      <c r="Q13" s="64">
        <v>9.26</v>
      </c>
      <c r="R13" s="198"/>
      <c r="S13" s="198"/>
      <c r="T13" s="198"/>
      <c r="U13" s="198"/>
    </row>
    <row r="14" spans="1:21" s="12" customFormat="1" x14ac:dyDescent="0.25">
      <c r="A14" s="214" t="s">
        <v>3036</v>
      </c>
      <c r="B14" s="64">
        <v>10.69</v>
      </c>
      <c r="C14" s="64">
        <v>25.48</v>
      </c>
      <c r="D14" s="64">
        <v>32.35</v>
      </c>
      <c r="E14" s="64">
        <v>3.76</v>
      </c>
      <c r="F14" s="64">
        <v>7.56</v>
      </c>
      <c r="G14" s="64">
        <v>33.6</v>
      </c>
      <c r="H14" s="64">
        <v>8.36</v>
      </c>
      <c r="I14" s="64">
        <v>4.07</v>
      </c>
      <c r="J14" s="64">
        <v>0.13</v>
      </c>
      <c r="K14" s="64">
        <v>169.01</v>
      </c>
      <c r="L14" s="64">
        <v>24.74</v>
      </c>
      <c r="M14" s="64">
        <v>101.33</v>
      </c>
      <c r="N14" s="64">
        <v>26.3</v>
      </c>
      <c r="O14" s="64">
        <v>0</v>
      </c>
      <c r="P14" s="64">
        <v>0.46</v>
      </c>
      <c r="Q14" s="64">
        <v>9.26</v>
      </c>
      <c r="R14" s="198"/>
      <c r="S14" s="198"/>
      <c r="T14" s="198"/>
      <c r="U14" s="198"/>
    </row>
    <row r="15" spans="1:21" s="12" customFormat="1" x14ac:dyDescent="0.25">
      <c r="A15" s="214" t="s">
        <v>3037</v>
      </c>
      <c r="B15" s="64">
        <v>12.94</v>
      </c>
      <c r="C15" s="64">
        <v>28.5</v>
      </c>
      <c r="D15" s="64">
        <v>34.68</v>
      </c>
      <c r="E15" s="64">
        <v>4.1100000000000003</v>
      </c>
      <c r="F15" s="64">
        <v>6.88</v>
      </c>
      <c r="G15" s="64">
        <v>33.6</v>
      </c>
      <c r="H15" s="64">
        <v>8.36</v>
      </c>
      <c r="I15" s="64">
        <v>4.1500000000000004</v>
      </c>
      <c r="J15" s="64">
        <v>0.14000000000000001</v>
      </c>
      <c r="K15" s="64">
        <v>170.78</v>
      </c>
      <c r="L15" s="64">
        <v>24.74</v>
      </c>
      <c r="M15" s="64">
        <v>101.38</v>
      </c>
      <c r="N15" s="64">
        <v>26.3</v>
      </c>
      <c r="O15" s="64">
        <v>0</v>
      </c>
      <c r="P15" s="64">
        <v>0.46</v>
      </c>
      <c r="Q15" s="64">
        <v>9.2799999999999994</v>
      </c>
      <c r="R15" s="198"/>
      <c r="S15" s="198"/>
      <c r="T15" s="198"/>
      <c r="U15" s="198"/>
    </row>
    <row r="16" spans="1:21" s="12" customFormat="1" x14ac:dyDescent="0.25">
      <c r="A16" s="214" t="s">
        <v>3038</v>
      </c>
      <c r="B16" s="64">
        <v>9.14</v>
      </c>
      <c r="C16" s="64">
        <v>21.02</v>
      </c>
      <c r="D16" s="64">
        <v>26.2</v>
      </c>
      <c r="E16" s="64">
        <v>4.1399999999999997</v>
      </c>
      <c r="F16" s="64">
        <v>9.1300000000000008</v>
      </c>
      <c r="G16" s="64">
        <v>33.6</v>
      </c>
      <c r="H16" s="64">
        <v>8.36</v>
      </c>
      <c r="I16" s="64">
        <v>3.93</v>
      </c>
      <c r="J16" s="64">
        <v>0.47</v>
      </c>
      <c r="K16" s="64">
        <v>148.63999999999999</v>
      </c>
      <c r="L16" s="64">
        <v>24.76</v>
      </c>
      <c r="M16" s="64">
        <v>101.4</v>
      </c>
      <c r="N16" s="64">
        <v>26.1</v>
      </c>
      <c r="O16" s="64">
        <v>0</v>
      </c>
      <c r="P16" s="64">
        <v>0.46</v>
      </c>
      <c r="Q16" s="64">
        <v>9.3000000000000007</v>
      </c>
      <c r="R16" s="198"/>
      <c r="S16" s="198"/>
      <c r="T16" s="198"/>
      <c r="U16" s="198"/>
    </row>
    <row r="17" spans="1:21" s="12" customFormat="1" x14ac:dyDescent="0.25">
      <c r="A17" s="214" t="s">
        <v>3039</v>
      </c>
      <c r="B17" s="64">
        <v>7.05</v>
      </c>
      <c r="C17" s="64">
        <v>21.15</v>
      </c>
      <c r="D17" s="64">
        <v>29.66</v>
      </c>
      <c r="E17" s="64">
        <v>3.69</v>
      </c>
      <c r="F17" s="64">
        <v>8.1</v>
      </c>
      <c r="G17" s="64">
        <v>33.11</v>
      </c>
      <c r="H17" s="64">
        <v>10.08</v>
      </c>
      <c r="I17" s="64">
        <v>4.05</v>
      </c>
      <c r="J17" s="64">
        <v>0.02</v>
      </c>
      <c r="K17" s="64">
        <v>212.24</v>
      </c>
      <c r="L17" s="64">
        <v>24.77</v>
      </c>
      <c r="M17" s="64">
        <v>101.39</v>
      </c>
      <c r="N17" s="64">
        <v>26.4</v>
      </c>
      <c r="O17" s="64">
        <v>0</v>
      </c>
      <c r="P17" s="64">
        <v>0.44</v>
      </c>
      <c r="Q17" s="64">
        <v>9.31</v>
      </c>
      <c r="R17" s="198"/>
      <c r="S17" s="198"/>
      <c r="T17" s="198"/>
      <c r="U17" s="198"/>
    </row>
    <row r="18" spans="1:21" s="12" customFormat="1" x14ac:dyDescent="0.25">
      <c r="A18" s="214" t="s">
        <v>3040</v>
      </c>
      <c r="B18" s="64">
        <v>9.75</v>
      </c>
      <c r="C18" s="64">
        <v>25.79</v>
      </c>
      <c r="D18" s="64">
        <v>34.39</v>
      </c>
      <c r="E18" s="64">
        <v>4.12</v>
      </c>
      <c r="F18" s="64">
        <v>6.41</v>
      </c>
      <c r="G18" s="64">
        <v>30.99</v>
      </c>
      <c r="H18" s="64">
        <v>17.48</v>
      </c>
      <c r="I18" s="64">
        <v>4.01</v>
      </c>
      <c r="J18" s="64">
        <v>0.09</v>
      </c>
      <c r="K18" s="64">
        <v>211.19</v>
      </c>
      <c r="L18" s="64">
        <v>24.76</v>
      </c>
      <c r="M18" s="64">
        <v>101.35</v>
      </c>
      <c r="N18" s="64">
        <v>26.4</v>
      </c>
      <c r="O18" s="64">
        <v>0</v>
      </c>
      <c r="P18" s="64">
        <v>0.43</v>
      </c>
      <c r="Q18" s="64">
        <v>9.32</v>
      </c>
      <c r="R18" s="198"/>
      <c r="S18" s="198"/>
      <c r="T18" s="198"/>
      <c r="U18" s="198"/>
    </row>
    <row r="19" spans="1:21" s="12" customFormat="1" x14ac:dyDescent="0.25">
      <c r="A19" s="214" t="s">
        <v>3041</v>
      </c>
      <c r="B19" s="64">
        <v>7.92</v>
      </c>
      <c r="C19" s="64">
        <v>22.59</v>
      </c>
      <c r="D19" s="64">
        <v>31.08</v>
      </c>
      <c r="E19" s="64">
        <v>4.1399999999999997</v>
      </c>
      <c r="F19" s="64">
        <v>7.96</v>
      </c>
      <c r="G19" s="64">
        <v>30.99</v>
      </c>
      <c r="H19" s="64">
        <v>17.48</v>
      </c>
      <c r="I19" s="64">
        <v>3.92</v>
      </c>
      <c r="J19" s="64">
        <v>0.09</v>
      </c>
      <c r="K19" s="64">
        <v>210.07</v>
      </c>
      <c r="L19" s="64">
        <v>24.77</v>
      </c>
      <c r="M19" s="64">
        <v>101.39</v>
      </c>
      <c r="N19" s="64">
        <v>26.4</v>
      </c>
      <c r="O19" s="64">
        <v>0</v>
      </c>
      <c r="P19" s="64">
        <v>0.42</v>
      </c>
      <c r="Q19" s="64">
        <v>9.35</v>
      </c>
      <c r="R19" s="198"/>
      <c r="S19" s="198"/>
      <c r="T19" s="198"/>
      <c r="U19" s="198"/>
    </row>
    <row r="20" spans="1:21" s="12" customFormat="1" x14ac:dyDescent="0.25">
      <c r="A20" s="214" t="s">
        <v>3042</v>
      </c>
      <c r="B20" s="64">
        <v>10.78</v>
      </c>
      <c r="C20" s="64">
        <v>22.98</v>
      </c>
      <c r="D20" s="64">
        <v>27.43</v>
      </c>
      <c r="E20" s="64">
        <v>3.74</v>
      </c>
      <c r="F20" s="64">
        <v>6.71</v>
      </c>
      <c r="G20" s="64">
        <v>30.99</v>
      </c>
      <c r="H20" s="64">
        <v>17.48</v>
      </c>
      <c r="I20" s="64">
        <v>4.03</v>
      </c>
      <c r="J20" s="64">
        <v>0.11</v>
      </c>
      <c r="K20" s="64">
        <v>214.36</v>
      </c>
      <c r="L20" s="64">
        <v>24.71</v>
      </c>
      <c r="M20" s="64">
        <v>101.41</v>
      </c>
      <c r="N20" s="64">
        <v>26.3</v>
      </c>
      <c r="O20" s="64">
        <v>0</v>
      </c>
      <c r="P20" s="64">
        <v>0.44</v>
      </c>
      <c r="Q20" s="64">
        <v>9.35</v>
      </c>
      <c r="R20" s="198"/>
      <c r="S20" s="198"/>
      <c r="T20" s="198"/>
      <c r="U20" s="198"/>
    </row>
    <row r="21" spans="1:21" s="12" customFormat="1" x14ac:dyDescent="0.25">
      <c r="A21" s="214" t="s">
        <v>3043</v>
      </c>
      <c r="B21" s="64">
        <v>14.22</v>
      </c>
      <c r="C21" s="64">
        <v>22.75</v>
      </c>
      <c r="D21" s="64">
        <v>21.7</v>
      </c>
      <c r="E21" s="64">
        <v>4.22</v>
      </c>
      <c r="F21" s="64">
        <v>4.55</v>
      </c>
      <c r="G21" s="64">
        <v>31.06</v>
      </c>
      <c r="H21" s="64">
        <v>15.63</v>
      </c>
      <c r="I21" s="64">
        <v>3.92</v>
      </c>
      <c r="J21" s="64">
        <v>0.08</v>
      </c>
      <c r="K21" s="64">
        <v>233.24</v>
      </c>
      <c r="L21" s="64">
        <v>24.69</v>
      </c>
      <c r="M21" s="64">
        <v>101.35</v>
      </c>
      <c r="N21" s="64">
        <v>26.3</v>
      </c>
      <c r="O21" s="64">
        <v>0</v>
      </c>
      <c r="P21" s="64">
        <v>0.5</v>
      </c>
      <c r="Q21" s="64">
        <v>9.34</v>
      </c>
      <c r="R21" s="198"/>
      <c r="S21" s="198"/>
      <c r="T21" s="198"/>
      <c r="U21" s="198"/>
    </row>
    <row r="22" spans="1:21" s="12" customFormat="1" x14ac:dyDescent="0.25">
      <c r="A22" s="214" t="s">
        <v>3044</v>
      </c>
      <c r="B22" s="64">
        <v>13.63</v>
      </c>
      <c r="C22" s="64">
        <v>25.96</v>
      </c>
      <c r="D22" s="64">
        <v>28.77</v>
      </c>
      <c r="E22" s="64">
        <v>3.75</v>
      </c>
      <c r="F22" s="64">
        <v>4.97</v>
      </c>
      <c r="G22" s="64">
        <v>31.34</v>
      </c>
      <c r="H22" s="64">
        <v>7.69</v>
      </c>
      <c r="I22" s="64">
        <v>4.12</v>
      </c>
      <c r="J22" s="64">
        <v>0.08</v>
      </c>
      <c r="K22" s="64">
        <v>212.15</v>
      </c>
      <c r="L22" s="64">
        <v>24.71</v>
      </c>
      <c r="M22" s="64">
        <v>101.18</v>
      </c>
      <c r="N22" s="64">
        <v>26.2</v>
      </c>
      <c r="O22" s="64">
        <v>0</v>
      </c>
      <c r="P22" s="64">
        <v>0.62</v>
      </c>
      <c r="Q22" s="64">
        <v>9.34</v>
      </c>
      <c r="R22" s="198"/>
      <c r="S22" s="198"/>
      <c r="T22" s="198"/>
      <c r="U22" s="198"/>
    </row>
    <row r="23" spans="1:21" s="12" customFormat="1" x14ac:dyDescent="0.25">
      <c r="A23" s="214" t="s">
        <v>3045</v>
      </c>
      <c r="B23" s="64">
        <v>12.66</v>
      </c>
      <c r="C23" s="64">
        <v>22.76</v>
      </c>
      <c r="D23" s="64">
        <v>24.14</v>
      </c>
      <c r="E23" s="64">
        <v>3.82</v>
      </c>
      <c r="F23" s="64">
        <v>5</v>
      </c>
      <c r="G23" s="64">
        <v>31.34</v>
      </c>
      <c r="H23" s="64">
        <v>7.69</v>
      </c>
      <c r="I23" s="64">
        <v>3.99</v>
      </c>
      <c r="J23" s="64">
        <v>0.2</v>
      </c>
      <c r="K23" s="64">
        <v>154.57</v>
      </c>
      <c r="L23" s="64">
        <v>24.66</v>
      </c>
      <c r="M23" s="64">
        <v>101.33</v>
      </c>
      <c r="N23" s="64">
        <v>26.2</v>
      </c>
      <c r="O23" s="64">
        <v>0</v>
      </c>
      <c r="P23" s="64">
        <v>0.55000000000000004</v>
      </c>
      <c r="Q23" s="64">
        <v>9.3800000000000008</v>
      </c>
      <c r="R23" s="198"/>
      <c r="S23" s="198"/>
      <c r="T23" s="198"/>
      <c r="U23" s="198"/>
    </row>
    <row r="24" spans="1:21" s="12" customFormat="1" x14ac:dyDescent="0.25">
      <c r="A24" s="214" t="s">
        <v>3046</v>
      </c>
      <c r="B24" s="64">
        <v>14.15</v>
      </c>
      <c r="C24" s="64">
        <v>23.41</v>
      </c>
      <c r="D24" s="64">
        <v>23.07</v>
      </c>
      <c r="E24" s="64">
        <v>3.8</v>
      </c>
      <c r="F24" s="64">
        <v>3.94</v>
      </c>
      <c r="G24" s="64">
        <v>31.34</v>
      </c>
      <c r="H24" s="64">
        <v>7.69</v>
      </c>
      <c r="I24" s="64">
        <v>4.1900000000000004</v>
      </c>
      <c r="J24" s="64">
        <v>0.08</v>
      </c>
      <c r="K24" s="64">
        <v>163.09</v>
      </c>
      <c r="L24" s="64">
        <v>24.53</v>
      </c>
      <c r="M24" s="64">
        <v>101.34</v>
      </c>
      <c r="N24" s="64">
        <v>26.3</v>
      </c>
      <c r="O24" s="64">
        <v>0</v>
      </c>
      <c r="P24" s="64">
        <v>0.57999999999999996</v>
      </c>
      <c r="Q24" s="64">
        <v>9.39</v>
      </c>
      <c r="R24" s="198"/>
      <c r="S24" s="198"/>
      <c r="T24" s="198"/>
      <c r="U24" s="198"/>
    </row>
    <row r="25" spans="1:21" s="12" customFormat="1" x14ac:dyDescent="0.25">
      <c r="A25" s="214" t="s">
        <v>3047</v>
      </c>
      <c r="B25" s="64">
        <v>11.97</v>
      </c>
      <c r="C25" s="64">
        <v>21.75</v>
      </c>
      <c r="D25" s="64">
        <v>23.25</v>
      </c>
      <c r="E25" s="64">
        <v>3.65</v>
      </c>
      <c r="F25" s="64">
        <v>5.6</v>
      </c>
      <c r="G25" s="64">
        <v>31.6</v>
      </c>
      <c r="H25" s="64">
        <v>6.91</v>
      </c>
      <c r="I25" s="64">
        <v>4.1100000000000003</v>
      </c>
      <c r="J25" s="64">
        <v>7.0000000000000007E-2</v>
      </c>
      <c r="K25" s="64">
        <v>218.52</v>
      </c>
      <c r="L25" s="64">
        <v>24.44</v>
      </c>
      <c r="M25" s="64">
        <v>101.44</v>
      </c>
      <c r="N25" s="64">
        <v>26.3</v>
      </c>
      <c r="O25" s="64">
        <v>0</v>
      </c>
      <c r="P25" s="64">
        <v>0.61</v>
      </c>
      <c r="Q25" s="64">
        <v>9.4</v>
      </c>
      <c r="R25" s="198"/>
      <c r="S25" s="198"/>
      <c r="T25" s="198"/>
      <c r="U25" s="198"/>
    </row>
    <row r="26" spans="1:21" s="12" customFormat="1" x14ac:dyDescent="0.25">
      <c r="A26" s="214" t="s">
        <v>3048</v>
      </c>
      <c r="B26" s="64">
        <v>12.29</v>
      </c>
      <c r="C26" s="64">
        <v>20.05</v>
      </c>
      <c r="D26" s="64">
        <v>19.5</v>
      </c>
      <c r="E26" s="64">
        <v>3.84</v>
      </c>
      <c r="F26" s="64">
        <v>4.3499999999999996</v>
      </c>
      <c r="G26" s="64">
        <v>32.75</v>
      </c>
      <c r="H26" s="64">
        <v>3.54</v>
      </c>
      <c r="I26" s="64">
        <v>4.12</v>
      </c>
      <c r="J26" s="64">
        <v>0.14000000000000001</v>
      </c>
      <c r="K26" s="64">
        <v>147.57</v>
      </c>
      <c r="L26" s="64">
        <v>24.43</v>
      </c>
      <c r="M26" s="64">
        <v>101.44</v>
      </c>
      <c r="N26" s="64">
        <v>26.1</v>
      </c>
      <c r="O26" s="64">
        <v>0</v>
      </c>
      <c r="P26" s="64">
        <v>0.56000000000000005</v>
      </c>
      <c r="Q26" s="64">
        <v>9.4</v>
      </c>
      <c r="R26" s="198"/>
      <c r="S26" s="198"/>
      <c r="T26" s="198"/>
      <c r="U26" s="198"/>
    </row>
    <row r="27" spans="1:21" s="12" customFormat="1" x14ac:dyDescent="0.25">
      <c r="A27" s="214" t="s">
        <v>3049</v>
      </c>
      <c r="B27" s="64">
        <v>11.71</v>
      </c>
      <c r="C27" s="64">
        <v>20.27</v>
      </c>
      <c r="D27" s="64">
        <v>20.84</v>
      </c>
      <c r="E27" s="64">
        <v>3.75</v>
      </c>
      <c r="F27" s="64">
        <v>4.79</v>
      </c>
      <c r="G27" s="64">
        <v>32.75</v>
      </c>
      <c r="H27" s="64">
        <v>3.54</v>
      </c>
      <c r="I27" s="64">
        <v>3.91</v>
      </c>
      <c r="J27" s="64">
        <v>0.08</v>
      </c>
      <c r="K27" s="64">
        <v>210.93</v>
      </c>
      <c r="L27" s="64">
        <v>24.46</v>
      </c>
      <c r="M27" s="64">
        <v>101.49</v>
      </c>
      <c r="N27" s="64">
        <v>26.1</v>
      </c>
      <c r="O27" s="64">
        <v>0</v>
      </c>
      <c r="P27" s="64">
        <v>0.56000000000000005</v>
      </c>
      <c r="Q27" s="64">
        <v>9.4</v>
      </c>
      <c r="R27" s="198"/>
      <c r="S27" s="198"/>
      <c r="T27" s="198"/>
      <c r="U27" s="198"/>
    </row>
    <row r="28" spans="1:21" s="12" customFormat="1" x14ac:dyDescent="0.25">
      <c r="A28" s="214" t="s">
        <v>3050</v>
      </c>
      <c r="B28" s="64">
        <v>11.39</v>
      </c>
      <c r="C28" s="64">
        <v>19.77</v>
      </c>
      <c r="D28" s="64">
        <v>20.350000000000001</v>
      </c>
      <c r="E28" s="64">
        <v>3.91</v>
      </c>
      <c r="F28" s="64">
        <v>4.58</v>
      </c>
      <c r="G28" s="64">
        <v>32.75</v>
      </c>
      <c r="H28" s="64">
        <v>3.54</v>
      </c>
      <c r="I28" s="64">
        <v>4.01</v>
      </c>
      <c r="J28" s="64">
        <v>0.12</v>
      </c>
      <c r="K28" s="64">
        <v>157.26</v>
      </c>
      <c r="L28" s="64">
        <v>24.52</v>
      </c>
      <c r="M28" s="64">
        <v>101.48</v>
      </c>
      <c r="N28" s="64">
        <v>26.1</v>
      </c>
      <c r="O28" s="64">
        <v>0</v>
      </c>
      <c r="P28" s="64">
        <v>0.56000000000000005</v>
      </c>
      <c r="Q28" s="64">
        <v>9.4</v>
      </c>
      <c r="R28" s="198"/>
      <c r="S28" s="198"/>
      <c r="T28" s="198"/>
      <c r="U28" s="198"/>
    </row>
    <row r="29" spans="1:21" s="12" customFormat="1" x14ac:dyDescent="0.25">
      <c r="A29" s="214" t="s">
        <v>3051</v>
      </c>
      <c r="B29" s="64">
        <v>11.88</v>
      </c>
      <c r="C29" s="64">
        <v>19.940000000000001</v>
      </c>
      <c r="D29" s="64">
        <v>19.920000000000002</v>
      </c>
      <c r="E29" s="64">
        <v>4.04</v>
      </c>
      <c r="F29" s="64">
        <v>4.13</v>
      </c>
      <c r="G29" s="64">
        <v>33.15</v>
      </c>
      <c r="H29" s="64">
        <v>23.82</v>
      </c>
      <c r="I29" s="64">
        <v>4.1399999999999997</v>
      </c>
      <c r="J29" s="64">
        <v>0.11</v>
      </c>
      <c r="K29" s="64">
        <v>170.49</v>
      </c>
      <c r="L29" s="64">
        <v>24.6</v>
      </c>
      <c r="M29" s="64">
        <v>101.48</v>
      </c>
      <c r="N29" s="64">
        <v>26.7</v>
      </c>
      <c r="O29" s="64">
        <v>0</v>
      </c>
      <c r="P29" s="64">
        <v>0.56000000000000005</v>
      </c>
      <c r="Q29" s="64">
        <v>9.4</v>
      </c>
      <c r="R29" s="198"/>
      <c r="S29" s="198"/>
      <c r="T29" s="198"/>
      <c r="U29" s="198"/>
    </row>
    <row r="30" spans="1:21" s="12" customFormat="1" x14ac:dyDescent="0.25">
      <c r="A30" s="214" t="s">
        <v>3052</v>
      </c>
      <c r="B30" s="64">
        <v>10.1</v>
      </c>
      <c r="C30" s="64">
        <v>19.5</v>
      </c>
      <c r="D30" s="64">
        <v>21.81</v>
      </c>
      <c r="E30" s="64">
        <v>3.84</v>
      </c>
      <c r="F30" s="64">
        <v>6.44</v>
      </c>
      <c r="G30" s="64">
        <v>34.909999999999997</v>
      </c>
      <c r="H30" s="64">
        <v>110.91</v>
      </c>
      <c r="I30" s="64">
        <v>4.04</v>
      </c>
      <c r="J30" s="64">
        <v>0.06</v>
      </c>
      <c r="K30" s="64">
        <v>256.36</v>
      </c>
      <c r="L30" s="64">
        <v>24.51</v>
      </c>
      <c r="M30" s="64">
        <v>101.48</v>
      </c>
      <c r="N30" s="64">
        <v>31.3</v>
      </c>
      <c r="O30" s="64">
        <v>0</v>
      </c>
      <c r="P30" s="64">
        <v>0.54</v>
      </c>
      <c r="Q30" s="64">
        <v>9.4</v>
      </c>
      <c r="R30" s="198"/>
      <c r="S30" s="198"/>
      <c r="T30" s="198"/>
      <c r="U30" s="198"/>
    </row>
    <row r="31" spans="1:21" s="12" customFormat="1" x14ac:dyDescent="0.25">
      <c r="A31" s="214" t="s">
        <v>3053</v>
      </c>
      <c r="B31" s="64">
        <v>9.36</v>
      </c>
      <c r="C31" s="64">
        <v>21.27</v>
      </c>
      <c r="D31" s="64">
        <v>26.35</v>
      </c>
      <c r="E31" s="64">
        <v>3.73</v>
      </c>
      <c r="F31" s="64">
        <v>6.63</v>
      </c>
      <c r="G31" s="64">
        <v>34.909999999999997</v>
      </c>
      <c r="H31" s="64">
        <v>110.91</v>
      </c>
      <c r="I31" s="64">
        <v>3.94</v>
      </c>
      <c r="J31" s="64">
        <v>0.14000000000000001</v>
      </c>
      <c r="K31" s="64">
        <v>196.01</v>
      </c>
      <c r="L31" s="64">
        <v>24.56</v>
      </c>
      <c r="M31" s="64">
        <v>101.48</v>
      </c>
      <c r="N31" s="64">
        <v>43.3</v>
      </c>
      <c r="O31" s="64">
        <v>0</v>
      </c>
      <c r="P31" s="64">
        <v>0.54</v>
      </c>
      <c r="Q31" s="64">
        <v>9.41</v>
      </c>
      <c r="R31" s="198"/>
      <c r="S31" s="198"/>
      <c r="T31" s="198"/>
      <c r="U31" s="198"/>
    </row>
    <row r="32" spans="1:21" s="12" customFormat="1" x14ac:dyDescent="0.25">
      <c r="A32" s="214" t="s">
        <v>3054</v>
      </c>
      <c r="B32" s="64">
        <v>9.08</v>
      </c>
      <c r="C32" s="64">
        <v>19.72</v>
      </c>
      <c r="D32" s="64">
        <v>23.81</v>
      </c>
      <c r="E32" s="64">
        <v>4.0199999999999996</v>
      </c>
      <c r="F32" s="64">
        <v>7</v>
      </c>
      <c r="G32" s="64">
        <v>34.909999999999997</v>
      </c>
      <c r="H32" s="64">
        <v>110.91</v>
      </c>
      <c r="I32" s="64">
        <v>3.99</v>
      </c>
      <c r="J32" s="64">
        <v>0.14000000000000001</v>
      </c>
      <c r="K32" s="64">
        <v>221.8</v>
      </c>
      <c r="L32" s="64">
        <v>24.75</v>
      </c>
      <c r="M32" s="64">
        <v>101.48</v>
      </c>
      <c r="N32" s="64">
        <v>64</v>
      </c>
      <c r="O32" s="64">
        <v>0</v>
      </c>
      <c r="P32" s="64">
        <v>0.54</v>
      </c>
      <c r="Q32" s="64">
        <v>9.42</v>
      </c>
      <c r="R32" s="198"/>
      <c r="S32" s="198"/>
      <c r="T32" s="198"/>
      <c r="U32" s="198"/>
    </row>
    <row r="33" spans="1:21" s="12" customFormat="1" x14ac:dyDescent="0.25">
      <c r="A33" s="214" t="s">
        <v>3055</v>
      </c>
      <c r="B33" s="64">
        <v>8.92</v>
      </c>
      <c r="C33" s="64">
        <v>19.149999999999999</v>
      </c>
      <c r="D33" s="64">
        <v>22.96</v>
      </c>
      <c r="E33" s="64">
        <v>3.9</v>
      </c>
      <c r="F33" s="64">
        <v>8.0500000000000007</v>
      </c>
      <c r="G33" s="64">
        <v>34.76</v>
      </c>
      <c r="H33" s="64">
        <v>91.58</v>
      </c>
      <c r="I33" s="64">
        <v>3.94</v>
      </c>
      <c r="J33" s="64">
        <v>0.11</v>
      </c>
      <c r="K33" s="64">
        <v>269.14999999999998</v>
      </c>
      <c r="L33" s="64">
        <v>25.2</v>
      </c>
      <c r="M33" s="64">
        <v>101.47</v>
      </c>
      <c r="N33" s="64">
        <v>107.2</v>
      </c>
      <c r="O33" s="64">
        <v>0</v>
      </c>
      <c r="P33" s="64">
        <v>0.55000000000000004</v>
      </c>
      <c r="Q33" s="64">
        <v>9.42</v>
      </c>
      <c r="R33" s="198"/>
      <c r="S33" s="198"/>
      <c r="T33" s="198"/>
      <c r="U33" s="198"/>
    </row>
    <row r="34" spans="1:21" s="12" customFormat="1" x14ac:dyDescent="0.25">
      <c r="A34" s="214" t="s">
        <v>3056</v>
      </c>
      <c r="B34" s="64">
        <v>9.4499999999999993</v>
      </c>
      <c r="C34" s="64">
        <v>19.489999999999998</v>
      </c>
      <c r="D34" s="64">
        <v>22.8</v>
      </c>
      <c r="E34" s="64">
        <v>3.86</v>
      </c>
      <c r="F34" s="64">
        <v>6.99</v>
      </c>
      <c r="G34" s="64">
        <v>34.11</v>
      </c>
      <c r="H34" s="64">
        <v>8.57</v>
      </c>
      <c r="I34" s="64">
        <v>4.18</v>
      </c>
      <c r="J34" s="64">
        <v>0.19</v>
      </c>
      <c r="K34" s="64">
        <v>257.45999999999998</v>
      </c>
      <c r="L34" s="64">
        <v>25.88</v>
      </c>
      <c r="M34" s="64">
        <v>98.39</v>
      </c>
      <c r="N34" s="64">
        <v>145.19999999999999</v>
      </c>
      <c r="O34" s="64">
        <v>0</v>
      </c>
      <c r="P34" s="64">
        <v>0.51</v>
      </c>
      <c r="Q34" s="64">
        <v>9.42</v>
      </c>
      <c r="R34" s="198"/>
      <c r="S34" s="198"/>
      <c r="T34" s="198"/>
      <c r="U34" s="198"/>
    </row>
    <row r="35" spans="1:21" s="12" customFormat="1" x14ac:dyDescent="0.25">
      <c r="A35" s="214" t="s">
        <v>3057</v>
      </c>
      <c r="B35" s="64">
        <v>10.73</v>
      </c>
      <c r="C35" s="64">
        <v>19.71</v>
      </c>
      <c r="D35" s="64">
        <v>21.26</v>
      </c>
      <c r="E35" s="64">
        <v>3.88</v>
      </c>
      <c r="F35" s="64">
        <v>6.99</v>
      </c>
      <c r="G35" s="64">
        <v>34.11</v>
      </c>
      <c r="H35" s="64">
        <v>8.57</v>
      </c>
      <c r="I35" s="64">
        <v>3.94</v>
      </c>
      <c r="J35" s="64">
        <v>0.24</v>
      </c>
      <c r="K35" s="64">
        <v>274.89</v>
      </c>
      <c r="L35" s="64">
        <v>26.39</v>
      </c>
      <c r="M35" s="64">
        <v>90.98</v>
      </c>
      <c r="N35" s="64">
        <v>169.7</v>
      </c>
      <c r="O35" s="64">
        <v>0</v>
      </c>
      <c r="P35" s="64">
        <v>0.49</v>
      </c>
      <c r="Q35" s="64">
        <v>9.4</v>
      </c>
      <c r="R35" s="198"/>
      <c r="S35" s="198"/>
      <c r="T35" s="198"/>
      <c r="U35" s="198"/>
    </row>
    <row r="36" spans="1:21" s="12" customFormat="1" x14ac:dyDescent="0.25">
      <c r="A36" s="214" t="s">
        <v>3058</v>
      </c>
      <c r="B36" s="64">
        <v>10.44</v>
      </c>
      <c r="C36" s="64">
        <v>20.27</v>
      </c>
      <c r="D36" s="64">
        <v>22.77</v>
      </c>
      <c r="E36" s="64">
        <v>4.17</v>
      </c>
      <c r="F36" s="64">
        <v>7.99</v>
      </c>
      <c r="G36" s="64">
        <v>34.11</v>
      </c>
      <c r="H36" s="64">
        <v>8.57</v>
      </c>
      <c r="I36" s="64">
        <v>4.07</v>
      </c>
      <c r="J36" s="64">
        <v>0.18</v>
      </c>
      <c r="K36" s="64">
        <v>265.67</v>
      </c>
      <c r="L36" s="64">
        <v>26.72</v>
      </c>
      <c r="M36" s="64">
        <v>89.18</v>
      </c>
      <c r="N36" s="64">
        <v>219</v>
      </c>
      <c r="O36" s="64">
        <v>0</v>
      </c>
      <c r="P36" s="64">
        <v>0.49</v>
      </c>
      <c r="Q36" s="64">
        <v>9.3800000000000008</v>
      </c>
      <c r="R36" s="198"/>
      <c r="S36" s="198"/>
      <c r="T36" s="198"/>
      <c r="U36" s="198"/>
    </row>
    <row r="37" spans="1:21" s="12" customFormat="1" x14ac:dyDescent="0.25">
      <c r="A37" s="214" t="s">
        <v>3059</v>
      </c>
      <c r="B37" s="64">
        <v>9.83</v>
      </c>
      <c r="C37" s="64">
        <v>20.76</v>
      </c>
      <c r="D37" s="64">
        <v>24.64</v>
      </c>
      <c r="E37" s="64">
        <v>3.76</v>
      </c>
      <c r="F37" s="64">
        <v>8.06</v>
      </c>
      <c r="G37" s="64">
        <v>33.770000000000003</v>
      </c>
      <c r="H37" s="64">
        <v>9.34</v>
      </c>
      <c r="I37" s="64">
        <v>4.0599999999999996</v>
      </c>
      <c r="J37" s="64">
        <v>0.21</v>
      </c>
      <c r="K37" s="64">
        <v>278.72000000000003</v>
      </c>
      <c r="L37" s="64">
        <v>27.16</v>
      </c>
      <c r="M37" s="64">
        <v>87.51</v>
      </c>
      <c r="N37" s="64">
        <v>258.7</v>
      </c>
      <c r="O37" s="64">
        <v>0</v>
      </c>
      <c r="P37" s="64">
        <v>0.44</v>
      </c>
      <c r="Q37" s="64">
        <v>9.35</v>
      </c>
      <c r="R37" s="198"/>
      <c r="S37" s="198"/>
      <c r="T37" s="198"/>
      <c r="U37" s="198"/>
    </row>
    <row r="38" spans="1:21" s="12" customFormat="1" x14ac:dyDescent="0.25">
      <c r="A38" s="214" t="s">
        <v>3060</v>
      </c>
      <c r="B38" s="64">
        <v>9.65</v>
      </c>
      <c r="C38" s="64">
        <v>20.18</v>
      </c>
      <c r="D38" s="64">
        <v>23.8</v>
      </c>
      <c r="E38" s="64">
        <v>3.87</v>
      </c>
      <c r="F38" s="64">
        <v>4.54</v>
      </c>
      <c r="G38" s="64">
        <v>32.29</v>
      </c>
      <c r="H38" s="64">
        <v>12.64</v>
      </c>
      <c r="I38" s="64">
        <v>4.03</v>
      </c>
      <c r="J38" s="64">
        <v>0.22</v>
      </c>
      <c r="K38" s="64">
        <v>277.11</v>
      </c>
      <c r="L38" s="64">
        <v>27.67</v>
      </c>
      <c r="M38" s="64">
        <v>85.52</v>
      </c>
      <c r="N38" s="64">
        <v>298.7</v>
      </c>
      <c r="O38" s="64">
        <v>0</v>
      </c>
      <c r="P38" s="64">
        <v>0.48</v>
      </c>
      <c r="Q38" s="64">
        <v>9.31</v>
      </c>
      <c r="R38" s="198"/>
      <c r="S38" s="198"/>
      <c r="T38" s="198"/>
      <c r="U38" s="198"/>
    </row>
    <row r="39" spans="1:21" s="12" customFormat="1" x14ac:dyDescent="0.25">
      <c r="A39" s="214" t="s">
        <v>3061</v>
      </c>
      <c r="B39" s="64">
        <v>8.4499999999999993</v>
      </c>
      <c r="C39" s="64">
        <v>18.13</v>
      </c>
      <c r="D39" s="64">
        <v>21.72</v>
      </c>
      <c r="E39" s="64">
        <v>3.86</v>
      </c>
      <c r="F39" s="64">
        <v>3.92</v>
      </c>
      <c r="G39" s="64">
        <v>32.29</v>
      </c>
      <c r="H39" s="64">
        <v>12.64</v>
      </c>
      <c r="I39" s="64">
        <v>3.98</v>
      </c>
      <c r="J39" s="64">
        <v>0.27</v>
      </c>
      <c r="K39" s="64">
        <v>287.68</v>
      </c>
      <c r="L39" s="64">
        <v>28.12</v>
      </c>
      <c r="M39" s="64">
        <v>84.09</v>
      </c>
      <c r="N39" s="64">
        <v>344.3</v>
      </c>
      <c r="O39" s="64">
        <v>0</v>
      </c>
      <c r="P39" s="64">
        <v>0.49</v>
      </c>
      <c r="Q39" s="64">
        <v>9.27</v>
      </c>
      <c r="R39" s="198"/>
      <c r="S39" s="198"/>
      <c r="T39" s="198"/>
      <c r="U39" s="198"/>
    </row>
    <row r="40" spans="1:21" s="12" customFormat="1" x14ac:dyDescent="0.25">
      <c r="A40" s="214" t="s">
        <v>3062</v>
      </c>
      <c r="B40" s="64">
        <v>7.75</v>
      </c>
      <c r="C40" s="64">
        <v>17.72</v>
      </c>
      <c r="D40" s="64">
        <v>22.02</v>
      </c>
      <c r="E40" s="64">
        <v>6.09</v>
      </c>
      <c r="F40" s="64">
        <v>3</v>
      </c>
      <c r="G40" s="64">
        <v>32.29</v>
      </c>
      <c r="H40" s="64">
        <v>12.64</v>
      </c>
      <c r="I40" s="64">
        <v>4.0999999999999996</v>
      </c>
      <c r="J40" s="64">
        <v>0.41</v>
      </c>
      <c r="K40" s="64">
        <v>280.64</v>
      </c>
      <c r="L40" s="64">
        <v>29.43</v>
      </c>
      <c r="M40" s="64">
        <v>78.77</v>
      </c>
      <c r="N40" s="64">
        <v>400.5</v>
      </c>
      <c r="O40" s="64">
        <v>0</v>
      </c>
      <c r="P40" s="64">
        <v>0.46</v>
      </c>
      <c r="Q40" s="64">
        <v>9.24</v>
      </c>
      <c r="R40" s="198"/>
      <c r="S40" s="198"/>
      <c r="T40" s="198"/>
      <c r="U40" s="198"/>
    </row>
    <row r="41" spans="1:21" s="12" customFormat="1" x14ac:dyDescent="0.25">
      <c r="A41" s="214" t="s">
        <v>3063</v>
      </c>
      <c r="B41" s="64">
        <v>6.99</v>
      </c>
      <c r="C41" s="64">
        <v>16.97</v>
      </c>
      <c r="D41" s="64">
        <v>21.74</v>
      </c>
      <c r="E41" s="64">
        <v>5.86</v>
      </c>
      <c r="F41" s="64">
        <v>4.16</v>
      </c>
      <c r="G41" s="64">
        <v>32.380000000000003</v>
      </c>
      <c r="H41" s="64">
        <v>12.18</v>
      </c>
      <c r="I41" s="64">
        <v>3.92</v>
      </c>
      <c r="J41" s="64">
        <v>0.42</v>
      </c>
      <c r="K41" s="64">
        <v>282.49</v>
      </c>
      <c r="L41" s="64">
        <v>29.09</v>
      </c>
      <c r="M41" s="64">
        <v>80.23</v>
      </c>
      <c r="N41" s="64">
        <v>456</v>
      </c>
      <c r="O41" s="64">
        <v>0</v>
      </c>
      <c r="P41" s="64">
        <v>0.45</v>
      </c>
      <c r="Q41" s="64">
        <v>9.2200000000000006</v>
      </c>
      <c r="R41" s="198"/>
      <c r="S41" s="198"/>
      <c r="T41" s="198"/>
      <c r="U41" s="198"/>
    </row>
    <row r="42" spans="1:21" s="12" customFormat="1" x14ac:dyDescent="0.25">
      <c r="A42" s="214" t="s">
        <v>3064</v>
      </c>
      <c r="B42" s="64">
        <v>5.99</v>
      </c>
      <c r="C42" s="64">
        <v>16.2</v>
      </c>
      <c r="D42" s="64">
        <v>21.81</v>
      </c>
      <c r="E42" s="64">
        <v>5.82</v>
      </c>
      <c r="F42" s="64">
        <v>3.63</v>
      </c>
      <c r="G42" s="64">
        <v>32.74</v>
      </c>
      <c r="H42" s="64">
        <v>10.33</v>
      </c>
      <c r="I42" s="64">
        <v>4.04</v>
      </c>
      <c r="J42" s="64">
        <v>0.4</v>
      </c>
      <c r="K42" s="64">
        <v>285.01</v>
      </c>
      <c r="L42" s="64">
        <v>29.78</v>
      </c>
      <c r="M42" s="64">
        <v>78.02</v>
      </c>
      <c r="N42" s="64">
        <v>489.9</v>
      </c>
      <c r="O42" s="64">
        <v>0</v>
      </c>
      <c r="P42" s="64">
        <v>0.44</v>
      </c>
      <c r="Q42" s="64">
        <v>9.1999999999999993</v>
      </c>
      <c r="R42" s="198"/>
      <c r="S42" s="198"/>
      <c r="T42" s="198"/>
      <c r="U42" s="198"/>
    </row>
    <row r="43" spans="1:21" s="12" customFormat="1" x14ac:dyDescent="0.25">
      <c r="A43" s="214" t="s">
        <v>3065</v>
      </c>
      <c r="B43" s="64">
        <v>5.46</v>
      </c>
      <c r="C43" s="64">
        <v>15.78</v>
      </c>
      <c r="D43" s="64">
        <v>21.81</v>
      </c>
      <c r="E43" s="64">
        <v>5.83</v>
      </c>
      <c r="F43" s="64">
        <v>3.96</v>
      </c>
      <c r="G43" s="64">
        <v>32.74</v>
      </c>
      <c r="H43" s="64">
        <v>10.33</v>
      </c>
      <c r="I43" s="64">
        <v>4.0999999999999996</v>
      </c>
      <c r="J43" s="64">
        <v>0.34</v>
      </c>
      <c r="K43" s="64">
        <v>277.42</v>
      </c>
      <c r="L43" s="64">
        <v>30.15</v>
      </c>
      <c r="M43" s="64">
        <v>77.650000000000006</v>
      </c>
      <c r="N43" s="64">
        <v>509.1</v>
      </c>
      <c r="O43" s="64">
        <v>0</v>
      </c>
      <c r="P43" s="64">
        <v>0.42</v>
      </c>
      <c r="Q43" s="64">
        <v>9.16</v>
      </c>
      <c r="R43" s="198"/>
      <c r="S43" s="198"/>
      <c r="T43" s="198"/>
      <c r="U43" s="198"/>
    </row>
    <row r="44" spans="1:21" s="12" customFormat="1" x14ac:dyDescent="0.25">
      <c r="A44" s="214" t="s">
        <v>3066</v>
      </c>
      <c r="B44" s="64">
        <v>4.9400000000000004</v>
      </c>
      <c r="C44" s="64">
        <v>15.33</v>
      </c>
      <c r="D44" s="64">
        <v>21.75</v>
      </c>
      <c r="E44" s="64">
        <v>5.76</v>
      </c>
      <c r="F44" s="64">
        <v>5.34</v>
      </c>
      <c r="G44" s="64">
        <v>32.74</v>
      </c>
      <c r="H44" s="64">
        <v>10.33</v>
      </c>
      <c r="I44" s="64">
        <v>4</v>
      </c>
      <c r="J44" s="64">
        <v>0.36</v>
      </c>
      <c r="K44" s="64">
        <v>278.36</v>
      </c>
      <c r="L44" s="64">
        <v>29.32</v>
      </c>
      <c r="M44" s="64">
        <v>79.89</v>
      </c>
      <c r="N44" s="64">
        <v>563.1</v>
      </c>
      <c r="O44" s="64">
        <v>0</v>
      </c>
      <c r="P44" s="64">
        <v>0.43</v>
      </c>
      <c r="Q44" s="64">
        <v>9.14</v>
      </c>
      <c r="R44" s="198"/>
      <c r="S44" s="198"/>
      <c r="T44" s="198"/>
      <c r="U44" s="198"/>
    </row>
    <row r="45" spans="1:21" s="12" customFormat="1" x14ac:dyDescent="0.25">
      <c r="A45" s="214" t="s">
        <v>3067</v>
      </c>
      <c r="B45" s="64">
        <v>4.62</v>
      </c>
      <c r="C45" s="64">
        <v>15.33</v>
      </c>
      <c r="D45" s="64">
        <v>22.26</v>
      </c>
      <c r="E45" s="64">
        <v>5.45</v>
      </c>
      <c r="F45" s="64">
        <v>3.85</v>
      </c>
      <c r="G45" s="64">
        <v>32.729999999999997</v>
      </c>
      <c r="H45" s="64">
        <v>10.89</v>
      </c>
      <c r="I45" s="64">
        <v>3.9</v>
      </c>
      <c r="J45" s="64">
        <v>0.28000000000000003</v>
      </c>
      <c r="K45" s="64">
        <v>274.64999999999998</v>
      </c>
      <c r="L45" s="64">
        <v>29.32</v>
      </c>
      <c r="M45" s="64">
        <v>80.25</v>
      </c>
      <c r="N45" s="64">
        <v>597.9</v>
      </c>
      <c r="O45" s="64">
        <v>0</v>
      </c>
      <c r="P45" s="64">
        <v>0.46</v>
      </c>
      <c r="Q45" s="64">
        <v>9.14</v>
      </c>
      <c r="R45" s="198"/>
      <c r="S45" s="198"/>
      <c r="T45" s="198"/>
      <c r="U45" s="198"/>
    </row>
    <row r="46" spans="1:21" s="12" customFormat="1" x14ac:dyDescent="0.25">
      <c r="A46" s="214" t="s">
        <v>3068</v>
      </c>
      <c r="B46" s="64">
        <v>4.6500000000000004</v>
      </c>
      <c r="C46" s="64">
        <v>15.68</v>
      </c>
      <c r="D46" s="64">
        <v>22.88</v>
      </c>
      <c r="E46" s="64">
        <v>5.93</v>
      </c>
      <c r="F46" s="64">
        <v>4.58</v>
      </c>
      <c r="G46" s="64">
        <v>32.65</v>
      </c>
      <c r="H46" s="64">
        <v>13.12</v>
      </c>
      <c r="I46" s="64">
        <v>4.13</v>
      </c>
      <c r="J46" s="64">
        <v>0.35</v>
      </c>
      <c r="K46" s="64">
        <v>280.43</v>
      </c>
      <c r="L46" s="64">
        <v>30.24</v>
      </c>
      <c r="M46" s="64">
        <v>76.94</v>
      </c>
      <c r="N46" s="64">
        <v>650.1</v>
      </c>
      <c r="O46" s="64">
        <v>0</v>
      </c>
      <c r="P46" s="64">
        <v>0.5</v>
      </c>
      <c r="Q46" s="64">
        <v>9.1300000000000008</v>
      </c>
      <c r="R46" s="198"/>
      <c r="S46" s="198"/>
      <c r="T46" s="198"/>
      <c r="U46" s="198"/>
    </row>
    <row r="47" spans="1:21" s="12" customFormat="1" x14ac:dyDescent="0.25">
      <c r="A47" s="214" t="s">
        <v>3069</v>
      </c>
      <c r="B47" s="64">
        <v>4.59</v>
      </c>
      <c r="C47" s="64">
        <v>16.13</v>
      </c>
      <c r="D47" s="64">
        <v>23.83</v>
      </c>
      <c r="E47" s="64">
        <v>5.4</v>
      </c>
      <c r="F47" s="64">
        <v>5.35</v>
      </c>
      <c r="G47" s="64">
        <v>32.65</v>
      </c>
      <c r="H47" s="64">
        <v>13.12</v>
      </c>
      <c r="I47" s="64">
        <v>4.07</v>
      </c>
      <c r="J47" s="64">
        <v>0.46</v>
      </c>
      <c r="K47" s="64">
        <v>288.87</v>
      </c>
      <c r="L47" s="64">
        <v>30.9</v>
      </c>
      <c r="M47" s="64">
        <v>75.11</v>
      </c>
      <c r="N47" s="64">
        <v>708.4</v>
      </c>
      <c r="O47" s="64">
        <v>0</v>
      </c>
      <c r="P47" s="64">
        <v>0.53</v>
      </c>
      <c r="Q47" s="64">
        <v>9.11</v>
      </c>
      <c r="R47" s="198"/>
      <c r="S47" s="198"/>
      <c r="T47" s="198"/>
      <c r="U47" s="198"/>
    </row>
    <row r="48" spans="1:21" s="12" customFormat="1" x14ac:dyDescent="0.25">
      <c r="A48" s="214" t="s">
        <v>3070</v>
      </c>
      <c r="B48" s="64">
        <v>4.91</v>
      </c>
      <c r="C48" s="64">
        <v>17.57</v>
      </c>
      <c r="D48" s="64">
        <v>26.09</v>
      </c>
      <c r="E48" s="64">
        <v>5.25</v>
      </c>
      <c r="F48" s="64">
        <v>5.33</v>
      </c>
      <c r="G48" s="64">
        <v>32.65</v>
      </c>
      <c r="H48" s="64">
        <v>13.12</v>
      </c>
      <c r="I48" s="64">
        <v>4.05</v>
      </c>
      <c r="J48" s="64">
        <v>0.38</v>
      </c>
      <c r="K48" s="64">
        <v>284.8</v>
      </c>
      <c r="L48" s="64">
        <v>31.91</v>
      </c>
      <c r="M48" s="64">
        <v>71.38</v>
      </c>
      <c r="N48" s="64">
        <v>711.3</v>
      </c>
      <c r="O48" s="64">
        <v>0</v>
      </c>
      <c r="P48" s="64">
        <v>0.66</v>
      </c>
      <c r="Q48" s="64">
        <v>9.1199999999999992</v>
      </c>
      <c r="R48" s="198"/>
      <c r="S48" s="198"/>
      <c r="T48" s="198"/>
      <c r="U48" s="198"/>
    </row>
    <row r="49" spans="1:21" s="12" customFormat="1" x14ac:dyDescent="0.25">
      <c r="A49" s="214" t="s">
        <v>3071</v>
      </c>
      <c r="B49" s="64">
        <v>4.97</v>
      </c>
      <c r="C49" s="64">
        <v>17.63</v>
      </c>
      <c r="D49" s="64">
        <v>26.11</v>
      </c>
      <c r="E49" s="64">
        <v>6.11</v>
      </c>
      <c r="F49" s="64">
        <v>5.93</v>
      </c>
      <c r="G49" s="64">
        <v>32.049999999999997</v>
      </c>
      <c r="H49" s="64">
        <v>12.78</v>
      </c>
      <c r="I49" s="64">
        <v>4.2300000000000004</v>
      </c>
      <c r="J49" s="64">
        <v>0.31</v>
      </c>
      <c r="K49" s="64">
        <v>266.52999999999997</v>
      </c>
      <c r="L49" s="64">
        <v>30.1</v>
      </c>
      <c r="M49" s="64">
        <v>77.2</v>
      </c>
      <c r="N49" s="64">
        <v>593.1</v>
      </c>
      <c r="O49" s="64">
        <v>0</v>
      </c>
      <c r="P49" s="64">
        <v>0.67</v>
      </c>
      <c r="Q49" s="64">
        <v>9.15</v>
      </c>
      <c r="R49" s="198"/>
      <c r="S49" s="198"/>
      <c r="T49" s="198"/>
      <c r="U49" s="198"/>
    </row>
    <row r="50" spans="1:21" s="12" customFormat="1" x14ac:dyDescent="0.25">
      <c r="A50" s="214" t="s">
        <v>3072</v>
      </c>
      <c r="B50" s="64">
        <v>4.25</v>
      </c>
      <c r="C50" s="64">
        <v>17.510000000000002</v>
      </c>
      <c r="D50" s="64">
        <v>26.99</v>
      </c>
      <c r="E50" s="64">
        <v>5.96</v>
      </c>
      <c r="F50" s="64">
        <v>7.26</v>
      </c>
      <c r="G50" s="64">
        <v>29.47</v>
      </c>
      <c r="H50" s="64">
        <v>11.3</v>
      </c>
      <c r="I50" s="64">
        <v>3.99</v>
      </c>
      <c r="J50" s="64">
        <v>0.26</v>
      </c>
      <c r="K50" s="64">
        <v>241.41</v>
      </c>
      <c r="L50" s="64">
        <v>29.51</v>
      </c>
      <c r="M50" s="64">
        <v>79.91</v>
      </c>
      <c r="N50" s="64">
        <v>623</v>
      </c>
      <c r="O50" s="64">
        <v>0</v>
      </c>
      <c r="P50" s="64">
        <v>0.7</v>
      </c>
      <c r="Q50" s="64">
        <v>9.16</v>
      </c>
      <c r="R50" s="198"/>
      <c r="S50" s="198"/>
      <c r="T50" s="198"/>
      <c r="U50" s="198"/>
    </row>
    <row r="51" spans="1:21" s="12" customFormat="1" x14ac:dyDescent="0.25">
      <c r="A51" s="214" t="s">
        <v>3073</v>
      </c>
      <c r="B51" s="64">
        <v>3.84</v>
      </c>
      <c r="C51" s="64">
        <v>18.43</v>
      </c>
      <c r="D51" s="64">
        <v>29.38</v>
      </c>
      <c r="E51" s="64">
        <v>6.46</v>
      </c>
      <c r="F51" s="64">
        <v>9.9700000000000006</v>
      </c>
      <c r="G51" s="64">
        <v>29.47</v>
      </c>
      <c r="H51" s="64">
        <v>11.3</v>
      </c>
      <c r="I51" s="64">
        <v>4</v>
      </c>
      <c r="J51" s="64">
        <v>0.26</v>
      </c>
      <c r="K51" s="64">
        <v>274.64</v>
      </c>
      <c r="L51" s="64">
        <v>30.12</v>
      </c>
      <c r="M51" s="64">
        <v>78</v>
      </c>
      <c r="N51" s="64">
        <v>717.6</v>
      </c>
      <c r="O51" s="64">
        <v>0</v>
      </c>
      <c r="P51" s="64">
        <v>0.71</v>
      </c>
      <c r="Q51" s="64">
        <v>9.15</v>
      </c>
      <c r="R51" s="198"/>
      <c r="S51" s="198"/>
      <c r="T51" s="198"/>
      <c r="U51" s="198"/>
    </row>
    <row r="52" spans="1:21" s="12" customFormat="1" x14ac:dyDescent="0.25">
      <c r="A52" s="214" t="s">
        <v>3074</v>
      </c>
      <c r="B52" s="64">
        <v>3.8</v>
      </c>
      <c r="C52" s="64">
        <v>18.350000000000001</v>
      </c>
      <c r="D52" s="64">
        <v>29.3</v>
      </c>
      <c r="E52" s="64">
        <v>6.23</v>
      </c>
      <c r="F52" s="64">
        <v>9.85</v>
      </c>
      <c r="G52" s="64">
        <v>29.47</v>
      </c>
      <c r="H52" s="64">
        <v>11.3</v>
      </c>
      <c r="I52" s="64">
        <v>4.07</v>
      </c>
      <c r="J52" s="64">
        <v>0.34</v>
      </c>
      <c r="K52" s="64">
        <v>264.93</v>
      </c>
      <c r="L52" s="64">
        <v>31.25</v>
      </c>
      <c r="M52" s="64">
        <v>74.11</v>
      </c>
      <c r="N52" s="64">
        <v>766.5</v>
      </c>
      <c r="O52" s="64">
        <v>0</v>
      </c>
      <c r="P52" s="64">
        <v>0.73</v>
      </c>
      <c r="Q52" s="64">
        <v>9.15</v>
      </c>
      <c r="R52" s="198"/>
      <c r="S52" s="198"/>
      <c r="T52" s="198"/>
      <c r="U52" s="198"/>
    </row>
    <row r="53" spans="1:21" s="12" customFormat="1" x14ac:dyDescent="0.25">
      <c r="A53" s="214" t="s">
        <v>3075</v>
      </c>
      <c r="B53" s="64">
        <v>4.03</v>
      </c>
      <c r="C53" s="64">
        <v>18.78</v>
      </c>
      <c r="D53" s="64">
        <v>29.76</v>
      </c>
      <c r="E53" s="64">
        <v>6.09</v>
      </c>
      <c r="F53" s="64">
        <v>8.9600000000000009</v>
      </c>
      <c r="G53" s="64">
        <v>32.22</v>
      </c>
      <c r="H53" s="64">
        <v>9.27</v>
      </c>
      <c r="I53" s="64">
        <v>4.16</v>
      </c>
      <c r="J53" s="64">
        <v>0.34</v>
      </c>
      <c r="K53" s="64">
        <v>281.02999999999997</v>
      </c>
      <c r="L53" s="64">
        <v>32.46</v>
      </c>
      <c r="M53" s="64">
        <v>69.849999999999994</v>
      </c>
      <c r="N53" s="64">
        <v>782.1</v>
      </c>
      <c r="O53" s="64">
        <v>0</v>
      </c>
      <c r="P53" s="64">
        <v>0.72</v>
      </c>
      <c r="Q53" s="64">
        <v>9.14</v>
      </c>
      <c r="R53" s="198"/>
      <c r="S53" s="198"/>
      <c r="T53" s="198"/>
      <c r="U53" s="198"/>
    </row>
    <row r="54" spans="1:21" s="12" customFormat="1" x14ac:dyDescent="0.25">
      <c r="A54" s="214" t="s">
        <v>3076</v>
      </c>
      <c r="B54" s="64">
        <v>4.53</v>
      </c>
      <c r="C54" s="64">
        <v>19.670000000000002</v>
      </c>
      <c r="D54" s="64">
        <v>30.68</v>
      </c>
      <c r="E54" s="64">
        <v>6.09</v>
      </c>
      <c r="F54" s="64">
        <v>9.56</v>
      </c>
      <c r="G54" s="64">
        <v>44.01</v>
      </c>
      <c r="H54" s="64">
        <v>1.1299999999999999</v>
      </c>
      <c r="I54" s="64">
        <v>4</v>
      </c>
      <c r="J54" s="64">
        <v>0.31</v>
      </c>
      <c r="K54" s="64">
        <v>281.81</v>
      </c>
      <c r="L54" s="64">
        <v>33.47</v>
      </c>
      <c r="M54" s="64">
        <v>65.23</v>
      </c>
      <c r="N54" s="64">
        <v>830.8</v>
      </c>
      <c r="O54" s="64">
        <v>0</v>
      </c>
      <c r="P54" s="64">
        <v>0.72</v>
      </c>
      <c r="Q54" s="64">
        <v>9.16</v>
      </c>
      <c r="R54" s="198"/>
      <c r="S54" s="198"/>
      <c r="T54" s="198"/>
      <c r="U54" s="198"/>
    </row>
    <row r="55" spans="1:21" s="12" customFormat="1" x14ac:dyDescent="0.25">
      <c r="A55" s="214" t="s">
        <v>3077</v>
      </c>
      <c r="B55" s="64">
        <v>4.67</v>
      </c>
      <c r="C55" s="64">
        <v>18.829999999999998</v>
      </c>
      <c r="D55" s="64">
        <v>28.87</v>
      </c>
      <c r="E55" s="64">
        <v>6.32</v>
      </c>
      <c r="F55" s="64">
        <v>8.74</v>
      </c>
      <c r="G55" s="64">
        <v>44.01</v>
      </c>
      <c r="H55" s="64">
        <v>1.1299999999999999</v>
      </c>
      <c r="I55" s="64">
        <v>3.87</v>
      </c>
      <c r="J55" s="64">
        <v>0.38</v>
      </c>
      <c r="K55" s="64">
        <v>297.42</v>
      </c>
      <c r="L55" s="64">
        <v>34.22</v>
      </c>
      <c r="M55" s="64">
        <v>62.28</v>
      </c>
      <c r="N55" s="64">
        <v>836.9</v>
      </c>
      <c r="O55" s="64">
        <v>0</v>
      </c>
      <c r="P55" s="64">
        <v>0.74</v>
      </c>
      <c r="Q55" s="64">
        <v>9.16</v>
      </c>
      <c r="R55" s="198"/>
      <c r="S55" s="198"/>
      <c r="T55" s="198"/>
      <c r="U55" s="198"/>
    </row>
    <row r="56" spans="1:21" s="12" customFormat="1" x14ac:dyDescent="0.25">
      <c r="A56" s="214" t="s">
        <v>3078</v>
      </c>
      <c r="B56" s="64">
        <v>4.6399999999999997</v>
      </c>
      <c r="C56" s="64">
        <v>21.03</v>
      </c>
      <c r="D56" s="64">
        <v>33.130000000000003</v>
      </c>
      <c r="E56" s="64">
        <v>6.13</v>
      </c>
      <c r="F56" s="64">
        <v>6.07</v>
      </c>
      <c r="G56" s="64">
        <v>44.01</v>
      </c>
      <c r="H56" s="64">
        <v>1.1299999999999999</v>
      </c>
      <c r="I56" s="64">
        <v>4.08</v>
      </c>
      <c r="J56" s="64">
        <v>0.48</v>
      </c>
      <c r="K56" s="64">
        <v>306.12</v>
      </c>
      <c r="L56" s="64">
        <v>34.85</v>
      </c>
      <c r="M56" s="64">
        <v>59.26</v>
      </c>
      <c r="N56" s="64">
        <v>785.5</v>
      </c>
      <c r="O56" s="64">
        <v>0</v>
      </c>
      <c r="P56" s="64">
        <v>0.75</v>
      </c>
      <c r="Q56" s="64">
        <v>9.18</v>
      </c>
      <c r="R56" s="198"/>
      <c r="S56" s="198"/>
      <c r="T56" s="198"/>
      <c r="U56" s="198"/>
    </row>
    <row r="57" spans="1:21" s="12" customFormat="1" x14ac:dyDescent="0.25">
      <c r="A57" s="214" t="s">
        <v>3079</v>
      </c>
      <c r="B57" s="64">
        <v>4.34</v>
      </c>
      <c r="C57" s="64">
        <v>18.36</v>
      </c>
      <c r="D57" s="64">
        <v>28.49</v>
      </c>
      <c r="E57" s="64">
        <v>6.36</v>
      </c>
      <c r="F57" s="64">
        <v>6.65</v>
      </c>
      <c r="G57" s="64">
        <v>44.31</v>
      </c>
      <c r="H57" s="64">
        <v>0.94</v>
      </c>
      <c r="I57" s="64">
        <v>4.01</v>
      </c>
      <c r="J57" s="64">
        <v>0.27</v>
      </c>
      <c r="K57" s="64">
        <v>277.79000000000002</v>
      </c>
      <c r="L57" s="64">
        <v>34.46</v>
      </c>
      <c r="M57" s="64">
        <v>60.56</v>
      </c>
      <c r="N57" s="64">
        <v>759.7</v>
      </c>
      <c r="O57" s="64">
        <v>0</v>
      </c>
      <c r="P57" s="64">
        <v>0.75</v>
      </c>
      <c r="Q57" s="64">
        <v>9.17</v>
      </c>
      <c r="R57" s="198"/>
      <c r="S57" s="198"/>
      <c r="T57" s="198"/>
      <c r="U57" s="198"/>
    </row>
    <row r="58" spans="1:21" s="12" customFormat="1" x14ac:dyDescent="0.25">
      <c r="A58" s="214" t="s">
        <v>3080</v>
      </c>
      <c r="B58" s="64">
        <v>4.08</v>
      </c>
      <c r="C58" s="64">
        <v>17.05</v>
      </c>
      <c r="D58" s="64">
        <v>26.36</v>
      </c>
      <c r="E58" s="64">
        <v>6.29</v>
      </c>
      <c r="F58" s="64">
        <v>9.0299999999999994</v>
      </c>
      <c r="G58" s="64">
        <v>45.61</v>
      </c>
      <c r="H58" s="64">
        <v>0.14000000000000001</v>
      </c>
      <c r="I58" s="64">
        <v>4.08</v>
      </c>
      <c r="J58" s="64">
        <v>0.26</v>
      </c>
      <c r="K58" s="64">
        <v>265.56</v>
      </c>
      <c r="L58" s="64">
        <v>33.61</v>
      </c>
      <c r="M58" s="64">
        <v>62.29</v>
      </c>
      <c r="N58" s="64">
        <v>727.3</v>
      </c>
      <c r="O58" s="64">
        <v>0</v>
      </c>
      <c r="P58" s="64">
        <v>0.73</v>
      </c>
      <c r="Q58" s="64">
        <v>9.15</v>
      </c>
      <c r="R58" s="198"/>
      <c r="S58" s="198"/>
      <c r="T58" s="198"/>
      <c r="U58" s="198"/>
    </row>
    <row r="59" spans="1:21" s="12" customFormat="1" x14ac:dyDescent="0.25">
      <c r="A59" s="214" t="s">
        <v>3081</v>
      </c>
      <c r="B59" s="64">
        <v>3.98</v>
      </c>
      <c r="C59" s="64">
        <v>16.309999999999999</v>
      </c>
      <c r="D59" s="64">
        <v>25.11</v>
      </c>
      <c r="E59" s="64">
        <v>5.99</v>
      </c>
      <c r="F59" s="64">
        <v>6.38</v>
      </c>
      <c r="G59" s="64">
        <v>45.61</v>
      </c>
      <c r="H59" s="64">
        <v>0.14000000000000001</v>
      </c>
      <c r="I59" s="64">
        <v>4.03</v>
      </c>
      <c r="J59" s="64">
        <v>0.46</v>
      </c>
      <c r="K59" s="64">
        <v>307.85000000000002</v>
      </c>
      <c r="L59" s="64">
        <v>35.25</v>
      </c>
      <c r="M59" s="64">
        <v>57.52</v>
      </c>
      <c r="N59" s="64">
        <v>734.1</v>
      </c>
      <c r="O59" s="64">
        <v>0</v>
      </c>
      <c r="P59" s="64">
        <v>0.73</v>
      </c>
      <c r="Q59" s="64">
        <v>9.14</v>
      </c>
      <c r="R59" s="198"/>
      <c r="S59" s="198"/>
      <c r="T59" s="198"/>
      <c r="U59" s="198"/>
    </row>
    <row r="60" spans="1:21" s="12" customFormat="1" x14ac:dyDescent="0.25">
      <c r="A60" s="214" t="s">
        <v>3082</v>
      </c>
      <c r="B60" s="64">
        <v>4.08</v>
      </c>
      <c r="C60" s="64">
        <v>16.45</v>
      </c>
      <c r="D60" s="64">
        <v>25.21</v>
      </c>
      <c r="E60" s="64">
        <v>6.09</v>
      </c>
      <c r="F60" s="64">
        <v>5.31</v>
      </c>
      <c r="G60" s="64">
        <v>45.61</v>
      </c>
      <c r="H60" s="64">
        <v>0.14000000000000001</v>
      </c>
      <c r="I60" s="64">
        <v>4.0199999999999996</v>
      </c>
      <c r="J60" s="64">
        <v>0.42</v>
      </c>
      <c r="K60" s="64">
        <v>284.82</v>
      </c>
      <c r="L60" s="64">
        <v>35.340000000000003</v>
      </c>
      <c r="M60" s="64">
        <v>55.64</v>
      </c>
      <c r="N60" s="64">
        <v>619.9</v>
      </c>
      <c r="O60" s="64">
        <v>0</v>
      </c>
      <c r="P60" s="64">
        <v>0.72</v>
      </c>
      <c r="Q60" s="64">
        <v>9.14</v>
      </c>
      <c r="R60" s="198"/>
      <c r="S60" s="198"/>
      <c r="T60" s="198"/>
      <c r="U60" s="198"/>
    </row>
    <row r="61" spans="1:21" s="12" customFormat="1" x14ac:dyDescent="0.25">
      <c r="A61" s="214" t="s">
        <v>3083</v>
      </c>
      <c r="B61" s="64">
        <v>3.97</v>
      </c>
      <c r="C61" s="64">
        <v>16.66</v>
      </c>
      <c r="D61" s="64">
        <v>25.8</v>
      </c>
      <c r="E61" s="64">
        <v>5.89</v>
      </c>
      <c r="F61" s="64">
        <v>9.26</v>
      </c>
      <c r="G61" s="64">
        <v>45.21</v>
      </c>
      <c r="H61" s="64">
        <v>7.31</v>
      </c>
      <c r="I61" s="64">
        <v>4.16</v>
      </c>
      <c r="J61" s="64">
        <v>0.32</v>
      </c>
      <c r="K61" s="64">
        <v>279.45999999999998</v>
      </c>
      <c r="L61" s="64">
        <v>34.090000000000003</v>
      </c>
      <c r="M61" s="64">
        <v>58.59</v>
      </c>
      <c r="N61" s="64">
        <v>611.1</v>
      </c>
      <c r="O61" s="64">
        <v>0</v>
      </c>
      <c r="P61" s="64">
        <v>0.63</v>
      </c>
      <c r="Q61" s="64">
        <v>9.15</v>
      </c>
      <c r="R61" s="198"/>
      <c r="S61" s="198"/>
      <c r="T61" s="198"/>
      <c r="U61" s="198"/>
    </row>
    <row r="62" spans="1:21" s="12" customFormat="1" x14ac:dyDescent="0.25">
      <c r="A62" s="214" t="s">
        <v>3084</v>
      </c>
      <c r="B62" s="64">
        <v>4.2</v>
      </c>
      <c r="C62" s="64">
        <v>16.170000000000002</v>
      </c>
      <c r="D62" s="64">
        <v>24.49</v>
      </c>
      <c r="E62" s="64">
        <v>6.22</v>
      </c>
      <c r="F62" s="64">
        <v>12.05</v>
      </c>
      <c r="G62" s="64">
        <v>43.46</v>
      </c>
      <c r="H62" s="64">
        <v>38.11</v>
      </c>
      <c r="I62" s="64">
        <v>3.83</v>
      </c>
      <c r="J62" s="64">
        <v>0.53</v>
      </c>
      <c r="K62" s="64">
        <v>316.83999999999997</v>
      </c>
      <c r="L62" s="64">
        <v>34.700000000000003</v>
      </c>
      <c r="M62" s="64">
        <v>56.01</v>
      </c>
      <c r="N62" s="64">
        <v>397.1</v>
      </c>
      <c r="O62" s="64">
        <v>0</v>
      </c>
      <c r="P62" s="64">
        <v>0.63</v>
      </c>
      <c r="Q62" s="64">
        <v>9.1300000000000008</v>
      </c>
      <c r="R62" s="198"/>
      <c r="S62" s="198"/>
      <c r="T62" s="198"/>
      <c r="U62" s="198"/>
    </row>
    <row r="63" spans="1:21" s="12" customFormat="1" x14ac:dyDescent="0.25">
      <c r="A63" s="214" t="s">
        <v>3085</v>
      </c>
      <c r="B63" s="64">
        <v>4.25</v>
      </c>
      <c r="C63" s="64">
        <v>16.010000000000002</v>
      </c>
      <c r="D63" s="64">
        <v>24.12</v>
      </c>
      <c r="E63" s="64">
        <v>6.51</v>
      </c>
      <c r="F63" s="64">
        <v>9.41</v>
      </c>
      <c r="G63" s="64">
        <v>43.46</v>
      </c>
      <c r="H63" s="64">
        <v>38.11</v>
      </c>
      <c r="I63" s="64">
        <v>4.16</v>
      </c>
      <c r="J63" s="64">
        <v>0.28999999999999998</v>
      </c>
      <c r="K63" s="64">
        <v>297.10000000000002</v>
      </c>
      <c r="L63" s="64">
        <v>35.159999999999997</v>
      </c>
      <c r="M63" s="64">
        <v>54.94</v>
      </c>
      <c r="N63" s="64">
        <v>419.1</v>
      </c>
      <c r="O63" s="64">
        <v>0</v>
      </c>
      <c r="P63" s="64">
        <v>0.63</v>
      </c>
      <c r="Q63" s="64">
        <v>9.1300000000000008</v>
      </c>
      <c r="R63" s="198"/>
      <c r="S63" s="198"/>
      <c r="T63" s="198"/>
      <c r="U63" s="198"/>
    </row>
    <row r="64" spans="1:21" s="12" customFormat="1" x14ac:dyDescent="0.25">
      <c r="A64" s="214" t="s">
        <v>3086</v>
      </c>
      <c r="B64" s="64">
        <v>4.3</v>
      </c>
      <c r="C64" s="64">
        <v>18.12</v>
      </c>
      <c r="D64" s="64">
        <v>28.09</v>
      </c>
      <c r="E64" s="64">
        <v>5.92</v>
      </c>
      <c r="F64" s="64">
        <v>9.64</v>
      </c>
      <c r="G64" s="64">
        <v>43.46</v>
      </c>
      <c r="H64" s="64">
        <v>38.11</v>
      </c>
      <c r="I64" s="64">
        <v>4.0999999999999996</v>
      </c>
      <c r="J64" s="64">
        <v>0.21</v>
      </c>
      <c r="K64" s="64">
        <v>240.07</v>
      </c>
      <c r="L64" s="64">
        <v>34.049999999999997</v>
      </c>
      <c r="M64" s="64">
        <v>56.32</v>
      </c>
      <c r="N64" s="64">
        <v>325.8</v>
      </c>
      <c r="O64" s="64">
        <v>0</v>
      </c>
      <c r="P64" s="64">
        <v>0.62</v>
      </c>
      <c r="Q64" s="64">
        <v>9.1199999999999992</v>
      </c>
      <c r="R64" s="198"/>
      <c r="S64" s="198"/>
      <c r="T64" s="198"/>
      <c r="U64" s="198"/>
    </row>
    <row r="65" spans="1:21" s="12" customFormat="1" x14ac:dyDescent="0.25">
      <c r="A65" s="214" t="s">
        <v>3087</v>
      </c>
      <c r="B65" s="64">
        <v>3.73</v>
      </c>
      <c r="C65" s="64">
        <v>15.92</v>
      </c>
      <c r="D65" s="64">
        <v>24.76</v>
      </c>
      <c r="E65" s="64">
        <v>5.77</v>
      </c>
      <c r="F65" s="64">
        <v>12.88</v>
      </c>
      <c r="G65" s="64">
        <v>43.28</v>
      </c>
      <c r="H65" s="64">
        <v>32.06</v>
      </c>
      <c r="I65" s="64">
        <v>3.91</v>
      </c>
      <c r="J65" s="64">
        <v>0.38</v>
      </c>
      <c r="K65" s="64">
        <v>159.12</v>
      </c>
      <c r="L65" s="64">
        <v>33.880000000000003</v>
      </c>
      <c r="M65" s="64">
        <v>56.83</v>
      </c>
      <c r="N65" s="64">
        <v>463.1</v>
      </c>
      <c r="O65" s="64">
        <v>0</v>
      </c>
      <c r="P65" s="64">
        <v>0.6</v>
      </c>
      <c r="Q65" s="64">
        <v>9.1300000000000008</v>
      </c>
      <c r="R65" s="198"/>
      <c r="S65" s="198"/>
      <c r="T65" s="198"/>
      <c r="U65" s="198"/>
    </row>
    <row r="66" spans="1:21" s="12" customFormat="1" x14ac:dyDescent="0.25">
      <c r="A66" s="214" t="s">
        <v>3088</v>
      </c>
      <c r="B66" s="64">
        <v>3.88</v>
      </c>
      <c r="C66" s="64">
        <v>19.68</v>
      </c>
      <c r="D66" s="64">
        <v>31.72</v>
      </c>
      <c r="E66" s="64">
        <v>7.02</v>
      </c>
      <c r="F66" s="64">
        <v>22.62</v>
      </c>
      <c r="G66" s="64">
        <v>42.57</v>
      </c>
      <c r="H66" s="64">
        <v>6.1</v>
      </c>
      <c r="I66" s="64">
        <v>3.86</v>
      </c>
      <c r="J66" s="64">
        <v>0.22</v>
      </c>
      <c r="K66" s="64">
        <v>242.3</v>
      </c>
      <c r="L66" s="64">
        <v>34.25</v>
      </c>
      <c r="M66" s="64">
        <v>55.58</v>
      </c>
      <c r="N66" s="64">
        <v>248.8</v>
      </c>
      <c r="O66" s="64">
        <v>0</v>
      </c>
      <c r="P66" s="64">
        <v>0.62</v>
      </c>
      <c r="Q66" s="64">
        <v>9.14</v>
      </c>
      <c r="R66" s="198"/>
      <c r="S66" s="198"/>
      <c r="T66" s="198"/>
      <c r="U66" s="198"/>
    </row>
    <row r="67" spans="1:21" s="12" customFormat="1" x14ac:dyDescent="0.25">
      <c r="A67" s="214" t="s">
        <v>3089</v>
      </c>
      <c r="B67" s="64">
        <v>4.29</v>
      </c>
      <c r="C67" s="64">
        <v>18.760000000000002</v>
      </c>
      <c r="D67" s="64">
        <v>29.32</v>
      </c>
      <c r="E67" s="64">
        <v>7.17</v>
      </c>
      <c r="F67" s="64">
        <v>19.32</v>
      </c>
      <c r="G67" s="64">
        <v>42.57</v>
      </c>
      <c r="H67" s="64">
        <v>6.1</v>
      </c>
      <c r="I67" s="64">
        <v>4.01</v>
      </c>
      <c r="J67" s="64">
        <v>0.31</v>
      </c>
      <c r="K67" s="64">
        <v>304.79000000000002</v>
      </c>
      <c r="L67" s="64">
        <v>34.68</v>
      </c>
      <c r="M67" s="64">
        <v>51.78</v>
      </c>
      <c r="N67" s="64">
        <v>274.5</v>
      </c>
      <c r="O67" s="64">
        <v>0</v>
      </c>
      <c r="P67" s="64">
        <v>0.59</v>
      </c>
      <c r="Q67" s="64">
        <v>9.14</v>
      </c>
      <c r="R67" s="198"/>
      <c r="S67" s="198"/>
      <c r="T67" s="198"/>
      <c r="U67" s="198"/>
    </row>
    <row r="68" spans="1:21" s="12" customFormat="1" x14ac:dyDescent="0.25">
      <c r="A68" s="214" t="s">
        <v>3090</v>
      </c>
      <c r="B68" s="64">
        <v>4.79</v>
      </c>
      <c r="C68" s="64">
        <v>20.34</v>
      </c>
      <c r="D68" s="64">
        <v>31.59</v>
      </c>
      <c r="E68" s="64">
        <v>7.01</v>
      </c>
      <c r="F68" s="64">
        <v>19.98</v>
      </c>
      <c r="G68" s="64">
        <v>42.57</v>
      </c>
      <c r="H68" s="64">
        <v>6.1</v>
      </c>
      <c r="I68" s="64">
        <v>3.94</v>
      </c>
      <c r="J68" s="64">
        <v>0.33</v>
      </c>
      <c r="K68" s="64">
        <v>284.93</v>
      </c>
      <c r="L68" s="64">
        <v>35.26</v>
      </c>
      <c r="M68" s="64">
        <v>49.56</v>
      </c>
      <c r="N68" s="64">
        <v>309</v>
      </c>
      <c r="O68" s="64">
        <v>0</v>
      </c>
      <c r="P68" s="64">
        <v>0.6</v>
      </c>
      <c r="Q68" s="64">
        <v>9.14</v>
      </c>
      <c r="R68" s="198"/>
      <c r="S68" s="198"/>
      <c r="T68" s="198"/>
      <c r="U68" s="198"/>
    </row>
    <row r="69" spans="1:21" s="12" customFormat="1" x14ac:dyDescent="0.25">
      <c r="A69" s="214" t="s">
        <v>3091</v>
      </c>
      <c r="B69" s="64">
        <v>4.3099999999999996</v>
      </c>
      <c r="C69" s="64">
        <v>18.88</v>
      </c>
      <c r="D69" s="64">
        <v>29.53</v>
      </c>
      <c r="E69" s="64">
        <v>7.12</v>
      </c>
      <c r="F69" s="64">
        <v>21.79</v>
      </c>
      <c r="G69" s="64">
        <v>42.54</v>
      </c>
      <c r="H69" s="64">
        <v>5.15</v>
      </c>
      <c r="I69" s="64">
        <v>3.94</v>
      </c>
      <c r="J69" s="64">
        <v>0.25</v>
      </c>
      <c r="K69" s="64">
        <v>267.19</v>
      </c>
      <c r="L69" s="64">
        <v>34.590000000000003</v>
      </c>
      <c r="M69" s="64">
        <v>50.76</v>
      </c>
      <c r="N69" s="64">
        <v>249.8</v>
      </c>
      <c r="O69" s="64">
        <v>0</v>
      </c>
      <c r="P69" s="64">
        <v>0.6</v>
      </c>
      <c r="Q69" s="64">
        <v>9.1300000000000008</v>
      </c>
      <c r="R69" s="198"/>
      <c r="S69" s="198"/>
      <c r="T69" s="198"/>
      <c r="U69" s="198"/>
    </row>
    <row r="70" spans="1:21" s="12" customFormat="1" x14ac:dyDescent="0.25">
      <c r="A70" s="214" t="s">
        <v>3092</v>
      </c>
      <c r="B70" s="64">
        <v>4.53</v>
      </c>
      <c r="C70" s="64">
        <v>19.809999999999999</v>
      </c>
      <c r="D70" s="64">
        <v>30.97</v>
      </c>
      <c r="E70" s="64">
        <v>7.64</v>
      </c>
      <c r="F70" s="64">
        <v>15.47</v>
      </c>
      <c r="G70" s="64">
        <v>42.41</v>
      </c>
      <c r="H70" s="64">
        <v>1.1000000000000001</v>
      </c>
      <c r="I70" s="64">
        <v>3.75</v>
      </c>
      <c r="J70" s="64">
        <v>0.42</v>
      </c>
      <c r="K70" s="64">
        <v>293.18</v>
      </c>
      <c r="L70" s="64">
        <v>35.04</v>
      </c>
      <c r="M70" s="64">
        <v>50.85</v>
      </c>
      <c r="N70" s="64">
        <v>310.2</v>
      </c>
      <c r="O70" s="64">
        <v>0</v>
      </c>
      <c r="P70" s="64">
        <v>0.61</v>
      </c>
      <c r="Q70" s="64">
        <v>9.1199999999999992</v>
      </c>
      <c r="R70" s="198"/>
      <c r="S70" s="198"/>
      <c r="T70" s="198"/>
      <c r="U70" s="198"/>
    </row>
    <row r="71" spans="1:21" s="12" customFormat="1" x14ac:dyDescent="0.25">
      <c r="A71" s="214" t="s">
        <v>3093</v>
      </c>
      <c r="B71" s="64">
        <v>4.55</v>
      </c>
      <c r="C71" s="64">
        <v>18.34</v>
      </c>
      <c r="D71" s="64">
        <v>28.13</v>
      </c>
      <c r="E71" s="64">
        <v>7.27</v>
      </c>
      <c r="F71" s="64">
        <v>13.38</v>
      </c>
      <c r="G71" s="64">
        <v>42.41</v>
      </c>
      <c r="H71" s="64">
        <v>1.1000000000000001</v>
      </c>
      <c r="I71" s="64">
        <v>3.98</v>
      </c>
      <c r="J71" s="64">
        <v>0.53</v>
      </c>
      <c r="K71" s="64">
        <v>283.04000000000002</v>
      </c>
      <c r="L71" s="64">
        <v>34.369999999999997</v>
      </c>
      <c r="M71" s="64">
        <v>51.11</v>
      </c>
      <c r="N71" s="64">
        <v>152</v>
      </c>
      <c r="O71" s="64">
        <v>0</v>
      </c>
      <c r="P71" s="64">
        <v>0.59</v>
      </c>
      <c r="Q71" s="64">
        <v>9.1300000000000008</v>
      </c>
      <c r="R71" s="198"/>
      <c r="S71" s="198"/>
      <c r="T71" s="198"/>
      <c r="U71" s="198"/>
    </row>
    <row r="72" spans="1:21" s="12" customFormat="1" x14ac:dyDescent="0.25">
      <c r="A72" s="214" t="s">
        <v>3094</v>
      </c>
      <c r="B72" s="64">
        <v>4.0999999999999996</v>
      </c>
      <c r="C72" s="64">
        <v>16.38</v>
      </c>
      <c r="D72" s="64">
        <v>25.07</v>
      </c>
      <c r="E72" s="64">
        <v>4.76</v>
      </c>
      <c r="F72" s="64">
        <v>6.53</v>
      </c>
      <c r="G72" s="64">
        <v>42.41</v>
      </c>
      <c r="H72" s="64">
        <v>1.1000000000000001</v>
      </c>
      <c r="I72" s="64">
        <v>4.1500000000000004</v>
      </c>
      <c r="J72" s="64">
        <v>0.59</v>
      </c>
      <c r="K72" s="64">
        <v>280.95</v>
      </c>
      <c r="L72" s="64">
        <v>31.66</v>
      </c>
      <c r="M72" s="64">
        <v>58.24</v>
      </c>
      <c r="N72" s="64">
        <v>83.6</v>
      </c>
      <c r="O72" s="64">
        <v>0</v>
      </c>
      <c r="P72" s="64">
        <v>0.59</v>
      </c>
      <c r="Q72" s="64">
        <v>9.14</v>
      </c>
      <c r="R72" s="198"/>
      <c r="S72" s="198"/>
      <c r="T72" s="198"/>
      <c r="U72" s="198"/>
    </row>
    <row r="73" spans="1:21" s="12" customFormat="1" x14ac:dyDescent="0.25">
      <c r="A73" s="214" t="s">
        <v>3095</v>
      </c>
      <c r="B73" s="64">
        <v>3.88</v>
      </c>
      <c r="C73" s="64">
        <v>15.96</v>
      </c>
      <c r="D73" s="64">
        <v>24.6</v>
      </c>
      <c r="E73" s="64">
        <v>3.88</v>
      </c>
      <c r="F73" s="64">
        <v>8.83</v>
      </c>
      <c r="G73" s="64">
        <v>42.65</v>
      </c>
      <c r="H73" s="64">
        <v>7.08</v>
      </c>
      <c r="I73" s="64">
        <v>4</v>
      </c>
      <c r="J73" s="64">
        <v>0.32</v>
      </c>
      <c r="K73" s="64">
        <v>276.54000000000002</v>
      </c>
      <c r="L73" s="64">
        <v>29.29</v>
      </c>
      <c r="M73" s="64">
        <v>65.13</v>
      </c>
      <c r="N73" s="64">
        <v>63.9</v>
      </c>
      <c r="O73" s="64">
        <v>0</v>
      </c>
      <c r="P73" s="64">
        <v>0.55000000000000004</v>
      </c>
      <c r="Q73" s="64">
        <v>9.14</v>
      </c>
      <c r="R73" s="198"/>
      <c r="S73" s="198"/>
      <c r="T73" s="198"/>
      <c r="U73" s="198"/>
    </row>
    <row r="74" spans="1:21" s="12" customFormat="1" x14ac:dyDescent="0.25">
      <c r="A74" s="214" t="s">
        <v>3096</v>
      </c>
      <c r="B74" s="64">
        <v>4.51</v>
      </c>
      <c r="C74" s="64">
        <v>17.28</v>
      </c>
      <c r="D74" s="64">
        <v>26.14</v>
      </c>
      <c r="E74" s="64">
        <v>4.09</v>
      </c>
      <c r="F74" s="64">
        <v>6.22</v>
      </c>
      <c r="G74" s="64">
        <v>43.68</v>
      </c>
      <c r="H74" s="64">
        <v>32.770000000000003</v>
      </c>
      <c r="I74" s="64">
        <v>4.07</v>
      </c>
      <c r="J74" s="64">
        <v>0.57999999999999996</v>
      </c>
      <c r="K74" s="64">
        <v>313.70999999999998</v>
      </c>
      <c r="L74" s="64">
        <v>28.52</v>
      </c>
      <c r="M74" s="64">
        <v>68.260000000000005</v>
      </c>
      <c r="N74" s="64">
        <v>51.4</v>
      </c>
      <c r="O74" s="64">
        <v>0</v>
      </c>
      <c r="P74" s="64">
        <v>0.54</v>
      </c>
      <c r="Q74" s="64">
        <v>9.14</v>
      </c>
      <c r="R74" s="198"/>
      <c r="S74" s="198"/>
      <c r="T74" s="198"/>
      <c r="U74" s="198"/>
    </row>
    <row r="75" spans="1:21" s="12" customFormat="1" x14ac:dyDescent="0.25">
      <c r="A75" s="214" t="s">
        <v>3097</v>
      </c>
      <c r="B75" s="64">
        <v>4.9400000000000004</v>
      </c>
      <c r="C75" s="64">
        <v>16.48</v>
      </c>
      <c r="D75" s="64">
        <v>23.96</v>
      </c>
      <c r="E75" s="64">
        <v>3.96</v>
      </c>
      <c r="F75" s="64">
        <v>5.29</v>
      </c>
      <c r="G75" s="64">
        <v>43.68</v>
      </c>
      <c r="H75" s="64">
        <v>32.770000000000003</v>
      </c>
      <c r="I75" s="64">
        <v>4.04</v>
      </c>
      <c r="J75" s="64">
        <v>1.36</v>
      </c>
      <c r="K75" s="64">
        <v>335.61</v>
      </c>
      <c r="L75" s="64">
        <v>28.44</v>
      </c>
      <c r="M75" s="64">
        <v>71.92</v>
      </c>
      <c r="N75" s="64">
        <v>50.4</v>
      </c>
      <c r="O75" s="64">
        <v>0</v>
      </c>
      <c r="P75" s="64">
        <v>0.53</v>
      </c>
      <c r="Q75" s="64">
        <v>9.14</v>
      </c>
      <c r="R75" s="198"/>
      <c r="S75" s="198"/>
      <c r="T75" s="198"/>
      <c r="U75" s="198"/>
    </row>
    <row r="76" spans="1:21" s="12" customFormat="1" x14ac:dyDescent="0.25">
      <c r="A76" s="214" t="s">
        <v>3098</v>
      </c>
      <c r="B76" s="64">
        <v>7.34</v>
      </c>
      <c r="C76" s="64">
        <v>24.2</v>
      </c>
      <c r="D76" s="64">
        <v>35.04</v>
      </c>
      <c r="E76" s="64">
        <v>4.37</v>
      </c>
      <c r="F76" s="64">
        <v>11.14</v>
      </c>
      <c r="G76" s="64">
        <v>43.68</v>
      </c>
      <c r="H76" s="64">
        <v>32.770000000000003</v>
      </c>
      <c r="I76" s="64">
        <v>4.07</v>
      </c>
      <c r="J76" s="64">
        <v>0.34</v>
      </c>
      <c r="K76" s="64">
        <v>3.09</v>
      </c>
      <c r="L76" s="64">
        <v>28.18</v>
      </c>
      <c r="M76" s="64">
        <v>69.739999999999995</v>
      </c>
      <c r="N76" s="64">
        <v>50.4</v>
      </c>
      <c r="O76" s="64">
        <v>0</v>
      </c>
      <c r="P76" s="64">
        <v>0.57999999999999996</v>
      </c>
      <c r="Q76" s="64">
        <v>9.15</v>
      </c>
      <c r="R76" s="198"/>
      <c r="S76" s="198"/>
      <c r="T76" s="198"/>
      <c r="U76" s="198"/>
    </row>
    <row r="77" spans="1:21" s="12" customFormat="1" x14ac:dyDescent="0.25">
      <c r="A77" s="214" t="s">
        <v>3099</v>
      </c>
      <c r="B77" s="64">
        <v>6.34</v>
      </c>
      <c r="C77" s="64">
        <v>26.53</v>
      </c>
      <c r="D77" s="64">
        <v>41.04</v>
      </c>
      <c r="E77" s="64">
        <v>4.4400000000000004</v>
      </c>
      <c r="F77" s="64">
        <v>13.01</v>
      </c>
      <c r="G77" s="64">
        <v>42.72</v>
      </c>
      <c r="H77" s="64">
        <v>28.9</v>
      </c>
      <c r="I77" s="64">
        <v>4.03</v>
      </c>
      <c r="J77" s="64">
        <v>0.45</v>
      </c>
      <c r="K77" s="64">
        <v>136.26</v>
      </c>
      <c r="L77" s="64">
        <v>28.72</v>
      </c>
      <c r="M77" s="64">
        <v>65.81</v>
      </c>
      <c r="N77" s="64">
        <v>56.9</v>
      </c>
      <c r="O77" s="64">
        <v>0</v>
      </c>
      <c r="P77" s="64">
        <v>0.48</v>
      </c>
      <c r="Q77" s="64">
        <v>9.16</v>
      </c>
      <c r="R77" s="198"/>
      <c r="S77" s="198"/>
      <c r="T77" s="198"/>
      <c r="U77" s="198"/>
    </row>
    <row r="78" spans="1:21" s="12" customFormat="1" x14ac:dyDescent="0.25">
      <c r="A78" s="214" t="s">
        <v>3100</v>
      </c>
      <c r="B78" s="64">
        <v>5.15</v>
      </c>
      <c r="C78" s="64">
        <v>21.77</v>
      </c>
      <c r="D78" s="64">
        <v>33.76</v>
      </c>
      <c r="E78" s="64">
        <v>4.46</v>
      </c>
      <c r="F78" s="64">
        <v>9.9</v>
      </c>
      <c r="G78" s="64">
        <v>38.590000000000003</v>
      </c>
      <c r="H78" s="64">
        <v>12.29</v>
      </c>
      <c r="I78" s="64">
        <v>4.1100000000000003</v>
      </c>
      <c r="J78" s="64">
        <v>0.24</v>
      </c>
      <c r="K78" s="64">
        <v>158.53</v>
      </c>
      <c r="L78" s="64">
        <v>28.67</v>
      </c>
      <c r="M78" s="64">
        <v>67.900000000000006</v>
      </c>
      <c r="N78" s="64">
        <v>54.3</v>
      </c>
      <c r="O78" s="64">
        <v>0</v>
      </c>
      <c r="P78" s="64">
        <v>0.49</v>
      </c>
      <c r="Q78" s="64">
        <v>9.16</v>
      </c>
      <c r="R78" s="198"/>
      <c r="S78" s="198"/>
      <c r="T78" s="198"/>
      <c r="U78" s="198"/>
    </row>
    <row r="79" spans="1:21" s="12" customFormat="1" x14ac:dyDescent="0.25">
      <c r="A79" s="214" t="s">
        <v>3101</v>
      </c>
      <c r="B79" s="64">
        <v>4.97</v>
      </c>
      <c r="C79" s="64">
        <v>19.28</v>
      </c>
      <c r="D79" s="64">
        <v>29.27</v>
      </c>
      <c r="E79" s="64">
        <v>4.34</v>
      </c>
      <c r="F79" s="64">
        <v>6.1</v>
      </c>
      <c r="G79" s="64">
        <v>38.590000000000003</v>
      </c>
      <c r="H79" s="64">
        <v>12.29</v>
      </c>
      <c r="I79" s="64">
        <v>3.95</v>
      </c>
      <c r="J79" s="64">
        <v>1.02</v>
      </c>
      <c r="K79" s="64">
        <v>151.52000000000001</v>
      </c>
      <c r="L79" s="64">
        <v>28.46</v>
      </c>
      <c r="M79" s="64">
        <v>70.2</v>
      </c>
      <c r="N79" s="64">
        <v>52.4</v>
      </c>
      <c r="O79" s="64">
        <v>0</v>
      </c>
      <c r="P79" s="64">
        <v>0.52</v>
      </c>
      <c r="Q79" s="64">
        <v>9.16</v>
      </c>
      <c r="R79" s="198"/>
      <c r="S79" s="198"/>
      <c r="T79" s="198"/>
      <c r="U79" s="198"/>
    </row>
    <row r="80" spans="1:21" s="12" customFormat="1" x14ac:dyDescent="0.25">
      <c r="A80" s="214" t="s">
        <v>3102</v>
      </c>
      <c r="B80" s="64">
        <v>5.44</v>
      </c>
      <c r="C80" s="64">
        <v>19.420000000000002</v>
      </c>
      <c r="D80" s="64">
        <v>28.82</v>
      </c>
      <c r="E80" s="64">
        <v>4.24</v>
      </c>
      <c r="F80" s="64">
        <v>5.97</v>
      </c>
      <c r="G80" s="64">
        <v>38.590000000000003</v>
      </c>
      <c r="H80" s="64">
        <v>12.29</v>
      </c>
      <c r="I80" s="64">
        <v>4.18</v>
      </c>
      <c r="J80" s="64">
        <v>1.0900000000000001</v>
      </c>
      <c r="K80" s="64">
        <v>152.91</v>
      </c>
      <c r="L80" s="64">
        <v>28.33</v>
      </c>
      <c r="M80" s="64">
        <v>69.81</v>
      </c>
      <c r="N80" s="64">
        <v>47.4</v>
      </c>
      <c r="O80" s="64">
        <v>0</v>
      </c>
      <c r="P80" s="64">
        <v>0.52</v>
      </c>
      <c r="Q80" s="64">
        <v>9.18</v>
      </c>
      <c r="R80" s="198"/>
      <c r="S80" s="198"/>
      <c r="T80" s="198"/>
      <c r="U80" s="198"/>
    </row>
    <row r="81" spans="1:26" s="12" customFormat="1" x14ac:dyDescent="0.25">
      <c r="A81" s="214" t="s">
        <v>3103</v>
      </c>
      <c r="B81" s="64">
        <v>6.17</v>
      </c>
      <c r="C81" s="64">
        <v>21.02</v>
      </c>
      <c r="D81" s="64">
        <v>30.76</v>
      </c>
      <c r="E81" s="64">
        <v>3.66</v>
      </c>
      <c r="F81" s="64">
        <v>5.26</v>
      </c>
      <c r="G81" s="64">
        <v>39.01</v>
      </c>
      <c r="H81" s="64">
        <v>12.8</v>
      </c>
      <c r="I81" s="64">
        <v>3.97</v>
      </c>
      <c r="J81" s="64">
        <v>0.79</v>
      </c>
      <c r="K81" s="64">
        <v>148.05000000000001</v>
      </c>
      <c r="L81" s="64">
        <v>28.44</v>
      </c>
      <c r="M81" s="64">
        <v>72.28</v>
      </c>
      <c r="N81" s="64">
        <v>34.1</v>
      </c>
      <c r="O81" s="64">
        <v>0</v>
      </c>
      <c r="P81" s="64">
        <v>0.52</v>
      </c>
      <c r="Q81" s="64">
        <v>9.18</v>
      </c>
      <c r="R81" s="198"/>
      <c r="S81" s="198"/>
      <c r="T81" s="198"/>
      <c r="U81" s="198"/>
    </row>
    <row r="82" spans="1:26" s="12" customFormat="1" x14ac:dyDescent="0.25">
      <c r="A82" s="214" t="s">
        <v>3104</v>
      </c>
      <c r="B82" s="64">
        <v>6.43</v>
      </c>
      <c r="C82" s="64">
        <v>22.53</v>
      </c>
      <c r="D82" s="64">
        <v>33.25</v>
      </c>
      <c r="E82" s="64">
        <v>4.16</v>
      </c>
      <c r="F82" s="64">
        <v>4.93</v>
      </c>
      <c r="G82" s="64">
        <v>40.659999999999997</v>
      </c>
      <c r="H82" s="64">
        <v>14.84</v>
      </c>
      <c r="I82" s="64">
        <v>3.73</v>
      </c>
      <c r="J82" s="64">
        <v>0.8</v>
      </c>
      <c r="K82" s="64">
        <v>151.84</v>
      </c>
      <c r="L82" s="64">
        <v>28.4</v>
      </c>
      <c r="M82" s="64">
        <v>71.8</v>
      </c>
      <c r="N82" s="64">
        <v>29.5</v>
      </c>
      <c r="O82" s="64">
        <v>0</v>
      </c>
      <c r="P82" s="64">
        <v>0.52</v>
      </c>
      <c r="Q82" s="64">
        <v>9.19</v>
      </c>
      <c r="R82" s="198"/>
      <c r="S82" s="198"/>
      <c r="T82" s="198"/>
      <c r="U82" s="198"/>
    </row>
    <row r="83" spans="1:26" s="12" customFormat="1" x14ac:dyDescent="0.25">
      <c r="A83" s="214" t="s">
        <v>3105</v>
      </c>
      <c r="B83" s="64">
        <v>6.31</v>
      </c>
      <c r="C83" s="64">
        <v>22.15</v>
      </c>
      <c r="D83" s="64">
        <v>32.72</v>
      </c>
      <c r="E83" s="64">
        <v>4.2699999999999996</v>
      </c>
      <c r="F83" s="64">
        <v>7.77</v>
      </c>
      <c r="G83" s="64">
        <v>40.659999999999997</v>
      </c>
      <c r="H83" s="64">
        <v>14.84</v>
      </c>
      <c r="I83" s="64">
        <v>3.92</v>
      </c>
      <c r="J83" s="64">
        <v>0.82</v>
      </c>
      <c r="K83" s="64">
        <v>150.54</v>
      </c>
      <c r="L83" s="64">
        <v>28.39</v>
      </c>
      <c r="M83" s="64">
        <v>70.97</v>
      </c>
      <c r="N83" s="64">
        <v>29.3</v>
      </c>
      <c r="O83" s="64">
        <v>0</v>
      </c>
      <c r="P83" s="64">
        <v>0.54</v>
      </c>
      <c r="Q83" s="64">
        <v>9.2100000000000009</v>
      </c>
      <c r="R83" s="198"/>
      <c r="S83" s="198"/>
      <c r="T83" s="198"/>
      <c r="U83" s="198"/>
    </row>
    <row r="84" spans="1:26" s="12" customFormat="1" x14ac:dyDescent="0.25">
      <c r="A84" s="214" t="s">
        <v>3106</v>
      </c>
      <c r="B84" s="64">
        <v>6.56</v>
      </c>
      <c r="C84" s="64">
        <v>27.52</v>
      </c>
      <c r="D84" s="64">
        <v>42.61</v>
      </c>
      <c r="E84" s="64">
        <v>4.6900000000000004</v>
      </c>
      <c r="F84" s="64">
        <v>11.11</v>
      </c>
      <c r="G84" s="64">
        <v>40.659999999999997</v>
      </c>
      <c r="H84" s="64">
        <v>14.84</v>
      </c>
      <c r="I84" s="64">
        <v>4.0199999999999996</v>
      </c>
      <c r="J84" s="64">
        <v>0.41</v>
      </c>
      <c r="K84" s="64">
        <v>169.11</v>
      </c>
      <c r="L84" s="64">
        <v>28.39</v>
      </c>
      <c r="M84" s="64">
        <v>72.319999999999993</v>
      </c>
      <c r="N84" s="64">
        <v>26.5</v>
      </c>
      <c r="O84" s="64">
        <v>0</v>
      </c>
      <c r="P84" s="64">
        <v>0.61</v>
      </c>
      <c r="Q84" s="64">
        <v>9.2100000000000009</v>
      </c>
      <c r="R84" s="198"/>
      <c r="S84" s="198"/>
      <c r="T84" s="198"/>
      <c r="U84" s="198"/>
    </row>
    <row r="85" spans="1:26" s="12" customFormat="1" x14ac:dyDescent="0.25">
      <c r="A85" s="214" t="s">
        <v>3107</v>
      </c>
      <c r="B85" s="64">
        <v>7.12</v>
      </c>
      <c r="C85" s="64">
        <v>32.96</v>
      </c>
      <c r="D85" s="64">
        <v>52.15</v>
      </c>
      <c r="E85" s="64">
        <v>4.38</v>
      </c>
      <c r="F85" s="64">
        <v>10.45</v>
      </c>
      <c r="G85" s="64">
        <v>40.950000000000003</v>
      </c>
      <c r="H85" s="64">
        <v>14.91</v>
      </c>
      <c r="I85" s="64">
        <v>4.01</v>
      </c>
      <c r="J85" s="64">
        <v>0.28000000000000003</v>
      </c>
      <c r="K85" s="64">
        <v>197.5</v>
      </c>
      <c r="L85" s="64">
        <v>28.3</v>
      </c>
      <c r="M85" s="64">
        <v>74.02</v>
      </c>
      <c r="N85" s="64">
        <v>26.6</v>
      </c>
      <c r="O85" s="64">
        <v>0</v>
      </c>
      <c r="P85" s="64">
        <v>0.71</v>
      </c>
      <c r="Q85" s="64">
        <v>9.2200000000000006</v>
      </c>
      <c r="R85" s="198"/>
      <c r="S85" s="198"/>
      <c r="T85" s="198"/>
      <c r="U85" s="198"/>
    </row>
    <row r="86" spans="1:26" s="12" customFormat="1" x14ac:dyDescent="0.25">
      <c r="A86" s="214" t="s">
        <v>3108</v>
      </c>
      <c r="B86" s="64">
        <v>6.47</v>
      </c>
      <c r="C86" s="64">
        <v>24.75</v>
      </c>
      <c r="D86" s="64">
        <v>37.44</v>
      </c>
      <c r="E86" s="64">
        <v>3.94</v>
      </c>
      <c r="F86" s="64">
        <v>8.49</v>
      </c>
      <c r="G86" s="64">
        <v>42.09</v>
      </c>
      <c r="H86" s="64">
        <v>15.22</v>
      </c>
      <c r="I86" s="64">
        <v>3.97</v>
      </c>
      <c r="J86" s="64">
        <v>0.14000000000000001</v>
      </c>
      <c r="K86" s="64">
        <v>212.09</v>
      </c>
      <c r="L86" s="64">
        <v>27.88</v>
      </c>
      <c r="M86" s="64">
        <v>77.55</v>
      </c>
      <c r="N86" s="64">
        <v>26.9</v>
      </c>
      <c r="O86" s="64">
        <v>0</v>
      </c>
      <c r="P86" s="64">
        <v>0.57999999999999996</v>
      </c>
      <c r="Q86" s="64">
        <v>9.23</v>
      </c>
      <c r="R86" s="198"/>
      <c r="S86" s="198"/>
      <c r="T86" s="198"/>
      <c r="U86" s="198"/>
    </row>
    <row r="87" spans="1:26" s="12" customFormat="1" x14ac:dyDescent="0.25">
      <c r="A87" s="214" t="s">
        <v>3109</v>
      </c>
      <c r="B87" s="64">
        <v>7.57</v>
      </c>
      <c r="C87" s="64">
        <v>20.239999999999998</v>
      </c>
      <c r="D87" s="64">
        <v>27.12</v>
      </c>
      <c r="E87" s="64">
        <v>4.3099999999999996</v>
      </c>
      <c r="F87" s="64">
        <v>7.44</v>
      </c>
      <c r="G87" s="64">
        <v>42.09</v>
      </c>
      <c r="H87" s="64">
        <v>15.22</v>
      </c>
      <c r="I87" s="64">
        <v>4.0599999999999996</v>
      </c>
      <c r="J87" s="64">
        <v>0.08</v>
      </c>
      <c r="K87" s="64">
        <v>261.74</v>
      </c>
      <c r="L87" s="64">
        <v>27.52</v>
      </c>
      <c r="M87" s="64">
        <v>76.37</v>
      </c>
      <c r="N87" s="64">
        <v>26.8</v>
      </c>
      <c r="O87" s="64">
        <v>0</v>
      </c>
      <c r="P87" s="64">
        <v>0.56000000000000005</v>
      </c>
      <c r="Q87" s="64">
        <v>9.24</v>
      </c>
      <c r="R87" s="198"/>
      <c r="S87" s="198"/>
      <c r="T87" s="198"/>
      <c r="U87" s="198"/>
    </row>
    <row r="88" spans="1:26" s="12" customFormat="1" x14ac:dyDescent="0.25">
      <c r="A88" s="214" t="s">
        <v>3110</v>
      </c>
      <c r="B88" s="64">
        <v>6.43</v>
      </c>
      <c r="C88" s="64">
        <v>17.940000000000001</v>
      </c>
      <c r="D88" s="64">
        <v>24.48</v>
      </c>
      <c r="E88" s="64">
        <v>4.38</v>
      </c>
      <c r="F88" s="64">
        <v>10.06</v>
      </c>
      <c r="G88" s="64">
        <v>42.09</v>
      </c>
      <c r="H88" s="64">
        <v>15.22</v>
      </c>
      <c r="I88" s="64">
        <v>3.93</v>
      </c>
      <c r="J88" s="64">
        <v>0.1</v>
      </c>
      <c r="K88" s="64">
        <v>240.61</v>
      </c>
      <c r="L88" s="64">
        <v>27.37</v>
      </c>
      <c r="M88" s="64">
        <v>73.37</v>
      </c>
      <c r="N88" s="64">
        <v>26.6</v>
      </c>
      <c r="O88" s="64">
        <v>0</v>
      </c>
      <c r="P88" s="64">
        <v>0.52</v>
      </c>
      <c r="Q88" s="64">
        <v>9.23</v>
      </c>
      <c r="R88" s="198"/>
      <c r="S88" s="198"/>
      <c r="T88" s="198"/>
      <c r="U88" s="198"/>
    </row>
    <row r="89" spans="1:26" s="12" customFormat="1" x14ac:dyDescent="0.25">
      <c r="A89" s="214" t="s">
        <v>3111</v>
      </c>
      <c r="B89" s="64">
        <v>5.3</v>
      </c>
      <c r="C89" s="64">
        <v>16.920000000000002</v>
      </c>
      <c r="D89" s="64">
        <v>24.26</v>
      </c>
      <c r="E89" s="64">
        <v>3.95</v>
      </c>
      <c r="F89" s="64">
        <v>7.34</v>
      </c>
      <c r="G89" s="64">
        <v>40.47</v>
      </c>
      <c r="H89" s="64">
        <v>13.05</v>
      </c>
      <c r="I89" s="64">
        <v>4.1500000000000004</v>
      </c>
      <c r="J89" s="64">
        <v>0.56000000000000005</v>
      </c>
      <c r="K89" s="64">
        <v>192.56</v>
      </c>
      <c r="L89" s="64">
        <v>26.84</v>
      </c>
      <c r="M89" s="64">
        <v>72.400000000000006</v>
      </c>
      <c r="N89" s="64">
        <v>27.2</v>
      </c>
      <c r="O89" s="64">
        <v>0</v>
      </c>
      <c r="P89" s="64">
        <v>0.48</v>
      </c>
      <c r="Q89" s="64">
        <v>9.2200000000000006</v>
      </c>
      <c r="R89" s="198"/>
      <c r="S89" s="198"/>
      <c r="T89" s="198"/>
      <c r="U89" s="198"/>
    </row>
    <row r="90" spans="1:26" s="12" customFormat="1" x14ac:dyDescent="0.25">
      <c r="A90" s="214" t="s">
        <v>3112</v>
      </c>
      <c r="B90" s="64">
        <v>4.83</v>
      </c>
      <c r="C90" s="64">
        <v>16.329999999999998</v>
      </c>
      <c r="D90" s="64">
        <v>23.85</v>
      </c>
      <c r="E90" s="64">
        <v>4.25</v>
      </c>
      <c r="F90" s="64">
        <v>7.15</v>
      </c>
      <c r="G90" s="64">
        <v>33.49</v>
      </c>
      <c r="H90" s="64">
        <v>4.37</v>
      </c>
      <c r="I90" s="64">
        <v>3.97</v>
      </c>
      <c r="J90" s="64">
        <v>0.52</v>
      </c>
      <c r="K90" s="64">
        <v>173.96</v>
      </c>
      <c r="L90" s="64">
        <v>26.51</v>
      </c>
      <c r="M90" s="64">
        <v>67.25</v>
      </c>
      <c r="N90" s="64">
        <v>26.9</v>
      </c>
      <c r="O90" s="64">
        <v>0</v>
      </c>
      <c r="P90" s="64">
        <v>0.46</v>
      </c>
      <c r="Q90" s="64">
        <v>9.2100000000000009</v>
      </c>
      <c r="R90" s="198"/>
      <c r="S90" s="198"/>
      <c r="T90" s="198"/>
      <c r="U90" s="198"/>
    </row>
    <row r="91" spans="1:26" s="12" customFormat="1" x14ac:dyDescent="0.25">
      <c r="A91" s="214" t="s">
        <v>3113</v>
      </c>
      <c r="B91" s="64">
        <v>4.68</v>
      </c>
      <c r="C91" s="64">
        <v>16.41</v>
      </c>
      <c r="D91" s="64">
        <v>24.22</v>
      </c>
      <c r="E91" s="64">
        <v>4.18</v>
      </c>
      <c r="F91" s="64">
        <v>5.89</v>
      </c>
      <c r="G91" s="64">
        <v>33.49</v>
      </c>
      <c r="H91" s="64">
        <v>4.37</v>
      </c>
      <c r="I91" s="64">
        <v>4.08</v>
      </c>
      <c r="J91" s="64">
        <v>0.23</v>
      </c>
      <c r="K91" s="64">
        <v>195.29</v>
      </c>
      <c r="L91" s="64">
        <v>26.27</v>
      </c>
      <c r="M91" s="64">
        <v>66.13</v>
      </c>
      <c r="N91" s="64">
        <v>26.2</v>
      </c>
      <c r="O91" s="64">
        <v>0</v>
      </c>
      <c r="P91" s="64">
        <v>0.46</v>
      </c>
      <c r="Q91" s="64">
        <v>9.18</v>
      </c>
      <c r="R91" s="198"/>
      <c r="S91" s="198"/>
      <c r="T91" s="198"/>
      <c r="U91" s="198"/>
    </row>
    <row r="92" spans="1:26" s="12" customFormat="1" x14ac:dyDescent="0.25">
      <c r="A92" s="214" t="s">
        <v>3114</v>
      </c>
      <c r="B92" s="64">
        <v>4.7300000000000004</v>
      </c>
      <c r="C92" s="64">
        <v>15.83</v>
      </c>
      <c r="D92" s="64">
        <v>23.04</v>
      </c>
      <c r="E92" s="64">
        <v>3.63</v>
      </c>
      <c r="F92" s="64">
        <v>4.4800000000000004</v>
      </c>
      <c r="G92" s="64">
        <v>33.49</v>
      </c>
      <c r="H92" s="64">
        <v>4.37</v>
      </c>
      <c r="I92" s="64">
        <v>4.0599999999999996</v>
      </c>
      <c r="J92" s="64">
        <v>0.25</v>
      </c>
      <c r="K92" s="64">
        <v>173.65</v>
      </c>
      <c r="L92" s="64">
        <v>25.98</v>
      </c>
      <c r="M92" s="64">
        <v>66.48</v>
      </c>
      <c r="N92" s="64">
        <v>26</v>
      </c>
      <c r="O92" s="64">
        <v>0</v>
      </c>
      <c r="P92" s="64">
        <v>0.48</v>
      </c>
      <c r="Q92" s="64">
        <v>9.18</v>
      </c>
      <c r="R92" s="198"/>
      <c r="S92" s="198"/>
      <c r="T92" s="198"/>
      <c r="U92" s="198"/>
    </row>
    <row r="93" spans="1:26" s="12" customFormat="1" x14ac:dyDescent="0.25">
      <c r="A93" s="214" t="s">
        <v>3115</v>
      </c>
      <c r="B93" s="64">
        <v>5</v>
      </c>
      <c r="C93" s="64">
        <v>16.03</v>
      </c>
      <c r="D93" s="64">
        <v>23.01</v>
      </c>
      <c r="E93" s="64">
        <v>3.78</v>
      </c>
      <c r="F93" s="64">
        <v>4.68</v>
      </c>
      <c r="G93" s="64">
        <v>33.11</v>
      </c>
      <c r="H93" s="64">
        <v>5.27</v>
      </c>
      <c r="I93" s="64">
        <v>4.04</v>
      </c>
      <c r="J93" s="64">
        <v>0.22</v>
      </c>
      <c r="K93" s="64">
        <v>176.93</v>
      </c>
      <c r="L93" s="64">
        <v>25.77</v>
      </c>
      <c r="M93" s="64">
        <v>66.739999999999995</v>
      </c>
      <c r="N93" s="64">
        <v>25.6</v>
      </c>
      <c r="O93" s="64">
        <v>0</v>
      </c>
      <c r="P93" s="64">
        <v>0.45</v>
      </c>
      <c r="Q93" s="64">
        <v>9.18</v>
      </c>
      <c r="R93" s="198"/>
      <c r="S93" s="198"/>
      <c r="T93" s="198"/>
      <c r="U93" s="198"/>
    </row>
    <row r="94" spans="1:26" s="12" customFormat="1" x14ac:dyDescent="0.25">
      <c r="A94" s="214" t="s">
        <v>3116</v>
      </c>
      <c r="B94" s="64">
        <v>5.08</v>
      </c>
      <c r="C94" s="64">
        <v>15.35</v>
      </c>
      <c r="D94" s="64">
        <v>21.57</v>
      </c>
      <c r="E94" s="64">
        <v>4.09</v>
      </c>
      <c r="F94" s="64">
        <v>5.01</v>
      </c>
      <c r="G94" s="64">
        <v>31.44</v>
      </c>
      <c r="H94" s="64">
        <v>9.1199999999999992</v>
      </c>
      <c r="I94" s="64">
        <v>4.05</v>
      </c>
      <c r="J94" s="64">
        <v>0.27</v>
      </c>
      <c r="K94" s="64">
        <v>162.58000000000001</v>
      </c>
      <c r="L94" s="64">
        <v>25.65</v>
      </c>
      <c r="M94" s="64">
        <v>66.73</v>
      </c>
      <c r="N94" s="64">
        <v>26</v>
      </c>
      <c r="O94" s="64">
        <v>0</v>
      </c>
      <c r="P94" s="64">
        <v>0.46</v>
      </c>
      <c r="Q94" s="64">
        <v>9.18</v>
      </c>
      <c r="R94" s="198"/>
      <c r="S94" s="198"/>
      <c r="T94" s="198"/>
      <c r="U94" s="198"/>
    </row>
    <row r="95" spans="1:26" s="12" customFormat="1" x14ac:dyDescent="0.25">
      <c r="A95" s="214" t="s">
        <v>3117</v>
      </c>
      <c r="B95" s="64">
        <v>5.2</v>
      </c>
      <c r="C95" s="64">
        <v>15.51</v>
      </c>
      <c r="D95" s="64">
        <v>21.7</v>
      </c>
      <c r="E95" s="64">
        <v>4.24</v>
      </c>
      <c r="F95" s="64">
        <v>4.07</v>
      </c>
      <c r="G95" s="64">
        <v>31.44</v>
      </c>
      <c r="H95" s="64">
        <v>9.1199999999999992</v>
      </c>
      <c r="I95" s="64">
        <v>3.89</v>
      </c>
      <c r="J95" s="64">
        <v>0.05</v>
      </c>
      <c r="K95" s="64">
        <v>196.69</v>
      </c>
      <c r="L95" s="64">
        <v>25.82</v>
      </c>
      <c r="M95" s="64">
        <v>67.87</v>
      </c>
      <c r="N95" s="64">
        <v>26.4</v>
      </c>
      <c r="O95" s="64">
        <v>0</v>
      </c>
      <c r="P95" s="64">
        <v>0.44</v>
      </c>
      <c r="Q95" s="64">
        <v>9.19</v>
      </c>
      <c r="R95" s="198"/>
      <c r="S95" s="198"/>
      <c r="T95" s="198"/>
      <c r="U95" s="198"/>
    </row>
    <row r="96" spans="1:26" s="12" customFormat="1" x14ac:dyDescent="0.25">
      <c r="A96" s="214" t="s">
        <v>3118</v>
      </c>
      <c r="B96" s="64">
        <v>5.25</v>
      </c>
      <c r="C96" s="64">
        <v>15.38</v>
      </c>
      <c r="D96" s="64">
        <v>21.37</v>
      </c>
      <c r="E96" s="64">
        <v>3.95</v>
      </c>
      <c r="F96" s="64">
        <v>5.3</v>
      </c>
      <c r="G96" s="64">
        <v>31.44</v>
      </c>
      <c r="H96" s="64">
        <v>9.1199999999999992</v>
      </c>
      <c r="I96" s="64">
        <v>4.07</v>
      </c>
      <c r="J96" s="64">
        <v>0.15</v>
      </c>
      <c r="K96" s="64">
        <v>209.68</v>
      </c>
      <c r="L96" s="64">
        <v>25.86</v>
      </c>
      <c r="M96" s="64">
        <v>68.81</v>
      </c>
      <c r="N96" s="64">
        <v>26.4</v>
      </c>
      <c r="O96" s="64">
        <v>0</v>
      </c>
      <c r="P96" s="64">
        <v>0.42</v>
      </c>
      <c r="Q96" s="64">
        <v>9.19</v>
      </c>
      <c r="R96" s="198"/>
      <c r="S96" s="198"/>
      <c r="T96" s="213"/>
      <c r="U96" s="198"/>
      <c r="Z96" s="109"/>
    </row>
    <row r="97" spans="1:33" s="12" customFormat="1" x14ac:dyDescent="0.25">
      <c r="A97" s="214" t="s">
        <v>3119</v>
      </c>
      <c r="B97" s="64">
        <v>5.38</v>
      </c>
      <c r="C97" s="64">
        <v>16.09</v>
      </c>
      <c r="D97" s="64">
        <v>22.55</v>
      </c>
      <c r="E97" s="64">
        <v>3.69</v>
      </c>
      <c r="F97" s="64">
        <v>4.47</v>
      </c>
      <c r="G97" s="64">
        <v>30.64</v>
      </c>
      <c r="H97" s="64">
        <v>9.4</v>
      </c>
      <c r="I97" s="64">
        <v>4.05</v>
      </c>
      <c r="J97" s="64">
        <v>0.23</v>
      </c>
      <c r="K97" s="64">
        <v>194.78</v>
      </c>
      <c r="L97" s="64">
        <v>25.91</v>
      </c>
      <c r="M97" s="64">
        <v>70.930000000000007</v>
      </c>
      <c r="N97" s="64">
        <v>26.4</v>
      </c>
      <c r="O97" s="64">
        <v>0</v>
      </c>
      <c r="P97" s="64">
        <v>0.41</v>
      </c>
      <c r="Q97" s="64">
        <v>9.17</v>
      </c>
      <c r="R97" s="198"/>
      <c r="S97" s="198"/>
      <c r="T97" s="198"/>
      <c r="U97" s="198"/>
    </row>
    <row r="98" spans="1:33" s="12" customFormat="1" x14ac:dyDescent="0.25">
      <c r="A98" s="214" t="s">
        <v>3120</v>
      </c>
      <c r="B98" s="64">
        <v>5.63</v>
      </c>
      <c r="C98" s="64">
        <v>17.03</v>
      </c>
      <c r="D98" s="64">
        <v>23.96</v>
      </c>
      <c r="E98" s="64">
        <v>3.44</v>
      </c>
      <c r="F98" s="64">
        <v>4.83</v>
      </c>
      <c r="G98" s="64">
        <v>27.18</v>
      </c>
      <c r="H98" s="64">
        <v>10.56</v>
      </c>
      <c r="I98" s="64">
        <v>3.87</v>
      </c>
      <c r="J98" s="64">
        <v>0.1</v>
      </c>
      <c r="K98" s="64">
        <v>208.47</v>
      </c>
      <c r="L98" s="64">
        <v>26.05</v>
      </c>
      <c r="M98" s="64">
        <v>74.45</v>
      </c>
      <c r="N98" s="64">
        <v>26.5</v>
      </c>
      <c r="O98" s="64">
        <v>0</v>
      </c>
      <c r="P98" s="64">
        <v>0.39</v>
      </c>
      <c r="Q98" s="64">
        <v>9.18</v>
      </c>
      <c r="R98" s="198"/>
      <c r="S98" s="198"/>
      <c r="T98" s="198"/>
      <c r="U98" s="198"/>
    </row>
    <row r="99" spans="1:33" s="12" customFormat="1" x14ac:dyDescent="0.25">
      <c r="A99" s="214" t="s">
        <v>3121</v>
      </c>
      <c r="B99" s="64">
        <v>5.72</v>
      </c>
      <c r="C99" s="64">
        <v>15.54</v>
      </c>
      <c r="D99" s="64">
        <v>20.97</v>
      </c>
      <c r="E99" s="64">
        <v>3.51</v>
      </c>
      <c r="F99" s="64">
        <v>4.93</v>
      </c>
      <c r="G99" s="64">
        <v>27.18</v>
      </c>
      <c r="H99" s="64">
        <v>10.56</v>
      </c>
      <c r="I99" s="64">
        <v>3.93</v>
      </c>
      <c r="J99" s="64">
        <v>0.06</v>
      </c>
      <c r="K99" s="64">
        <v>211.8</v>
      </c>
      <c r="L99" s="64">
        <v>26.09</v>
      </c>
      <c r="M99" s="64">
        <v>77.709999999999994</v>
      </c>
      <c r="N99" s="64">
        <v>26</v>
      </c>
      <c r="O99" s="64">
        <v>0</v>
      </c>
      <c r="P99" s="64">
        <v>0.4</v>
      </c>
      <c r="Q99" s="64">
        <v>9.18</v>
      </c>
      <c r="R99" s="198"/>
      <c r="S99" s="198"/>
      <c r="T99" s="198"/>
      <c r="U99" s="198"/>
    </row>
    <row r="100" spans="1:33" s="12" customFormat="1" x14ac:dyDescent="0.25">
      <c r="A100" s="214" t="s">
        <v>3122</v>
      </c>
      <c r="B100" s="64">
        <v>5.7</v>
      </c>
      <c r="C100" s="64">
        <v>15.59</v>
      </c>
      <c r="D100" s="64">
        <v>21.09</v>
      </c>
      <c r="E100" s="64">
        <v>3.62</v>
      </c>
      <c r="F100" s="64">
        <v>6.45</v>
      </c>
      <c r="G100" s="64">
        <v>27.18</v>
      </c>
      <c r="H100" s="64">
        <v>10.56</v>
      </c>
      <c r="I100" s="64">
        <v>4.04</v>
      </c>
      <c r="J100" s="64">
        <v>0.03</v>
      </c>
      <c r="K100" s="64">
        <v>280.08</v>
      </c>
      <c r="L100" s="64">
        <v>26.26</v>
      </c>
      <c r="M100" s="64">
        <v>80.53</v>
      </c>
      <c r="N100" s="64">
        <v>26.1</v>
      </c>
      <c r="O100" s="64">
        <v>0</v>
      </c>
      <c r="P100" s="64">
        <v>0.37</v>
      </c>
      <c r="Q100" s="64">
        <v>9.18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3123</v>
      </c>
      <c r="B101" s="64">
        <v>5.24</v>
      </c>
      <c r="C101" s="64">
        <v>16.309999999999999</v>
      </c>
      <c r="D101" s="64">
        <v>23.17</v>
      </c>
      <c r="E101" s="64">
        <v>4.05</v>
      </c>
      <c r="F101" s="64">
        <v>11.93</v>
      </c>
      <c r="G101" s="64">
        <v>27.48</v>
      </c>
      <c r="H101" s="64">
        <v>10.7</v>
      </c>
      <c r="I101" s="64">
        <v>3.99</v>
      </c>
      <c r="J101" s="64">
        <v>0.08</v>
      </c>
      <c r="K101" s="64">
        <v>215.18</v>
      </c>
      <c r="L101" s="64">
        <v>26.48</v>
      </c>
      <c r="M101" s="64">
        <v>81.09</v>
      </c>
      <c r="N101" s="64">
        <v>26.2</v>
      </c>
      <c r="O101" s="64">
        <v>0</v>
      </c>
      <c r="P101" s="64">
        <v>0.3</v>
      </c>
      <c r="Q101" s="64">
        <v>9.18</v>
      </c>
      <c r="R101" s="198"/>
      <c r="S101" s="198"/>
      <c r="T101" s="198"/>
      <c r="U101" s="198"/>
    </row>
    <row r="102" spans="1:33" s="12" customFormat="1" x14ac:dyDescent="0.25">
      <c r="A102" s="214" t="s">
        <v>3124</v>
      </c>
      <c r="B102" s="64">
        <v>4.6500000000000004</v>
      </c>
      <c r="C102" s="64">
        <v>15.07</v>
      </c>
      <c r="D102" s="64">
        <v>21.7</v>
      </c>
      <c r="E102" s="64">
        <v>3.84</v>
      </c>
      <c r="F102" s="64">
        <v>13.38</v>
      </c>
      <c r="G102" s="64">
        <v>28.66</v>
      </c>
      <c r="H102" s="64">
        <v>11.24</v>
      </c>
      <c r="I102" s="64">
        <v>3.9</v>
      </c>
      <c r="J102" s="64">
        <v>0.09</v>
      </c>
      <c r="K102" s="64">
        <v>220.41</v>
      </c>
      <c r="L102" s="64">
        <v>26.62</v>
      </c>
      <c r="M102" s="64">
        <v>81.739999999999995</v>
      </c>
      <c r="N102" s="64">
        <v>26.2</v>
      </c>
      <c r="O102" s="64">
        <v>0</v>
      </c>
      <c r="P102" s="64">
        <v>0.28000000000000003</v>
      </c>
      <c r="Q102" s="64">
        <v>9.18</v>
      </c>
      <c r="R102" s="198"/>
      <c r="S102" s="198"/>
      <c r="T102" s="198"/>
      <c r="U102" s="198"/>
    </row>
    <row r="103" spans="1:33" s="12" customFormat="1" x14ac:dyDescent="0.25">
      <c r="A103" s="214" t="s">
        <v>3125</v>
      </c>
      <c r="B103" s="64">
        <v>4.92</v>
      </c>
      <c r="C103" s="64">
        <v>14.22</v>
      </c>
      <c r="D103" s="64">
        <v>19.670000000000002</v>
      </c>
      <c r="E103" s="64">
        <v>3.74</v>
      </c>
      <c r="F103" s="64">
        <v>12.65</v>
      </c>
      <c r="G103" s="64">
        <v>28.66</v>
      </c>
      <c r="H103" s="64">
        <v>11.24</v>
      </c>
      <c r="I103" s="64">
        <v>3.98</v>
      </c>
      <c r="J103" s="64">
        <v>0.05</v>
      </c>
      <c r="K103" s="64">
        <v>286.47000000000003</v>
      </c>
      <c r="L103" s="64">
        <v>26.76</v>
      </c>
      <c r="M103" s="64">
        <v>82</v>
      </c>
      <c r="N103" s="64">
        <v>26.4</v>
      </c>
      <c r="O103" s="64">
        <v>0</v>
      </c>
      <c r="P103" s="64">
        <v>0.28999999999999998</v>
      </c>
      <c r="Q103" s="64">
        <v>9.19</v>
      </c>
      <c r="R103" s="198"/>
      <c r="S103" s="198"/>
      <c r="T103" s="198"/>
      <c r="U103" s="198"/>
    </row>
    <row r="104" spans="1:33" s="12" customFormat="1" x14ac:dyDescent="0.25">
      <c r="A104" s="214" t="s">
        <v>3126</v>
      </c>
      <c r="B104" s="64">
        <v>4.8899999999999997</v>
      </c>
      <c r="C104" s="64">
        <v>13.97</v>
      </c>
      <c r="D104" s="64">
        <v>19.23</v>
      </c>
      <c r="E104" s="64">
        <v>5.29</v>
      </c>
      <c r="F104" s="64">
        <v>12.54</v>
      </c>
      <c r="G104" s="64">
        <v>28.66</v>
      </c>
      <c r="H104" s="64">
        <v>11.24</v>
      </c>
      <c r="I104" s="64">
        <v>4.05</v>
      </c>
      <c r="J104" s="64">
        <v>7.0000000000000007E-2</v>
      </c>
      <c r="K104" s="64">
        <v>259.81</v>
      </c>
      <c r="L104" s="64">
        <v>26.77</v>
      </c>
      <c r="M104" s="64">
        <v>83.19</v>
      </c>
      <c r="N104" s="64">
        <v>26.4</v>
      </c>
      <c r="O104" s="64">
        <v>0</v>
      </c>
      <c r="P104" s="64">
        <v>0.28999999999999998</v>
      </c>
      <c r="Q104" s="64">
        <v>9.19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3.73</v>
      </c>
      <c r="C106" s="67">
        <f>MIN(C9:C104)</f>
        <v>13.97</v>
      </c>
      <c r="D106" s="67">
        <f t="shared" ref="D106:Q106" si="0">MIN(D9:D104)</f>
        <v>19.23</v>
      </c>
      <c r="E106" s="67">
        <f t="shared" si="0"/>
        <v>3.44</v>
      </c>
      <c r="F106" s="67">
        <f t="shared" si="0"/>
        <v>3</v>
      </c>
      <c r="G106" s="67">
        <f t="shared" si="0"/>
        <v>26.7</v>
      </c>
      <c r="H106" s="67">
        <f t="shared" si="0"/>
        <v>0.14000000000000001</v>
      </c>
      <c r="I106" s="67">
        <f t="shared" si="0"/>
        <v>3.73</v>
      </c>
      <c r="J106" s="67">
        <f t="shared" si="0"/>
        <v>0.02</v>
      </c>
      <c r="K106" s="67">
        <f t="shared" si="0"/>
        <v>3.09</v>
      </c>
      <c r="L106" s="67">
        <f t="shared" si="0"/>
        <v>24.43</v>
      </c>
      <c r="M106" s="67">
        <f t="shared" si="0"/>
        <v>49.56</v>
      </c>
      <c r="N106" s="67">
        <f t="shared" si="0"/>
        <v>25.6</v>
      </c>
      <c r="O106" s="67">
        <f t="shared" si="0"/>
        <v>0</v>
      </c>
      <c r="P106" s="67">
        <f t="shared" si="0"/>
        <v>0.28000000000000003</v>
      </c>
      <c r="Q106" s="67">
        <f t="shared" si="0"/>
        <v>9.11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14.22</v>
      </c>
      <c r="C107" s="66">
        <f t="shared" ref="C107:Q107" si="1">MAX(C9:C104)</f>
        <v>32.96</v>
      </c>
      <c r="D107" s="66">
        <f t="shared" si="1"/>
        <v>52.15</v>
      </c>
      <c r="E107" s="66">
        <f t="shared" si="1"/>
        <v>7.64</v>
      </c>
      <c r="F107" s="66">
        <f t="shared" si="1"/>
        <v>22.62</v>
      </c>
      <c r="G107" s="66">
        <f t="shared" si="1"/>
        <v>45.61</v>
      </c>
      <c r="H107" s="66">
        <f t="shared" si="1"/>
        <v>110.91</v>
      </c>
      <c r="I107" s="66">
        <f t="shared" si="1"/>
        <v>4.2300000000000004</v>
      </c>
      <c r="J107" s="66">
        <f t="shared" si="1"/>
        <v>1.36</v>
      </c>
      <c r="K107" s="66">
        <f t="shared" si="1"/>
        <v>335.61</v>
      </c>
      <c r="L107" s="66">
        <f t="shared" si="1"/>
        <v>35.340000000000003</v>
      </c>
      <c r="M107" s="66">
        <f t="shared" si="1"/>
        <v>101.49</v>
      </c>
      <c r="N107" s="66">
        <f t="shared" si="1"/>
        <v>836.9</v>
      </c>
      <c r="O107" s="66">
        <f t="shared" si="1"/>
        <v>0</v>
      </c>
      <c r="P107" s="66">
        <f t="shared" si="1"/>
        <v>0.75</v>
      </c>
      <c r="Q107" s="66">
        <f t="shared" si="1"/>
        <v>9.42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6.7559374999999982</v>
      </c>
      <c r="C108" s="67">
        <f t="shared" ref="C108:Q108" si="2">AVERAGE(C9:C104)</f>
        <v>19.136666666666667</v>
      </c>
      <c r="D108" s="67">
        <f t="shared" si="2"/>
        <v>26.256979166666657</v>
      </c>
      <c r="E108" s="67">
        <f t="shared" si="2"/>
        <v>4.7485416666666653</v>
      </c>
      <c r="F108" s="67">
        <f t="shared" si="2"/>
        <v>7.766145833333332</v>
      </c>
      <c r="G108" s="67">
        <f t="shared" si="2"/>
        <v>35.926249999999982</v>
      </c>
      <c r="H108" s="67">
        <f t="shared" si="2"/>
        <v>15.786145833333316</v>
      </c>
      <c r="I108" s="67">
        <f t="shared" si="2"/>
        <v>4.0164583333333344</v>
      </c>
      <c r="J108" s="67">
        <f t="shared" si="2"/>
        <v>0.294375</v>
      </c>
      <c r="K108" s="67">
        <f t="shared" si="2"/>
        <v>234.24541666666684</v>
      </c>
      <c r="L108" s="67">
        <f t="shared" si="2"/>
        <v>28.409791666666678</v>
      </c>
      <c r="M108" s="67">
        <f t="shared" si="2"/>
        <v>78.450104166666662</v>
      </c>
      <c r="N108" s="67">
        <f t="shared" si="2"/>
        <v>218.91875000000007</v>
      </c>
      <c r="O108" s="67">
        <f t="shared" si="2"/>
        <v>0</v>
      </c>
      <c r="P108" s="67">
        <f t="shared" si="2"/>
        <v>0.53500000000000003</v>
      </c>
      <c r="Q108" s="67">
        <f t="shared" si="2"/>
        <v>9.2245833333333298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2.8236965612007388</v>
      </c>
      <c r="C109" s="67">
        <f t="shared" ref="C109:Q109" si="3">STDEV(C9:C104)</f>
        <v>3.4235828160343571</v>
      </c>
      <c r="D109" s="67">
        <f t="shared" si="3"/>
        <v>5.4387833623633091</v>
      </c>
      <c r="E109" s="67">
        <f t="shared" si="3"/>
        <v>1.125072141936424</v>
      </c>
      <c r="F109" s="67">
        <f t="shared" si="3"/>
        <v>3.8569416217056847</v>
      </c>
      <c r="G109" s="67">
        <f t="shared" si="3"/>
        <v>5.5237977496419246</v>
      </c>
      <c r="H109" s="67">
        <f t="shared" si="3"/>
        <v>20.780434591969939</v>
      </c>
      <c r="I109" s="67">
        <f t="shared" si="3"/>
        <v>9.4233519197528051E-2</v>
      </c>
      <c r="J109" s="67">
        <f t="shared" si="3"/>
        <v>0.23446158926806174</v>
      </c>
      <c r="K109" s="67">
        <f t="shared" si="3"/>
        <v>58.965950708713386</v>
      </c>
      <c r="L109" s="67">
        <f t="shared" si="3"/>
        <v>3.5569768296498165</v>
      </c>
      <c r="M109" s="67">
        <f t="shared" si="3"/>
        <v>16.450604179900857</v>
      </c>
      <c r="N109" s="67">
        <f t="shared" si="3"/>
        <v>266.7059245143472</v>
      </c>
      <c r="O109" s="67">
        <f t="shared" si="3"/>
        <v>0</v>
      </c>
      <c r="P109" s="67">
        <f t="shared" si="3"/>
        <v>0.10765441785737513</v>
      </c>
      <c r="Q109" s="67">
        <f t="shared" si="3"/>
        <v>9.4255159475326811E-2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COUNT(I9:I104)+1</f>
        <v>97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"/>
  <sheetViews>
    <sheetView zoomScale="87" zoomScaleNormal="87" workbookViewId="0">
      <selection activeCell="H119" sqref="H119"/>
    </sheetView>
  </sheetViews>
  <sheetFormatPr defaultRowHeight="15" x14ac:dyDescent="0.25"/>
  <cols>
    <col min="1" max="1" width="17.7109375" bestFit="1" customWidth="1"/>
  </cols>
  <sheetData>
    <row r="1" spans="1:21" ht="39" x14ac:dyDescent="0.25">
      <c r="A1" s="15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224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x14ac:dyDescent="0.25">
      <c r="A9" s="214" t="s">
        <v>3127</v>
      </c>
      <c r="B9" s="64">
        <v>4.67</v>
      </c>
      <c r="C9" s="64">
        <v>13.5</v>
      </c>
      <c r="D9" s="64">
        <v>18.670000000000002</v>
      </c>
      <c r="E9" s="64">
        <v>4.88</v>
      </c>
      <c r="F9" s="64">
        <v>14.47</v>
      </c>
      <c r="G9" s="64">
        <v>28.53</v>
      </c>
      <c r="H9" s="6" t="s">
        <v>42</v>
      </c>
      <c r="I9" s="64">
        <v>4.08</v>
      </c>
      <c r="J9" s="64">
        <v>0.11</v>
      </c>
      <c r="K9" s="64">
        <v>190.03</v>
      </c>
      <c r="L9" s="64">
        <v>26.65</v>
      </c>
      <c r="M9" s="64">
        <v>85.05</v>
      </c>
      <c r="N9" s="64">
        <v>26.5</v>
      </c>
      <c r="O9" s="64">
        <v>0</v>
      </c>
      <c r="P9" s="64">
        <v>0.28000000000000003</v>
      </c>
      <c r="Q9" s="64">
        <v>9.19</v>
      </c>
      <c r="R9" s="198"/>
      <c r="S9" s="198"/>
      <c r="T9" s="198"/>
      <c r="U9" s="198"/>
    </row>
    <row r="10" spans="1:21" x14ac:dyDescent="0.25">
      <c r="A10" s="214" t="s">
        <v>3128</v>
      </c>
      <c r="B10" s="64">
        <v>4.42</v>
      </c>
      <c r="C10" s="64">
        <v>12.78</v>
      </c>
      <c r="D10" s="64">
        <v>17.66</v>
      </c>
      <c r="E10" s="64">
        <v>4.9800000000000004</v>
      </c>
      <c r="F10" s="64">
        <v>14.53</v>
      </c>
      <c r="G10" s="64">
        <v>27.99</v>
      </c>
      <c r="H10" s="6" t="s">
        <v>42</v>
      </c>
      <c r="I10" s="64">
        <v>4.03</v>
      </c>
      <c r="J10" s="64">
        <v>0.23</v>
      </c>
      <c r="K10" s="64">
        <v>182.91</v>
      </c>
      <c r="L10" s="64">
        <v>26.48</v>
      </c>
      <c r="M10" s="64">
        <v>87.06</v>
      </c>
      <c r="N10" s="64">
        <v>26.5</v>
      </c>
      <c r="O10" s="64">
        <v>0</v>
      </c>
      <c r="P10" s="64">
        <v>0.26</v>
      </c>
      <c r="Q10" s="64">
        <v>9.1999999999999993</v>
      </c>
      <c r="R10" s="198"/>
      <c r="S10" s="198"/>
      <c r="T10" s="198"/>
      <c r="U10" s="198"/>
    </row>
    <row r="11" spans="1:21" x14ac:dyDescent="0.25">
      <c r="A11" s="214" t="s">
        <v>3129</v>
      </c>
      <c r="B11" s="64">
        <v>4.51</v>
      </c>
      <c r="C11" s="64">
        <v>12.36</v>
      </c>
      <c r="D11" s="64">
        <v>16.73</v>
      </c>
      <c r="E11" s="64">
        <v>4.71</v>
      </c>
      <c r="F11" s="64">
        <v>13.14</v>
      </c>
      <c r="G11" s="64">
        <v>27.99</v>
      </c>
      <c r="H11" s="6" t="s">
        <v>42</v>
      </c>
      <c r="I11" s="64">
        <v>4.1100000000000003</v>
      </c>
      <c r="J11" s="64">
        <v>0.18</v>
      </c>
      <c r="K11" s="64">
        <v>203.86</v>
      </c>
      <c r="L11" s="64">
        <v>26.37</v>
      </c>
      <c r="M11" s="64">
        <v>87.67</v>
      </c>
      <c r="N11" s="64">
        <v>26.5</v>
      </c>
      <c r="O11" s="64">
        <v>0</v>
      </c>
      <c r="P11" s="64">
        <v>0.26</v>
      </c>
      <c r="Q11" s="64">
        <v>9.1999999999999993</v>
      </c>
      <c r="R11" s="198"/>
      <c r="S11" s="198"/>
      <c r="T11" s="198"/>
      <c r="U11" s="198"/>
    </row>
    <row r="12" spans="1:21" x14ac:dyDescent="0.25">
      <c r="A12" s="214" t="s">
        <v>3130</v>
      </c>
      <c r="B12" s="64">
        <v>4.7699999999999996</v>
      </c>
      <c r="C12" s="64">
        <v>12.58</v>
      </c>
      <c r="D12" s="64">
        <v>16.75</v>
      </c>
      <c r="E12" s="64">
        <v>4.42</v>
      </c>
      <c r="F12" s="64">
        <v>11.82</v>
      </c>
      <c r="G12" s="64">
        <v>27.99</v>
      </c>
      <c r="H12" s="6" t="s">
        <v>42</v>
      </c>
      <c r="I12" s="64">
        <v>4.13</v>
      </c>
      <c r="J12" s="64">
        <v>0.21</v>
      </c>
      <c r="K12" s="64">
        <v>188.42</v>
      </c>
      <c r="L12" s="64">
        <v>26.31</v>
      </c>
      <c r="M12" s="64">
        <v>88.34</v>
      </c>
      <c r="N12" s="64">
        <v>26.8</v>
      </c>
      <c r="O12" s="64">
        <v>0</v>
      </c>
      <c r="P12" s="64">
        <v>0.25</v>
      </c>
      <c r="Q12" s="64">
        <v>9.19</v>
      </c>
      <c r="R12" s="198"/>
      <c r="S12" s="198"/>
      <c r="T12" s="198"/>
      <c r="U12" s="198"/>
    </row>
    <row r="13" spans="1:21" x14ac:dyDescent="0.25">
      <c r="A13" s="214" t="s">
        <v>3131</v>
      </c>
      <c r="B13" s="64">
        <v>5.75</v>
      </c>
      <c r="C13" s="64">
        <v>13.23</v>
      </c>
      <c r="D13" s="64">
        <v>16.510000000000002</v>
      </c>
      <c r="E13" s="64">
        <v>4.71</v>
      </c>
      <c r="F13" s="64">
        <v>5.12</v>
      </c>
      <c r="G13" s="64">
        <v>27.09</v>
      </c>
      <c r="H13" s="6" t="s">
        <v>42</v>
      </c>
      <c r="I13" s="64">
        <v>4.0199999999999996</v>
      </c>
      <c r="J13" s="64">
        <v>0.1</v>
      </c>
      <c r="K13" s="64">
        <v>197.27</v>
      </c>
      <c r="L13" s="64">
        <v>26.06</v>
      </c>
      <c r="M13" s="64">
        <v>91.32</v>
      </c>
      <c r="N13" s="64">
        <v>26.3</v>
      </c>
      <c r="O13" s="64">
        <v>0</v>
      </c>
      <c r="P13" s="64">
        <v>0.36</v>
      </c>
      <c r="Q13" s="64">
        <v>9.18</v>
      </c>
      <c r="R13" s="198"/>
      <c r="S13" s="198"/>
      <c r="T13" s="198"/>
      <c r="U13" s="198"/>
    </row>
    <row r="14" spans="1:21" x14ac:dyDescent="0.25">
      <c r="A14" s="214" t="s">
        <v>3132</v>
      </c>
      <c r="B14" s="64">
        <v>6.18</v>
      </c>
      <c r="C14" s="64">
        <v>13.96</v>
      </c>
      <c r="D14" s="64">
        <v>17.23</v>
      </c>
      <c r="E14" s="64">
        <v>4.9000000000000004</v>
      </c>
      <c r="F14" s="64">
        <v>4.43</v>
      </c>
      <c r="G14" s="64">
        <v>23.2</v>
      </c>
      <c r="H14" s="6" t="s">
        <v>42</v>
      </c>
      <c r="I14" s="64">
        <v>4</v>
      </c>
      <c r="J14" s="64">
        <v>0.21</v>
      </c>
      <c r="K14" s="64">
        <v>195.65</v>
      </c>
      <c r="L14" s="64">
        <v>25.99</v>
      </c>
      <c r="M14" s="64">
        <v>90.64</v>
      </c>
      <c r="N14" s="64">
        <v>26.3</v>
      </c>
      <c r="O14" s="64">
        <v>0</v>
      </c>
      <c r="P14" s="64">
        <v>0.37</v>
      </c>
      <c r="Q14" s="64">
        <v>9.17</v>
      </c>
      <c r="R14" s="198"/>
      <c r="S14" s="198"/>
      <c r="T14" s="198"/>
      <c r="U14" s="198"/>
    </row>
    <row r="15" spans="1:21" x14ac:dyDescent="0.25">
      <c r="A15" s="214" t="s">
        <v>3133</v>
      </c>
      <c r="B15" s="64">
        <v>6.13</v>
      </c>
      <c r="C15" s="64">
        <v>13.82</v>
      </c>
      <c r="D15" s="64">
        <v>17.05</v>
      </c>
      <c r="E15" s="64">
        <v>5.07</v>
      </c>
      <c r="F15" s="64">
        <v>5.79</v>
      </c>
      <c r="G15" s="64">
        <v>23.2</v>
      </c>
      <c r="H15" s="6" t="s">
        <v>42</v>
      </c>
      <c r="I15" s="64">
        <v>4.01</v>
      </c>
      <c r="J15" s="64">
        <v>0.21</v>
      </c>
      <c r="K15" s="64">
        <v>201.68</v>
      </c>
      <c r="L15" s="64">
        <v>25.99</v>
      </c>
      <c r="M15" s="64">
        <v>89.81</v>
      </c>
      <c r="N15" s="64">
        <v>26.5</v>
      </c>
      <c r="O15" s="64">
        <v>0</v>
      </c>
      <c r="P15" s="64">
        <v>0.35</v>
      </c>
      <c r="Q15" s="64">
        <v>9.17</v>
      </c>
      <c r="R15" s="198"/>
      <c r="S15" s="198"/>
      <c r="T15" s="198"/>
      <c r="U15" s="198"/>
    </row>
    <row r="16" spans="1:21" x14ac:dyDescent="0.25">
      <c r="A16" s="214" t="s">
        <v>3134</v>
      </c>
      <c r="B16" s="64">
        <v>6.14</v>
      </c>
      <c r="C16" s="64">
        <v>13.61</v>
      </c>
      <c r="D16" s="64">
        <v>16.62</v>
      </c>
      <c r="E16" s="64">
        <v>4.42</v>
      </c>
      <c r="F16" s="64">
        <v>4.43</v>
      </c>
      <c r="G16" s="64">
        <v>23.2</v>
      </c>
      <c r="H16" s="6" t="s">
        <v>42</v>
      </c>
      <c r="I16" s="64">
        <v>4.0599999999999996</v>
      </c>
      <c r="J16" s="64">
        <v>0.15</v>
      </c>
      <c r="K16" s="64">
        <v>215.09</v>
      </c>
      <c r="L16" s="64">
        <v>26.01</v>
      </c>
      <c r="M16" s="64">
        <v>89.69</v>
      </c>
      <c r="N16" s="64">
        <v>26.5</v>
      </c>
      <c r="O16" s="64">
        <v>0</v>
      </c>
      <c r="P16" s="64">
        <v>0.36</v>
      </c>
      <c r="Q16" s="64">
        <v>9.17</v>
      </c>
      <c r="R16" s="198"/>
      <c r="S16" s="198"/>
      <c r="T16" s="198"/>
      <c r="U16" s="198"/>
    </row>
    <row r="17" spans="1:21" x14ac:dyDescent="0.25">
      <c r="A17" s="214" t="s">
        <v>3135</v>
      </c>
      <c r="B17" s="64">
        <v>5.85</v>
      </c>
      <c r="C17" s="64">
        <v>13.34</v>
      </c>
      <c r="D17" s="64">
        <v>16.55</v>
      </c>
      <c r="E17" s="64">
        <v>4.63</v>
      </c>
      <c r="F17" s="64">
        <v>5.6</v>
      </c>
      <c r="G17" s="64">
        <v>23.23</v>
      </c>
      <c r="H17" s="64">
        <v>1.89</v>
      </c>
      <c r="I17" s="64">
        <v>3.93</v>
      </c>
      <c r="J17" s="64">
        <v>0.09</v>
      </c>
      <c r="K17" s="64">
        <v>268.88</v>
      </c>
      <c r="L17" s="64">
        <v>26</v>
      </c>
      <c r="M17" s="64">
        <v>89.83</v>
      </c>
      <c r="N17" s="64">
        <v>26.5</v>
      </c>
      <c r="O17" s="64">
        <v>0</v>
      </c>
      <c r="P17" s="64">
        <v>0.33</v>
      </c>
      <c r="Q17" s="64">
        <v>9.15</v>
      </c>
      <c r="R17" s="198"/>
      <c r="S17" s="198"/>
      <c r="T17" s="198"/>
      <c r="U17" s="198"/>
    </row>
    <row r="18" spans="1:21" x14ac:dyDescent="0.25">
      <c r="A18" s="214" t="s">
        <v>3136</v>
      </c>
      <c r="B18" s="64">
        <v>5.86</v>
      </c>
      <c r="C18" s="64">
        <v>13.35</v>
      </c>
      <c r="D18" s="64">
        <v>16.559999999999999</v>
      </c>
      <c r="E18" s="64">
        <v>4.7300000000000004</v>
      </c>
      <c r="F18" s="64">
        <v>4.82</v>
      </c>
      <c r="G18" s="64">
        <v>23.35</v>
      </c>
      <c r="H18" s="64">
        <v>9.99</v>
      </c>
      <c r="I18" s="64">
        <v>4</v>
      </c>
      <c r="J18" s="64">
        <v>0.17</v>
      </c>
      <c r="K18" s="64">
        <v>234.83</v>
      </c>
      <c r="L18" s="64">
        <v>25.95</v>
      </c>
      <c r="M18" s="64">
        <v>90</v>
      </c>
      <c r="N18" s="64">
        <v>26.5</v>
      </c>
      <c r="O18" s="64">
        <v>0</v>
      </c>
      <c r="P18" s="64">
        <v>0.35</v>
      </c>
      <c r="Q18" s="64">
        <v>9.15</v>
      </c>
      <c r="R18" s="198"/>
      <c r="S18" s="198"/>
      <c r="T18" s="198"/>
      <c r="U18" s="198"/>
    </row>
    <row r="19" spans="1:21" x14ac:dyDescent="0.25">
      <c r="A19" s="214" t="s">
        <v>3137</v>
      </c>
      <c r="B19" s="64">
        <v>5.73</v>
      </c>
      <c r="C19" s="64">
        <v>13.37</v>
      </c>
      <c r="D19" s="64">
        <v>16.79</v>
      </c>
      <c r="E19" s="64">
        <v>4.82</v>
      </c>
      <c r="F19" s="64">
        <v>3.6</v>
      </c>
      <c r="G19" s="64">
        <v>23.35</v>
      </c>
      <c r="H19" s="64">
        <v>9.99</v>
      </c>
      <c r="I19" s="64">
        <v>3.99</v>
      </c>
      <c r="J19" s="64">
        <v>0.16</v>
      </c>
      <c r="K19" s="64">
        <v>277.95999999999998</v>
      </c>
      <c r="L19" s="64">
        <v>25.92</v>
      </c>
      <c r="M19" s="64">
        <v>90.69</v>
      </c>
      <c r="N19" s="64">
        <v>26.5</v>
      </c>
      <c r="O19" s="64">
        <v>0</v>
      </c>
      <c r="P19" s="64">
        <v>0.33</v>
      </c>
      <c r="Q19" s="64">
        <v>9.16</v>
      </c>
      <c r="R19" s="198"/>
      <c r="S19" s="198"/>
      <c r="T19" s="198"/>
      <c r="U19" s="198"/>
    </row>
    <row r="20" spans="1:21" x14ac:dyDescent="0.25">
      <c r="A20" s="214" t="s">
        <v>3138</v>
      </c>
      <c r="B20" s="64">
        <v>5.62</v>
      </c>
      <c r="C20" s="64">
        <v>13.1</v>
      </c>
      <c r="D20" s="64">
        <v>16.45</v>
      </c>
      <c r="E20" s="64">
        <v>4.46</v>
      </c>
      <c r="F20" s="64">
        <v>4.0999999999999996</v>
      </c>
      <c r="G20" s="64">
        <v>23.35</v>
      </c>
      <c r="H20" s="64">
        <v>9.99</v>
      </c>
      <c r="I20" s="64">
        <v>3.92</v>
      </c>
      <c r="J20" s="64">
        <v>0.16</v>
      </c>
      <c r="K20" s="64">
        <v>282.69</v>
      </c>
      <c r="L20" s="64">
        <v>25.92</v>
      </c>
      <c r="M20" s="64">
        <v>92.09</v>
      </c>
      <c r="N20" s="64">
        <v>26.6</v>
      </c>
      <c r="O20" s="64">
        <v>0</v>
      </c>
      <c r="P20" s="64">
        <v>0.33</v>
      </c>
      <c r="Q20" s="64">
        <v>9.14</v>
      </c>
      <c r="R20" s="198"/>
      <c r="S20" s="198"/>
      <c r="T20" s="198"/>
      <c r="U20" s="198"/>
    </row>
    <row r="21" spans="1:21" x14ac:dyDescent="0.25">
      <c r="A21" s="214" t="s">
        <v>3139</v>
      </c>
      <c r="B21" s="64">
        <v>5.31</v>
      </c>
      <c r="C21" s="64">
        <v>13.03</v>
      </c>
      <c r="D21" s="64">
        <v>16.8</v>
      </c>
      <c r="E21" s="64">
        <v>4.3899999999999997</v>
      </c>
      <c r="F21" s="64">
        <v>4.6500000000000004</v>
      </c>
      <c r="G21" s="64">
        <v>23.14</v>
      </c>
      <c r="H21" s="64">
        <v>8.18</v>
      </c>
      <c r="I21" s="64">
        <v>3.87</v>
      </c>
      <c r="J21" s="64">
        <v>0.12</v>
      </c>
      <c r="K21" s="64">
        <v>274.94</v>
      </c>
      <c r="L21" s="64">
        <v>25.88</v>
      </c>
      <c r="M21" s="64">
        <v>94.2</v>
      </c>
      <c r="N21" s="64">
        <v>27.4</v>
      </c>
      <c r="O21" s="64">
        <v>1.8</v>
      </c>
      <c r="P21" s="64">
        <v>0.32</v>
      </c>
      <c r="Q21" s="64">
        <v>9.1300000000000008</v>
      </c>
      <c r="R21" s="198"/>
      <c r="S21" s="198"/>
      <c r="T21" s="198"/>
      <c r="U21" s="198"/>
    </row>
    <row r="22" spans="1:21" x14ac:dyDescent="0.25">
      <c r="A22" s="214" t="s">
        <v>3140</v>
      </c>
      <c r="B22" s="64">
        <v>5.23</v>
      </c>
      <c r="C22" s="64">
        <v>12.99</v>
      </c>
      <c r="D22" s="64">
        <v>16.850000000000001</v>
      </c>
      <c r="E22" s="64">
        <v>4.1399999999999997</v>
      </c>
      <c r="F22" s="64">
        <v>3.98</v>
      </c>
      <c r="G22" s="64">
        <v>22.25</v>
      </c>
      <c r="H22" s="6" t="s">
        <v>42</v>
      </c>
      <c r="I22" s="64">
        <v>4.03</v>
      </c>
      <c r="J22" s="64">
        <v>0.09</v>
      </c>
      <c r="K22" s="64">
        <v>259.89999999999998</v>
      </c>
      <c r="L22" s="64">
        <v>24.41</v>
      </c>
      <c r="M22" s="64">
        <v>100.61</v>
      </c>
      <c r="N22" s="64">
        <v>29</v>
      </c>
      <c r="O22" s="64">
        <v>2.4</v>
      </c>
      <c r="P22" s="64">
        <v>0.31</v>
      </c>
      <c r="Q22" s="64">
        <v>9.1300000000000008</v>
      </c>
      <c r="R22" s="198"/>
      <c r="S22" s="198"/>
      <c r="T22" s="198"/>
      <c r="U22" s="198"/>
    </row>
    <row r="23" spans="1:21" x14ac:dyDescent="0.25">
      <c r="A23" s="214" t="s">
        <v>3141</v>
      </c>
      <c r="B23" s="64">
        <v>4.88</v>
      </c>
      <c r="C23" s="64">
        <v>12.84</v>
      </c>
      <c r="D23" s="64">
        <v>17.100000000000001</v>
      </c>
      <c r="E23" s="64">
        <v>4.41</v>
      </c>
      <c r="F23" s="64">
        <v>7.6</v>
      </c>
      <c r="G23" s="64">
        <v>22.25</v>
      </c>
      <c r="H23" s="6" t="s">
        <v>42</v>
      </c>
      <c r="I23" s="64">
        <v>4.0599999999999996</v>
      </c>
      <c r="J23" s="64">
        <v>0.11</v>
      </c>
      <c r="K23" s="64">
        <v>283.10000000000002</v>
      </c>
      <c r="L23" s="64">
        <v>23.93</v>
      </c>
      <c r="M23" s="64">
        <v>100.69</v>
      </c>
      <c r="N23" s="64">
        <v>27</v>
      </c>
      <c r="O23" s="64">
        <v>1.4</v>
      </c>
      <c r="P23" s="64">
        <v>0.46</v>
      </c>
      <c r="Q23" s="64">
        <v>9.1300000000000008</v>
      </c>
      <c r="R23" s="198"/>
      <c r="S23" s="198"/>
      <c r="T23" s="198"/>
      <c r="U23" s="198"/>
    </row>
    <row r="24" spans="1:21" x14ac:dyDescent="0.25">
      <c r="A24" s="214" t="s">
        <v>3142</v>
      </c>
      <c r="B24" s="64">
        <v>5.09</v>
      </c>
      <c r="C24" s="64">
        <v>13.73</v>
      </c>
      <c r="D24" s="64">
        <v>18.48</v>
      </c>
      <c r="E24" s="64">
        <v>4.49</v>
      </c>
      <c r="F24" s="64">
        <v>7.12</v>
      </c>
      <c r="G24" s="64">
        <v>22.25</v>
      </c>
      <c r="H24" s="6" t="s">
        <v>42</v>
      </c>
      <c r="I24" s="64">
        <v>4.01</v>
      </c>
      <c r="J24" s="64">
        <v>0.25</v>
      </c>
      <c r="K24" s="64">
        <v>175.02</v>
      </c>
      <c r="L24" s="64">
        <v>23.79</v>
      </c>
      <c r="M24" s="64">
        <v>100.69</v>
      </c>
      <c r="N24" s="64">
        <v>27</v>
      </c>
      <c r="O24" s="64">
        <v>3.4</v>
      </c>
      <c r="P24" s="64">
        <v>0.69</v>
      </c>
      <c r="Q24" s="64">
        <v>9.1300000000000008</v>
      </c>
      <c r="R24" s="198"/>
      <c r="S24" s="198"/>
      <c r="T24" s="198"/>
      <c r="U24" s="198"/>
    </row>
    <row r="25" spans="1:21" x14ac:dyDescent="0.25">
      <c r="A25" s="214" t="s">
        <v>3143</v>
      </c>
      <c r="B25" s="64">
        <v>4.82</v>
      </c>
      <c r="C25" s="64">
        <v>13.86</v>
      </c>
      <c r="D25" s="64">
        <v>19.12</v>
      </c>
      <c r="E25" s="64">
        <v>4.4800000000000004</v>
      </c>
      <c r="F25" s="64">
        <v>10.11</v>
      </c>
      <c r="G25" s="64">
        <v>21.51</v>
      </c>
      <c r="H25" s="6" t="s">
        <v>42</v>
      </c>
      <c r="I25" s="64">
        <v>4</v>
      </c>
      <c r="J25" s="64">
        <v>0.34</v>
      </c>
      <c r="K25" s="64">
        <v>122.41</v>
      </c>
      <c r="L25" s="64">
        <v>23.66</v>
      </c>
      <c r="M25" s="64">
        <v>100.69</v>
      </c>
      <c r="N25" s="64">
        <v>26.7</v>
      </c>
      <c r="O25" s="64">
        <v>0.6</v>
      </c>
      <c r="P25" s="64">
        <v>0.75</v>
      </c>
      <c r="Q25" s="64">
        <v>9.14</v>
      </c>
      <c r="R25" s="198"/>
      <c r="S25" s="198"/>
      <c r="T25" s="198"/>
      <c r="U25" s="198"/>
    </row>
    <row r="26" spans="1:21" x14ac:dyDescent="0.25">
      <c r="A26" s="214" t="s">
        <v>3144</v>
      </c>
      <c r="B26" s="64">
        <v>5.12</v>
      </c>
      <c r="C26" s="64">
        <v>14.14</v>
      </c>
      <c r="D26" s="64">
        <v>19.2</v>
      </c>
      <c r="E26" s="64">
        <v>4.5199999999999996</v>
      </c>
      <c r="F26" s="64">
        <v>6.95</v>
      </c>
      <c r="G26" s="64">
        <v>18.34</v>
      </c>
      <c r="H26" s="6" t="s">
        <v>42</v>
      </c>
      <c r="I26" s="64">
        <v>4.13</v>
      </c>
      <c r="J26" s="64">
        <v>0.71</v>
      </c>
      <c r="K26" s="64">
        <v>123.41</v>
      </c>
      <c r="L26" s="64">
        <v>23.81</v>
      </c>
      <c r="M26" s="64">
        <v>100.69</v>
      </c>
      <c r="N26" s="64">
        <v>26.6</v>
      </c>
      <c r="O26" s="64">
        <v>0.4</v>
      </c>
      <c r="P26" s="64">
        <v>0.61</v>
      </c>
      <c r="Q26" s="64">
        <v>9.15</v>
      </c>
      <c r="R26" s="198"/>
      <c r="S26" s="198"/>
      <c r="T26" s="198"/>
      <c r="U26" s="198"/>
    </row>
    <row r="27" spans="1:21" x14ac:dyDescent="0.25">
      <c r="A27" s="214" t="s">
        <v>3145</v>
      </c>
      <c r="B27" s="64">
        <v>6.02</v>
      </c>
      <c r="C27" s="64">
        <v>14.04</v>
      </c>
      <c r="D27" s="64">
        <v>17.63</v>
      </c>
      <c r="E27" s="64">
        <v>4.72</v>
      </c>
      <c r="F27" s="64">
        <v>4.26</v>
      </c>
      <c r="G27" s="64">
        <v>18.34</v>
      </c>
      <c r="H27" s="6" t="s">
        <v>42</v>
      </c>
      <c r="I27" s="64">
        <v>3.94</v>
      </c>
      <c r="J27" s="64">
        <v>0.7</v>
      </c>
      <c r="K27" s="64">
        <v>163.61000000000001</v>
      </c>
      <c r="L27" s="64">
        <v>23.61</v>
      </c>
      <c r="M27" s="64">
        <v>100.69</v>
      </c>
      <c r="N27" s="64">
        <v>27.1</v>
      </c>
      <c r="O27" s="64">
        <v>0.8</v>
      </c>
      <c r="P27" s="64">
        <v>0.48</v>
      </c>
      <c r="Q27" s="64">
        <v>9.16</v>
      </c>
      <c r="R27" s="198"/>
      <c r="S27" s="198"/>
      <c r="T27" s="198"/>
      <c r="U27" s="198"/>
    </row>
    <row r="28" spans="1:21" x14ac:dyDescent="0.25">
      <c r="A28" s="214" t="s">
        <v>3146</v>
      </c>
      <c r="B28" s="64">
        <v>6.64</v>
      </c>
      <c r="C28" s="64">
        <v>16.7</v>
      </c>
      <c r="D28" s="64">
        <v>21.78</v>
      </c>
      <c r="E28" s="64">
        <v>4.6399999999999997</v>
      </c>
      <c r="F28" s="64">
        <v>9.1199999999999992</v>
      </c>
      <c r="G28" s="64">
        <v>18.34</v>
      </c>
      <c r="H28" s="6" t="s">
        <v>42</v>
      </c>
      <c r="I28" s="64">
        <v>4.04</v>
      </c>
      <c r="J28" s="64">
        <v>0.1</v>
      </c>
      <c r="K28" s="64">
        <v>244.55</v>
      </c>
      <c r="L28" s="64">
        <v>23.51</v>
      </c>
      <c r="M28" s="64">
        <v>100.71</v>
      </c>
      <c r="N28" s="64">
        <v>26.6</v>
      </c>
      <c r="O28" s="64">
        <v>0</v>
      </c>
      <c r="P28" s="64">
        <v>0.53</v>
      </c>
      <c r="Q28" s="64">
        <v>9.18</v>
      </c>
      <c r="R28" s="198"/>
      <c r="S28" s="198"/>
      <c r="T28" s="198"/>
      <c r="U28" s="198"/>
    </row>
    <row r="29" spans="1:21" x14ac:dyDescent="0.25">
      <c r="A29" s="214" t="s">
        <v>3147</v>
      </c>
      <c r="B29" s="64">
        <v>6.91</v>
      </c>
      <c r="C29" s="64">
        <v>17.82</v>
      </c>
      <c r="D29" s="64">
        <v>23.51</v>
      </c>
      <c r="E29" s="64">
        <v>4.83</v>
      </c>
      <c r="F29" s="64">
        <v>7.5</v>
      </c>
      <c r="G29" s="64">
        <v>17.829999999999998</v>
      </c>
      <c r="H29" s="6" t="s">
        <v>42</v>
      </c>
      <c r="I29" s="64">
        <v>4.03</v>
      </c>
      <c r="J29" s="64">
        <v>0.14000000000000001</v>
      </c>
      <c r="K29" s="64">
        <v>210.52</v>
      </c>
      <c r="L29" s="64">
        <v>23.59</v>
      </c>
      <c r="M29" s="64">
        <v>100.73</v>
      </c>
      <c r="N29" s="64">
        <v>26.6</v>
      </c>
      <c r="O29" s="64">
        <v>1.6</v>
      </c>
      <c r="P29" s="64">
        <v>0.51</v>
      </c>
      <c r="Q29" s="64">
        <v>9.19</v>
      </c>
      <c r="R29" s="198"/>
      <c r="S29" s="198"/>
      <c r="T29" s="198"/>
      <c r="U29" s="198"/>
    </row>
    <row r="30" spans="1:21" x14ac:dyDescent="0.25">
      <c r="A30" s="214" t="s">
        <v>3148</v>
      </c>
      <c r="B30" s="64">
        <v>7.26</v>
      </c>
      <c r="C30" s="64">
        <v>16.91</v>
      </c>
      <c r="D30" s="64">
        <v>21.22</v>
      </c>
      <c r="E30" s="64">
        <v>4.46</v>
      </c>
      <c r="F30" s="64">
        <v>6.05</v>
      </c>
      <c r="G30" s="64">
        <v>15.64</v>
      </c>
      <c r="H30" s="6" t="s">
        <v>42</v>
      </c>
      <c r="I30" s="64">
        <v>4.07</v>
      </c>
      <c r="J30" s="64">
        <v>0.13</v>
      </c>
      <c r="K30" s="64">
        <v>170.53</v>
      </c>
      <c r="L30" s="64">
        <v>23.66</v>
      </c>
      <c r="M30" s="64">
        <v>100.72</v>
      </c>
      <c r="N30" s="64">
        <v>27</v>
      </c>
      <c r="O30" s="64">
        <v>0</v>
      </c>
      <c r="P30" s="64">
        <v>0.44</v>
      </c>
      <c r="Q30" s="64">
        <v>9.1999999999999993</v>
      </c>
      <c r="R30" s="198"/>
      <c r="S30" s="198"/>
      <c r="T30" s="198"/>
      <c r="U30" s="198"/>
    </row>
    <row r="31" spans="1:21" x14ac:dyDescent="0.25">
      <c r="A31" s="214" t="s">
        <v>3149</v>
      </c>
      <c r="B31" s="64">
        <v>7.53</v>
      </c>
      <c r="C31" s="64">
        <v>16.100000000000001</v>
      </c>
      <c r="D31" s="64">
        <v>19.260000000000002</v>
      </c>
      <c r="E31" s="64">
        <v>4.3600000000000003</v>
      </c>
      <c r="F31" s="64">
        <v>3.74</v>
      </c>
      <c r="G31" s="64">
        <v>15.64</v>
      </c>
      <c r="H31" s="6" t="s">
        <v>42</v>
      </c>
      <c r="I31" s="64">
        <v>4.1399999999999997</v>
      </c>
      <c r="J31" s="64">
        <v>0.05</v>
      </c>
      <c r="K31" s="64">
        <v>199.28</v>
      </c>
      <c r="L31" s="64">
        <v>23.78</v>
      </c>
      <c r="M31" s="64">
        <v>100.71</v>
      </c>
      <c r="N31" s="64">
        <v>28.2</v>
      </c>
      <c r="O31" s="64">
        <v>0</v>
      </c>
      <c r="P31" s="64">
        <v>0.47</v>
      </c>
      <c r="Q31" s="64">
        <v>9.1999999999999993</v>
      </c>
      <c r="R31" s="198"/>
      <c r="S31" s="198"/>
      <c r="T31" s="198"/>
      <c r="U31" s="198"/>
    </row>
    <row r="32" spans="1:21" x14ac:dyDescent="0.25">
      <c r="A32" s="214" t="s">
        <v>3150</v>
      </c>
      <c r="B32" s="64">
        <v>7.75</v>
      </c>
      <c r="C32" s="64">
        <v>17.809999999999999</v>
      </c>
      <c r="D32" s="64">
        <v>22.21</v>
      </c>
      <c r="E32" s="64">
        <v>4.7699999999999996</v>
      </c>
      <c r="F32" s="64">
        <v>4.3899999999999997</v>
      </c>
      <c r="G32" s="64">
        <v>15.64</v>
      </c>
      <c r="H32" s="6" t="s">
        <v>42</v>
      </c>
      <c r="I32" s="64">
        <v>4.09</v>
      </c>
      <c r="J32" s="64">
        <v>0.17</v>
      </c>
      <c r="K32" s="64">
        <v>196.63</v>
      </c>
      <c r="L32" s="64">
        <v>23.72</v>
      </c>
      <c r="M32" s="64">
        <v>100.81</v>
      </c>
      <c r="N32" s="64">
        <v>32.799999999999997</v>
      </c>
      <c r="O32" s="64">
        <v>0</v>
      </c>
      <c r="P32" s="64">
        <v>0.44</v>
      </c>
      <c r="Q32" s="64">
        <v>9.1999999999999993</v>
      </c>
      <c r="R32" s="198"/>
      <c r="S32" s="198"/>
      <c r="T32" s="198"/>
      <c r="U32" s="198"/>
    </row>
    <row r="33" spans="1:21" x14ac:dyDescent="0.25">
      <c r="A33" s="214" t="s">
        <v>3151</v>
      </c>
      <c r="B33" s="64">
        <v>7.87</v>
      </c>
      <c r="C33" s="64">
        <v>16.059999999999999</v>
      </c>
      <c r="D33" s="64">
        <v>18.649999999999999</v>
      </c>
      <c r="E33" s="64">
        <v>4.6100000000000003</v>
      </c>
      <c r="F33" s="64">
        <v>4.49</v>
      </c>
      <c r="G33" s="64">
        <v>15.27</v>
      </c>
      <c r="H33" s="6" t="s">
        <v>42</v>
      </c>
      <c r="I33" s="64">
        <v>4.0199999999999996</v>
      </c>
      <c r="J33" s="64">
        <v>0.65</v>
      </c>
      <c r="K33" s="64">
        <v>151.9</v>
      </c>
      <c r="L33" s="64">
        <v>23.63</v>
      </c>
      <c r="M33" s="64">
        <v>100.82</v>
      </c>
      <c r="N33" s="64">
        <v>39</v>
      </c>
      <c r="O33" s="64">
        <v>0</v>
      </c>
      <c r="P33" s="64">
        <v>0.46</v>
      </c>
      <c r="Q33" s="64">
        <v>9.1999999999999993</v>
      </c>
      <c r="R33" s="198"/>
      <c r="S33" s="198"/>
      <c r="T33" s="198"/>
      <c r="U33" s="198"/>
    </row>
    <row r="34" spans="1:21" x14ac:dyDescent="0.25">
      <c r="A34" s="214" t="s">
        <v>3152</v>
      </c>
      <c r="B34" s="64">
        <v>7.98</v>
      </c>
      <c r="C34" s="64">
        <v>16.28</v>
      </c>
      <c r="D34" s="64">
        <v>18.920000000000002</v>
      </c>
      <c r="E34" s="64">
        <v>4.62</v>
      </c>
      <c r="F34" s="64">
        <v>2.9</v>
      </c>
      <c r="G34" s="64">
        <v>13.65</v>
      </c>
      <c r="H34" s="6" t="s">
        <v>42</v>
      </c>
      <c r="I34" s="64">
        <v>4.08</v>
      </c>
      <c r="J34" s="64">
        <v>0.32</v>
      </c>
      <c r="K34" s="64">
        <v>180.89</v>
      </c>
      <c r="L34" s="64">
        <v>23.57</v>
      </c>
      <c r="M34" s="64">
        <v>100.86</v>
      </c>
      <c r="N34" s="64">
        <v>37.299999999999997</v>
      </c>
      <c r="O34" s="64">
        <v>0</v>
      </c>
      <c r="P34" s="64">
        <v>0.44</v>
      </c>
      <c r="Q34" s="64">
        <v>9.2100000000000009</v>
      </c>
      <c r="R34" s="198"/>
      <c r="S34" s="198"/>
      <c r="T34" s="198"/>
      <c r="U34" s="198"/>
    </row>
    <row r="35" spans="1:21" x14ac:dyDescent="0.25">
      <c r="A35" s="214" t="s">
        <v>3153</v>
      </c>
      <c r="B35" s="64">
        <v>8.19</v>
      </c>
      <c r="C35" s="64">
        <v>16.149999999999999</v>
      </c>
      <c r="D35" s="64">
        <v>18.329999999999998</v>
      </c>
      <c r="E35" s="64">
        <v>4.1500000000000004</v>
      </c>
      <c r="F35" s="64">
        <v>3.48</v>
      </c>
      <c r="G35" s="64">
        <v>13.65</v>
      </c>
      <c r="H35" s="6" t="s">
        <v>42</v>
      </c>
      <c r="I35" s="64">
        <v>3.97</v>
      </c>
      <c r="J35" s="64">
        <v>0.27</v>
      </c>
      <c r="K35" s="64">
        <v>176.08</v>
      </c>
      <c r="L35" s="64">
        <v>23.66</v>
      </c>
      <c r="M35" s="64">
        <v>100.79</v>
      </c>
      <c r="N35" s="64">
        <v>30.8</v>
      </c>
      <c r="O35" s="64">
        <v>0</v>
      </c>
      <c r="P35" s="64">
        <v>0.46</v>
      </c>
      <c r="Q35" s="64">
        <v>9.2100000000000009</v>
      </c>
      <c r="R35" s="198"/>
      <c r="S35" s="198"/>
      <c r="T35" s="198"/>
      <c r="U35" s="198"/>
    </row>
    <row r="36" spans="1:21" x14ac:dyDescent="0.25">
      <c r="A36" s="214" t="s">
        <v>3154</v>
      </c>
      <c r="B36" s="64">
        <v>8.42</v>
      </c>
      <c r="C36" s="64">
        <v>16.84</v>
      </c>
      <c r="D36" s="64">
        <v>19.309999999999999</v>
      </c>
      <c r="E36" s="64">
        <v>4.45</v>
      </c>
      <c r="F36" s="64">
        <v>3.16</v>
      </c>
      <c r="G36" s="64">
        <v>13.65</v>
      </c>
      <c r="H36" s="6" t="s">
        <v>42</v>
      </c>
      <c r="I36" s="64">
        <v>4.01</v>
      </c>
      <c r="J36" s="64">
        <v>0.23</v>
      </c>
      <c r="K36" s="64">
        <v>229.16</v>
      </c>
      <c r="L36" s="64">
        <v>23.66</v>
      </c>
      <c r="M36" s="64">
        <v>100.92</v>
      </c>
      <c r="N36" s="64">
        <v>34.1</v>
      </c>
      <c r="O36" s="64">
        <v>2.4</v>
      </c>
      <c r="P36" s="64">
        <v>0.43</v>
      </c>
      <c r="Q36" s="64">
        <v>9.2200000000000006</v>
      </c>
      <c r="R36" s="198"/>
      <c r="S36" s="198"/>
      <c r="T36" s="198"/>
      <c r="U36" s="198"/>
    </row>
    <row r="37" spans="1:21" x14ac:dyDescent="0.25">
      <c r="A37" s="214" t="s">
        <v>3155</v>
      </c>
      <c r="B37" s="64">
        <v>9.14</v>
      </c>
      <c r="C37" s="64">
        <v>17.89</v>
      </c>
      <c r="D37" s="64">
        <v>20.21</v>
      </c>
      <c r="E37" s="64">
        <v>4.5</v>
      </c>
      <c r="F37" s="64">
        <v>4.62</v>
      </c>
      <c r="G37" s="64">
        <v>13.58</v>
      </c>
      <c r="H37" s="6" t="s">
        <v>42</v>
      </c>
      <c r="I37" s="64">
        <v>4.1500000000000004</v>
      </c>
      <c r="J37" s="64">
        <v>0.56000000000000005</v>
      </c>
      <c r="K37" s="64">
        <v>153.37</v>
      </c>
      <c r="L37" s="64">
        <v>23.18</v>
      </c>
      <c r="M37" s="64">
        <v>100.85</v>
      </c>
      <c r="N37" s="64">
        <v>35.4</v>
      </c>
      <c r="O37" s="64">
        <v>0.2</v>
      </c>
      <c r="P37" s="64">
        <v>0.43</v>
      </c>
      <c r="Q37" s="64">
        <v>9.23</v>
      </c>
      <c r="R37" s="198"/>
      <c r="S37" s="198"/>
      <c r="T37" s="198"/>
      <c r="U37" s="198"/>
    </row>
    <row r="38" spans="1:21" x14ac:dyDescent="0.25">
      <c r="A38" s="214" t="s">
        <v>3156</v>
      </c>
      <c r="B38" s="64">
        <v>12.53</v>
      </c>
      <c r="C38" s="64">
        <v>26.04</v>
      </c>
      <c r="D38" s="64">
        <v>30.59</v>
      </c>
      <c r="E38" s="64">
        <v>4.4800000000000004</v>
      </c>
      <c r="F38" s="64">
        <v>3.55</v>
      </c>
      <c r="G38" s="64">
        <v>12.97</v>
      </c>
      <c r="H38" s="6" t="s">
        <v>42</v>
      </c>
      <c r="I38" s="64">
        <v>4.0599999999999996</v>
      </c>
      <c r="J38" s="64">
        <v>0.04</v>
      </c>
      <c r="K38" s="64">
        <v>191.57</v>
      </c>
      <c r="L38" s="64">
        <v>23.37</v>
      </c>
      <c r="M38" s="64">
        <v>100.87</v>
      </c>
      <c r="N38" s="64">
        <v>36.799999999999997</v>
      </c>
      <c r="O38" s="64">
        <v>3</v>
      </c>
      <c r="P38" s="64">
        <v>0.46</v>
      </c>
      <c r="Q38" s="64">
        <v>9.23</v>
      </c>
      <c r="R38" s="198"/>
      <c r="S38" s="198"/>
      <c r="T38" s="198"/>
      <c r="U38" s="198"/>
    </row>
    <row r="39" spans="1:21" x14ac:dyDescent="0.25">
      <c r="A39" s="214" t="s">
        <v>3157</v>
      </c>
      <c r="B39" s="64">
        <v>8.91</v>
      </c>
      <c r="C39" s="64">
        <v>17.88</v>
      </c>
      <c r="D39" s="64">
        <v>20.55</v>
      </c>
      <c r="E39" s="64">
        <v>4.05</v>
      </c>
      <c r="F39" s="64">
        <v>3.61</v>
      </c>
      <c r="G39" s="64">
        <v>12.97</v>
      </c>
      <c r="H39" s="6" t="s">
        <v>42</v>
      </c>
      <c r="I39" s="64">
        <v>4.13</v>
      </c>
      <c r="J39" s="64">
        <v>0.06</v>
      </c>
      <c r="K39" s="64">
        <v>183.48</v>
      </c>
      <c r="L39" s="64">
        <v>22.93</v>
      </c>
      <c r="M39" s="64">
        <v>100.75</v>
      </c>
      <c r="N39" s="64">
        <v>38</v>
      </c>
      <c r="O39" s="64">
        <v>3</v>
      </c>
      <c r="P39" s="64">
        <v>0.44</v>
      </c>
      <c r="Q39" s="64">
        <v>9.24</v>
      </c>
      <c r="R39" s="198"/>
      <c r="S39" s="198"/>
      <c r="T39" s="198"/>
      <c r="U39" s="198"/>
    </row>
    <row r="40" spans="1:21" x14ac:dyDescent="0.25">
      <c r="A40" s="214" t="s">
        <v>3158</v>
      </c>
      <c r="B40" s="64">
        <v>8.6</v>
      </c>
      <c r="C40" s="64">
        <v>17.36</v>
      </c>
      <c r="D40" s="64">
        <v>20.03</v>
      </c>
      <c r="E40" s="64">
        <v>3.57</v>
      </c>
      <c r="F40" s="64">
        <v>3.47</v>
      </c>
      <c r="G40" s="64">
        <v>12.97</v>
      </c>
      <c r="H40" s="6" t="s">
        <v>42</v>
      </c>
      <c r="I40" s="64">
        <v>3.97</v>
      </c>
      <c r="J40" s="64">
        <v>0.6</v>
      </c>
      <c r="K40" s="64">
        <v>165.25</v>
      </c>
      <c r="L40" s="64">
        <v>22.83</v>
      </c>
      <c r="M40" s="64">
        <v>100.75</v>
      </c>
      <c r="N40" s="64">
        <v>37.9</v>
      </c>
      <c r="O40" s="64">
        <v>5.6</v>
      </c>
      <c r="P40" s="64">
        <v>0.42</v>
      </c>
      <c r="Q40" s="64">
        <v>9.25</v>
      </c>
      <c r="R40" s="198"/>
      <c r="S40" s="198"/>
      <c r="T40" s="198"/>
      <c r="U40" s="198"/>
    </row>
    <row r="41" spans="1:21" x14ac:dyDescent="0.25">
      <c r="A41" s="214" t="s">
        <v>3159</v>
      </c>
      <c r="B41" s="64">
        <v>8.34</v>
      </c>
      <c r="C41" s="64">
        <v>17</v>
      </c>
      <c r="D41" s="64">
        <v>19.73</v>
      </c>
      <c r="E41" s="64">
        <v>4.34</v>
      </c>
      <c r="F41" s="64">
        <v>4.67</v>
      </c>
      <c r="G41" s="64">
        <v>12.23</v>
      </c>
      <c r="H41" s="6" t="s">
        <v>42</v>
      </c>
      <c r="I41" s="64">
        <v>4.03</v>
      </c>
      <c r="J41" s="64">
        <v>0.81</v>
      </c>
      <c r="K41" s="64">
        <v>151.91</v>
      </c>
      <c r="L41" s="64">
        <v>22.9</v>
      </c>
      <c r="M41" s="64">
        <v>100.83</v>
      </c>
      <c r="N41" s="64">
        <v>37.1</v>
      </c>
      <c r="O41" s="64">
        <v>3.8</v>
      </c>
      <c r="P41" s="64">
        <v>0.4</v>
      </c>
      <c r="Q41" s="64">
        <v>9.25</v>
      </c>
      <c r="R41" s="198"/>
      <c r="S41" s="198"/>
      <c r="T41" s="198"/>
      <c r="U41" s="198"/>
    </row>
    <row r="42" spans="1:21" x14ac:dyDescent="0.25">
      <c r="A42" s="214" t="s">
        <v>3160</v>
      </c>
      <c r="B42" s="64">
        <v>8.01</v>
      </c>
      <c r="C42" s="64">
        <v>16.84</v>
      </c>
      <c r="D42" s="64">
        <v>19.940000000000001</v>
      </c>
      <c r="E42" s="64">
        <v>4.46</v>
      </c>
      <c r="F42" s="64">
        <v>5.55</v>
      </c>
      <c r="G42" s="64">
        <v>9.81</v>
      </c>
      <c r="H42" s="6" t="s">
        <v>42</v>
      </c>
      <c r="I42" s="64">
        <v>3.9</v>
      </c>
      <c r="J42" s="64">
        <v>0.15</v>
      </c>
      <c r="K42" s="64">
        <v>164.84</v>
      </c>
      <c r="L42" s="64">
        <v>22.82</v>
      </c>
      <c r="M42" s="64">
        <v>100.83</v>
      </c>
      <c r="N42" s="64">
        <v>35.5</v>
      </c>
      <c r="O42" s="64">
        <v>2.4</v>
      </c>
      <c r="P42" s="64">
        <v>0.39</v>
      </c>
      <c r="Q42" s="64">
        <v>9.26</v>
      </c>
      <c r="R42" s="198"/>
      <c r="S42" s="198"/>
      <c r="T42" s="198"/>
      <c r="U42" s="198"/>
    </row>
    <row r="43" spans="1:21" x14ac:dyDescent="0.25">
      <c r="A43" s="214" t="s">
        <v>3161</v>
      </c>
      <c r="B43" s="64">
        <v>8.02</v>
      </c>
      <c r="C43" s="64">
        <v>16.510000000000002</v>
      </c>
      <c r="D43" s="64">
        <v>19.29</v>
      </c>
      <c r="E43" s="64">
        <v>4.3</v>
      </c>
      <c r="F43" s="64">
        <v>4.7699999999999996</v>
      </c>
      <c r="G43" s="64">
        <v>9.81</v>
      </c>
      <c r="H43" s="6" t="s">
        <v>42</v>
      </c>
      <c r="I43" s="64">
        <v>4.12</v>
      </c>
      <c r="J43" s="64">
        <v>0.28000000000000003</v>
      </c>
      <c r="K43" s="64">
        <v>195.23</v>
      </c>
      <c r="L43" s="64">
        <v>22.45</v>
      </c>
      <c r="M43" s="64">
        <v>100.87</v>
      </c>
      <c r="N43" s="64">
        <v>36.299999999999997</v>
      </c>
      <c r="O43" s="64">
        <v>5.8</v>
      </c>
      <c r="P43" s="64">
        <v>0.4</v>
      </c>
      <c r="Q43" s="64">
        <v>9.25</v>
      </c>
      <c r="R43" s="198"/>
      <c r="S43" s="198"/>
      <c r="T43" s="198"/>
      <c r="U43" s="198"/>
    </row>
    <row r="44" spans="1:21" x14ac:dyDescent="0.25">
      <c r="A44" s="214" t="s">
        <v>3162</v>
      </c>
      <c r="B44" s="64">
        <v>8</v>
      </c>
      <c r="C44" s="64">
        <v>16.89</v>
      </c>
      <c r="D44" s="64">
        <v>20.04</v>
      </c>
      <c r="E44" s="64">
        <v>4.2300000000000004</v>
      </c>
      <c r="F44" s="64">
        <v>3.56</v>
      </c>
      <c r="G44" s="64">
        <v>9.81</v>
      </c>
      <c r="H44" s="6" t="s">
        <v>42</v>
      </c>
      <c r="I44" s="64">
        <v>3.94</v>
      </c>
      <c r="J44" s="64">
        <v>7.0000000000000007E-2</v>
      </c>
      <c r="K44" s="64">
        <v>294.27</v>
      </c>
      <c r="L44" s="64">
        <v>22.19</v>
      </c>
      <c r="M44" s="64">
        <v>100.92</v>
      </c>
      <c r="N44" s="64">
        <v>34.299999999999997</v>
      </c>
      <c r="O44" s="64">
        <v>13</v>
      </c>
      <c r="P44" s="64">
        <v>0.39</v>
      </c>
      <c r="Q44" s="64">
        <v>9.25</v>
      </c>
      <c r="R44" s="198"/>
      <c r="S44" s="198"/>
      <c r="T44" s="198"/>
      <c r="U44" s="198"/>
    </row>
    <row r="45" spans="1:21" x14ac:dyDescent="0.25">
      <c r="A45" s="214" t="s">
        <v>3163</v>
      </c>
      <c r="B45" s="64">
        <v>8.3000000000000007</v>
      </c>
      <c r="C45" s="64">
        <v>19.32</v>
      </c>
      <c r="D45" s="64">
        <v>24.24</v>
      </c>
      <c r="E45" s="64">
        <v>4.38</v>
      </c>
      <c r="F45" s="64">
        <v>5.31</v>
      </c>
      <c r="G45" s="64">
        <v>9.1199999999999992</v>
      </c>
      <c r="H45" s="6" t="s">
        <v>42</v>
      </c>
      <c r="I45" s="64">
        <v>4.0199999999999996</v>
      </c>
      <c r="J45" s="64">
        <v>0.62</v>
      </c>
      <c r="K45" s="64">
        <v>149.07</v>
      </c>
      <c r="L45" s="64">
        <v>22.44</v>
      </c>
      <c r="M45" s="64">
        <v>100.95</v>
      </c>
      <c r="N45" s="64">
        <v>48.5</v>
      </c>
      <c r="O45" s="64">
        <v>0.2</v>
      </c>
      <c r="P45" s="64">
        <v>0.38</v>
      </c>
      <c r="Q45" s="64">
        <v>9.24</v>
      </c>
      <c r="R45" s="198"/>
      <c r="S45" s="198"/>
      <c r="T45" s="198"/>
      <c r="U45" s="198"/>
    </row>
    <row r="46" spans="1:21" x14ac:dyDescent="0.25">
      <c r="A46" s="214" t="s">
        <v>3164</v>
      </c>
      <c r="B46" s="64">
        <v>8.18</v>
      </c>
      <c r="C46" s="64">
        <v>18.03</v>
      </c>
      <c r="D46" s="64">
        <v>21.95</v>
      </c>
      <c r="E46" s="64">
        <v>3.95</v>
      </c>
      <c r="F46" s="64">
        <v>5.22</v>
      </c>
      <c r="G46" s="64">
        <v>6.87</v>
      </c>
      <c r="H46" s="6" t="s">
        <v>42</v>
      </c>
      <c r="I46" s="64">
        <v>3.94</v>
      </c>
      <c r="J46" s="64">
        <v>0.18</v>
      </c>
      <c r="K46" s="64">
        <v>202.7</v>
      </c>
      <c r="L46" s="64">
        <v>22.63</v>
      </c>
      <c r="M46" s="64">
        <v>100.97</v>
      </c>
      <c r="N46" s="64">
        <v>64.8</v>
      </c>
      <c r="O46" s="64">
        <v>0</v>
      </c>
      <c r="P46" s="64">
        <v>0.4</v>
      </c>
      <c r="Q46" s="64">
        <v>9.24</v>
      </c>
      <c r="R46" s="198"/>
      <c r="S46" s="198"/>
      <c r="T46" s="198"/>
      <c r="U46" s="198"/>
    </row>
    <row r="47" spans="1:21" x14ac:dyDescent="0.25">
      <c r="A47" s="214" t="s">
        <v>3165</v>
      </c>
      <c r="B47" s="64">
        <v>7.53</v>
      </c>
      <c r="C47" s="64">
        <v>16.600000000000001</v>
      </c>
      <c r="D47" s="64">
        <v>20.22</v>
      </c>
      <c r="E47" s="64">
        <v>4.4400000000000004</v>
      </c>
      <c r="F47" s="64">
        <v>4.3</v>
      </c>
      <c r="G47" s="64">
        <v>6.87</v>
      </c>
      <c r="H47" s="6" t="s">
        <v>42</v>
      </c>
      <c r="I47" s="64">
        <v>3.97</v>
      </c>
      <c r="J47" s="64">
        <v>0.28000000000000003</v>
      </c>
      <c r="K47" s="64">
        <v>190.23</v>
      </c>
      <c r="L47" s="64">
        <v>22.47</v>
      </c>
      <c r="M47" s="64">
        <v>101</v>
      </c>
      <c r="N47" s="64">
        <v>95.8</v>
      </c>
      <c r="O47" s="64">
        <v>0</v>
      </c>
      <c r="P47" s="64">
        <v>0.39</v>
      </c>
      <c r="Q47" s="64">
        <v>9.24</v>
      </c>
      <c r="R47" s="198"/>
      <c r="S47" s="198"/>
      <c r="T47" s="198"/>
      <c r="U47" s="198"/>
    </row>
    <row r="48" spans="1:21" x14ac:dyDescent="0.25">
      <c r="A48" s="214" t="s">
        <v>3166</v>
      </c>
      <c r="B48" s="64">
        <v>7.44</v>
      </c>
      <c r="C48" s="64">
        <v>16.14</v>
      </c>
      <c r="D48" s="64">
        <v>19.489999999999998</v>
      </c>
      <c r="E48" s="64">
        <v>4.6500000000000004</v>
      </c>
      <c r="F48" s="64">
        <v>4.75</v>
      </c>
      <c r="G48" s="64">
        <v>6.87</v>
      </c>
      <c r="H48" s="6" t="s">
        <v>42</v>
      </c>
      <c r="I48" s="64">
        <v>4</v>
      </c>
      <c r="J48" s="64">
        <v>0.24</v>
      </c>
      <c r="K48" s="64">
        <v>182.74</v>
      </c>
      <c r="L48" s="64">
        <v>22.33</v>
      </c>
      <c r="M48" s="64">
        <v>100.99</v>
      </c>
      <c r="N48" s="64">
        <v>124.8</v>
      </c>
      <c r="O48" s="64">
        <v>0</v>
      </c>
      <c r="P48" s="64">
        <v>0.39</v>
      </c>
      <c r="Q48" s="64">
        <v>9.24</v>
      </c>
      <c r="R48" s="198"/>
      <c r="S48" s="198"/>
      <c r="T48" s="198"/>
      <c r="U48" s="198"/>
    </row>
    <row r="49" spans="1:21" x14ac:dyDescent="0.25">
      <c r="A49" s="214" t="s">
        <v>3167</v>
      </c>
      <c r="B49" s="64">
        <v>7.32</v>
      </c>
      <c r="C49" s="64">
        <v>15.72</v>
      </c>
      <c r="D49" s="64">
        <v>18.86</v>
      </c>
      <c r="E49" s="64">
        <v>4.66</v>
      </c>
      <c r="F49" s="64">
        <v>3.99</v>
      </c>
      <c r="G49" s="64">
        <v>6.49</v>
      </c>
      <c r="H49" s="6" t="s">
        <v>42</v>
      </c>
      <c r="I49" s="64">
        <v>4.03</v>
      </c>
      <c r="J49" s="64">
        <v>0.16</v>
      </c>
      <c r="K49" s="64">
        <v>190.61</v>
      </c>
      <c r="L49" s="64">
        <v>22.5</v>
      </c>
      <c r="M49" s="64">
        <v>100.77</v>
      </c>
      <c r="N49" s="64">
        <v>129.9</v>
      </c>
      <c r="O49" s="64">
        <v>0</v>
      </c>
      <c r="P49" s="64">
        <v>0.4</v>
      </c>
      <c r="Q49" s="64">
        <v>9.2200000000000006</v>
      </c>
      <c r="R49" s="198"/>
      <c r="S49" s="198"/>
      <c r="T49" s="198"/>
      <c r="U49" s="198"/>
    </row>
    <row r="50" spans="1:21" x14ac:dyDescent="0.25">
      <c r="A50" s="214" t="s">
        <v>3168</v>
      </c>
      <c r="B50" s="64">
        <v>7.36</v>
      </c>
      <c r="C50" s="64">
        <v>16.03</v>
      </c>
      <c r="D50" s="64">
        <v>19.39</v>
      </c>
      <c r="E50" s="64">
        <v>4.22</v>
      </c>
      <c r="F50" s="64">
        <v>3.64</v>
      </c>
      <c r="G50" s="64">
        <v>5.25</v>
      </c>
      <c r="H50" s="6" t="s">
        <v>42</v>
      </c>
      <c r="I50" s="64">
        <v>4.07</v>
      </c>
      <c r="J50" s="64">
        <v>0.08</v>
      </c>
      <c r="K50" s="64">
        <v>217.61</v>
      </c>
      <c r="L50" s="64">
        <v>22.66</v>
      </c>
      <c r="M50" s="64">
        <v>100.81</v>
      </c>
      <c r="N50" s="64">
        <v>157</v>
      </c>
      <c r="O50" s="64">
        <v>0</v>
      </c>
      <c r="P50" s="64">
        <v>0.38</v>
      </c>
      <c r="Q50" s="64">
        <v>9.2200000000000006</v>
      </c>
      <c r="R50" s="198"/>
      <c r="S50" s="198"/>
      <c r="T50" s="198"/>
      <c r="U50" s="198"/>
    </row>
    <row r="51" spans="1:21" x14ac:dyDescent="0.25">
      <c r="A51" s="214" t="s">
        <v>3169</v>
      </c>
      <c r="B51" s="64">
        <v>7.34</v>
      </c>
      <c r="C51" s="64">
        <v>15.6</v>
      </c>
      <c r="D51" s="64">
        <v>18.600000000000001</v>
      </c>
      <c r="E51" s="64">
        <v>4.45</v>
      </c>
      <c r="F51" s="64">
        <v>3.78</v>
      </c>
      <c r="G51" s="64">
        <v>5.25</v>
      </c>
      <c r="H51" s="6" t="s">
        <v>42</v>
      </c>
      <c r="I51" s="64">
        <v>4.08</v>
      </c>
      <c r="J51" s="64">
        <v>0.11</v>
      </c>
      <c r="K51" s="64">
        <v>282.02</v>
      </c>
      <c r="L51" s="64">
        <v>23.03</v>
      </c>
      <c r="M51" s="64">
        <v>100.87</v>
      </c>
      <c r="N51" s="64">
        <v>190.1</v>
      </c>
      <c r="O51" s="64">
        <v>0</v>
      </c>
      <c r="P51" s="64">
        <v>0.4</v>
      </c>
      <c r="Q51" s="64">
        <v>9.2200000000000006</v>
      </c>
      <c r="R51" s="198"/>
      <c r="S51" s="198"/>
      <c r="T51" s="198"/>
      <c r="U51" s="198"/>
    </row>
    <row r="52" spans="1:21" x14ac:dyDescent="0.25">
      <c r="A52" s="214" t="s">
        <v>3170</v>
      </c>
      <c r="B52" s="64">
        <v>7.34</v>
      </c>
      <c r="C52" s="64">
        <v>15.79</v>
      </c>
      <c r="D52" s="64">
        <v>18.96</v>
      </c>
      <c r="E52" s="64">
        <v>4.29</v>
      </c>
      <c r="F52" s="64">
        <v>3.27</v>
      </c>
      <c r="G52" s="64">
        <v>5.25</v>
      </c>
      <c r="H52" s="6" t="s">
        <v>42</v>
      </c>
      <c r="I52" s="64">
        <v>4.0599999999999996</v>
      </c>
      <c r="J52" s="64">
        <v>0.11</v>
      </c>
      <c r="K52" s="64">
        <v>271.26</v>
      </c>
      <c r="L52" s="64">
        <v>23.32</v>
      </c>
      <c r="M52" s="64">
        <v>100.89</v>
      </c>
      <c r="N52" s="64">
        <v>238.6</v>
      </c>
      <c r="O52" s="64">
        <v>0</v>
      </c>
      <c r="P52" s="64">
        <v>0.4</v>
      </c>
      <c r="Q52" s="64">
        <v>9.2100000000000009</v>
      </c>
      <c r="R52" s="198"/>
      <c r="S52" s="198"/>
      <c r="T52" s="198"/>
      <c r="U52" s="198"/>
    </row>
    <row r="53" spans="1:21" x14ac:dyDescent="0.25">
      <c r="A53" s="214" t="s">
        <v>3171</v>
      </c>
      <c r="B53" s="64">
        <v>7.11</v>
      </c>
      <c r="C53" s="64">
        <v>15.36</v>
      </c>
      <c r="D53" s="64">
        <v>18.489999999999998</v>
      </c>
      <c r="E53" s="64">
        <v>4.66</v>
      </c>
      <c r="F53" s="64">
        <v>4.21</v>
      </c>
      <c r="G53" s="64">
        <v>5.26</v>
      </c>
      <c r="H53" s="6" t="s">
        <v>42</v>
      </c>
      <c r="I53" s="64">
        <v>3.79</v>
      </c>
      <c r="J53" s="64">
        <v>0.11</v>
      </c>
      <c r="K53" s="64">
        <v>261.23</v>
      </c>
      <c r="L53" s="64">
        <v>24.14</v>
      </c>
      <c r="M53" s="64">
        <v>100.85</v>
      </c>
      <c r="N53" s="64">
        <v>292.89999999999998</v>
      </c>
      <c r="O53" s="64">
        <v>0</v>
      </c>
      <c r="P53" s="64">
        <v>0.41</v>
      </c>
      <c r="Q53" s="64">
        <v>9.2100000000000009</v>
      </c>
      <c r="R53" s="198"/>
      <c r="S53" s="198"/>
      <c r="T53" s="198"/>
      <c r="U53" s="198"/>
    </row>
    <row r="54" spans="1:21" x14ac:dyDescent="0.25">
      <c r="A54" s="214" t="s">
        <v>3172</v>
      </c>
      <c r="B54" s="64">
        <v>6.85</v>
      </c>
      <c r="C54" s="64">
        <v>15.28</v>
      </c>
      <c r="D54" s="64">
        <v>18.739999999999998</v>
      </c>
      <c r="E54" s="64">
        <v>4.3600000000000003</v>
      </c>
      <c r="F54" s="64">
        <v>3.05</v>
      </c>
      <c r="G54" s="64">
        <v>5.31</v>
      </c>
      <c r="H54" s="6" t="s">
        <v>42</v>
      </c>
      <c r="I54" s="64">
        <v>4.1399999999999997</v>
      </c>
      <c r="J54" s="64">
        <v>0.14000000000000001</v>
      </c>
      <c r="K54" s="64">
        <v>239.34</v>
      </c>
      <c r="L54" s="64">
        <v>24.47</v>
      </c>
      <c r="M54" s="64">
        <v>100.9</v>
      </c>
      <c r="N54" s="64">
        <v>274.39999999999998</v>
      </c>
      <c r="O54" s="64">
        <v>0</v>
      </c>
      <c r="P54" s="64">
        <v>0.39</v>
      </c>
      <c r="Q54" s="64">
        <v>9.19</v>
      </c>
      <c r="R54" s="198"/>
      <c r="S54" s="198"/>
      <c r="T54" s="198"/>
      <c r="U54" s="198"/>
    </row>
    <row r="55" spans="1:21" x14ac:dyDescent="0.25">
      <c r="A55" s="214" t="s">
        <v>3173</v>
      </c>
      <c r="B55" s="64">
        <v>6.52</v>
      </c>
      <c r="C55" s="64">
        <v>14.77</v>
      </c>
      <c r="D55" s="64">
        <v>18.260000000000002</v>
      </c>
      <c r="E55" s="64">
        <v>4.38</v>
      </c>
      <c r="F55" s="64">
        <v>4.2</v>
      </c>
      <c r="G55" s="64">
        <v>5.31</v>
      </c>
      <c r="H55" s="6" t="s">
        <v>42</v>
      </c>
      <c r="I55" s="64">
        <v>3.86</v>
      </c>
      <c r="J55" s="64">
        <v>0.36</v>
      </c>
      <c r="K55" s="64">
        <v>177.62</v>
      </c>
      <c r="L55" s="64">
        <v>25.29</v>
      </c>
      <c r="M55" s="64">
        <v>100.93</v>
      </c>
      <c r="N55" s="64">
        <v>384.1</v>
      </c>
      <c r="O55" s="64">
        <v>0</v>
      </c>
      <c r="P55" s="64">
        <v>0.4</v>
      </c>
      <c r="Q55" s="64">
        <v>9.17</v>
      </c>
      <c r="R55" s="198"/>
      <c r="S55" s="198"/>
      <c r="T55" s="198"/>
      <c r="U55" s="198"/>
    </row>
    <row r="56" spans="1:21" x14ac:dyDescent="0.25">
      <c r="A56" s="214" t="s">
        <v>3174</v>
      </c>
      <c r="B56" s="64">
        <v>6.28</v>
      </c>
      <c r="C56" s="64">
        <v>14.67</v>
      </c>
      <c r="D56" s="64">
        <v>18.43</v>
      </c>
      <c r="E56" s="64">
        <v>4.3099999999999996</v>
      </c>
      <c r="F56" s="64">
        <v>3.92</v>
      </c>
      <c r="G56" s="64">
        <v>5.31</v>
      </c>
      <c r="H56" s="6" t="s">
        <v>42</v>
      </c>
      <c r="I56" s="64">
        <v>4.16</v>
      </c>
      <c r="J56" s="64">
        <v>0.28999999999999998</v>
      </c>
      <c r="K56" s="64">
        <v>179.6</v>
      </c>
      <c r="L56" s="64">
        <v>26.32</v>
      </c>
      <c r="M56" s="64">
        <v>100.88</v>
      </c>
      <c r="N56" s="64">
        <v>461.8</v>
      </c>
      <c r="O56" s="64">
        <v>0</v>
      </c>
      <c r="P56" s="64">
        <v>0.38</v>
      </c>
      <c r="Q56" s="64">
        <v>9.16</v>
      </c>
      <c r="R56" s="198"/>
      <c r="S56" s="198"/>
      <c r="T56" s="198"/>
      <c r="U56" s="198"/>
    </row>
    <row r="57" spans="1:21" x14ac:dyDescent="0.25">
      <c r="A57" s="214" t="s">
        <v>3175</v>
      </c>
      <c r="B57" s="64">
        <v>6.44</v>
      </c>
      <c r="C57" s="64">
        <v>14.79</v>
      </c>
      <c r="D57" s="64">
        <v>18.420000000000002</v>
      </c>
      <c r="E57" s="64">
        <v>4</v>
      </c>
      <c r="F57" s="64">
        <v>3.88</v>
      </c>
      <c r="G57" s="64">
        <v>5.97</v>
      </c>
      <c r="H57" s="6" t="s">
        <v>42</v>
      </c>
      <c r="I57" s="64">
        <v>4.1100000000000003</v>
      </c>
      <c r="J57" s="64">
        <v>0.28000000000000003</v>
      </c>
      <c r="K57" s="64">
        <v>204</v>
      </c>
      <c r="L57" s="64">
        <v>27.03</v>
      </c>
      <c r="M57" s="64">
        <v>100.83</v>
      </c>
      <c r="N57" s="64">
        <v>520.6</v>
      </c>
      <c r="O57" s="64">
        <v>0</v>
      </c>
      <c r="P57" s="64">
        <v>0.38</v>
      </c>
      <c r="Q57" s="64">
        <v>9.15</v>
      </c>
      <c r="R57" s="198"/>
      <c r="S57" s="198"/>
      <c r="T57" s="198"/>
      <c r="U57" s="198"/>
    </row>
    <row r="58" spans="1:21" x14ac:dyDescent="0.25">
      <c r="A58" s="214" t="s">
        <v>3176</v>
      </c>
      <c r="B58" s="64">
        <v>7.65</v>
      </c>
      <c r="C58" s="64">
        <v>16.899999999999999</v>
      </c>
      <c r="D58" s="64">
        <v>20.62</v>
      </c>
      <c r="E58" s="64">
        <v>4.28</v>
      </c>
      <c r="F58" s="64">
        <v>6.08</v>
      </c>
      <c r="G58" s="64">
        <v>8.14</v>
      </c>
      <c r="H58" s="6" t="s">
        <v>42</v>
      </c>
      <c r="I58" s="64">
        <v>4.0599999999999996</v>
      </c>
      <c r="J58" s="64">
        <v>0.42</v>
      </c>
      <c r="K58" s="64">
        <v>183.63</v>
      </c>
      <c r="L58" s="64">
        <v>27.3</v>
      </c>
      <c r="M58" s="64">
        <v>99.32</v>
      </c>
      <c r="N58" s="64">
        <v>438.9</v>
      </c>
      <c r="O58" s="64">
        <v>0</v>
      </c>
      <c r="P58" s="64">
        <v>0.37</v>
      </c>
      <c r="Q58" s="64">
        <v>9.16</v>
      </c>
      <c r="R58" s="198"/>
      <c r="S58" s="198"/>
      <c r="T58" s="198"/>
      <c r="U58" s="198"/>
    </row>
    <row r="59" spans="1:21" x14ac:dyDescent="0.25">
      <c r="A59" s="214" t="s">
        <v>3177</v>
      </c>
      <c r="B59" s="64">
        <v>7.8</v>
      </c>
      <c r="C59" s="64">
        <v>17.72</v>
      </c>
      <c r="D59" s="64">
        <v>21.95</v>
      </c>
      <c r="E59" s="64">
        <v>4.29</v>
      </c>
      <c r="F59" s="64">
        <v>5.07</v>
      </c>
      <c r="G59" s="64">
        <v>8.14</v>
      </c>
      <c r="H59" s="6" t="s">
        <v>42</v>
      </c>
      <c r="I59" s="64">
        <v>3.92</v>
      </c>
      <c r="J59" s="64">
        <v>0.66</v>
      </c>
      <c r="K59" s="64">
        <v>169.22</v>
      </c>
      <c r="L59" s="64">
        <v>27.45</v>
      </c>
      <c r="M59" s="64">
        <v>96.77</v>
      </c>
      <c r="N59" s="64">
        <v>443.9</v>
      </c>
      <c r="O59" s="64">
        <v>0</v>
      </c>
      <c r="P59" s="64">
        <v>0.35</v>
      </c>
      <c r="Q59" s="64">
        <v>9.17</v>
      </c>
      <c r="R59" s="198"/>
      <c r="S59" s="198"/>
      <c r="T59" s="198"/>
      <c r="U59" s="198"/>
    </row>
    <row r="60" spans="1:21" x14ac:dyDescent="0.25">
      <c r="A60" s="214" t="s">
        <v>3178</v>
      </c>
      <c r="B60" s="64">
        <v>10.46</v>
      </c>
      <c r="C60" s="64">
        <v>20.190000000000001</v>
      </c>
      <c r="D60" s="64">
        <v>22.58</v>
      </c>
      <c r="E60" s="64">
        <v>4.55</v>
      </c>
      <c r="F60" s="64">
        <v>5.64</v>
      </c>
      <c r="G60" s="64">
        <v>8.14</v>
      </c>
      <c r="H60" s="6" t="s">
        <v>42</v>
      </c>
      <c r="I60" s="64">
        <v>4.04</v>
      </c>
      <c r="J60" s="64">
        <v>0.52</v>
      </c>
      <c r="K60" s="64">
        <v>178.96</v>
      </c>
      <c r="L60" s="64">
        <v>27.34</v>
      </c>
      <c r="M60" s="64">
        <v>97.36</v>
      </c>
      <c r="N60" s="64">
        <v>375.1</v>
      </c>
      <c r="O60" s="64">
        <v>0</v>
      </c>
      <c r="P60" s="64">
        <v>0.35</v>
      </c>
      <c r="Q60" s="64">
        <v>9.19</v>
      </c>
      <c r="R60" s="198"/>
      <c r="S60" s="198"/>
      <c r="T60" s="198"/>
      <c r="U60" s="198"/>
    </row>
    <row r="61" spans="1:21" x14ac:dyDescent="0.25">
      <c r="A61" s="214" t="s">
        <v>3179</v>
      </c>
      <c r="B61" s="64">
        <v>8.67</v>
      </c>
      <c r="C61" s="64">
        <v>19.5</v>
      </c>
      <c r="D61" s="64">
        <v>24.02</v>
      </c>
      <c r="E61" s="64">
        <v>4.03</v>
      </c>
      <c r="F61" s="64">
        <v>6.41</v>
      </c>
      <c r="G61" s="64">
        <v>7.57</v>
      </c>
      <c r="H61" s="6" t="s">
        <v>42</v>
      </c>
      <c r="I61" s="64">
        <v>3.96</v>
      </c>
      <c r="J61" s="64">
        <v>0.52</v>
      </c>
      <c r="K61" s="64">
        <v>188</v>
      </c>
      <c r="L61" s="64">
        <v>27.2</v>
      </c>
      <c r="M61" s="64">
        <v>97.54</v>
      </c>
      <c r="N61" s="64">
        <v>324.10000000000002</v>
      </c>
      <c r="O61" s="64">
        <v>0</v>
      </c>
      <c r="P61" s="64">
        <v>0.37</v>
      </c>
      <c r="Q61" s="64">
        <v>9.2100000000000009</v>
      </c>
      <c r="R61" s="198"/>
      <c r="S61" s="198"/>
      <c r="T61" s="198"/>
      <c r="U61" s="198"/>
    </row>
    <row r="62" spans="1:21" x14ac:dyDescent="0.25">
      <c r="A62" s="214" t="s">
        <v>3180</v>
      </c>
      <c r="B62" s="64">
        <v>7.55</v>
      </c>
      <c r="C62" s="64">
        <v>17.600000000000001</v>
      </c>
      <c r="D62" s="64">
        <v>22.1</v>
      </c>
      <c r="E62" s="64">
        <v>4.53</v>
      </c>
      <c r="F62" s="64">
        <v>6.63</v>
      </c>
      <c r="G62" s="64">
        <v>5.7</v>
      </c>
      <c r="H62" s="6" t="s">
        <v>42</v>
      </c>
      <c r="I62" s="64">
        <v>4.22</v>
      </c>
      <c r="J62" s="64">
        <v>0.36</v>
      </c>
      <c r="K62" s="64">
        <v>181.47</v>
      </c>
      <c r="L62" s="64">
        <v>27.22</v>
      </c>
      <c r="M62" s="64">
        <v>96.93</v>
      </c>
      <c r="N62" s="64">
        <v>341.1</v>
      </c>
      <c r="O62" s="64">
        <v>0</v>
      </c>
      <c r="P62" s="64">
        <v>0.38</v>
      </c>
      <c r="Q62" s="64">
        <v>9.2200000000000006</v>
      </c>
      <c r="R62" s="198"/>
      <c r="S62" s="198"/>
      <c r="T62" s="198"/>
      <c r="U62" s="198"/>
    </row>
    <row r="63" spans="1:21" x14ac:dyDescent="0.25">
      <c r="A63" s="214" t="s">
        <v>3181</v>
      </c>
      <c r="B63" s="64">
        <v>7.24</v>
      </c>
      <c r="C63" s="64">
        <v>17.18</v>
      </c>
      <c r="D63" s="64">
        <v>21.78</v>
      </c>
      <c r="E63" s="64">
        <v>4.3</v>
      </c>
      <c r="F63" s="64">
        <v>8.02</v>
      </c>
      <c r="G63" s="64">
        <v>5.7</v>
      </c>
      <c r="H63" s="6" t="s">
        <v>42</v>
      </c>
      <c r="I63" s="64">
        <v>4.18</v>
      </c>
      <c r="J63" s="64">
        <v>0.85</v>
      </c>
      <c r="K63" s="64">
        <v>152.88</v>
      </c>
      <c r="L63" s="64">
        <v>27.77</v>
      </c>
      <c r="M63" s="64">
        <v>95.53</v>
      </c>
      <c r="N63" s="64">
        <v>386.7</v>
      </c>
      <c r="O63" s="64">
        <v>0</v>
      </c>
      <c r="P63" s="64">
        <v>0.38</v>
      </c>
      <c r="Q63" s="64">
        <v>9.2100000000000009</v>
      </c>
      <c r="R63" s="198"/>
      <c r="S63" s="198"/>
      <c r="T63" s="198"/>
      <c r="U63" s="198"/>
    </row>
    <row r="64" spans="1:21" x14ac:dyDescent="0.25">
      <c r="A64" s="214" t="s">
        <v>3182</v>
      </c>
      <c r="B64" s="64">
        <v>6.93</v>
      </c>
      <c r="C64" s="64">
        <v>16.62</v>
      </c>
      <c r="D64" s="64">
        <v>21.18</v>
      </c>
      <c r="E64" s="64">
        <v>4.1100000000000003</v>
      </c>
      <c r="F64" s="64">
        <v>7.65</v>
      </c>
      <c r="G64" s="64">
        <v>5.7</v>
      </c>
      <c r="H64" s="6" t="s">
        <v>42</v>
      </c>
      <c r="I64" s="64">
        <v>3.95</v>
      </c>
      <c r="J64" s="64">
        <v>0.43</v>
      </c>
      <c r="K64" s="64">
        <v>201.05</v>
      </c>
      <c r="L64" s="64">
        <v>27.71</v>
      </c>
      <c r="M64" s="64">
        <v>94.81</v>
      </c>
      <c r="N64" s="64">
        <v>255</v>
      </c>
      <c r="O64" s="64">
        <v>0</v>
      </c>
      <c r="P64" s="64">
        <v>0.37</v>
      </c>
      <c r="Q64" s="64">
        <v>9.1999999999999993</v>
      </c>
      <c r="R64" s="198"/>
      <c r="S64" s="198"/>
      <c r="T64" s="198"/>
      <c r="U64" s="198"/>
    </row>
    <row r="65" spans="1:21" x14ac:dyDescent="0.25">
      <c r="A65" s="214" t="s">
        <v>3183</v>
      </c>
      <c r="B65" s="64">
        <v>6.28</v>
      </c>
      <c r="C65" s="64">
        <v>15.61</v>
      </c>
      <c r="D65" s="64">
        <v>20.25</v>
      </c>
      <c r="E65" s="64">
        <v>4.25</v>
      </c>
      <c r="F65" s="64">
        <v>9.08</v>
      </c>
      <c r="G65" s="64">
        <v>5.3</v>
      </c>
      <c r="H65" s="6" t="s">
        <v>42</v>
      </c>
      <c r="I65" s="64">
        <v>4.24</v>
      </c>
      <c r="J65" s="64">
        <v>0.28000000000000003</v>
      </c>
      <c r="K65" s="64">
        <v>199.32</v>
      </c>
      <c r="L65" s="64">
        <v>27.38</v>
      </c>
      <c r="M65" s="64">
        <v>97.89</v>
      </c>
      <c r="N65" s="64">
        <v>180.8</v>
      </c>
      <c r="O65" s="64">
        <v>0</v>
      </c>
      <c r="P65" s="64">
        <v>0.38</v>
      </c>
      <c r="Q65" s="64">
        <v>9.1999999999999993</v>
      </c>
      <c r="R65" s="198"/>
      <c r="S65" s="198"/>
      <c r="T65" s="198"/>
      <c r="U65" s="198"/>
    </row>
    <row r="66" spans="1:21" x14ac:dyDescent="0.25">
      <c r="A66" s="214" t="s">
        <v>3184</v>
      </c>
      <c r="B66" s="64">
        <v>6.27</v>
      </c>
      <c r="C66" s="64">
        <v>15.97</v>
      </c>
      <c r="D66" s="64">
        <v>20.93</v>
      </c>
      <c r="E66" s="64">
        <v>4.0999999999999996</v>
      </c>
      <c r="F66" s="64">
        <v>4.5199999999999996</v>
      </c>
      <c r="G66" s="64">
        <v>3.99</v>
      </c>
      <c r="H66" s="6" t="s">
        <v>42</v>
      </c>
      <c r="I66" s="64">
        <v>3.94</v>
      </c>
      <c r="J66" s="64">
        <v>0.25</v>
      </c>
      <c r="K66" s="64">
        <v>178.17</v>
      </c>
      <c r="L66" s="64">
        <v>27.34</v>
      </c>
      <c r="M66" s="64">
        <v>99.72</v>
      </c>
      <c r="N66" s="64">
        <v>147.6</v>
      </c>
      <c r="O66" s="64">
        <v>0</v>
      </c>
      <c r="P66" s="64">
        <v>0.39</v>
      </c>
      <c r="Q66" s="64">
        <v>9.18</v>
      </c>
      <c r="R66" s="198"/>
      <c r="S66" s="198"/>
      <c r="T66" s="198"/>
      <c r="U66" s="198"/>
    </row>
    <row r="67" spans="1:21" x14ac:dyDescent="0.25">
      <c r="A67" s="214" t="s">
        <v>3185</v>
      </c>
      <c r="B67" s="64">
        <v>6.29</v>
      </c>
      <c r="C67" s="64">
        <v>16.190000000000001</v>
      </c>
      <c r="D67" s="64">
        <v>21.32</v>
      </c>
      <c r="E67" s="64">
        <v>4.03</v>
      </c>
      <c r="F67" s="64">
        <v>4.49</v>
      </c>
      <c r="G67" s="64">
        <v>3.99</v>
      </c>
      <c r="H67" s="6" t="s">
        <v>42</v>
      </c>
      <c r="I67" s="64">
        <v>4.08</v>
      </c>
      <c r="J67" s="64">
        <v>0.26</v>
      </c>
      <c r="K67" s="64">
        <v>222.37</v>
      </c>
      <c r="L67" s="64">
        <v>27.54</v>
      </c>
      <c r="M67" s="64">
        <v>98.11</v>
      </c>
      <c r="N67" s="64">
        <v>136.80000000000001</v>
      </c>
      <c r="O67" s="64">
        <v>0</v>
      </c>
      <c r="P67" s="64">
        <v>0.37</v>
      </c>
      <c r="Q67" s="64">
        <v>9.17</v>
      </c>
      <c r="R67" s="198"/>
      <c r="S67" s="198"/>
      <c r="T67" s="198"/>
      <c r="U67" s="198"/>
    </row>
    <row r="68" spans="1:21" x14ac:dyDescent="0.25">
      <c r="A68" s="214" t="s">
        <v>3186</v>
      </c>
      <c r="B68" s="64">
        <v>6.13</v>
      </c>
      <c r="C68" s="64">
        <v>15.53</v>
      </c>
      <c r="D68" s="64">
        <v>20.309999999999999</v>
      </c>
      <c r="E68" s="64">
        <v>4.1399999999999997</v>
      </c>
      <c r="F68" s="64">
        <v>5.64</v>
      </c>
      <c r="G68" s="64">
        <v>3.99</v>
      </c>
      <c r="H68" s="6" t="s">
        <v>42</v>
      </c>
      <c r="I68" s="64">
        <v>3.98</v>
      </c>
      <c r="J68" s="64">
        <v>0.25</v>
      </c>
      <c r="K68" s="64">
        <v>201.17</v>
      </c>
      <c r="L68" s="64">
        <v>27.41</v>
      </c>
      <c r="M68" s="64">
        <v>97.2</v>
      </c>
      <c r="N68" s="64">
        <v>139</v>
      </c>
      <c r="O68" s="64">
        <v>0</v>
      </c>
      <c r="P68" s="64">
        <v>0.37</v>
      </c>
      <c r="Q68" s="64">
        <v>9.15</v>
      </c>
      <c r="R68" s="198"/>
      <c r="S68" s="198"/>
      <c r="T68" s="198"/>
      <c r="U68" s="198"/>
    </row>
    <row r="69" spans="1:21" x14ac:dyDescent="0.25">
      <c r="A69" s="214" t="s">
        <v>3187</v>
      </c>
      <c r="B69" s="64">
        <v>6.15</v>
      </c>
      <c r="C69" s="64">
        <v>16.91</v>
      </c>
      <c r="D69" s="64">
        <v>22.92</v>
      </c>
      <c r="E69" s="64">
        <v>4.04</v>
      </c>
      <c r="F69" s="64">
        <v>5.25</v>
      </c>
      <c r="G69" s="64">
        <v>3.89</v>
      </c>
      <c r="H69" s="6" t="s">
        <v>42</v>
      </c>
      <c r="I69" s="64">
        <v>3.96</v>
      </c>
      <c r="J69" s="64">
        <v>0.23</v>
      </c>
      <c r="K69" s="64">
        <v>216.86</v>
      </c>
      <c r="L69" s="64">
        <v>27.48</v>
      </c>
      <c r="M69" s="64">
        <v>97.67</v>
      </c>
      <c r="N69" s="64">
        <v>163.30000000000001</v>
      </c>
      <c r="O69" s="64">
        <v>0</v>
      </c>
      <c r="P69" s="64">
        <v>0.38</v>
      </c>
      <c r="Q69" s="64">
        <v>9.15</v>
      </c>
      <c r="R69" s="198"/>
      <c r="S69" s="198"/>
      <c r="T69" s="198"/>
      <c r="U69" s="198"/>
    </row>
    <row r="70" spans="1:21" x14ac:dyDescent="0.25">
      <c r="A70" s="214" t="s">
        <v>3188</v>
      </c>
      <c r="B70" s="64">
        <v>6.92</v>
      </c>
      <c r="C70" s="64">
        <v>16.95</v>
      </c>
      <c r="D70" s="64">
        <v>21.82</v>
      </c>
      <c r="E70" s="64">
        <v>3.82</v>
      </c>
      <c r="F70" s="64">
        <v>6.38</v>
      </c>
      <c r="G70" s="64">
        <v>3.34</v>
      </c>
      <c r="H70" s="6" t="s">
        <v>42</v>
      </c>
      <c r="I70" s="64">
        <v>3.96</v>
      </c>
      <c r="J70" s="64">
        <v>0.23</v>
      </c>
      <c r="K70" s="64">
        <v>232.78</v>
      </c>
      <c r="L70" s="64">
        <v>27.54</v>
      </c>
      <c r="M70" s="64">
        <v>96.77</v>
      </c>
      <c r="N70" s="64">
        <v>174.3</v>
      </c>
      <c r="O70" s="64">
        <v>0</v>
      </c>
      <c r="P70" s="64">
        <v>0.39</v>
      </c>
      <c r="Q70" s="64">
        <v>9.16</v>
      </c>
      <c r="R70" s="198"/>
      <c r="S70" s="198"/>
      <c r="T70" s="198"/>
      <c r="U70" s="198"/>
    </row>
    <row r="71" spans="1:21" x14ac:dyDescent="0.25">
      <c r="A71" s="214" t="s">
        <v>3189</v>
      </c>
      <c r="B71" s="64">
        <v>7.11</v>
      </c>
      <c r="C71" s="64">
        <v>18.489999999999998</v>
      </c>
      <c r="D71" s="64">
        <v>24.47</v>
      </c>
      <c r="E71" s="64">
        <v>3.99</v>
      </c>
      <c r="F71" s="64">
        <v>3.51</v>
      </c>
      <c r="G71" s="64">
        <v>3.34</v>
      </c>
      <c r="H71" s="6" t="s">
        <v>42</v>
      </c>
      <c r="I71" s="64">
        <v>3.89</v>
      </c>
      <c r="J71" s="64">
        <v>0.15</v>
      </c>
      <c r="K71" s="64">
        <v>248.74</v>
      </c>
      <c r="L71" s="64">
        <v>27.61</v>
      </c>
      <c r="M71" s="64">
        <v>97.04</v>
      </c>
      <c r="N71" s="64">
        <v>179.9</v>
      </c>
      <c r="O71" s="64">
        <v>0</v>
      </c>
      <c r="P71" s="64">
        <v>0.38</v>
      </c>
      <c r="Q71" s="64">
        <v>9.17</v>
      </c>
      <c r="R71" s="198"/>
      <c r="S71" s="198"/>
      <c r="T71" s="198"/>
      <c r="U71" s="198"/>
    </row>
    <row r="72" spans="1:21" x14ac:dyDescent="0.25">
      <c r="A72" s="214" t="s">
        <v>3190</v>
      </c>
      <c r="B72" s="64">
        <v>6.92</v>
      </c>
      <c r="C72" s="64">
        <v>17.489999999999998</v>
      </c>
      <c r="D72" s="64">
        <v>22.85</v>
      </c>
      <c r="E72" s="64">
        <v>4.62</v>
      </c>
      <c r="F72" s="64">
        <v>3.9</v>
      </c>
      <c r="G72" s="64">
        <v>3.34</v>
      </c>
      <c r="H72" s="6" t="s">
        <v>42</v>
      </c>
      <c r="I72" s="64">
        <v>4.1399999999999997</v>
      </c>
      <c r="J72" s="64">
        <v>0.18</v>
      </c>
      <c r="K72" s="64">
        <v>226.52</v>
      </c>
      <c r="L72" s="64">
        <v>27.86</v>
      </c>
      <c r="M72" s="64">
        <v>96.08</v>
      </c>
      <c r="N72" s="64">
        <v>191.1</v>
      </c>
      <c r="O72" s="64">
        <v>0</v>
      </c>
      <c r="P72" s="64">
        <v>0.37</v>
      </c>
      <c r="Q72" s="64">
        <v>9.19</v>
      </c>
      <c r="R72" s="198"/>
      <c r="S72" s="198"/>
      <c r="T72" s="198"/>
      <c r="U72" s="198"/>
    </row>
    <row r="73" spans="1:21" x14ac:dyDescent="0.25">
      <c r="A73" s="214" t="s">
        <v>3191</v>
      </c>
      <c r="B73" s="64">
        <v>6.51</v>
      </c>
      <c r="C73" s="64">
        <v>16.37</v>
      </c>
      <c r="D73" s="64">
        <v>21.35</v>
      </c>
      <c r="E73" s="64">
        <v>4.13</v>
      </c>
      <c r="F73" s="64">
        <v>4.68</v>
      </c>
      <c r="G73" s="64">
        <v>4.08</v>
      </c>
      <c r="H73" s="6" t="s">
        <v>42</v>
      </c>
      <c r="I73" s="64">
        <v>4.05</v>
      </c>
      <c r="J73" s="64">
        <v>0.18</v>
      </c>
      <c r="K73" s="64">
        <v>247.46</v>
      </c>
      <c r="L73" s="64">
        <v>27.94</v>
      </c>
      <c r="M73" s="64">
        <v>96.52</v>
      </c>
      <c r="N73" s="64">
        <v>190.8</v>
      </c>
      <c r="O73" s="64">
        <v>0</v>
      </c>
      <c r="P73" s="64">
        <v>0.39</v>
      </c>
      <c r="Q73" s="64">
        <v>9.18</v>
      </c>
      <c r="R73" s="198"/>
      <c r="S73" s="198"/>
      <c r="T73" s="198"/>
      <c r="U73" s="198"/>
    </row>
    <row r="74" spans="1:21" x14ac:dyDescent="0.25">
      <c r="A74" s="214" t="s">
        <v>3192</v>
      </c>
      <c r="B74" s="64">
        <v>5.84</v>
      </c>
      <c r="C74" s="64">
        <v>15.99</v>
      </c>
      <c r="D74" s="64">
        <v>21.64</v>
      </c>
      <c r="E74" s="64">
        <v>4.37</v>
      </c>
      <c r="F74" s="64">
        <v>4.09</v>
      </c>
      <c r="G74" s="64">
        <v>6.5</v>
      </c>
      <c r="H74" s="6" t="s">
        <v>42</v>
      </c>
      <c r="I74" s="64">
        <v>4.05</v>
      </c>
      <c r="J74" s="64">
        <v>0.16</v>
      </c>
      <c r="K74" s="64">
        <v>249.54</v>
      </c>
      <c r="L74" s="64">
        <v>28.15</v>
      </c>
      <c r="M74" s="64">
        <v>94.58</v>
      </c>
      <c r="N74" s="64">
        <v>186.5</v>
      </c>
      <c r="O74" s="64">
        <v>0</v>
      </c>
      <c r="P74" s="64">
        <v>0.39</v>
      </c>
      <c r="Q74" s="64">
        <v>9.17</v>
      </c>
      <c r="R74" s="198"/>
      <c r="S74" s="198"/>
      <c r="T74" s="198"/>
      <c r="U74" s="198"/>
    </row>
    <row r="75" spans="1:21" x14ac:dyDescent="0.25">
      <c r="A75" s="214" t="s">
        <v>3193</v>
      </c>
      <c r="B75" s="64">
        <v>4.53</v>
      </c>
      <c r="C75" s="64">
        <v>15</v>
      </c>
      <c r="D75" s="64">
        <v>21.74</v>
      </c>
      <c r="E75" s="64">
        <v>4.29</v>
      </c>
      <c r="F75" s="64">
        <v>6.03</v>
      </c>
      <c r="G75" s="64">
        <v>6.5</v>
      </c>
      <c r="H75" s="6" t="s">
        <v>42</v>
      </c>
      <c r="I75" s="64">
        <v>3.84</v>
      </c>
      <c r="J75" s="64">
        <v>0.23</v>
      </c>
      <c r="K75" s="64">
        <v>236.22</v>
      </c>
      <c r="L75" s="64">
        <v>28.09</v>
      </c>
      <c r="M75" s="64">
        <v>93.98</v>
      </c>
      <c r="N75" s="64">
        <v>138.4</v>
      </c>
      <c r="O75" s="64">
        <v>0</v>
      </c>
      <c r="P75" s="64">
        <v>0.39</v>
      </c>
      <c r="Q75" s="64">
        <v>9.1199999999999992</v>
      </c>
      <c r="R75" s="198"/>
      <c r="S75" s="198"/>
      <c r="T75" s="198"/>
      <c r="U75" s="198"/>
    </row>
    <row r="76" spans="1:21" x14ac:dyDescent="0.25">
      <c r="A76" s="214" t="s">
        <v>3194</v>
      </c>
      <c r="B76" s="64">
        <v>3.89</v>
      </c>
      <c r="C76" s="64">
        <v>14.54</v>
      </c>
      <c r="D76" s="64">
        <v>21.86</v>
      </c>
      <c r="E76" s="64">
        <v>4.76</v>
      </c>
      <c r="F76" s="64">
        <v>12.45</v>
      </c>
      <c r="G76" s="64">
        <v>6.5</v>
      </c>
      <c r="H76" s="6" t="s">
        <v>42</v>
      </c>
      <c r="I76" s="64">
        <v>4.05</v>
      </c>
      <c r="J76" s="64">
        <v>0.17</v>
      </c>
      <c r="K76" s="64">
        <v>234.11</v>
      </c>
      <c r="L76" s="64">
        <v>27.88</v>
      </c>
      <c r="M76" s="64">
        <v>95.27</v>
      </c>
      <c r="N76" s="64">
        <v>111.3</v>
      </c>
      <c r="O76" s="64">
        <v>0</v>
      </c>
      <c r="P76" s="64">
        <v>0.42</v>
      </c>
      <c r="Q76" s="64">
        <v>9.09</v>
      </c>
      <c r="R76" s="198"/>
      <c r="S76" s="198"/>
      <c r="T76" s="198"/>
      <c r="U76" s="198"/>
    </row>
    <row r="77" spans="1:21" x14ac:dyDescent="0.25">
      <c r="A77" s="214" t="s">
        <v>3195</v>
      </c>
      <c r="B77" s="64">
        <v>3.95</v>
      </c>
      <c r="C77" s="64">
        <v>15.58</v>
      </c>
      <c r="D77" s="64">
        <v>23.76</v>
      </c>
      <c r="E77" s="64">
        <v>4.26</v>
      </c>
      <c r="F77" s="64">
        <v>11.68</v>
      </c>
      <c r="G77" s="64">
        <v>0</v>
      </c>
      <c r="H77" s="6" t="s">
        <v>42</v>
      </c>
      <c r="I77" s="64">
        <v>3.92</v>
      </c>
      <c r="J77" s="64">
        <v>0.15</v>
      </c>
      <c r="K77" s="64">
        <v>231.36</v>
      </c>
      <c r="L77" s="64">
        <v>27.92</v>
      </c>
      <c r="M77" s="64">
        <v>96.31</v>
      </c>
      <c r="N77" s="64">
        <v>96.7</v>
      </c>
      <c r="O77" s="64">
        <v>0</v>
      </c>
      <c r="P77" s="64">
        <v>0.44</v>
      </c>
      <c r="Q77" s="64">
        <v>9.09</v>
      </c>
      <c r="R77" s="198"/>
      <c r="S77" s="198"/>
      <c r="T77" s="198"/>
      <c r="U77" s="198"/>
    </row>
    <row r="78" spans="1:21" x14ac:dyDescent="0.25">
      <c r="A78" s="214" t="s">
        <v>3196</v>
      </c>
      <c r="B78" s="64">
        <v>4.3499999999999996</v>
      </c>
      <c r="C78" s="64">
        <v>19.170000000000002</v>
      </c>
      <c r="D78" s="64">
        <v>30</v>
      </c>
      <c r="E78" s="64">
        <v>4.8899999999999997</v>
      </c>
      <c r="F78" s="64">
        <v>15.06</v>
      </c>
      <c r="G78" s="64">
        <v>0</v>
      </c>
      <c r="H78" s="6" t="s">
        <v>42</v>
      </c>
      <c r="I78" s="64">
        <v>3.99</v>
      </c>
      <c r="J78" s="64">
        <v>0.16</v>
      </c>
      <c r="K78" s="64">
        <v>219.84</v>
      </c>
      <c r="L78" s="64">
        <v>28.03</v>
      </c>
      <c r="M78" s="64">
        <v>91.48</v>
      </c>
      <c r="N78" s="64">
        <v>75.3</v>
      </c>
      <c r="O78" s="64">
        <v>0</v>
      </c>
      <c r="P78" s="64">
        <v>0.5</v>
      </c>
      <c r="Q78" s="64">
        <v>9.1</v>
      </c>
      <c r="R78" s="198"/>
      <c r="S78" s="198"/>
      <c r="T78" s="198"/>
      <c r="U78" s="198"/>
    </row>
    <row r="79" spans="1:21" x14ac:dyDescent="0.25">
      <c r="A79" s="214" t="s">
        <v>3197</v>
      </c>
      <c r="B79" s="64">
        <v>3.95</v>
      </c>
      <c r="C79" s="64">
        <v>18.78</v>
      </c>
      <c r="D79" s="64">
        <v>29.89</v>
      </c>
      <c r="E79" s="64">
        <v>4.54</v>
      </c>
      <c r="F79" s="64">
        <v>15.18</v>
      </c>
      <c r="G79" s="64">
        <v>0</v>
      </c>
      <c r="H79" s="6" t="s">
        <v>42</v>
      </c>
      <c r="I79" s="64">
        <v>3.99</v>
      </c>
      <c r="J79" s="64">
        <v>0.09</v>
      </c>
      <c r="K79" s="64">
        <v>272.25</v>
      </c>
      <c r="L79" s="64">
        <v>28.08</v>
      </c>
      <c r="M79" s="64">
        <v>91.49</v>
      </c>
      <c r="N79" s="64">
        <v>60.2</v>
      </c>
      <c r="O79" s="64">
        <v>0</v>
      </c>
      <c r="P79" s="64">
        <v>0.52</v>
      </c>
      <c r="Q79" s="64">
        <v>9.1300000000000008</v>
      </c>
      <c r="R79" s="198"/>
      <c r="S79" s="198"/>
      <c r="T79" s="198"/>
      <c r="U79" s="198"/>
    </row>
    <row r="80" spans="1:21" x14ac:dyDescent="0.25">
      <c r="A80" s="214" t="s">
        <v>3198</v>
      </c>
      <c r="B80" s="64">
        <v>4.0199999999999996</v>
      </c>
      <c r="C80" s="64">
        <v>17.77</v>
      </c>
      <c r="D80" s="64">
        <v>27.84</v>
      </c>
      <c r="E80" s="64">
        <v>4.72</v>
      </c>
      <c r="F80" s="64">
        <v>13.32</v>
      </c>
      <c r="G80" s="64">
        <v>0</v>
      </c>
      <c r="H80" s="6" t="s">
        <v>42</v>
      </c>
      <c r="I80" s="64">
        <v>3.88</v>
      </c>
      <c r="J80" s="64">
        <v>7.0000000000000007E-2</v>
      </c>
      <c r="K80" s="64">
        <v>235.83</v>
      </c>
      <c r="L80" s="64">
        <v>27.74</v>
      </c>
      <c r="M80" s="64">
        <v>93.37</v>
      </c>
      <c r="N80" s="64">
        <v>51.9</v>
      </c>
      <c r="O80" s="64">
        <v>0</v>
      </c>
      <c r="P80" s="64">
        <v>0.51</v>
      </c>
      <c r="Q80" s="64">
        <v>9.14</v>
      </c>
      <c r="R80" s="198"/>
      <c r="S80" s="198"/>
      <c r="T80" s="198"/>
      <c r="U80" s="198"/>
    </row>
    <row r="81" spans="1:21" x14ac:dyDescent="0.25">
      <c r="A81" s="214" t="s">
        <v>3199</v>
      </c>
      <c r="B81" s="64">
        <v>4.34</v>
      </c>
      <c r="C81" s="64">
        <v>16.8</v>
      </c>
      <c r="D81" s="64">
        <v>25.48</v>
      </c>
      <c r="E81" s="64">
        <v>4.3899999999999997</v>
      </c>
      <c r="F81" s="64">
        <v>11.24</v>
      </c>
      <c r="G81" s="64">
        <v>65.790000000000006</v>
      </c>
      <c r="H81" s="6" t="s">
        <v>42</v>
      </c>
      <c r="I81" s="64">
        <v>4.07</v>
      </c>
      <c r="J81" s="64">
        <v>0.1</v>
      </c>
      <c r="K81" s="64">
        <v>206.88</v>
      </c>
      <c r="L81" s="64">
        <v>27.4</v>
      </c>
      <c r="M81" s="64">
        <v>97.94</v>
      </c>
      <c r="N81" s="64">
        <v>37.6</v>
      </c>
      <c r="O81" s="64">
        <v>0</v>
      </c>
      <c r="P81" s="64">
        <v>0.48</v>
      </c>
      <c r="Q81" s="64">
        <v>9.15</v>
      </c>
      <c r="R81" s="198"/>
      <c r="S81" s="198"/>
      <c r="T81" s="198"/>
      <c r="U81" s="198"/>
    </row>
    <row r="82" spans="1:21" x14ac:dyDescent="0.25">
      <c r="A82" s="214" t="s">
        <v>3200</v>
      </c>
      <c r="B82" s="64">
        <v>4.6100000000000003</v>
      </c>
      <c r="C82" s="64">
        <v>17.82</v>
      </c>
      <c r="D82" s="64">
        <v>27.03</v>
      </c>
      <c r="E82" s="64">
        <v>4.68</v>
      </c>
      <c r="F82" s="64">
        <v>10.28</v>
      </c>
      <c r="G82" s="64">
        <v>93.99</v>
      </c>
      <c r="H82" s="6" t="s">
        <v>42</v>
      </c>
      <c r="I82" s="64">
        <v>3.97</v>
      </c>
      <c r="J82" s="64">
        <v>0.21</v>
      </c>
      <c r="K82" s="64">
        <v>194.19</v>
      </c>
      <c r="L82" s="64">
        <v>27.17</v>
      </c>
      <c r="M82" s="64">
        <v>99.2</v>
      </c>
      <c r="N82" s="64">
        <v>30.3</v>
      </c>
      <c r="O82" s="64">
        <v>0</v>
      </c>
      <c r="P82" s="64">
        <v>0.48</v>
      </c>
      <c r="Q82" s="64">
        <v>9.14</v>
      </c>
      <c r="R82" s="198"/>
      <c r="S82" s="198"/>
      <c r="T82" s="198"/>
      <c r="U82" s="198"/>
    </row>
    <row r="83" spans="1:21" x14ac:dyDescent="0.25">
      <c r="A83" s="214" t="s">
        <v>3201</v>
      </c>
      <c r="B83" s="64">
        <v>5.77</v>
      </c>
      <c r="C83" s="64">
        <v>19.510000000000002</v>
      </c>
      <c r="D83" s="64">
        <v>28.48</v>
      </c>
      <c r="E83" s="64">
        <v>4.8099999999999996</v>
      </c>
      <c r="F83" s="64">
        <v>7.86</v>
      </c>
      <c r="G83" s="64">
        <v>93.99</v>
      </c>
      <c r="H83" s="6" t="s">
        <v>42</v>
      </c>
      <c r="I83" s="64">
        <v>4</v>
      </c>
      <c r="J83" s="64">
        <v>0.27</v>
      </c>
      <c r="K83" s="64">
        <v>172.55</v>
      </c>
      <c r="L83" s="64">
        <v>27.05</v>
      </c>
      <c r="M83" s="64">
        <v>100.38</v>
      </c>
      <c r="N83" s="64">
        <v>27.6</v>
      </c>
      <c r="O83" s="64">
        <v>0</v>
      </c>
      <c r="P83" s="64">
        <v>0.48</v>
      </c>
      <c r="Q83" s="64">
        <v>9.15</v>
      </c>
      <c r="R83" s="198"/>
      <c r="S83" s="198"/>
      <c r="T83" s="198"/>
      <c r="U83" s="198"/>
    </row>
    <row r="84" spans="1:21" x14ac:dyDescent="0.25">
      <c r="A84" s="214" t="s">
        <v>3202</v>
      </c>
      <c r="B84" s="64">
        <v>5.14</v>
      </c>
      <c r="C84" s="64">
        <v>15.67</v>
      </c>
      <c r="D84" s="64">
        <v>22.11</v>
      </c>
      <c r="E84" s="64">
        <v>4.58</v>
      </c>
      <c r="F84" s="64">
        <v>4.46</v>
      </c>
      <c r="G84" s="64">
        <v>93.99</v>
      </c>
      <c r="H84" s="6" t="s">
        <v>42</v>
      </c>
      <c r="I84" s="64">
        <v>4.17</v>
      </c>
      <c r="J84" s="64">
        <v>0.33</v>
      </c>
      <c r="K84" s="64">
        <v>170.09</v>
      </c>
      <c r="L84" s="64">
        <v>26.82</v>
      </c>
      <c r="M84" s="64">
        <v>100.54</v>
      </c>
      <c r="N84" s="64">
        <v>27</v>
      </c>
      <c r="O84" s="64">
        <v>0</v>
      </c>
      <c r="P84" s="64">
        <v>0.5</v>
      </c>
      <c r="Q84" s="64">
        <v>9.1300000000000008</v>
      </c>
      <c r="R84" s="198"/>
      <c r="S84" s="198"/>
      <c r="T84" s="198"/>
      <c r="U84" s="198"/>
    </row>
    <row r="85" spans="1:21" x14ac:dyDescent="0.25">
      <c r="A85" s="214" t="s">
        <v>3203</v>
      </c>
      <c r="B85" s="64">
        <v>5.13</v>
      </c>
      <c r="C85" s="64">
        <v>15.7</v>
      </c>
      <c r="D85" s="64">
        <v>22.18</v>
      </c>
      <c r="E85" s="64">
        <v>4.91</v>
      </c>
      <c r="F85" s="64">
        <v>5.8</v>
      </c>
      <c r="G85" s="64">
        <v>80.680000000000007</v>
      </c>
      <c r="H85" s="64">
        <v>11.37</v>
      </c>
      <c r="I85" s="64">
        <v>3.85</v>
      </c>
      <c r="J85" s="64">
        <v>0.32</v>
      </c>
      <c r="K85" s="64">
        <v>193.15</v>
      </c>
      <c r="L85" s="64">
        <v>26.72</v>
      </c>
      <c r="M85" s="64">
        <v>100.84</v>
      </c>
      <c r="N85" s="64">
        <v>26.8</v>
      </c>
      <c r="O85" s="64">
        <v>0</v>
      </c>
      <c r="P85" s="64">
        <v>0.39</v>
      </c>
      <c r="Q85" s="64">
        <v>9.1300000000000008</v>
      </c>
      <c r="R85" s="198"/>
      <c r="S85" s="198"/>
      <c r="T85" s="198"/>
      <c r="U85" s="198"/>
    </row>
    <row r="86" spans="1:21" x14ac:dyDescent="0.25">
      <c r="A86" s="214" t="s">
        <v>3204</v>
      </c>
      <c r="B86" s="64">
        <v>5.35</v>
      </c>
      <c r="C86" s="64">
        <v>14.89</v>
      </c>
      <c r="D86" s="64">
        <v>20.29</v>
      </c>
      <c r="E86" s="64">
        <v>4.49</v>
      </c>
      <c r="F86" s="64">
        <v>5.21</v>
      </c>
      <c r="G86" s="64">
        <v>74.97</v>
      </c>
      <c r="H86" s="64">
        <v>16.239999999999998</v>
      </c>
      <c r="I86" s="64">
        <v>4.0599999999999996</v>
      </c>
      <c r="J86" s="64">
        <v>0.36</v>
      </c>
      <c r="K86" s="64">
        <v>159.4</v>
      </c>
      <c r="L86" s="64">
        <v>26.66</v>
      </c>
      <c r="M86" s="64">
        <v>100.33</v>
      </c>
      <c r="N86" s="64">
        <v>26.7</v>
      </c>
      <c r="O86" s="64">
        <v>0</v>
      </c>
      <c r="P86" s="64">
        <v>0.43</v>
      </c>
      <c r="Q86" s="64">
        <v>9.14</v>
      </c>
      <c r="R86" s="198"/>
      <c r="S86" s="198"/>
      <c r="T86" s="198"/>
      <c r="U86" s="198"/>
    </row>
    <row r="87" spans="1:21" x14ac:dyDescent="0.25">
      <c r="A87" s="214" t="s">
        <v>3205</v>
      </c>
      <c r="B87" s="64">
        <v>5.34</v>
      </c>
      <c r="C87" s="64">
        <v>15.71</v>
      </c>
      <c r="D87" s="64">
        <v>21.88</v>
      </c>
      <c r="E87" s="64">
        <v>4.4400000000000004</v>
      </c>
      <c r="F87" s="64">
        <v>6.8</v>
      </c>
      <c r="G87" s="64">
        <v>74.97</v>
      </c>
      <c r="H87" s="64">
        <v>16.239999999999998</v>
      </c>
      <c r="I87" s="64">
        <v>3.99</v>
      </c>
      <c r="J87" s="64">
        <v>0.22</v>
      </c>
      <c r="K87" s="64">
        <v>164.5</v>
      </c>
      <c r="L87" s="64">
        <v>26.65</v>
      </c>
      <c r="M87" s="64">
        <v>100.56</v>
      </c>
      <c r="N87" s="64">
        <v>26.8</v>
      </c>
      <c r="O87" s="64">
        <v>0</v>
      </c>
      <c r="P87" s="64">
        <v>0.44</v>
      </c>
      <c r="Q87" s="64">
        <v>9.15</v>
      </c>
      <c r="R87" s="198"/>
      <c r="S87" s="198"/>
      <c r="T87" s="198"/>
      <c r="U87" s="198"/>
    </row>
    <row r="88" spans="1:21" x14ac:dyDescent="0.25">
      <c r="A88" s="214" t="s">
        <v>3206</v>
      </c>
      <c r="B88" s="64">
        <v>5.46</v>
      </c>
      <c r="C88" s="64">
        <v>16.59</v>
      </c>
      <c r="D88" s="64">
        <v>23.37</v>
      </c>
      <c r="E88" s="64">
        <v>4.78</v>
      </c>
      <c r="F88" s="64">
        <v>6.98</v>
      </c>
      <c r="G88" s="64">
        <v>74.97</v>
      </c>
      <c r="H88" s="64">
        <v>16.239999999999998</v>
      </c>
      <c r="I88" s="64">
        <v>4.22</v>
      </c>
      <c r="J88" s="64">
        <v>0.19</v>
      </c>
      <c r="K88" s="64">
        <v>160.63</v>
      </c>
      <c r="L88" s="64">
        <v>26.56</v>
      </c>
      <c r="M88" s="64">
        <v>100.57</v>
      </c>
      <c r="N88" s="64">
        <v>26.5</v>
      </c>
      <c r="O88" s="64">
        <v>0</v>
      </c>
      <c r="P88" s="64">
        <v>0.43</v>
      </c>
      <c r="Q88" s="64">
        <v>9.15</v>
      </c>
      <c r="R88" s="198"/>
      <c r="S88" s="198"/>
      <c r="T88" s="198"/>
      <c r="U88" s="198"/>
    </row>
    <row r="89" spans="1:21" x14ac:dyDescent="0.25">
      <c r="A89" s="214" t="s">
        <v>3207</v>
      </c>
      <c r="B89" s="64">
        <v>5.82</v>
      </c>
      <c r="C89" s="64">
        <v>15.32</v>
      </c>
      <c r="D89" s="64">
        <v>20.39</v>
      </c>
      <c r="E89" s="64">
        <v>4.82</v>
      </c>
      <c r="F89" s="64">
        <v>4.91</v>
      </c>
      <c r="G89" s="64">
        <v>65.53</v>
      </c>
      <c r="H89" s="64">
        <v>17.46</v>
      </c>
      <c r="I89" s="64">
        <v>4.12</v>
      </c>
      <c r="J89" s="64">
        <v>0.42</v>
      </c>
      <c r="K89" s="64">
        <v>141.91</v>
      </c>
      <c r="L89" s="64">
        <v>26.48</v>
      </c>
      <c r="M89" s="64">
        <v>101.08</v>
      </c>
      <c r="N89" s="64">
        <v>26.6</v>
      </c>
      <c r="O89" s="64">
        <v>0</v>
      </c>
      <c r="P89" s="64">
        <v>0.45</v>
      </c>
      <c r="Q89" s="64">
        <v>9.14</v>
      </c>
      <c r="R89" s="198"/>
      <c r="S89" s="198"/>
      <c r="T89" s="198"/>
      <c r="U89" s="198"/>
    </row>
    <row r="90" spans="1:21" x14ac:dyDescent="0.25">
      <c r="A90" s="214" t="s">
        <v>3208</v>
      </c>
      <c r="B90" s="64">
        <v>6.18</v>
      </c>
      <c r="C90" s="64">
        <v>17.53</v>
      </c>
      <c r="D90" s="64">
        <v>24.07</v>
      </c>
      <c r="E90" s="64">
        <v>4.43</v>
      </c>
      <c r="F90" s="64">
        <v>6.31</v>
      </c>
      <c r="G90" s="64">
        <v>61.48</v>
      </c>
      <c r="H90" s="64">
        <v>17.98</v>
      </c>
      <c r="I90" s="64">
        <v>4.01</v>
      </c>
      <c r="J90" s="64">
        <v>0.17</v>
      </c>
      <c r="K90" s="64">
        <v>159.96</v>
      </c>
      <c r="L90" s="64">
        <v>26.48</v>
      </c>
      <c r="M90" s="64">
        <v>100.47</v>
      </c>
      <c r="N90" s="64">
        <v>26.6</v>
      </c>
      <c r="O90" s="64">
        <v>0</v>
      </c>
      <c r="P90" s="64">
        <v>0.46</v>
      </c>
      <c r="Q90" s="64">
        <v>9.15</v>
      </c>
      <c r="R90" s="198"/>
      <c r="S90" s="198"/>
      <c r="T90" s="198"/>
      <c r="U90" s="198"/>
    </row>
    <row r="91" spans="1:21" x14ac:dyDescent="0.25">
      <c r="A91" s="214" t="s">
        <v>3209</v>
      </c>
      <c r="B91" s="64">
        <v>8.84</v>
      </c>
      <c r="C91" s="64">
        <v>19.66</v>
      </c>
      <c r="D91" s="64">
        <v>24.05</v>
      </c>
      <c r="E91" s="64">
        <v>4.53</v>
      </c>
      <c r="F91" s="64">
        <v>5.36</v>
      </c>
      <c r="G91" s="64">
        <v>61.48</v>
      </c>
      <c r="H91" s="64">
        <v>17.98</v>
      </c>
      <c r="I91" s="64">
        <v>4.3</v>
      </c>
      <c r="J91" s="64">
        <v>0.06</v>
      </c>
      <c r="K91" s="64">
        <v>303.3</v>
      </c>
      <c r="L91" s="64">
        <v>26.5</v>
      </c>
      <c r="M91" s="64">
        <v>100.91</v>
      </c>
      <c r="N91" s="64">
        <v>26.6</v>
      </c>
      <c r="O91" s="64">
        <v>0</v>
      </c>
      <c r="P91" s="64">
        <v>0.51</v>
      </c>
      <c r="Q91" s="64">
        <v>9.15</v>
      </c>
      <c r="R91" s="198"/>
      <c r="S91" s="198"/>
      <c r="T91" s="198"/>
      <c r="U91" s="198"/>
    </row>
    <row r="92" spans="1:21" x14ac:dyDescent="0.25">
      <c r="A92" s="214" t="s">
        <v>3210</v>
      </c>
      <c r="B92" s="64">
        <v>13.26</v>
      </c>
      <c r="C92" s="64">
        <v>24.49</v>
      </c>
      <c r="D92" s="64">
        <v>26.52</v>
      </c>
      <c r="E92" s="64">
        <v>4.68</v>
      </c>
      <c r="F92" s="64">
        <v>4.2699999999999996</v>
      </c>
      <c r="G92" s="64">
        <v>61.48</v>
      </c>
      <c r="H92" s="64">
        <v>17.98</v>
      </c>
      <c r="I92" s="64">
        <v>4.18</v>
      </c>
      <c r="J92" s="64">
        <v>0.65</v>
      </c>
      <c r="K92" s="64">
        <v>322.76</v>
      </c>
      <c r="L92" s="64">
        <v>26.47</v>
      </c>
      <c r="M92" s="64">
        <v>100.92</v>
      </c>
      <c r="N92" s="64">
        <v>26.3</v>
      </c>
      <c r="O92" s="64">
        <v>0</v>
      </c>
      <c r="P92" s="64">
        <v>0.63</v>
      </c>
      <c r="Q92" s="64">
        <v>9.18</v>
      </c>
      <c r="R92" s="198"/>
      <c r="S92" s="198"/>
      <c r="T92" s="198"/>
      <c r="U92" s="198"/>
    </row>
    <row r="93" spans="1:21" x14ac:dyDescent="0.25">
      <c r="A93" s="214" t="s">
        <v>3211</v>
      </c>
      <c r="B93" s="64">
        <v>11.59</v>
      </c>
      <c r="C93" s="64">
        <v>20.83</v>
      </c>
      <c r="D93" s="64">
        <v>22.08</v>
      </c>
      <c r="E93" s="64">
        <v>4.7300000000000004</v>
      </c>
      <c r="F93" s="64">
        <v>6.08</v>
      </c>
      <c r="G93" s="64">
        <v>56.2</v>
      </c>
      <c r="H93" s="64">
        <v>15.65</v>
      </c>
      <c r="I93" s="64">
        <v>3.92</v>
      </c>
      <c r="J93" s="64">
        <v>0.67</v>
      </c>
      <c r="K93" s="64">
        <v>328.02</v>
      </c>
      <c r="L93" s="64">
        <v>26.42</v>
      </c>
      <c r="M93" s="64">
        <v>100.9</v>
      </c>
      <c r="N93" s="64">
        <v>26.4</v>
      </c>
      <c r="O93" s="64">
        <v>0</v>
      </c>
      <c r="P93" s="64">
        <v>0.59</v>
      </c>
      <c r="Q93" s="64">
        <v>9.2100000000000009</v>
      </c>
      <c r="R93" s="198"/>
      <c r="S93" s="198"/>
      <c r="T93" s="198"/>
      <c r="U93" s="198"/>
    </row>
    <row r="94" spans="1:21" x14ac:dyDescent="0.25">
      <c r="A94" s="214" t="s">
        <v>3212</v>
      </c>
      <c r="B94" s="64">
        <v>22.95</v>
      </c>
      <c r="C94" s="64">
        <v>39.159999999999997</v>
      </c>
      <c r="D94" s="64">
        <v>39.729999999999997</v>
      </c>
      <c r="E94" s="64">
        <v>4.6100000000000003</v>
      </c>
      <c r="F94" s="64">
        <v>8.24</v>
      </c>
      <c r="G94" s="64">
        <v>53.94</v>
      </c>
      <c r="H94" s="64">
        <v>14.66</v>
      </c>
      <c r="I94" s="64">
        <v>3.91</v>
      </c>
      <c r="J94" s="64">
        <v>0.23</v>
      </c>
      <c r="K94" s="64">
        <v>321.41000000000003</v>
      </c>
      <c r="L94" s="64">
        <v>26.37</v>
      </c>
      <c r="M94" s="64">
        <v>100.89</v>
      </c>
      <c r="N94" s="64">
        <v>26.5</v>
      </c>
      <c r="O94" s="64">
        <v>0</v>
      </c>
      <c r="P94" s="64">
        <v>1</v>
      </c>
      <c r="Q94" s="64">
        <v>9.2799999999999994</v>
      </c>
      <c r="R94" s="198"/>
      <c r="S94" s="198"/>
      <c r="T94" s="198"/>
      <c r="U94" s="198"/>
    </row>
    <row r="95" spans="1:21" x14ac:dyDescent="0.25">
      <c r="A95" s="214" t="s">
        <v>3213</v>
      </c>
      <c r="B95" s="64">
        <v>16.02</v>
      </c>
      <c r="C95" s="64">
        <v>31.21</v>
      </c>
      <c r="D95" s="64">
        <v>35.15</v>
      </c>
      <c r="E95" s="64">
        <v>4.4800000000000004</v>
      </c>
      <c r="F95" s="64">
        <v>7.45</v>
      </c>
      <c r="G95" s="64">
        <v>53.94</v>
      </c>
      <c r="H95" s="64">
        <v>14.66</v>
      </c>
      <c r="I95" s="64">
        <v>3.97</v>
      </c>
      <c r="J95" s="64">
        <v>0.19</v>
      </c>
      <c r="K95" s="64">
        <v>305.64999999999998</v>
      </c>
      <c r="L95" s="64">
        <v>26.41</v>
      </c>
      <c r="M95" s="64">
        <v>100.89</v>
      </c>
      <c r="N95" s="64">
        <v>26.5</v>
      </c>
      <c r="O95" s="64">
        <v>0</v>
      </c>
      <c r="P95" s="64">
        <v>0.9</v>
      </c>
      <c r="Q95" s="64">
        <v>9.32</v>
      </c>
      <c r="R95" s="198"/>
      <c r="S95" s="198"/>
      <c r="T95" s="198"/>
      <c r="U95" s="198"/>
    </row>
    <row r="96" spans="1:21" x14ac:dyDescent="0.25">
      <c r="A96" s="214" t="s">
        <v>3214</v>
      </c>
      <c r="B96" s="64">
        <v>14.34</v>
      </c>
      <c r="C96" s="64">
        <v>30.85</v>
      </c>
      <c r="D96" s="64">
        <v>37.049999999999997</v>
      </c>
      <c r="E96" s="64">
        <v>4.58</v>
      </c>
      <c r="F96" s="64">
        <v>6.28</v>
      </c>
      <c r="G96" s="64">
        <v>53.94</v>
      </c>
      <c r="H96" s="64">
        <v>14.66</v>
      </c>
      <c r="I96" s="64">
        <v>3.96</v>
      </c>
      <c r="J96" s="64">
        <v>0.04</v>
      </c>
      <c r="K96" s="64">
        <v>318.95</v>
      </c>
      <c r="L96" s="64">
        <v>26.47</v>
      </c>
      <c r="M96" s="64">
        <v>100.84</v>
      </c>
      <c r="N96" s="64">
        <v>26.3</v>
      </c>
      <c r="O96" s="64">
        <v>0</v>
      </c>
      <c r="P96" s="64">
        <v>0.83</v>
      </c>
      <c r="Q96" s="64">
        <v>9.36</v>
      </c>
      <c r="R96" s="198"/>
      <c r="S96" s="198"/>
      <c r="T96" s="213"/>
      <c r="U96" s="198"/>
    </row>
    <row r="97" spans="1:21" x14ac:dyDescent="0.25">
      <c r="A97" s="214" t="s">
        <v>3215</v>
      </c>
      <c r="B97" s="64">
        <v>21.52</v>
      </c>
      <c r="C97" s="64">
        <v>38.08</v>
      </c>
      <c r="D97" s="64">
        <v>39.85</v>
      </c>
      <c r="E97" s="64">
        <v>4.9800000000000004</v>
      </c>
      <c r="F97" s="64">
        <v>5.69</v>
      </c>
      <c r="G97" s="64">
        <v>59.09</v>
      </c>
      <c r="H97" s="64">
        <v>16.45</v>
      </c>
      <c r="I97" s="64">
        <v>4.01</v>
      </c>
      <c r="J97" s="64">
        <v>0.2</v>
      </c>
      <c r="K97" s="64">
        <v>314.95999999999998</v>
      </c>
      <c r="L97" s="64">
        <v>26.42</v>
      </c>
      <c r="M97" s="64">
        <v>100.8</v>
      </c>
      <c r="N97" s="64">
        <v>26.5</v>
      </c>
      <c r="O97" s="64">
        <v>0</v>
      </c>
      <c r="P97" s="64">
        <v>0.93</v>
      </c>
      <c r="Q97" s="64">
        <v>9.3800000000000008</v>
      </c>
      <c r="R97" s="198"/>
      <c r="S97" s="198"/>
      <c r="T97" s="198"/>
      <c r="U97" s="198"/>
    </row>
    <row r="98" spans="1:21" x14ac:dyDescent="0.25">
      <c r="A98" s="214" t="s">
        <v>3216</v>
      </c>
      <c r="B98" s="64">
        <v>15.8</v>
      </c>
      <c r="C98" s="64">
        <v>33.83</v>
      </c>
      <c r="D98" s="64">
        <v>40.5</v>
      </c>
      <c r="E98" s="64">
        <v>4.67</v>
      </c>
      <c r="F98" s="64">
        <v>5.66</v>
      </c>
      <c r="G98" s="64">
        <v>61.3</v>
      </c>
      <c r="H98" s="64">
        <v>17.22</v>
      </c>
      <c r="I98" s="64">
        <v>4.0199999999999996</v>
      </c>
      <c r="J98" s="64">
        <v>0.08</v>
      </c>
      <c r="K98" s="64">
        <v>217.38</v>
      </c>
      <c r="L98" s="64">
        <v>26.25</v>
      </c>
      <c r="M98" s="64">
        <v>100.81</v>
      </c>
      <c r="N98" s="64">
        <v>26.4</v>
      </c>
      <c r="O98" s="64">
        <v>0</v>
      </c>
      <c r="P98" s="64">
        <v>0.86</v>
      </c>
      <c r="Q98" s="64">
        <v>9.41</v>
      </c>
      <c r="R98" s="198"/>
      <c r="S98" s="198"/>
      <c r="T98" s="198"/>
      <c r="U98" s="198"/>
    </row>
    <row r="99" spans="1:21" x14ac:dyDescent="0.25">
      <c r="A99" s="214" t="s">
        <v>3217</v>
      </c>
      <c r="B99" s="64">
        <v>9.74</v>
      </c>
      <c r="C99" s="64">
        <v>27.65</v>
      </c>
      <c r="D99" s="64">
        <v>37.99</v>
      </c>
      <c r="E99" s="64">
        <v>4.5599999999999996</v>
      </c>
      <c r="F99" s="64">
        <v>5.27</v>
      </c>
      <c r="G99" s="64">
        <v>61.3</v>
      </c>
      <c r="H99" s="64">
        <v>17.22</v>
      </c>
      <c r="I99" s="64">
        <v>4.16</v>
      </c>
      <c r="J99" s="64">
        <v>0.04</v>
      </c>
      <c r="K99" s="64">
        <v>198.75</v>
      </c>
      <c r="L99" s="64">
        <v>26.19</v>
      </c>
      <c r="M99" s="64">
        <v>100.85</v>
      </c>
      <c r="N99" s="64">
        <v>26.4</v>
      </c>
      <c r="O99" s="64">
        <v>0</v>
      </c>
      <c r="P99" s="64">
        <v>0.76</v>
      </c>
      <c r="Q99" s="64">
        <v>9.4499999999999993</v>
      </c>
      <c r="R99" s="198"/>
      <c r="S99" s="198"/>
      <c r="T99" s="198"/>
      <c r="U99" s="198"/>
    </row>
    <row r="100" spans="1:21" x14ac:dyDescent="0.25">
      <c r="A100" s="214" t="s">
        <v>3218</v>
      </c>
      <c r="B100" s="64">
        <v>9.11</v>
      </c>
      <c r="C100" s="64">
        <v>26.01</v>
      </c>
      <c r="D100" s="64">
        <v>35.79</v>
      </c>
      <c r="E100" s="64">
        <v>4.8</v>
      </c>
      <c r="F100" s="64">
        <v>6.02</v>
      </c>
      <c r="G100" s="64">
        <v>61.3</v>
      </c>
      <c r="H100" s="64">
        <v>17.22</v>
      </c>
      <c r="I100" s="64">
        <v>4.0999999999999996</v>
      </c>
      <c r="J100" s="64">
        <v>0.02</v>
      </c>
      <c r="K100" s="64">
        <v>215.63</v>
      </c>
      <c r="L100" s="64">
        <v>26.11</v>
      </c>
      <c r="M100" s="64">
        <v>100.86</v>
      </c>
      <c r="N100" s="64">
        <v>26.2</v>
      </c>
      <c r="O100" s="64">
        <v>0</v>
      </c>
      <c r="P100" s="64">
        <v>0.82</v>
      </c>
      <c r="Q100" s="64">
        <v>9.4600000000000009</v>
      </c>
      <c r="R100" s="198"/>
      <c r="S100" s="198"/>
      <c r="T100" s="198"/>
      <c r="U100" s="198"/>
    </row>
    <row r="101" spans="1:21" x14ac:dyDescent="0.25">
      <c r="A101" s="214" t="s">
        <v>3219</v>
      </c>
      <c r="B101" s="64">
        <v>9.7100000000000009</v>
      </c>
      <c r="C101" s="64">
        <v>23.72</v>
      </c>
      <c r="D101" s="64">
        <v>30.49</v>
      </c>
      <c r="E101" s="64">
        <v>4.58</v>
      </c>
      <c r="F101" s="64">
        <v>3.79</v>
      </c>
      <c r="G101" s="64">
        <v>60.79</v>
      </c>
      <c r="H101" s="64">
        <v>13.34</v>
      </c>
      <c r="I101" s="64">
        <v>3.97</v>
      </c>
      <c r="J101" s="64">
        <v>0.08</v>
      </c>
      <c r="K101" s="64">
        <v>214.97</v>
      </c>
      <c r="L101" s="64">
        <v>25.99</v>
      </c>
      <c r="M101" s="64">
        <v>100.87</v>
      </c>
      <c r="N101" s="64">
        <v>26.3</v>
      </c>
      <c r="O101" s="64">
        <v>0</v>
      </c>
      <c r="P101" s="64">
        <v>0.72</v>
      </c>
      <c r="Q101" s="64">
        <v>9.4600000000000009</v>
      </c>
      <c r="R101" s="198"/>
      <c r="S101" s="198"/>
      <c r="T101" s="198"/>
      <c r="U101" s="198"/>
    </row>
    <row r="102" spans="1:21" x14ac:dyDescent="0.25">
      <c r="A102" s="214" t="s">
        <v>3220</v>
      </c>
      <c r="B102" s="64">
        <v>12.47</v>
      </c>
      <c r="C102" s="64">
        <v>23.06</v>
      </c>
      <c r="D102" s="64">
        <v>24.99</v>
      </c>
      <c r="E102" s="64">
        <v>4.47</v>
      </c>
      <c r="F102" s="64">
        <v>4.59</v>
      </c>
      <c r="G102" s="64">
        <v>60.57</v>
      </c>
      <c r="H102" s="64">
        <v>11.67</v>
      </c>
      <c r="I102" s="64">
        <v>4.07</v>
      </c>
      <c r="J102" s="64">
        <v>7.0000000000000007E-2</v>
      </c>
      <c r="K102" s="64">
        <v>220.67</v>
      </c>
      <c r="L102" s="64">
        <v>25.79</v>
      </c>
      <c r="M102" s="64">
        <v>100.84</v>
      </c>
      <c r="N102" s="64">
        <v>26.3</v>
      </c>
      <c r="O102" s="64">
        <v>0</v>
      </c>
      <c r="P102" s="64">
        <v>0.68</v>
      </c>
      <c r="Q102" s="64">
        <v>9.43</v>
      </c>
      <c r="R102" s="198"/>
      <c r="S102" s="198"/>
      <c r="T102" s="198"/>
      <c r="U102" s="198"/>
    </row>
    <row r="103" spans="1:21" x14ac:dyDescent="0.25">
      <c r="A103" s="214" t="s">
        <v>3221</v>
      </c>
      <c r="B103" s="64">
        <v>12.38</v>
      </c>
      <c r="C103" s="64">
        <v>22.32</v>
      </c>
      <c r="D103" s="64">
        <v>23.72</v>
      </c>
      <c r="E103" s="64">
        <v>4.9400000000000004</v>
      </c>
      <c r="F103" s="64">
        <v>5.33</v>
      </c>
      <c r="G103" s="64">
        <v>60.57</v>
      </c>
      <c r="H103" s="64">
        <v>11.67</v>
      </c>
      <c r="I103" s="64">
        <v>4.03</v>
      </c>
      <c r="J103" s="64">
        <v>0.09</v>
      </c>
      <c r="K103" s="64">
        <v>166.21</v>
      </c>
      <c r="L103" s="64">
        <v>25.64</v>
      </c>
      <c r="M103" s="64">
        <v>100.82</v>
      </c>
      <c r="N103" s="64">
        <v>26.3</v>
      </c>
      <c r="O103" s="64">
        <v>0</v>
      </c>
      <c r="P103" s="64">
        <v>0.65</v>
      </c>
      <c r="Q103" s="64">
        <v>9.43</v>
      </c>
      <c r="R103" s="198"/>
      <c r="S103" s="198"/>
      <c r="T103" s="198"/>
      <c r="U103" s="198"/>
    </row>
    <row r="104" spans="1:21" x14ac:dyDescent="0.25">
      <c r="A104" s="214" t="s">
        <v>3222</v>
      </c>
      <c r="B104" s="64">
        <v>11.31</v>
      </c>
      <c r="C104" s="64">
        <v>20.149999999999999</v>
      </c>
      <c r="D104" s="64">
        <v>21.2</v>
      </c>
      <c r="E104" s="64">
        <v>5.19</v>
      </c>
      <c r="F104" s="64">
        <v>5.7</v>
      </c>
      <c r="G104" s="64">
        <v>60.57</v>
      </c>
      <c r="H104" s="64">
        <v>11.67</v>
      </c>
      <c r="I104" s="64">
        <v>4.05</v>
      </c>
      <c r="J104" s="64">
        <v>0.13</v>
      </c>
      <c r="K104" s="64">
        <v>178.22</v>
      </c>
      <c r="L104" s="64">
        <v>25.43</v>
      </c>
      <c r="M104" s="64">
        <v>100.83</v>
      </c>
      <c r="N104" s="64">
        <v>26.2</v>
      </c>
      <c r="O104" s="64">
        <v>0</v>
      </c>
      <c r="P104" s="64">
        <v>0.62</v>
      </c>
      <c r="Q104" s="64">
        <v>9.44</v>
      </c>
      <c r="R104" s="198"/>
      <c r="S104" s="198"/>
      <c r="T104" s="198"/>
      <c r="U104" s="198"/>
    </row>
    <row r="105" spans="1:21" x14ac:dyDescent="0.25">
      <c r="A105" s="14"/>
      <c r="B105" s="54"/>
      <c r="C105" s="54"/>
      <c r="D105" s="54"/>
      <c r="E105" s="54"/>
      <c r="F105" s="54"/>
      <c r="G105" s="14"/>
      <c r="H105" s="14"/>
      <c r="I105" s="14"/>
      <c r="J105" s="54"/>
      <c r="K105" s="54"/>
      <c r="L105" s="14"/>
      <c r="M105" s="14"/>
      <c r="N105" s="14"/>
      <c r="O105" s="14"/>
      <c r="P105" s="14"/>
      <c r="Q105" s="54"/>
      <c r="R105" s="139"/>
      <c r="S105" s="139"/>
      <c r="T105" s="139"/>
      <c r="U105" s="139"/>
    </row>
    <row r="106" spans="1:21" x14ac:dyDescent="0.25">
      <c r="A106" s="65" t="s">
        <v>59</v>
      </c>
      <c r="B106" s="67">
        <f>MIN(B9:B104)</f>
        <v>3.89</v>
      </c>
      <c r="C106" s="67">
        <f>MIN(C9:C104)</f>
        <v>12.36</v>
      </c>
      <c r="D106" s="67">
        <f t="shared" ref="D106:Q106" si="0">MIN(D9:D104)</f>
        <v>16.45</v>
      </c>
      <c r="E106" s="67">
        <f t="shared" si="0"/>
        <v>3.57</v>
      </c>
      <c r="F106" s="67">
        <f t="shared" si="0"/>
        <v>2.9</v>
      </c>
      <c r="G106" s="67">
        <f t="shared" si="0"/>
        <v>0</v>
      </c>
      <c r="H106" s="67">
        <f t="shared" si="0"/>
        <v>1.89</v>
      </c>
      <c r="I106" s="67">
        <f t="shared" si="0"/>
        <v>3.79</v>
      </c>
      <c r="J106" s="67">
        <f t="shared" si="0"/>
        <v>0.02</v>
      </c>
      <c r="K106" s="67">
        <f t="shared" si="0"/>
        <v>122.41</v>
      </c>
      <c r="L106" s="67">
        <f t="shared" si="0"/>
        <v>22.19</v>
      </c>
      <c r="M106" s="67">
        <f t="shared" si="0"/>
        <v>85.05</v>
      </c>
      <c r="N106" s="67">
        <f t="shared" si="0"/>
        <v>26.2</v>
      </c>
      <c r="O106" s="67">
        <f t="shared" si="0"/>
        <v>0</v>
      </c>
      <c r="P106" s="67">
        <f t="shared" si="0"/>
        <v>0.25</v>
      </c>
      <c r="Q106" s="67">
        <f t="shared" si="0"/>
        <v>9.09</v>
      </c>
      <c r="R106" s="199"/>
      <c r="S106" s="199"/>
      <c r="T106" s="199"/>
      <c r="U106" s="199"/>
    </row>
    <row r="107" spans="1:21" x14ac:dyDescent="0.25">
      <c r="A107" s="65" t="s">
        <v>60</v>
      </c>
      <c r="B107" s="66">
        <f>MAX(B9:B104)</f>
        <v>22.95</v>
      </c>
      <c r="C107" s="66">
        <f t="shared" ref="C107:Q107" si="1">MAX(C9:C104)</f>
        <v>39.159999999999997</v>
      </c>
      <c r="D107" s="66">
        <f t="shared" si="1"/>
        <v>40.5</v>
      </c>
      <c r="E107" s="66">
        <f t="shared" si="1"/>
        <v>5.19</v>
      </c>
      <c r="F107" s="66">
        <f t="shared" si="1"/>
        <v>15.18</v>
      </c>
      <c r="G107" s="66">
        <f t="shared" si="1"/>
        <v>93.99</v>
      </c>
      <c r="H107" s="66">
        <f t="shared" si="1"/>
        <v>17.98</v>
      </c>
      <c r="I107" s="66">
        <f t="shared" si="1"/>
        <v>4.3</v>
      </c>
      <c r="J107" s="66">
        <f t="shared" si="1"/>
        <v>0.85</v>
      </c>
      <c r="K107" s="66">
        <f t="shared" si="1"/>
        <v>328.02</v>
      </c>
      <c r="L107" s="66">
        <f t="shared" si="1"/>
        <v>28.15</v>
      </c>
      <c r="M107" s="66">
        <f t="shared" si="1"/>
        <v>101.08</v>
      </c>
      <c r="N107" s="66">
        <f t="shared" si="1"/>
        <v>520.6</v>
      </c>
      <c r="O107" s="66">
        <f t="shared" si="1"/>
        <v>13</v>
      </c>
      <c r="P107" s="66">
        <f t="shared" si="1"/>
        <v>1</v>
      </c>
      <c r="Q107" s="66">
        <f t="shared" si="1"/>
        <v>9.4600000000000009</v>
      </c>
      <c r="R107" s="200"/>
      <c r="S107" s="200"/>
      <c r="T107" s="200"/>
      <c r="U107" s="200"/>
    </row>
    <row r="108" spans="1:21" x14ac:dyDescent="0.25">
      <c r="A108" s="65" t="s">
        <v>61</v>
      </c>
      <c r="B108" s="67">
        <f>AVERAGE(B9:B104)</f>
        <v>7.539583333333332</v>
      </c>
      <c r="C108" s="67">
        <f t="shared" ref="C108:Q108" si="2">AVERAGE(C9:C104)</f>
        <v>17.681458333333332</v>
      </c>
      <c r="D108" s="67">
        <f t="shared" si="2"/>
        <v>22.270208333333326</v>
      </c>
      <c r="E108" s="67">
        <f t="shared" si="2"/>
        <v>4.4856250000000006</v>
      </c>
      <c r="F108" s="67">
        <f t="shared" si="2"/>
        <v>6.1355208333333335</v>
      </c>
      <c r="G108" s="67">
        <f t="shared" si="2"/>
        <v>25.768958333333345</v>
      </c>
      <c r="H108" s="67">
        <f t="shared" si="2"/>
        <v>13.9048</v>
      </c>
      <c r="I108" s="67">
        <f t="shared" si="2"/>
        <v>4.0281250000000028</v>
      </c>
      <c r="J108" s="67">
        <f t="shared" si="2"/>
        <v>0.24822916666666658</v>
      </c>
      <c r="K108" s="67">
        <f t="shared" si="2"/>
        <v>211.53166666666664</v>
      </c>
      <c r="L108" s="67">
        <f t="shared" si="2"/>
        <v>25.596354166666661</v>
      </c>
      <c r="M108" s="67">
        <f t="shared" si="2"/>
        <v>98.140729166666645</v>
      </c>
      <c r="N108" s="67">
        <f t="shared" si="2"/>
        <v>99.022916666666632</v>
      </c>
      <c r="O108" s="67">
        <f t="shared" si="2"/>
        <v>0.53958333333333341</v>
      </c>
      <c r="P108" s="67">
        <f t="shared" si="2"/>
        <v>0.46104166666666674</v>
      </c>
      <c r="Q108" s="67">
        <f t="shared" si="2"/>
        <v>9.2047916666666669</v>
      </c>
      <c r="R108" s="199"/>
      <c r="S108" s="199"/>
      <c r="T108" s="199"/>
      <c r="U108" s="199"/>
    </row>
    <row r="109" spans="1:21" x14ac:dyDescent="0.25">
      <c r="A109" s="65" t="s">
        <v>77</v>
      </c>
      <c r="B109" s="67">
        <f>STDEV(B9:B104)</f>
        <v>3.2874225759677556</v>
      </c>
      <c r="C109" s="67">
        <f t="shared" ref="C109:Q109" si="3">STDEV(C9:C104)</f>
        <v>5.0349076151387937</v>
      </c>
      <c r="D109" s="67">
        <f t="shared" si="3"/>
        <v>5.5290758681845649</v>
      </c>
      <c r="E109" s="67">
        <f t="shared" si="3"/>
        <v>0.28892108738692329</v>
      </c>
      <c r="F109" s="67">
        <f t="shared" si="3"/>
        <v>2.9175208905729897</v>
      </c>
      <c r="G109" s="67">
        <f t="shared" si="3"/>
        <v>25.692762793365372</v>
      </c>
      <c r="H109" s="67">
        <f t="shared" si="3"/>
        <v>3.915035248883461</v>
      </c>
      <c r="I109" s="67">
        <f t="shared" si="3"/>
        <v>9.3879121606905799E-2</v>
      </c>
      <c r="J109" s="67">
        <f t="shared" si="3"/>
        <v>0.18846747474057093</v>
      </c>
      <c r="K109" s="67">
        <f t="shared" si="3"/>
        <v>47.662070645804235</v>
      </c>
      <c r="L109" s="67">
        <f t="shared" si="3"/>
        <v>1.8208570103643449</v>
      </c>
      <c r="M109" s="67">
        <f t="shared" si="3"/>
        <v>4.0888495988073048</v>
      </c>
      <c r="N109" s="67">
        <f t="shared" si="3"/>
        <v>120.41249671041244</v>
      </c>
      <c r="O109" s="67">
        <f t="shared" si="3"/>
        <v>1.7055006467721878</v>
      </c>
      <c r="P109" s="67">
        <f t="shared" si="3"/>
        <v>0.15041331944567485</v>
      </c>
      <c r="Q109" s="67">
        <f t="shared" si="3"/>
        <v>8.285661891632802E-2</v>
      </c>
      <c r="R109" s="199"/>
      <c r="S109" s="199"/>
      <c r="T109" s="199"/>
      <c r="U109" s="199"/>
    </row>
    <row r="110" spans="1:21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COUNT(H9:H104)+71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</row>
    <row r="111" spans="1:21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A113" s="1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14"/>
      <c r="M113" s="54"/>
      <c r="N113" s="17"/>
      <c r="O113" s="17"/>
      <c r="P113" s="17"/>
      <c r="Q113" s="17"/>
      <c r="R113" s="17"/>
      <c r="S113" s="17"/>
      <c r="T113" s="17"/>
      <c r="U113" s="17"/>
    </row>
    <row r="114" spans="1:21" x14ac:dyDescent="0.25">
      <c r="A114" s="1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</row>
    <row r="115" spans="1:21" x14ac:dyDescent="0.25">
      <c r="A115" s="15" t="s">
        <v>64</v>
      </c>
      <c r="B115" s="217" t="s">
        <v>216</v>
      </c>
      <c r="C115" s="217"/>
      <c r="D115" s="217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</row>
    <row r="116" spans="1:21" x14ac:dyDescent="0.25">
      <c r="A116" s="14"/>
      <c r="B116" s="54"/>
      <c r="C116" s="54"/>
      <c r="D116" s="2"/>
      <c r="E116" s="2"/>
      <c r="F116" s="2"/>
      <c r="G116" s="2"/>
      <c r="H116" s="2"/>
      <c r="I116" s="2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  <row r="118" spans="1:21" x14ac:dyDescent="0.25">
      <c r="A118" s="1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</row>
    <row r="119" spans="1:21" x14ac:dyDescent="0.25">
      <c r="A119" s="1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</row>
    <row r="120" spans="1:21" x14ac:dyDescent="0.25">
      <c r="A120" s="1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="85" zoomScaleNormal="85" workbookViewId="0">
      <pane xSplit="1" ySplit="8" topLeftCell="B30" activePane="bottomRight" state="frozen"/>
      <selection activeCell="B2" sqref="B2"/>
      <selection pane="topRight" activeCell="B2" sqref="B2"/>
      <selection pane="bottomLeft" activeCell="B2" sqref="B2"/>
      <selection pane="bottomRight" activeCell="B50" sqref="B50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01/05/2025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224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01/05/2025 00:15</v>
      </c>
      <c r="B9" s="61">
        <f>'01'!B108</f>
        <v>6.0125974025974029</v>
      </c>
      <c r="C9" s="61">
        <f>'01'!C108</f>
        <v>25.00740259740261</v>
      </c>
      <c r="D9" s="61">
        <f>'01'!D108</f>
        <v>38.635844155844161</v>
      </c>
      <c r="E9" s="61">
        <f>'01'!E108</f>
        <v>3.0810256410256405</v>
      </c>
      <c r="F9" s="61">
        <f>'01'!F108</f>
        <v>12.424499999999998</v>
      </c>
      <c r="G9" s="99">
        <f>'01'!$G$108</f>
        <v>47.978874999999988</v>
      </c>
      <c r="H9" s="61">
        <f>'01'!H108</f>
        <v>7.5668750000000049</v>
      </c>
      <c r="I9" s="61">
        <f>'01'!I108</f>
        <v>4.008375</v>
      </c>
      <c r="J9" s="61">
        <f>'01'!J108</f>
        <v>1.8748749999999998</v>
      </c>
      <c r="K9" s="61">
        <f>'01'!K108</f>
        <v>171.92350000000005</v>
      </c>
      <c r="L9" s="61">
        <f>'01'!L108</f>
        <v>31.021499999999993</v>
      </c>
      <c r="M9" s="61">
        <f>'01'!M108</f>
        <v>60.757124999999995</v>
      </c>
      <c r="N9" s="61">
        <f>'01'!N108</f>
        <v>363.65624999999994</v>
      </c>
      <c r="O9" s="61">
        <f>'01'!O108</f>
        <v>0.02</v>
      </c>
      <c r="P9" s="202">
        <f>'01'!P108</f>
        <v>0.332625</v>
      </c>
      <c r="Q9" s="61">
        <f>'01'!Q108</f>
        <v>9.4266233766233789</v>
      </c>
      <c r="R9" s="118"/>
      <c r="S9" s="118"/>
      <c r="T9" s="118"/>
      <c r="U9" s="118"/>
    </row>
    <row r="10" spans="1:21" x14ac:dyDescent="0.25">
      <c r="A10" s="94" t="str">
        <f>'02'!$B$2</f>
        <v>02/05/2025 00:15</v>
      </c>
      <c r="B10" s="61">
        <f>'02'!B108</f>
        <v>8.5449999999999999</v>
      </c>
      <c r="C10" s="61">
        <f>'02'!C108</f>
        <v>33.668958333333336</v>
      </c>
      <c r="D10" s="61">
        <f>'02'!D108</f>
        <v>49.747187499999974</v>
      </c>
      <c r="E10" s="61">
        <f>'02'!E108</f>
        <v>6.2531666666666679</v>
      </c>
      <c r="F10" s="61">
        <f>'02'!F108</f>
        <v>12.824270833333332</v>
      </c>
      <c r="G10" s="61">
        <f>'02'!G108</f>
        <v>37.006956521739127</v>
      </c>
      <c r="H10" s="61">
        <f>'02'!H108</f>
        <v>13.477173913043474</v>
      </c>
      <c r="I10" s="61">
        <f>'02'!I108</f>
        <v>4.0117708333333342</v>
      </c>
      <c r="J10" s="61">
        <f>'02'!J108</f>
        <v>0.68479166666666691</v>
      </c>
      <c r="K10" s="61">
        <f>'02'!K108</f>
        <v>171.89229166666669</v>
      </c>
      <c r="L10" s="61">
        <f>'02'!L108</f>
        <v>31.576145833333328</v>
      </c>
      <c r="M10" s="61">
        <f>'02'!M108</f>
        <v>61.280624999999958</v>
      </c>
      <c r="N10" s="61">
        <f>'02'!N108</f>
        <v>284.765625</v>
      </c>
      <c r="O10" s="61">
        <f>'02'!O108</f>
        <v>0</v>
      </c>
      <c r="P10" s="202">
        <f>'02'!P108</f>
        <v>0.51595744680851052</v>
      </c>
      <c r="Q10" s="61">
        <f>'02'!Q108</f>
        <v>9.6077083333333366</v>
      </c>
      <c r="R10" s="118"/>
      <c r="S10" s="118"/>
      <c r="T10" s="118"/>
      <c r="U10" s="118"/>
    </row>
    <row r="11" spans="1:21" x14ac:dyDescent="0.25">
      <c r="A11" s="94" t="str">
        <f>'03'!$B$2</f>
        <v>03/05/2025 00:15</v>
      </c>
      <c r="B11" s="61">
        <f>'03'!B108</f>
        <v>12.320104166666662</v>
      </c>
      <c r="C11" s="61">
        <f>'03'!C108</f>
        <v>27.696041666666655</v>
      </c>
      <c r="D11" s="61">
        <f>'03'!D108</f>
        <v>31.048541666666662</v>
      </c>
      <c r="E11" s="61">
        <f>'03'!E108</f>
        <v>2.5525000000000007</v>
      </c>
      <c r="F11" s="61">
        <f>'03'!F108</f>
        <v>9.1635416666666636</v>
      </c>
      <c r="G11" s="61">
        <f>'03'!G108</f>
        <v>29.951249999999963</v>
      </c>
      <c r="H11" s="61">
        <f>'03'!H108</f>
        <v>11.170312499999996</v>
      </c>
      <c r="I11" s="61">
        <f>'03'!I108</f>
        <v>3.9991666666666656</v>
      </c>
      <c r="J11" s="61">
        <f>'03'!J108</f>
        <v>0.80729166666666685</v>
      </c>
      <c r="K11" s="61">
        <f>'03'!K108</f>
        <v>218.37802083333335</v>
      </c>
      <c r="L11" s="61">
        <f>'03'!L108</f>
        <v>30.420104166666651</v>
      </c>
      <c r="M11" s="61">
        <f>'03'!M108</f>
        <v>72.045729166666661</v>
      </c>
      <c r="N11" s="61">
        <f>'03'!N108</f>
        <v>282.10625000000016</v>
      </c>
      <c r="O11" s="61">
        <f>'03'!O108</f>
        <v>0.26249999999999996</v>
      </c>
      <c r="P11" s="202">
        <f>'03'!P108</f>
        <v>0.44572916666666657</v>
      </c>
      <c r="Q11" s="61">
        <f>'03'!Q108</f>
        <v>9.5077083333333281</v>
      </c>
      <c r="R11" s="118"/>
      <c r="S11" s="118"/>
      <c r="T11" s="118"/>
      <c r="U11" s="118"/>
    </row>
    <row r="12" spans="1:21" x14ac:dyDescent="0.25">
      <c r="A12" s="94" t="str">
        <f>'04'!$B$2</f>
        <v>04/05/2025 00:15</v>
      </c>
      <c r="B12" s="61">
        <f>'04'!B108</f>
        <v>15.749062499999999</v>
      </c>
      <c r="C12" s="61">
        <f>'04'!C108</f>
        <v>33.787395833333328</v>
      </c>
      <c r="D12" s="61">
        <f>'04'!D108</f>
        <v>37.445625</v>
      </c>
      <c r="E12" s="61">
        <f>'04'!E108</f>
        <v>2.9416666666666678</v>
      </c>
      <c r="F12" s="61">
        <f>'04'!F108</f>
        <v>9.7248958333333331</v>
      </c>
      <c r="G12" s="61">
        <f>'04'!G108</f>
        <v>35.413958333333319</v>
      </c>
      <c r="H12" s="61">
        <f>'04'!H108</f>
        <v>11.008958333333338</v>
      </c>
      <c r="I12" s="61">
        <f>'04'!I108</f>
        <v>4.0173958333333344</v>
      </c>
      <c r="J12" s="61">
        <f>'04'!J108</f>
        <v>0.68083333333333329</v>
      </c>
      <c r="K12" s="61">
        <f>'04'!K108</f>
        <v>182.17770833333338</v>
      </c>
      <c r="L12" s="61">
        <f>'04'!L108</f>
        <v>31.33260416666668</v>
      </c>
      <c r="M12" s="61">
        <f>'04'!M108</f>
        <v>64.507708333333355</v>
      </c>
      <c r="N12" s="61">
        <f>'04'!N108</f>
        <v>360.2989583333333</v>
      </c>
      <c r="O12" s="61">
        <f>'04'!O108</f>
        <v>0</v>
      </c>
      <c r="P12" s="202">
        <f>'04'!P108</f>
        <v>0.54781250000000015</v>
      </c>
      <c r="Q12" s="61">
        <f>'04'!Q108</f>
        <v>9.6085416666666692</v>
      </c>
      <c r="R12" s="118"/>
      <c r="S12" s="118"/>
      <c r="T12" s="118"/>
      <c r="U12" s="118"/>
    </row>
    <row r="13" spans="1:21" x14ac:dyDescent="0.25">
      <c r="A13" s="94" t="str">
        <f>'05'!$B$2</f>
        <v>05/05/2025 00:15</v>
      </c>
      <c r="B13" s="61">
        <f>'05'!B108</f>
        <v>31.508645833333333</v>
      </c>
      <c r="C13" s="61">
        <f>'05'!C108</f>
        <v>51.93041666666668</v>
      </c>
      <c r="D13" s="61">
        <f>'05'!D108</f>
        <v>47.981874999999995</v>
      </c>
      <c r="E13" s="61">
        <f>'05'!E108</f>
        <v>4.5554166666666669</v>
      </c>
      <c r="F13" s="61">
        <f>'05'!F108</f>
        <v>10.957187500000002</v>
      </c>
      <c r="G13" s="61">
        <f>'05'!G108</f>
        <v>42.334479166666689</v>
      </c>
      <c r="H13" s="61">
        <f>'05'!H108</f>
        <v>13.64708333333334</v>
      </c>
      <c r="I13" s="61">
        <f>'05'!I108</f>
        <v>4.000520833333332</v>
      </c>
      <c r="J13" s="61">
        <f>'05'!J108</f>
        <v>0.63864583333333325</v>
      </c>
      <c r="K13" s="61">
        <f>'05'!K108</f>
        <v>216.34385416666666</v>
      </c>
      <c r="L13" s="61">
        <f>'05'!L108</f>
        <v>33.191562499999996</v>
      </c>
      <c r="M13" s="61">
        <f>'05'!M108</f>
        <v>44.451458333333328</v>
      </c>
      <c r="N13" s="61">
        <f>'05'!N108</f>
        <v>328.5729166666668</v>
      </c>
      <c r="O13" s="61">
        <f>'05'!O108</f>
        <v>8.3333333333333332E-3</v>
      </c>
      <c r="P13" s="202">
        <f>'05'!P108</f>
        <v>0.77250000000000008</v>
      </c>
      <c r="Q13" s="61">
        <f>'05'!Q108</f>
        <v>9.5702083333333352</v>
      </c>
      <c r="R13" s="118"/>
      <c r="S13" s="118"/>
      <c r="T13" s="118"/>
      <c r="U13" s="118"/>
    </row>
    <row r="14" spans="1:21" x14ac:dyDescent="0.25">
      <c r="A14" s="94" t="str">
        <f>'06'!$B$2</f>
        <v>06/05/2025 00:15</v>
      </c>
      <c r="B14" s="61">
        <f>'06'!B108</f>
        <v>24.324895833333333</v>
      </c>
      <c r="C14" s="61">
        <f>'06'!C108</f>
        <v>45.643229166666664</v>
      </c>
      <c r="D14" s="61">
        <f>'06'!D108</f>
        <v>46.974270833333343</v>
      </c>
      <c r="E14" s="61">
        <f>'06'!E108</f>
        <v>6.611041666666666</v>
      </c>
      <c r="F14" s="61">
        <f>'06'!F108</f>
        <v>10.635833333333336</v>
      </c>
      <c r="G14" s="61">
        <f>'06'!G108</f>
        <v>42.686145833333306</v>
      </c>
      <c r="H14" s="61">
        <f>'06'!H108</f>
        <v>13.393333333333336</v>
      </c>
      <c r="I14" s="61">
        <f>'06'!I108</f>
        <v>3.992500000000001</v>
      </c>
      <c r="J14" s="61">
        <f>'06'!J108</f>
        <v>0.54322916666666643</v>
      </c>
      <c r="K14" s="61">
        <f>'06'!K108</f>
        <v>222.14020833333339</v>
      </c>
      <c r="L14" s="61">
        <f>'06'!L108</f>
        <v>33.653020833333336</v>
      </c>
      <c r="M14" s="61">
        <f>'06'!M108</f>
        <v>45.506145833333306</v>
      </c>
      <c r="N14" s="61">
        <f>'06'!N108</f>
        <v>303.57083333333333</v>
      </c>
      <c r="O14" s="61">
        <f>'06'!O108</f>
        <v>0</v>
      </c>
      <c r="P14" s="202">
        <f>'06'!P108</f>
        <v>0.64604166666666674</v>
      </c>
      <c r="Q14" s="61">
        <f>'06'!Q108</f>
        <v>9.5992708333333283</v>
      </c>
      <c r="R14" s="118"/>
      <c r="S14" s="118"/>
      <c r="T14" s="118"/>
      <c r="U14" s="118"/>
    </row>
    <row r="15" spans="1:21" x14ac:dyDescent="0.25">
      <c r="A15" s="94" t="str">
        <f>'07'!$B$2</f>
        <v>07/05/2025 00:15</v>
      </c>
      <c r="B15" s="61">
        <f>'07'!B108</f>
        <v>15.12781249999999</v>
      </c>
      <c r="C15" s="61">
        <f>'07'!C108</f>
        <v>35.80802083333333</v>
      </c>
      <c r="D15" s="61">
        <f>'07'!D108</f>
        <v>42.265416666666688</v>
      </c>
      <c r="E15" s="61">
        <f>'07'!E108</f>
        <v>5.8462500000000004</v>
      </c>
      <c r="F15" s="61">
        <f>'07'!F108</f>
        <v>12.238125000000005</v>
      </c>
      <c r="G15" s="100">
        <f>'07'!$G$108</f>
        <v>34.990624999999994</v>
      </c>
      <c r="H15" s="61">
        <f>'07'!H108</f>
        <v>9.2720833333333328</v>
      </c>
      <c r="I15" s="61">
        <f>'07'!I108</f>
        <v>3.9988541666666677</v>
      </c>
      <c r="J15" s="61">
        <f>'07'!J108</f>
        <v>0.61583333333333312</v>
      </c>
      <c r="K15" s="61">
        <f>'07'!K108</f>
        <v>206.13031249999995</v>
      </c>
      <c r="L15" s="61">
        <f>'07'!L108</f>
        <v>34.640624999999993</v>
      </c>
      <c r="M15" s="61">
        <f>'07'!M108</f>
        <v>42.678333333333335</v>
      </c>
      <c r="N15" s="61">
        <f>'07'!N108</f>
        <v>320.79270833333334</v>
      </c>
      <c r="O15" s="61">
        <f>'07'!O108</f>
        <v>0</v>
      </c>
      <c r="P15" s="202">
        <f>'07'!P108</f>
        <v>0.46333333333333315</v>
      </c>
      <c r="Q15" s="61">
        <f>'07'!Q108</f>
        <v>9.5556250000000009</v>
      </c>
      <c r="R15" s="118"/>
      <c r="S15" s="118"/>
      <c r="T15" s="118"/>
      <c r="U15" s="118"/>
    </row>
    <row r="16" spans="1:21" x14ac:dyDescent="0.25">
      <c r="A16" s="94" t="str">
        <f>'08'!$B$2</f>
        <v>08/05/2025 00:15</v>
      </c>
      <c r="B16" s="61">
        <f>'08'!B108</f>
        <v>7.4141489361702098</v>
      </c>
      <c r="C16" s="61">
        <f>'08'!C108</f>
        <v>24.477659574468081</v>
      </c>
      <c r="D16" s="61">
        <f>'08'!D108</f>
        <v>33.789255319148943</v>
      </c>
      <c r="E16" s="61">
        <f>'08'!E108</f>
        <v>5.790760869565216</v>
      </c>
      <c r="F16" s="61">
        <f>'08'!F108</f>
        <v>13.801875000000001</v>
      </c>
      <c r="G16" s="100">
        <f>'08'!$G$108</f>
        <v>34.835760869565235</v>
      </c>
      <c r="H16" s="61">
        <f>'08'!H108</f>
        <v>10.445652173913047</v>
      </c>
      <c r="I16" s="61">
        <f>'08'!I108</f>
        <v>4.0098958333333332</v>
      </c>
      <c r="J16" s="61">
        <f>'08'!J108</f>
        <v>0.85562499999999997</v>
      </c>
      <c r="K16" s="61">
        <f>'08'!K108</f>
        <v>195.47364583333342</v>
      </c>
      <c r="L16" s="61">
        <f>'08'!L108</f>
        <v>33.578020833333333</v>
      </c>
      <c r="M16" s="61">
        <f>'08'!M108</f>
        <v>47.159270833333323</v>
      </c>
      <c r="N16" s="61">
        <f>'08'!N108</f>
        <v>269.7864583333332</v>
      </c>
      <c r="O16" s="61">
        <f>'08'!O108</f>
        <v>0</v>
      </c>
      <c r="P16" s="202">
        <f>'08'!P108</f>
        <v>0.33395833333333319</v>
      </c>
      <c r="Q16" s="61">
        <f>'08'!Q108</f>
        <v>9.5238541666666645</v>
      </c>
      <c r="R16" s="118"/>
      <c r="S16" s="118"/>
      <c r="T16" s="118"/>
      <c r="U16" s="118"/>
    </row>
    <row r="17" spans="1:21" x14ac:dyDescent="0.25">
      <c r="A17" s="94" t="str">
        <f>'09'!$B$2</f>
        <v>09/05/2025 00:15</v>
      </c>
      <c r="B17" s="61">
        <f>'09'!B108</f>
        <v>13.718020833333329</v>
      </c>
      <c r="C17" s="61">
        <f>'09'!C108</f>
        <v>36.94187500000001</v>
      </c>
      <c r="D17" s="61">
        <f>'09'!D108</f>
        <v>49.703854166666666</v>
      </c>
      <c r="E17" s="61">
        <f>'09'!E108</f>
        <v>5.2567708333333334</v>
      </c>
      <c r="F17" s="61">
        <f>'09'!F108</f>
        <v>5.9523958333333367</v>
      </c>
      <c r="G17" s="100">
        <f>'09'!$G$108</f>
        <v>33.83406249999998</v>
      </c>
      <c r="H17" s="61">
        <f>'09'!H108</f>
        <v>10.928020833333335</v>
      </c>
      <c r="I17" s="61">
        <f>'09'!I108</f>
        <v>4.0026041666666661</v>
      </c>
      <c r="J17" s="61">
        <f>'09'!J108</f>
        <v>0.50718749999999979</v>
      </c>
      <c r="K17" s="61">
        <f>'09'!K108</f>
        <v>199.3742708333333</v>
      </c>
      <c r="L17" s="61">
        <f>'09'!L108</f>
        <v>34.053958333333327</v>
      </c>
      <c r="M17" s="61">
        <f>'09'!M108</f>
        <v>48.477708333333347</v>
      </c>
      <c r="N17" s="61">
        <f>'09'!N108</f>
        <v>257.57395833333339</v>
      </c>
      <c r="O17" s="61">
        <f>'09'!O108</f>
        <v>0</v>
      </c>
      <c r="P17" s="202">
        <f>'09'!P108</f>
        <v>0.51979166666666665</v>
      </c>
      <c r="Q17" s="61">
        <f>'09'!Q108</f>
        <v>9.5561458333333356</v>
      </c>
      <c r="R17" s="118"/>
      <c r="S17" s="118"/>
      <c r="T17" s="118"/>
      <c r="U17" s="118"/>
    </row>
    <row r="18" spans="1:21" x14ac:dyDescent="0.25">
      <c r="A18" s="94" t="str">
        <f>'10'!$B$2</f>
        <v>10/05/2025 00:15</v>
      </c>
      <c r="B18" s="61">
        <f>'10'!B108</f>
        <v>17.546562499999997</v>
      </c>
      <c r="C18" s="61">
        <f>'10'!C108</f>
        <v>42.053229166666661</v>
      </c>
      <c r="D18" s="61">
        <f>'10'!D108</f>
        <v>53.557916666666671</v>
      </c>
      <c r="E18" s="61">
        <f>'10'!E108</f>
        <v>6.2186458333333325</v>
      </c>
      <c r="F18" s="61">
        <f>'10'!F108</f>
        <v>7.0895833333333345</v>
      </c>
      <c r="G18" s="101">
        <f>'10'!$G$108</f>
        <v>43.482395833333356</v>
      </c>
      <c r="H18" s="61">
        <f>'10'!H108</f>
        <v>12.961458333333331</v>
      </c>
      <c r="I18" s="61">
        <f>'10'!I108</f>
        <v>4.0213541666666659</v>
      </c>
      <c r="J18" s="61">
        <f>'10'!J108</f>
        <v>0.55125000000000013</v>
      </c>
      <c r="K18" s="61">
        <f>'10'!K108</f>
        <v>214.12989583333331</v>
      </c>
      <c r="L18" s="61">
        <f>'10'!L108</f>
        <v>36.311354166666675</v>
      </c>
      <c r="M18" s="61">
        <f>'10'!M108</f>
        <v>43.328124999999979</v>
      </c>
      <c r="N18" s="61">
        <f>'10'!N108</f>
        <v>269.32604166666675</v>
      </c>
      <c r="O18" s="61">
        <f>'10'!O108</f>
        <v>0</v>
      </c>
      <c r="P18" s="202">
        <f>'10'!P108</f>
        <v>0.58729166666666655</v>
      </c>
      <c r="Q18" s="61">
        <f>'10'!Q108</f>
        <v>9.5988541666666602</v>
      </c>
      <c r="R18" s="118"/>
      <c r="S18" s="118"/>
      <c r="T18" s="118"/>
      <c r="U18" s="118"/>
    </row>
    <row r="19" spans="1:21" x14ac:dyDescent="0.25">
      <c r="A19" s="94" t="str">
        <f>'11'!$B$2</f>
        <v>11/05/2025 00:15</v>
      </c>
      <c r="B19" s="61">
        <f>'11'!B108</f>
        <v>8.6265625000000004</v>
      </c>
      <c r="C19" s="61">
        <f>'11'!C108</f>
        <v>31.489270833333336</v>
      </c>
      <c r="D19" s="61">
        <f>'11'!D108</f>
        <v>47.026354166666664</v>
      </c>
      <c r="E19" s="61">
        <f>'11'!E108</f>
        <v>10.487812500000002</v>
      </c>
      <c r="F19" s="61">
        <f>'11'!F108</f>
        <v>11.772916666666667</v>
      </c>
      <c r="G19" s="99">
        <f>'11'!$G$108</f>
        <v>48.314999999999976</v>
      </c>
      <c r="H19" s="61">
        <f>'11'!H108</f>
        <v>17.133541666666662</v>
      </c>
      <c r="I19" s="61">
        <f>'11'!I108</f>
        <v>4.010416666666667</v>
      </c>
      <c r="J19" s="61">
        <f>'11'!J108</f>
        <v>0.60520833333333346</v>
      </c>
      <c r="K19" s="61">
        <f>'11'!K108</f>
        <v>215.27291666666679</v>
      </c>
      <c r="L19" s="61">
        <f>'11'!L108</f>
        <v>35.80833333333333</v>
      </c>
      <c r="M19" s="61">
        <f>'11'!M108</f>
        <v>44.473020833333329</v>
      </c>
      <c r="N19" s="61">
        <f>'11'!N108</f>
        <v>240.03020833333323</v>
      </c>
      <c r="O19" s="61">
        <f>'11'!O108</f>
        <v>0</v>
      </c>
      <c r="P19" s="202">
        <f>'11'!P108</f>
        <v>0.51791666666666669</v>
      </c>
      <c r="Q19" s="61">
        <f>'11'!Q108</f>
        <v>9.561874999999997</v>
      </c>
      <c r="R19" s="118"/>
      <c r="S19" s="118"/>
      <c r="T19" s="118"/>
      <c r="U19" s="118"/>
    </row>
    <row r="20" spans="1:21" x14ac:dyDescent="0.25">
      <c r="A20" s="94" t="str">
        <f>'12'!$B$2</f>
        <v>12/05/2025 00:15</v>
      </c>
      <c r="B20" s="61">
        <f>'12'!B108</f>
        <v>9.6421875000000039</v>
      </c>
      <c r="C20" s="61">
        <f>'12'!C108</f>
        <v>30.875312500000003</v>
      </c>
      <c r="D20" s="61">
        <f>'12'!D108</f>
        <v>44.294583333333328</v>
      </c>
      <c r="E20" s="61">
        <f>'12'!E108</f>
        <v>5.6135416666666664</v>
      </c>
      <c r="F20" s="61">
        <f>'12'!F108</f>
        <v>10.880937500000002</v>
      </c>
      <c r="G20" s="101">
        <f>'12'!$G$108</f>
        <v>33.526874999999997</v>
      </c>
      <c r="H20" s="61">
        <f>'12'!H108</f>
        <v>12.206249999999999</v>
      </c>
      <c r="I20" s="61">
        <f>'12'!I108</f>
        <v>4.0118749999999999</v>
      </c>
      <c r="J20" s="61">
        <f>'12'!J108</f>
        <v>0.82302083333333309</v>
      </c>
      <c r="K20" s="61">
        <f>'12'!K108</f>
        <v>235.26718749999998</v>
      </c>
      <c r="L20" s="61">
        <f>'12'!L108</f>
        <v>35.749791666666688</v>
      </c>
      <c r="M20" s="61">
        <f>'12'!M108</f>
        <v>40.595208333333339</v>
      </c>
      <c r="N20" s="61">
        <f>'12'!N108</f>
        <v>252.3854166666666</v>
      </c>
      <c r="O20" s="61">
        <f>'12'!O108</f>
        <v>0</v>
      </c>
      <c r="P20" s="202">
        <f>'12'!P108</f>
        <v>0.59031249999999991</v>
      </c>
      <c r="Q20" s="61">
        <f>'12'!Q108</f>
        <v>9.5489583333333368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13/05/2025 00:15</v>
      </c>
      <c r="B21" s="91">
        <f>'13'!B108</f>
        <v>9.274479166666671</v>
      </c>
      <c r="C21" s="91">
        <f>'13'!C108</f>
        <v>34.197499999999998</v>
      </c>
      <c r="D21" s="91">
        <f>'13'!D108</f>
        <v>51.218958333333319</v>
      </c>
      <c r="E21" s="91">
        <f>'13'!E108</f>
        <v>11.64322916666667</v>
      </c>
      <c r="F21" s="91">
        <f>'13'!F108</f>
        <v>12.620208333333331</v>
      </c>
      <c r="G21" s="100">
        <f>'13'!$G$108</f>
        <v>53.249462365591356</v>
      </c>
      <c r="H21" s="91">
        <f>'13'!H108</f>
        <v>19.820215053763437</v>
      </c>
      <c r="I21" s="91">
        <f>'13'!I108</f>
        <v>4.0070833333333313</v>
      </c>
      <c r="J21" s="91">
        <f>'13'!J108</f>
        <v>0.66520833333333351</v>
      </c>
      <c r="K21" s="91">
        <f>'13'!K108</f>
        <v>229.60812499999994</v>
      </c>
      <c r="L21" s="91">
        <f>'13'!L108</f>
        <v>35.270520833333336</v>
      </c>
      <c r="M21" s="91">
        <f>'13'!M108</f>
        <v>40.224375000000016</v>
      </c>
      <c r="N21" s="91">
        <f>'13'!N108</f>
        <v>218.06875000000011</v>
      </c>
      <c r="O21" s="91">
        <f>'13'!O108</f>
        <v>0</v>
      </c>
      <c r="P21" s="203">
        <f>'13'!P108</f>
        <v>0.70843749999999994</v>
      </c>
      <c r="Q21" s="91">
        <f>'13'!Q108</f>
        <v>9.5838541666666668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14/05/2025 00:15</v>
      </c>
      <c r="B22" s="90">
        <f>'14'!B108</f>
        <v>18.641979166666669</v>
      </c>
      <c r="C22" s="90">
        <f>'14'!C108</f>
        <v>45.037500000000016</v>
      </c>
      <c r="D22" s="90">
        <f>'14'!D108</f>
        <v>57.586666666666666</v>
      </c>
      <c r="E22" s="90">
        <f>'14'!E108</f>
        <v>8.2134375000000031</v>
      </c>
      <c r="F22" s="90">
        <f>'14'!F108</f>
        <v>12.497500000000008</v>
      </c>
      <c r="G22" s="100">
        <f>'14'!$G$108</f>
        <v>49.204166666666644</v>
      </c>
      <c r="H22" s="100">
        <f>'14'!$G$108</f>
        <v>49.204166666666644</v>
      </c>
      <c r="I22" s="90">
        <f>'14'!I108</f>
        <v>3.9943749999999998</v>
      </c>
      <c r="J22" s="90">
        <f>'14'!J108</f>
        <v>0.50458333333333349</v>
      </c>
      <c r="K22" s="90">
        <f>'14'!K108</f>
        <v>219.51739583333327</v>
      </c>
      <c r="L22" s="90">
        <f>'14'!L108</f>
        <v>34.934895833333336</v>
      </c>
      <c r="M22" s="90">
        <f>'14'!M108</f>
        <v>41.488749999999975</v>
      </c>
      <c r="N22" s="90">
        <f>'14'!N108</f>
        <v>205.34895833333326</v>
      </c>
      <c r="O22" s="90">
        <f>'14'!O108</f>
        <v>0</v>
      </c>
      <c r="P22" s="204">
        <f>'14'!P108</f>
        <v>0.98020833333333324</v>
      </c>
      <c r="Q22" s="90">
        <f>'14'!Q108</f>
        <v>9.5502083333333356</v>
      </c>
      <c r="R22" s="206"/>
      <c r="S22" s="206"/>
      <c r="T22" s="206"/>
      <c r="U22" s="206"/>
    </row>
    <row r="23" spans="1:21" x14ac:dyDescent="0.25">
      <c r="A23" s="94" t="str">
        <f>'15'!$B$2</f>
        <v>15/05/2025 00:15</v>
      </c>
      <c r="B23" s="61">
        <f>'15'!B108</f>
        <v>5.4242708333333312</v>
      </c>
      <c r="C23" s="61">
        <f>'15'!C108</f>
        <v>22.936458333333324</v>
      </c>
      <c r="D23" s="61">
        <f>'15'!D108</f>
        <v>35.575520833333343</v>
      </c>
      <c r="E23" s="61">
        <f>'15'!E108</f>
        <v>7.4152083333333314</v>
      </c>
      <c r="F23" s="61">
        <f>'15'!F108</f>
        <v>13.42041666666668</v>
      </c>
      <c r="G23" s="100">
        <f>'15'!$G$108</f>
        <v>43.421978021978028</v>
      </c>
      <c r="H23" s="61">
        <f>'15'!H108</f>
        <v>15.992417582417575</v>
      </c>
      <c r="I23" s="61">
        <f>'15'!I108</f>
        <v>4.005625000000002</v>
      </c>
      <c r="J23" s="61">
        <f>'15'!J108</f>
        <v>0.81312499999999999</v>
      </c>
      <c r="K23" s="61">
        <f>'15'!K108</f>
        <v>206.74906250000001</v>
      </c>
      <c r="L23" s="61">
        <f>'15'!L108</f>
        <v>33.763541666666669</v>
      </c>
      <c r="M23" s="61">
        <f>'15'!M108</f>
        <v>49.99083333333332</v>
      </c>
      <c r="N23" s="61">
        <f>'15'!N108</f>
        <v>211.10729166666661</v>
      </c>
      <c r="O23" s="61">
        <f>'15'!O108</f>
        <v>0</v>
      </c>
      <c r="P23" s="202">
        <f>'15'!P108</f>
        <v>0.48416666666666669</v>
      </c>
      <c r="Q23" s="61">
        <f>'15'!Q108</f>
        <v>9.4870833333333291</v>
      </c>
      <c r="R23" s="118"/>
      <c r="S23" s="118"/>
      <c r="T23" s="118"/>
      <c r="U23" s="118"/>
    </row>
    <row r="24" spans="1:21" x14ac:dyDescent="0.25">
      <c r="A24" s="94" t="str">
        <f>'16'!$B$2</f>
        <v>16/05/2025 00:15</v>
      </c>
      <c r="B24" s="61">
        <f>'16'!B108</f>
        <v>5.8485416666666659</v>
      </c>
      <c r="C24" s="61">
        <f>'16'!C108</f>
        <v>20.425416666666667</v>
      </c>
      <c r="D24" s="61">
        <f>'16'!D108</f>
        <v>30.118229166666683</v>
      </c>
      <c r="E24" s="61">
        <f>'16'!E108</f>
        <v>6.7543750000000005</v>
      </c>
      <c r="F24" s="61">
        <f>'16'!F108</f>
        <v>12.373750000000001</v>
      </c>
      <c r="G24" s="100">
        <f>'16'!$G$108</f>
        <v>40.015416666666688</v>
      </c>
      <c r="H24" s="61">
        <f>'16'!H108</f>
        <v>17.379062499999996</v>
      </c>
      <c r="I24" s="61">
        <f>'16'!I108</f>
        <v>3.9941666666666671</v>
      </c>
      <c r="J24" s="61">
        <f>'16'!J108</f>
        <v>0.81343749999999992</v>
      </c>
      <c r="K24" s="61">
        <f>'16'!K108</f>
        <v>197.5397916666667</v>
      </c>
      <c r="L24" s="61">
        <f>'16'!L108</f>
        <v>32.76302083333335</v>
      </c>
      <c r="M24" s="61">
        <f>'16'!M108</f>
        <v>59.378645833333337</v>
      </c>
      <c r="N24" s="61">
        <f>'16'!N108</f>
        <v>199.54062499999989</v>
      </c>
      <c r="O24" s="61">
        <f>'16'!O108</f>
        <v>0</v>
      </c>
      <c r="P24" s="202">
        <f>'16'!P108</f>
        <v>0.51218749999999991</v>
      </c>
      <c r="Q24" s="61">
        <f>'16'!Q108</f>
        <v>9.3390624999999936</v>
      </c>
      <c r="R24" s="118"/>
      <c r="S24" s="118"/>
      <c r="T24" s="118"/>
      <c r="U24" s="118"/>
    </row>
    <row r="25" spans="1:21" x14ac:dyDescent="0.25">
      <c r="A25" s="94" t="str">
        <f>'17'!$B$2</f>
        <v>17/05/2025 00:15</v>
      </c>
      <c r="B25" s="61">
        <f>'17'!B108</f>
        <v>6.0336458333333347</v>
      </c>
      <c r="C25" s="61">
        <f>'17'!C108</f>
        <v>23.614062499999992</v>
      </c>
      <c r="D25" s="61">
        <f>'17'!D108</f>
        <v>35.935520833333335</v>
      </c>
      <c r="E25" s="61">
        <f>'17'!E108</f>
        <v>5.2715625000000008</v>
      </c>
      <c r="F25" s="61">
        <f>'17'!F108</f>
        <v>13.076145833333333</v>
      </c>
      <c r="G25" s="101">
        <f>'17'!$G$108</f>
        <v>28.84802083333334</v>
      </c>
      <c r="H25" s="61">
        <f>'17'!H108</f>
        <v>13.891354166666668</v>
      </c>
      <c r="I25" s="61">
        <f>'17'!I108</f>
        <v>4.0004166666666681</v>
      </c>
      <c r="J25" s="61">
        <f>'17'!J108</f>
        <v>0.68395833333333311</v>
      </c>
      <c r="K25" s="61">
        <f>'17'!K108</f>
        <v>201.19364583333331</v>
      </c>
      <c r="L25" s="61">
        <f>'17'!L108</f>
        <v>31.620520833333327</v>
      </c>
      <c r="M25" s="61">
        <f>'17'!M108</f>
        <v>65.554270833333348</v>
      </c>
      <c r="N25" s="61">
        <f>'17'!N108</f>
        <v>166.71250000000001</v>
      </c>
      <c r="O25" s="61">
        <f>'17'!O108</f>
        <v>0</v>
      </c>
      <c r="P25" s="202">
        <f>'17'!P108</f>
        <v>0.52333333333333332</v>
      </c>
      <c r="Q25" s="61">
        <f>'17'!Q108</f>
        <v>9.2976041666666607</v>
      </c>
      <c r="R25" s="118"/>
      <c r="S25" s="118"/>
      <c r="T25" s="118"/>
      <c r="U25" s="118"/>
    </row>
    <row r="26" spans="1:21" x14ac:dyDescent="0.25">
      <c r="A26" s="94" t="str">
        <f>'18'!$B$2</f>
        <v>18/05/2025 00:15</v>
      </c>
      <c r="B26" s="61">
        <f>'18'!B108</f>
        <v>8.3181249999999984</v>
      </c>
      <c r="C26" s="61">
        <f>'18'!C108</f>
        <v>28.706979166666681</v>
      </c>
      <c r="D26" s="61">
        <f>'18'!D108</f>
        <v>42.177395833333321</v>
      </c>
      <c r="E26" s="61">
        <f>'18'!E108</f>
        <v>5.5078125000000027</v>
      </c>
      <c r="F26" s="61">
        <f>'18'!F108</f>
        <v>14.80208333333333</v>
      </c>
      <c r="G26" s="99">
        <f>'18'!$G$108</f>
        <v>44.407395833333304</v>
      </c>
      <c r="H26" s="61">
        <f>'18'!H108</f>
        <v>17.052187499999985</v>
      </c>
      <c r="I26" s="61">
        <f>'18'!I108</f>
        <v>3.988645833333333</v>
      </c>
      <c r="J26" s="61">
        <f>'18'!J108</f>
        <v>0.63197916666666698</v>
      </c>
      <c r="K26" s="61">
        <f>'18'!K108</f>
        <v>204.28947916666664</v>
      </c>
      <c r="L26" s="61">
        <f>'18'!L108</f>
        <v>31.009687500000009</v>
      </c>
      <c r="M26" s="61">
        <f>'18'!M108</f>
        <v>70.937812499999993</v>
      </c>
      <c r="N26" s="61">
        <f>'18'!N108</f>
        <v>134.81145833333332</v>
      </c>
      <c r="O26" s="61">
        <f>'18'!O108</f>
        <v>2.7083333333333334E-2</v>
      </c>
      <c r="P26" s="202">
        <f>'18'!P108</f>
        <v>0.64760416666666665</v>
      </c>
      <c r="Q26" s="61">
        <f>'18'!Q108</f>
        <v>9.3785416666666688</v>
      </c>
      <c r="R26" s="118"/>
      <c r="S26" s="118"/>
      <c r="T26" s="118"/>
      <c r="U26" s="118"/>
    </row>
    <row r="27" spans="1:21" x14ac:dyDescent="0.25">
      <c r="A27" s="94" t="str">
        <f>'19'!$B$2</f>
        <v>19/05/2025 00:15</v>
      </c>
      <c r="B27" s="61">
        <f>'19'!B108</f>
        <v>7.4498958333333301</v>
      </c>
      <c r="C27" s="61">
        <f>'19'!C108</f>
        <v>25.166041666666668</v>
      </c>
      <c r="D27" s="61">
        <f>'19'!D108</f>
        <v>36.733020833333356</v>
      </c>
      <c r="E27" s="61">
        <f>'19'!E108</f>
        <v>5.7854166666666673</v>
      </c>
      <c r="F27" s="61">
        <f>'19'!F108</f>
        <v>15.628645833333342</v>
      </c>
      <c r="G27" s="61">
        <f>'19'!G108</f>
        <v>38.121739130434797</v>
      </c>
      <c r="H27" s="61">
        <f>'19'!H108</f>
        <v>13.949565217391307</v>
      </c>
      <c r="I27" s="61">
        <f>'19'!I108</f>
        <v>4.0073958333333319</v>
      </c>
      <c r="J27" s="61">
        <f>'19'!J108</f>
        <v>0.76468749999999985</v>
      </c>
      <c r="K27" s="61">
        <f>'19'!K108</f>
        <v>151.92499999999995</v>
      </c>
      <c r="L27" s="61">
        <f>'19'!L108</f>
        <v>32.939583333333324</v>
      </c>
      <c r="M27" s="61">
        <f>'19'!M108</f>
        <v>54.620416666666664</v>
      </c>
      <c r="N27" s="61">
        <f>'19'!N108</f>
        <v>249.92083333333335</v>
      </c>
      <c r="O27" s="61">
        <f>'19'!O108</f>
        <v>0</v>
      </c>
      <c r="P27" s="202">
        <f>'19'!P108</f>
        <v>0.45614583333333308</v>
      </c>
      <c r="Q27" s="61">
        <f>'19'!Q108</f>
        <v>9.3504166666666659</v>
      </c>
      <c r="R27" s="118"/>
      <c r="S27" s="118"/>
      <c r="T27" s="118"/>
      <c r="U27" s="118"/>
    </row>
    <row r="28" spans="1:21" x14ac:dyDescent="0.25">
      <c r="A28" s="94" t="str">
        <f>'20'!$B$2</f>
        <v>20/05/2025 00:15</v>
      </c>
      <c r="B28" s="61">
        <f>'20'!B108</f>
        <v>8.8526881720430097</v>
      </c>
      <c r="C28" s="61">
        <f>'20'!C108</f>
        <v>25.81150537634409</v>
      </c>
      <c r="D28" s="61">
        <f>'20'!D108</f>
        <v>35.815161290322564</v>
      </c>
      <c r="E28" s="61">
        <f>'20'!E108</f>
        <v>7.5247311827956995</v>
      </c>
      <c r="F28" s="61">
        <f>'20'!F108</f>
        <v>13.351827956989245</v>
      </c>
      <c r="G28" s="61">
        <f>'20'!G108</f>
        <v>40.521222222222221</v>
      </c>
      <c r="H28" s="61">
        <f>'20'!H108</f>
        <v>20.664666666666658</v>
      </c>
      <c r="I28" s="61">
        <f>'20'!I108</f>
        <v>4.0056989247311847</v>
      </c>
      <c r="J28" s="61">
        <f>'20'!J108</f>
        <v>0.69688172043010743</v>
      </c>
      <c r="K28" s="61">
        <f>'20'!K108</f>
        <v>170.7321505376344</v>
      </c>
      <c r="L28" s="61">
        <f>'20'!L108</f>
        <v>31.235483870967737</v>
      </c>
      <c r="M28" s="61">
        <f>'20'!M108</f>
        <v>50.931397849462357</v>
      </c>
      <c r="N28" s="61">
        <f>'20'!N108</f>
        <v>242.36344086021501</v>
      </c>
      <c r="O28" s="61">
        <f>'20'!O108</f>
        <v>0</v>
      </c>
      <c r="P28" s="202">
        <f>'20'!P108</f>
        <v>0.49870967741935474</v>
      </c>
      <c r="Q28" s="61">
        <f>'20'!Q108</f>
        <v>9.3438461538461564</v>
      </c>
      <c r="R28" s="118"/>
      <c r="S28" s="118"/>
      <c r="T28" s="118"/>
      <c r="U28" s="118"/>
    </row>
    <row r="29" spans="1:21" x14ac:dyDescent="0.25">
      <c r="A29" s="94" t="str">
        <f>'21'!$B$2</f>
        <v>21/05/2025 00:15</v>
      </c>
      <c r="B29" s="61">
        <f>'21'!B108</f>
        <v>6.2925000000000013</v>
      </c>
      <c r="C29" s="61">
        <f>'21'!C108</f>
        <v>22.067499999999999</v>
      </c>
      <c r="D29" s="61">
        <f>'21'!D108</f>
        <v>32.618437499999999</v>
      </c>
      <c r="E29" s="61">
        <f>'21'!E108</f>
        <v>7.9300000000000006</v>
      </c>
      <c r="F29" s="61">
        <f>'21'!F108</f>
        <v>13.586666666666668</v>
      </c>
      <c r="G29" s="61">
        <f>'21'!G108</f>
        <v>37.885376344086019</v>
      </c>
      <c r="H29" s="61">
        <f>'21'!H108</f>
        <v>145.70243902439023</v>
      </c>
      <c r="I29" s="61">
        <f>'21'!I108</f>
        <v>4.0125000000000002</v>
      </c>
      <c r="J29" s="61">
        <f>'21'!J108</f>
        <v>0.75270833333333298</v>
      </c>
      <c r="K29" s="61">
        <f>'21'!K108</f>
        <v>164.03677083333335</v>
      </c>
      <c r="L29" s="61">
        <f>'21'!L108</f>
        <v>16.209166666666739</v>
      </c>
      <c r="M29" s="61">
        <f>'21'!M108</f>
        <v>59.831666666666614</v>
      </c>
      <c r="N29" s="61">
        <f>'21'!N108</f>
        <v>250.14479166666661</v>
      </c>
      <c r="O29" s="61">
        <f>'21'!O108</f>
        <v>0</v>
      </c>
      <c r="P29" s="202">
        <f>'21'!P108</f>
        <v>0.44291666666666646</v>
      </c>
      <c r="Q29" s="61">
        <f>'21'!Q108</f>
        <v>9.3162500000000072</v>
      </c>
      <c r="R29" s="118"/>
      <c r="S29" s="118"/>
      <c r="T29" s="118"/>
      <c r="U29" s="118"/>
    </row>
    <row r="30" spans="1:21" x14ac:dyDescent="0.25">
      <c r="A30" s="94" t="str">
        <f>'22'!$B$2</f>
        <v>22/05/2025 00:15</v>
      </c>
      <c r="B30" s="61">
        <f>'22'!B108</f>
        <v>8.8112499999999958</v>
      </c>
      <c r="C30" s="61">
        <f>'22'!C108</f>
        <v>23.647708333333338</v>
      </c>
      <c r="D30" s="61">
        <f>'22'!D108</f>
        <v>31.73770833333333</v>
      </c>
      <c r="E30" s="61">
        <f>'22'!E108</f>
        <v>5.643749999999998</v>
      </c>
      <c r="F30" s="61">
        <f>'22'!F108</f>
        <v>8.8794791666666661</v>
      </c>
      <c r="G30" s="61">
        <f>'22'!G108</f>
        <v>26.229374999999987</v>
      </c>
      <c r="H30" s="61">
        <f>'22'!H108</f>
        <v>10.755416666666671</v>
      </c>
      <c r="I30" s="61">
        <f>'22'!I108</f>
        <v>3.9977083333333341</v>
      </c>
      <c r="J30" s="61">
        <f>'22'!J108</f>
        <v>0.58571428571428563</v>
      </c>
      <c r="K30" s="61">
        <f>'22'!K108</f>
        <v>168.52964285714282</v>
      </c>
      <c r="L30" s="61">
        <f>'22'!L108</f>
        <v>49.317604166666833</v>
      </c>
      <c r="M30" s="61">
        <f>'22'!M108</f>
        <v>45.005208333333222</v>
      </c>
      <c r="N30" s="61">
        <f>'22'!N108</f>
        <v>201.51979166666641</v>
      </c>
      <c r="O30" s="61">
        <f>'22'!O108</f>
        <v>0</v>
      </c>
      <c r="P30" s="202">
        <f>'22'!P108</f>
        <v>0.44229166666666681</v>
      </c>
      <c r="Q30" s="61">
        <f>'22'!Q108</f>
        <v>9.3504166666666624</v>
      </c>
      <c r="R30" s="118"/>
      <c r="S30" s="118"/>
      <c r="T30" s="118"/>
      <c r="U30" s="118"/>
    </row>
    <row r="31" spans="1:21" x14ac:dyDescent="0.25">
      <c r="A31" s="94" t="str">
        <f>'23'!$B$2</f>
        <v>23/05/2025 00:15</v>
      </c>
      <c r="B31" s="61">
        <f>'23'!B108</f>
        <v>8.2620833333333348</v>
      </c>
      <c r="C31" s="61">
        <f>'23'!C108</f>
        <v>18.353645833333328</v>
      </c>
      <c r="D31" s="61">
        <f>'23'!D108</f>
        <v>22.448437500000001</v>
      </c>
      <c r="E31" s="61">
        <f>'23'!E108</f>
        <v>4.8046875000000009</v>
      </c>
      <c r="F31" s="61">
        <f>'23'!F108</f>
        <v>6.7896875000000039</v>
      </c>
      <c r="G31" s="61">
        <f>'23'!G108</f>
        <v>21.338437499999998</v>
      </c>
      <c r="H31" s="61">
        <f>'23'!H108</f>
        <v>111.41231707317073</v>
      </c>
      <c r="I31" s="61">
        <f>'23'!I108</f>
        <v>3.9985416666666667</v>
      </c>
      <c r="J31" s="210" t="s">
        <v>36</v>
      </c>
      <c r="K31" s="210" t="s">
        <v>36</v>
      </c>
      <c r="L31" s="61">
        <f>'23'!L108</f>
        <v>31.620520833333327</v>
      </c>
      <c r="M31" s="61">
        <f>'23'!M108</f>
        <v>65.554270833333348</v>
      </c>
      <c r="N31" s="61">
        <f>'23'!N108</f>
        <v>166.71250000000001</v>
      </c>
      <c r="O31" s="61">
        <f>'23'!O108</f>
        <v>0</v>
      </c>
      <c r="P31" s="202">
        <f>'23'!P108</f>
        <v>0.35229166666666628</v>
      </c>
      <c r="Q31" s="61">
        <f>'23'!Q108</f>
        <v>9.3018750000000097</v>
      </c>
      <c r="R31" s="118"/>
      <c r="S31" s="207"/>
      <c r="T31" s="118"/>
      <c r="U31" s="118"/>
    </row>
    <row r="32" spans="1:21" x14ac:dyDescent="0.25">
      <c r="A32" s="94" t="str">
        <f>'24'!$B$2</f>
        <v>24/05/2025 00:15</v>
      </c>
      <c r="B32" s="61">
        <f>'24'!B108</f>
        <v>14.533750000000003</v>
      </c>
      <c r="C32" s="61">
        <f>'24'!C108</f>
        <v>26.825729166666672</v>
      </c>
      <c r="D32" s="61">
        <f>'24'!D108</f>
        <v>29.036666666666658</v>
      </c>
      <c r="E32" s="61">
        <f>'24'!E108</f>
        <v>4.3795833333333327</v>
      </c>
      <c r="F32" s="61">
        <f>'24'!F108</f>
        <v>5.2728125000000023</v>
      </c>
      <c r="G32" s="61">
        <f>'24'!G108</f>
        <v>21.269895833333337</v>
      </c>
      <c r="H32" s="61">
        <f>'24'!H108</f>
        <v>8.4866666666666681</v>
      </c>
      <c r="I32" s="61">
        <f>'24'!I108</f>
        <v>4.0020833333333314</v>
      </c>
      <c r="J32" s="210" t="s">
        <v>36</v>
      </c>
      <c r="K32" s="210" t="s">
        <v>36</v>
      </c>
      <c r="L32" s="210" t="s">
        <v>36</v>
      </c>
      <c r="M32" s="210" t="s">
        <v>36</v>
      </c>
      <c r="N32" s="210" t="s">
        <v>36</v>
      </c>
      <c r="O32" s="61">
        <f>'24'!O108</f>
        <v>0</v>
      </c>
      <c r="P32" s="202">
        <f>'24'!P108</f>
        <v>0.5676041666666668</v>
      </c>
      <c r="Q32" s="61">
        <f>'24'!Q108</f>
        <v>9.421875</v>
      </c>
      <c r="R32" s="118"/>
      <c r="S32" s="118"/>
      <c r="T32" s="118"/>
      <c r="U32" s="118"/>
    </row>
    <row r="33" spans="1:21" x14ac:dyDescent="0.25">
      <c r="A33" s="94" t="str">
        <f>'25'!$B$2</f>
        <v>25/05/2025 00:15</v>
      </c>
      <c r="B33" s="61">
        <f>'25'!B108</f>
        <v>13.437604166666661</v>
      </c>
      <c r="C33" s="61">
        <f>'25'!C108</f>
        <v>23.306562499999998</v>
      </c>
      <c r="D33" s="61">
        <f>'25'!D108</f>
        <v>23.983854166666664</v>
      </c>
      <c r="E33" s="61">
        <f>'25'!E108</f>
        <v>4.7339583333333328</v>
      </c>
      <c r="F33" s="61">
        <f>'25'!F108</f>
        <v>6.7212500000000022</v>
      </c>
      <c r="G33" s="61">
        <f>'25'!G108</f>
        <v>29.447291666666668</v>
      </c>
      <c r="H33" s="61">
        <f>'25'!H108</f>
        <v>9.5541666666666654</v>
      </c>
      <c r="I33" s="61">
        <f>'25'!I108</f>
        <v>3.9911458333333338</v>
      </c>
      <c r="J33" s="210" t="s">
        <v>36</v>
      </c>
      <c r="K33" s="210" t="s">
        <v>36</v>
      </c>
      <c r="L33" s="210" t="s">
        <v>36</v>
      </c>
      <c r="M33" s="210" t="s">
        <v>36</v>
      </c>
      <c r="N33" s="210" t="s">
        <v>36</v>
      </c>
      <c r="O33" s="61">
        <f>'25'!O108</f>
        <v>0</v>
      </c>
      <c r="P33" s="202">
        <f>'25'!P108</f>
        <v>0.53364583333333337</v>
      </c>
      <c r="Q33" s="61">
        <f>'25'!Q108</f>
        <v>9.4569791666666614</v>
      </c>
      <c r="R33" s="118"/>
      <c r="S33" s="207"/>
      <c r="T33" s="118"/>
      <c r="U33" s="118"/>
    </row>
    <row r="34" spans="1:21" x14ac:dyDescent="0.25">
      <c r="A34" s="94" t="str">
        <f>'26'!$B$2</f>
        <v>26/05/2025 00:15</v>
      </c>
      <c r="B34" s="61">
        <f>'26'!B108</f>
        <v>16.190312500000001</v>
      </c>
      <c r="C34" s="61">
        <f>'26'!C108</f>
        <v>24.912499999999998</v>
      </c>
      <c r="D34" s="61">
        <f>'26'!D108</f>
        <v>22.832500000000007</v>
      </c>
      <c r="E34" s="61">
        <f>'26'!E108</f>
        <v>3.9487499999999991</v>
      </c>
      <c r="F34" s="61">
        <f>'26'!F108</f>
        <v>4.2591666666666672</v>
      </c>
      <c r="G34" s="61">
        <f>'26'!G108</f>
        <v>32.694895833333348</v>
      </c>
      <c r="H34" s="61">
        <f>'26'!H108</f>
        <v>9.3993750000000063</v>
      </c>
      <c r="I34" s="61">
        <f>'26'!I108</f>
        <v>4.0118749999999972</v>
      </c>
      <c r="J34" s="210" t="s">
        <v>36</v>
      </c>
      <c r="K34" s="210" t="s">
        <v>36</v>
      </c>
      <c r="L34" s="210" t="s">
        <v>36</v>
      </c>
      <c r="M34" s="210" t="s">
        <v>36</v>
      </c>
      <c r="N34" s="210" t="s">
        <v>36</v>
      </c>
      <c r="O34" s="61">
        <f>'26'!O108</f>
        <v>0</v>
      </c>
      <c r="P34" s="202">
        <f>'26'!P108</f>
        <v>0.50406249999999997</v>
      </c>
      <c r="Q34" s="61">
        <f>'26'!Q108</f>
        <v>9.5353124999999945</v>
      </c>
      <c r="R34" s="118"/>
      <c r="S34" s="118"/>
      <c r="T34" s="118"/>
      <c r="U34" s="118"/>
    </row>
    <row r="35" spans="1:21" x14ac:dyDescent="0.25">
      <c r="A35" s="94" t="str">
        <f>'27'!$B$2</f>
        <v>27/05/2025 00:15</v>
      </c>
      <c r="B35" s="61">
        <f>'27'!B108</f>
        <v>11.371666666666668</v>
      </c>
      <c r="C35" s="61">
        <f>'27'!C108</f>
        <v>21.956458333333334</v>
      </c>
      <c r="D35" s="61">
        <f>'27'!D108</f>
        <v>24.570208333333344</v>
      </c>
      <c r="E35" s="61">
        <f>'27'!E108</f>
        <v>4.0617708333333331</v>
      </c>
      <c r="F35" s="61">
        <f>'27'!F108</f>
        <v>7.2336458333333331</v>
      </c>
      <c r="G35" s="61">
        <f>'27'!G108</f>
        <v>27.427395833333339</v>
      </c>
      <c r="H35" s="61">
        <f>'27'!H108</f>
        <v>9.7307291666666682</v>
      </c>
      <c r="I35" s="61">
        <f>'27'!I108</f>
        <v>4.0086458333333335</v>
      </c>
      <c r="J35" s="61">
        <f>'27'!J108</f>
        <v>0.38204081632653064</v>
      </c>
      <c r="K35" s="61">
        <f>'27'!K108</f>
        <v>242.19265306122443</v>
      </c>
      <c r="L35" s="61">
        <f>'27'!L108</f>
        <v>27.205999999999989</v>
      </c>
      <c r="M35" s="61">
        <f>'27'!M108</f>
        <v>89.778999999999996</v>
      </c>
      <c r="N35" s="61">
        <f>'27'!N108</f>
        <v>162.41999999999999</v>
      </c>
      <c r="O35" s="61">
        <f>'27'!O108</f>
        <v>0.18125000000000002</v>
      </c>
      <c r="P35" s="202">
        <f>'27'!P108</f>
        <v>0.390625</v>
      </c>
      <c r="Q35" s="61">
        <f>'27'!Q108</f>
        <v>9.366354166666671</v>
      </c>
      <c r="R35" s="118"/>
      <c r="S35" s="118"/>
      <c r="T35" s="118"/>
      <c r="U35" s="118"/>
    </row>
    <row r="36" spans="1:21" x14ac:dyDescent="0.25">
      <c r="A36" s="94" t="str">
        <f>'28'!$B$2</f>
        <v>28/05/2025 00:15</v>
      </c>
      <c r="B36" s="61">
        <f>'28'!B108</f>
        <v>8.0706249999999926</v>
      </c>
      <c r="C36" s="61">
        <f>'28'!C108</f>
        <v>21.552083333333329</v>
      </c>
      <c r="D36" s="61">
        <f>'28'!D108</f>
        <v>28.862916666666678</v>
      </c>
      <c r="E36" s="61">
        <f>'28'!E108</f>
        <v>6.847812499999999</v>
      </c>
      <c r="F36" s="61">
        <f>'28'!F108</f>
        <v>11.865520833333335</v>
      </c>
      <c r="G36" s="61">
        <f>'28'!G108</f>
        <v>45.904999999999994</v>
      </c>
      <c r="H36" s="61">
        <f>'28'!H108</f>
        <v>20.887291666666673</v>
      </c>
      <c r="I36" s="61">
        <f>'28'!I108</f>
        <v>4.0009374999999983</v>
      </c>
      <c r="J36" s="61">
        <f>'28'!J108</f>
        <v>0.29927083333333337</v>
      </c>
      <c r="K36" s="61">
        <f>'28'!K108</f>
        <v>236.92052083333337</v>
      </c>
      <c r="L36" s="61">
        <f>'28'!L108</f>
        <v>27.708645833333339</v>
      </c>
      <c r="M36" s="61">
        <f>'28'!M108</f>
        <v>84.562083333333348</v>
      </c>
      <c r="N36" s="61">
        <f>'28'!N108</f>
        <v>209.85208333333335</v>
      </c>
      <c r="O36" s="61">
        <f>'28'!O108</f>
        <v>2.0833333333333333E-3</v>
      </c>
      <c r="P36" s="202">
        <f>'28'!P108</f>
        <v>0.58281249999999996</v>
      </c>
      <c r="Q36" s="61">
        <f>'28'!Q108</f>
        <v>9.2851041666666649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29/05/2025 00:15</v>
      </c>
      <c r="B37" s="61">
        <f>'29'!B108</f>
        <v>5.6425000000000018</v>
      </c>
      <c r="C37" s="61">
        <f>'29'!C108</f>
        <v>16.812291666666667</v>
      </c>
      <c r="D37" s="61">
        <f>'29'!D108</f>
        <v>23.517708333333331</v>
      </c>
      <c r="E37" s="61">
        <f>'29'!E108</f>
        <v>5.4930208333333326</v>
      </c>
      <c r="F37" s="61">
        <f>'29'!F108</f>
        <v>8.2937500000000064</v>
      </c>
      <c r="G37" s="61">
        <f>'29'!G108</f>
        <v>28.92927083333333</v>
      </c>
      <c r="H37" s="61">
        <f>'29'!H108</f>
        <v>50.279479166666668</v>
      </c>
      <c r="I37" s="61">
        <f>'29'!I108</f>
        <v>4.003854166666664</v>
      </c>
      <c r="J37" s="61">
        <f>'29'!J108</f>
        <v>0.2950000000000001</v>
      </c>
      <c r="K37" s="61">
        <f>'29'!K108</f>
        <v>239.99208333333345</v>
      </c>
      <c r="L37" s="61">
        <f>'29'!L108</f>
        <v>27.6640625</v>
      </c>
      <c r="M37" s="61">
        <f>'29'!M108</f>
        <v>85.21135416666668</v>
      </c>
      <c r="N37" s="61">
        <f>'29'!N108</f>
        <v>218.83854166666663</v>
      </c>
      <c r="O37" s="61">
        <f>'29'!O108</f>
        <v>5.6250000000000015E-2</v>
      </c>
      <c r="P37" s="202">
        <f>'29'!P108</f>
        <v>0.52572916666666647</v>
      </c>
      <c r="Q37" s="61">
        <f>'29'!Q108</f>
        <v>9.1653125000000077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30/05/2025 00:15</v>
      </c>
      <c r="B38" s="61">
        <f>'30'!B108</f>
        <v>6.7559374999999982</v>
      </c>
      <c r="C38" s="61">
        <f>'30'!C108</f>
        <v>19.136666666666667</v>
      </c>
      <c r="D38" s="61">
        <f>'30'!D108</f>
        <v>26.256979166666657</v>
      </c>
      <c r="E38" s="61">
        <f>'30'!E108</f>
        <v>4.7485416666666653</v>
      </c>
      <c r="F38" s="61">
        <f>'30'!F108</f>
        <v>7.766145833333332</v>
      </c>
      <c r="G38" s="61">
        <f>'30'!G108</f>
        <v>35.926249999999982</v>
      </c>
      <c r="H38" s="61">
        <f>'30'!H108</f>
        <v>15.786145833333316</v>
      </c>
      <c r="I38" s="61">
        <f>'30'!I108</f>
        <v>4.0164583333333344</v>
      </c>
      <c r="J38" s="61">
        <f>'30'!J108</f>
        <v>0.294375</v>
      </c>
      <c r="K38" s="61">
        <f>'30'!K108</f>
        <v>234.24541666666684</v>
      </c>
      <c r="L38" s="61">
        <f>'30'!L108</f>
        <v>28.409791666666678</v>
      </c>
      <c r="M38" s="61">
        <f>'30'!M108</f>
        <v>78.450104166666662</v>
      </c>
      <c r="N38" s="61">
        <f>'30'!N108</f>
        <v>218.91875000000007</v>
      </c>
      <c r="O38" s="61">
        <f>'30'!O108</f>
        <v>0</v>
      </c>
      <c r="P38" s="202">
        <f>'30'!P108</f>
        <v>0.53500000000000003</v>
      </c>
      <c r="Q38" s="61">
        <f>'30'!Q108</f>
        <v>9.2245833333333298</v>
      </c>
      <c r="R38" s="118"/>
      <c r="S38" s="118"/>
      <c r="T38" s="118"/>
      <c r="U38" s="118"/>
    </row>
    <row r="39" spans="1:21" s="54" customFormat="1" x14ac:dyDescent="0.25">
      <c r="A39" s="94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</row>
    <row r="40" spans="1:21" s="54" customFormat="1" x14ac:dyDescent="0.25">
      <c r="A40" s="94" t="s">
        <v>59</v>
      </c>
      <c r="B40" s="16">
        <f t="shared" ref="B40:Q40" si="0">MIN(B9:B38)</f>
        <v>5.4242708333333312</v>
      </c>
      <c r="C40" s="16">
        <f t="shared" si="0"/>
        <v>16.812291666666667</v>
      </c>
      <c r="D40" s="16">
        <f t="shared" si="0"/>
        <v>22.448437500000001</v>
      </c>
      <c r="E40" s="16">
        <f t="shared" si="0"/>
        <v>2.5525000000000007</v>
      </c>
      <c r="F40" s="16">
        <f t="shared" si="0"/>
        <v>4.2591666666666672</v>
      </c>
      <c r="G40" s="16">
        <f t="shared" si="0"/>
        <v>21.269895833333337</v>
      </c>
      <c r="H40" s="16">
        <f t="shared" si="0"/>
        <v>7.5668750000000049</v>
      </c>
      <c r="I40" s="16">
        <f t="shared" si="0"/>
        <v>3.988645833333333</v>
      </c>
      <c r="J40" s="16">
        <f t="shared" si="0"/>
        <v>0.294375</v>
      </c>
      <c r="K40" s="16">
        <f t="shared" si="0"/>
        <v>151.92499999999995</v>
      </c>
      <c r="L40" s="16">
        <f t="shared" si="0"/>
        <v>16.209166666666739</v>
      </c>
      <c r="M40" s="16">
        <f t="shared" si="0"/>
        <v>40.224375000000016</v>
      </c>
      <c r="N40" s="16">
        <f t="shared" si="0"/>
        <v>134.81145833333332</v>
      </c>
      <c r="O40" s="16">
        <f t="shared" si="0"/>
        <v>0</v>
      </c>
      <c r="P40" s="16">
        <f t="shared" si="0"/>
        <v>0.332625</v>
      </c>
      <c r="Q40" s="16">
        <f t="shared" si="0"/>
        <v>9.1653125000000077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>
        <f t="shared" ref="B41:Q41" si="1">MAX(B9:B38)</f>
        <v>31.508645833333333</v>
      </c>
      <c r="C41" s="16">
        <f t="shared" si="1"/>
        <v>51.93041666666668</v>
      </c>
      <c r="D41" s="16">
        <f t="shared" si="1"/>
        <v>57.586666666666666</v>
      </c>
      <c r="E41" s="16">
        <f t="shared" si="1"/>
        <v>11.64322916666667</v>
      </c>
      <c r="F41" s="16">
        <f t="shared" si="1"/>
        <v>15.628645833333342</v>
      </c>
      <c r="G41" s="16">
        <f t="shared" si="1"/>
        <v>53.249462365591356</v>
      </c>
      <c r="H41" s="16">
        <f t="shared" si="1"/>
        <v>145.70243902439023</v>
      </c>
      <c r="I41" s="16">
        <f t="shared" si="1"/>
        <v>4.0213541666666659</v>
      </c>
      <c r="J41" s="16">
        <f t="shared" si="1"/>
        <v>1.8748749999999998</v>
      </c>
      <c r="K41" s="16">
        <f t="shared" si="1"/>
        <v>242.19265306122443</v>
      </c>
      <c r="L41" s="16">
        <f t="shared" si="1"/>
        <v>49.317604166666833</v>
      </c>
      <c r="M41" s="16">
        <f t="shared" si="1"/>
        <v>89.778999999999996</v>
      </c>
      <c r="N41" s="16">
        <f t="shared" si="1"/>
        <v>363.65624999999994</v>
      </c>
      <c r="O41" s="16">
        <f t="shared" si="1"/>
        <v>0.26249999999999996</v>
      </c>
      <c r="P41" s="16">
        <f t="shared" si="1"/>
        <v>0.98020833333333324</v>
      </c>
      <c r="Q41" s="16">
        <f t="shared" si="1"/>
        <v>9.6085416666666692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>
        <f t="shared" ref="B42:Q42" si="2">AVERAGE(B9:B38)</f>
        <v>11.324915178138133</v>
      </c>
      <c r="C42" s="16">
        <f t="shared" si="2"/>
        <v>28.794847390496049</v>
      </c>
      <c r="D42" s="16">
        <f t="shared" si="2"/>
        <v>37.116553831066078</v>
      </c>
      <c r="E42" s="16">
        <f t="shared" si="2"/>
        <v>5.8638748953351065</v>
      </c>
      <c r="F42" s="16">
        <f t="shared" si="2"/>
        <v>10.530158848566311</v>
      </c>
      <c r="G42" s="16">
        <f t="shared" si="2"/>
        <v>36.973299154742776</v>
      </c>
      <c r="H42" s="16">
        <f t="shared" si="2"/>
        <v>23.438613501269661</v>
      </c>
      <c r="I42" s="16">
        <f t="shared" si="2"/>
        <v>4.0043962141577056</v>
      </c>
      <c r="J42" s="16">
        <f t="shared" si="2"/>
        <v>0.66810622394118924</v>
      </c>
      <c r="K42" s="16">
        <f t="shared" si="2"/>
        <v>204.46059810087189</v>
      </c>
      <c r="L42" s="16">
        <f t="shared" si="2"/>
        <v>32.333706192751897</v>
      </c>
      <c r="M42" s="16">
        <f t="shared" si="2"/>
        <v>57.658542512943043</v>
      </c>
      <c r="N42" s="16">
        <f t="shared" si="2"/>
        <v>244.04244225408198</v>
      </c>
      <c r="O42" s="16">
        <f t="shared" si="2"/>
        <v>1.8583333333333337E-2</v>
      </c>
      <c r="P42" s="16">
        <f t="shared" si="2"/>
        <v>0.53203473747426211</v>
      </c>
      <c r="Q42" s="16">
        <f t="shared" si="2"/>
        <v>9.4473350954600956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>
        <f t="shared" ref="B43:Q43" si="3">STDEV(B9:B38)</f>
        <v>5.9917531071696972</v>
      </c>
      <c r="C43" s="16">
        <f t="shared" si="3"/>
        <v>8.7437617671749575</v>
      </c>
      <c r="D43" s="16">
        <f t="shared" si="3"/>
        <v>10.107471369779594</v>
      </c>
      <c r="E43" s="16">
        <f t="shared" si="3"/>
        <v>1.992757218884994</v>
      </c>
      <c r="F43" s="16">
        <f t="shared" si="3"/>
        <v>3.0577469421835839</v>
      </c>
      <c r="G43" s="16">
        <f t="shared" si="3"/>
        <v>8.210540226695608</v>
      </c>
      <c r="H43" s="16">
        <f t="shared" si="3"/>
        <v>30.563085864060241</v>
      </c>
      <c r="I43" s="16">
        <f t="shared" si="3"/>
        <v>8.1214038338233881E-3</v>
      </c>
      <c r="J43" s="16">
        <f t="shared" si="3"/>
        <v>0.29592438639253332</v>
      </c>
      <c r="K43" s="16">
        <f t="shared" si="3"/>
        <v>26.003742973755678</v>
      </c>
      <c r="L43" s="16">
        <f t="shared" si="3"/>
        <v>5.2408684834771968</v>
      </c>
      <c r="M43" s="16">
        <f t="shared" si="3"/>
        <v>14.913223077678298</v>
      </c>
      <c r="N43" s="16">
        <f t="shared" si="3"/>
        <v>58.569274118034713</v>
      </c>
      <c r="O43" s="16">
        <f t="shared" si="3"/>
        <v>5.7466319471175607E-2</v>
      </c>
      <c r="P43" s="16">
        <f t="shared" si="3"/>
        <v>0.13094302223069382</v>
      </c>
      <c r="Q43" s="16">
        <f t="shared" si="3"/>
        <v>0.128360511087555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3">
        <f t="shared" ref="B44:Q44" si="4">COUNT(B9:B38)</f>
        <v>30</v>
      </c>
      <c r="C44" s="13">
        <f t="shared" si="4"/>
        <v>30</v>
      </c>
      <c r="D44" s="13">
        <f t="shared" si="4"/>
        <v>30</v>
      </c>
      <c r="E44" s="13">
        <f t="shared" si="4"/>
        <v>30</v>
      </c>
      <c r="F44" s="13">
        <f t="shared" si="4"/>
        <v>30</v>
      </c>
      <c r="G44" s="13">
        <f t="shared" si="4"/>
        <v>30</v>
      </c>
      <c r="H44" s="13">
        <f t="shared" si="4"/>
        <v>30</v>
      </c>
      <c r="I44" s="13">
        <f t="shared" si="4"/>
        <v>30</v>
      </c>
      <c r="J44" s="16">
        <f>COUNT(J9:J38)+4</f>
        <v>30</v>
      </c>
      <c r="K44" s="16">
        <f>COUNT(K9:K38)+4</f>
        <v>30</v>
      </c>
      <c r="L44" s="16">
        <f>COUNT(L9:L38)+3</f>
        <v>30</v>
      </c>
      <c r="M44" s="16">
        <f t="shared" ref="M44:N44" si="5">COUNT(M9:M38)+3</f>
        <v>30</v>
      </c>
      <c r="N44" s="16">
        <f t="shared" si="5"/>
        <v>30</v>
      </c>
      <c r="O44" s="13">
        <f t="shared" si="4"/>
        <v>30</v>
      </c>
      <c r="P44" s="13">
        <f t="shared" si="4"/>
        <v>30</v>
      </c>
      <c r="Q44" s="13">
        <f t="shared" si="4"/>
        <v>30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&gt;90%</v>
      </c>
      <c r="C45" s="13" t="str">
        <f t="shared" ref="C45:Q45" si="6">IF(C44&gt;=28,"&gt;90%",IF(C44&lt;=28,"&lt;90%"))</f>
        <v>&gt;90%</v>
      </c>
      <c r="D45" s="13" t="str">
        <f t="shared" si="6"/>
        <v>&gt;90%</v>
      </c>
      <c r="E45" s="13" t="str">
        <f t="shared" si="6"/>
        <v>&gt;90%</v>
      </c>
      <c r="F45" s="13" t="str">
        <f t="shared" si="6"/>
        <v>&gt;90%</v>
      </c>
      <c r="G45" s="13" t="str">
        <f t="shared" si="6"/>
        <v>&gt;90%</v>
      </c>
      <c r="H45" s="13" t="str">
        <f t="shared" si="6"/>
        <v>&gt;90%</v>
      </c>
      <c r="I45" s="13" t="str">
        <f t="shared" si="6"/>
        <v>&gt;90%</v>
      </c>
      <c r="J45" s="13" t="str">
        <f t="shared" si="6"/>
        <v>&gt;90%</v>
      </c>
      <c r="K45" s="13" t="str">
        <f t="shared" si="6"/>
        <v>&gt;90%</v>
      </c>
      <c r="L45" s="13" t="str">
        <f t="shared" si="6"/>
        <v>&gt;90%</v>
      </c>
      <c r="M45" s="13" t="str">
        <f t="shared" si="6"/>
        <v>&gt;90%</v>
      </c>
      <c r="N45" s="13" t="str">
        <f t="shared" si="6"/>
        <v>&gt;90%</v>
      </c>
      <c r="O45" s="13" t="str">
        <f t="shared" si="6"/>
        <v>&gt;90%</v>
      </c>
      <c r="P45" s="13" t="str">
        <f t="shared" si="6"/>
        <v>&gt;90%</v>
      </c>
      <c r="Q45" s="13" t="str">
        <f t="shared" si="6"/>
        <v>&gt;90%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OK</v>
      </c>
      <c r="C46" s="13" t="str">
        <f t="shared" ref="C46:Q46" si="7">IF(C44&gt;=28,"OK",IF(C44&lt;=28,"LESS"))</f>
        <v>OK</v>
      </c>
      <c r="D46" s="13" t="str">
        <f t="shared" si="7"/>
        <v>OK</v>
      </c>
      <c r="E46" s="13" t="str">
        <f t="shared" si="7"/>
        <v>OK</v>
      </c>
      <c r="F46" s="13" t="str">
        <f t="shared" si="7"/>
        <v>OK</v>
      </c>
      <c r="G46" s="13" t="str">
        <f t="shared" si="7"/>
        <v>OK</v>
      </c>
      <c r="H46" s="13" t="str">
        <f t="shared" si="7"/>
        <v>OK</v>
      </c>
      <c r="I46" s="13" t="str">
        <f t="shared" si="7"/>
        <v>OK</v>
      </c>
      <c r="J46" s="13" t="str">
        <f t="shared" si="7"/>
        <v>OK</v>
      </c>
      <c r="K46" s="13" t="str">
        <f t="shared" si="7"/>
        <v>OK</v>
      </c>
      <c r="L46" s="13" t="str">
        <f t="shared" si="7"/>
        <v>OK</v>
      </c>
      <c r="M46" s="13" t="str">
        <f t="shared" si="7"/>
        <v>OK</v>
      </c>
      <c r="N46" s="13" t="str">
        <f t="shared" si="7"/>
        <v>OK</v>
      </c>
      <c r="O46" s="13" t="str">
        <f t="shared" si="7"/>
        <v>OK</v>
      </c>
      <c r="P46" s="13" t="str">
        <f t="shared" si="7"/>
        <v>OK</v>
      </c>
      <c r="Q46" s="13" t="str">
        <f t="shared" si="7"/>
        <v>OK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7" t="s">
        <v>216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19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zoomScale="85" zoomScaleNormal="85" workbookViewId="0">
      <selection activeCell="D3" sqref="D3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0" t="s">
        <v>3223</v>
      </c>
      <c r="E1" s="220"/>
      <c r="F1" s="220"/>
      <c r="G1" s="220"/>
      <c r="H1" s="220"/>
      <c r="I1" s="220"/>
      <c r="J1" s="221"/>
    </row>
    <row r="2" spans="2:24" ht="22.5" customHeight="1" thickBot="1" x14ac:dyDescent="0.3">
      <c r="B2" s="54"/>
      <c r="C2" s="111" t="s">
        <v>0</v>
      </c>
      <c r="D2" s="112" t="s">
        <v>3224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4" t="s">
        <v>1</v>
      </c>
      <c r="H5" s="224"/>
      <c r="I5" s="40"/>
      <c r="J5" s="40"/>
      <c r="K5" s="40"/>
      <c r="L5" s="40"/>
      <c r="M5" s="41"/>
      <c r="O5" s="68"/>
      <c r="P5" s="69"/>
      <c r="Q5" s="69"/>
      <c r="R5" s="69"/>
      <c r="S5" s="208" t="s">
        <v>221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45779.54791666667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198.52</v>
      </c>
      <c r="I8" s="60">
        <v>0</v>
      </c>
      <c r="J8" s="61">
        <f>F8/H8</f>
        <v>1.007455168245013</v>
      </c>
      <c r="K8" s="61">
        <f>(H8-F8)*100/F8</f>
        <v>-0.73999999999999488</v>
      </c>
      <c r="L8" s="60" t="s">
        <v>67</v>
      </c>
      <c r="M8" s="78" t="s">
        <v>216</v>
      </c>
      <c r="O8" s="63">
        <v>45779.456250000003</v>
      </c>
      <c r="P8" s="64" t="s">
        <v>70</v>
      </c>
      <c r="Q8" s="64">
        <v>4624.91</v>
      </c>
      <c r="R8" s="64">
        <v>3500.64</v>
      </c>
      <c r="S8" s="77" t="s">
        <v>244</v>
      </c>
      <c r="T8" s="77">
        <v>836.61</v>
      </c>
      <c r="U8" s="86">
        <v>0.89059999999999995</v>
      </c>
      <c r="V8" s="86">
        <v>0.88890000000000002</v>
      </c>
      <c r="W8" s="60" t="s">
        <v>67</v>
      </c>
      <c r="X8" s="78" t="s">
        <v>216</v>
      </c>
    </row>
    <row r="9" spans="2:24" ht="15.75" x14ac:dyDescent="0.25">
      <c r="B9" s="63">
        <v>45785.634027777778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200.5</v>
      </c>
      <c r="I9" s="60">
        <v>0</v>
      </c>
      <c r="J9" s="61">
        <f t="shared" ref="J9:J14" si="0">F9/H9</f>
        <v>0.99750623441396513</v>
      </c>
      <c r="K9" s="61">
        <f t="shared" ref="K9:K14" si="1">(H9-F9)*100/F9</f>
        <v>0.25</v>
      </c>
      <c r="L9" s="60" t="s">
        <v>67</v>
      </c>
      <c r="M9" s="62" t="s">
        <v>243</v>
      </c>
      <c r="O9" s="63">
        <v>45785.538888888892</v>
      </c>
      <c r="P9" s="64" t="s">
        <v>70</v>
      </c>
      <c r="Q9" s="64">
        <v>4744.6400000000003</v>
      </c>
      <c r="R9" s="64">
        <v>3596.46</v>
      </c>
      <c r="S9" s="77" t="s">
        <v>244</v>
      </c>
      <c r="T9" s="77">
        <v>836.27</v>
      </c>
      <c r="U9" s="86">
        <v>0.88890000000000002</v>
      </c>
      <c r="V9" s="86">
        <v>0.88759999999999994</v>
      </c>
      <c r="W9" s="60" t="s">
        <v>67</v>
      </c>
      <c r="X9" s="62" t="s">
        <v>243</v>
      </c>
    </row>
    <row r="10" spans="2:24" ht="15.75" x14ac:dyDescent="0.25">
      <c r="B10" s="63">
        <v>45796.525694444441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200.4</v>
      </c>
      <c r="I10" s="60">
        <v>0</v>
      </c>
      <c r="J10" s="61">
        <f t="shared" si="0"/>
        <v>0.99800399201596801</v>
      </c>
      <c r="K10" s="61">
        <f t="shared" si="1"/>
        <v>0.20000000000000284</v>
      </c>
      <c r="L10" s="60" t="s">
        <v>67</v>
      </c>
      <c r="M10" s="62" t="s">
        <v>243</v>
      </c>
      <c r="O10" s="63">
        <v>45796.525694444441</v>
      </c>
      <c r="P10" s="64" t="s">
        <v>70</v>
      </c>
      <c r="Q10" s="64">
        <v>4131.95</v>
      </c>
      <c r="R10" s="64">
        <v>3129.31</v>
      </c>
      <c r="S10" s="77" t="s">
        <v>244</v>
      </c>
      <c r="T10" s="77">
        <v>836.96</v>
      </c>
      <c r="U10" s="86">
        <v>0.88660000000000005</v>
      </c>
      <c r="V10" s="86">
        <v>0.88449999999999995</v>
      </c>
      <c r="W10" s="60" t="s">
        <v>67</v>
      </c>
      <c r="X10" s="62" t="s">
        <v>243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216</v>
      </c>
      <c r="O11" s="63"/>
      <c r="P11" s="64" t="s">
        <v>70</v>
      </c>
      <c r="Q11" s="64"/>
      <c r="R11" s="64"/>
      <c r="S11" s="77"/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/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3" t="s">
        <v>25</v>
      </c>
      <c r="D21" s="223"/>
      <c r="E21" s="223"/>
      <c r="F21" s="223"/>
      <c r="G21" s="223"/>
      <c r="H21" s="223"/>
      <c r="I21" s="45">
        <f>COUNT(B8:B20)</f>
        <v>3</v>
      </c>
      <c r="J21" s="46"/>
      <c r="K21" s="46"/>
      <c r="L21" s="47"/>
      <c r="M21" s="48"/>
      <c r="O21" s="80"/>
      <c r="P21" s="225" t="s">
        <v>84</v>
      </c>
      <c r="Q21" s="225"/>
      <c r="R21" s="225"/>
      <c r="S21" s="225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2" t="s">
        <v>2</v>
      </c>
      <c r="H24" s="222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45779.470833333333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200.1</v>
      </c>
      <c r="I27" s="60">
        <v>0</v>
      </c>
      <c r="J27" s="61">
        <f>F27/H27</f>
        <v>0.99950024987506247</v>
      </c>
      <c r="K27" s="61">
        <f>(H27-F27)*100/F27</f>
        <v>4.9999999999997158E-2</v>
      </c>
      <c r="L27" s="60" t="s">
        <v>67</v>
      </c>
      <c r="M27" s="78" t="s">
        <v>216</v>
      </c>
      <c r="O27" s="63">
        <v>45779.456250000003</v>
      </c>
      <c r="P27" s="64" t="s">
        <v>71</v>
      </c>
      <c r="Q27" s="64">
        <v>4914.4399999999996</v>
      </c>
      <c r="R27" s="64">
        <v>3761.71</v>
      </c>
      <c r="S27" s="77" t="s">
        <v>245</v>
      </c>
      <c r="T27" s="77">
        <v>845.97</v>
      </c>
      <c r="U27" s="77">
        <v>0.93689999999999996</v>
      </c>
      <c r="V27" s="86">
        <v>0.93810000000000004</v>
      </c>
      <c r="W27" s="60" t="s">
        <v>67</v>
      </c>
      <c r="X27" s="78" t="s">
        <v>216</v>
      </c>
    </row>
    <row r="28" spans="2:24" s="24" customFormat="1" ht="15.75" x14ac:dyDescent="0.25">
      <c r="B28" s="63">
        <v>45785.565972222219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198.4</v>
      </c>
      <c r="I28" s="60">
        <v>0</v>
      </c>
      <c r="J28" s="61">
        <f t="shared" ref="J28:J33" si="2">F28/H28</f>
        <v>1.0080645161290323</v>
      </c>
      <c r="K28" s="61">
        <f t="shared" ref="K28:K33" si="3">(H28-F28)*100/F28</f>
        <v>-0.79999999999999716</v>
      </c>
      <c r="L28" s="60" t="s">
        <v>67</v>
      </c>
      <c r="M28" s="62" t="s">
        <v>243</v>
      </c>
      <c r="O28" s="63">
        <v>45785.539583333331</v>
      </c>
      <c r="P28" s="64" t="s">
        <v>71</v>
      </c>
      <c r="Q28" s="64">
        <v>4822.8100000000004</v>
      </c>
      <c r="R28" s="64">
        <v>3691.28</v>
      </c>
      <c r="S28" s="77" t="s">
        <v>245</v>
      </c>
      <c r="T28" s="77">
        <v>852.7</v>
      </c>
      <c r="U28" s="86">
        <v>0.93810000000000004</v>
      </c>
      <c r="V28" s="86">
        <v>0.93179999999999996</v>
      </c>
      <c r="W28" s="60" t="s">
        <v>67</v>
      </c>
      <c r="X28" s="62" t="s">
        <v>243</v>
      </c>
    </row>
    <row r="29" spans="2:24" s="24" customFormat="1" ht="15.75" x14ac:dyDescent="0.25">
      <c r="B29" s="63">
        <v>45796.525694444441</v>
      </c>
      <c r="C29" s="60" t="s">
        <v>68</v>
      </c>
      <c r="D29" s="60" t="s">
        <v>51</v>
      </c>
      <c r="E29" s="60">
        <v>0</v>
      </c>
      <c r="F29" s="60">
        <v>200</v>
      </c>
      <c r="G29" s="60"/>
      <c r="H29" s="61">
        <v>199.1</v>
      </c>
      <c r="I29" s="60">
        <v>0</v>
      </c>
      <c r="J29" s="61">
        <f t="shared" si="2"/>
        <v>1.0045203415369162</v>
      </c>
      <c r="K29" s="61">
        <f t="shared" si="3"/>
        <v>-0.45000000000000284</v>
      </c>
      <c r="L29" s="60" t="s">
        <v>67</v>
      </c>
      <c r="M29" s="62" t="s">
        <v>243</v>
      </c>
      <c r="O29" s="63">
        <v>45796.539583333331</v>
      </c>
      <c r="P29" s="64" t="s">
        <v>71</v>
      </c>
      <c r="Q29" s="64">
        <v>5166.1099999999997</v>
      </c>
      <c r="R29" s="64">
        <v>3967.07</v>
      </c>
      <c r="S29" s="77" t="s">
        <v>245</v>
      </c>
      <c r="T29" s="77">
        <v>849.92</v>
      </c>
      <c r="U29" s="86">
        <v>0.94630000000000003</v>
      </c>
      <c r="V29" s="86">
        <v>0.94310000000000005</v>
      </c>
      <c r="W29" s="60" t="s">
        <v>67</v>
      </c>
      <c r="X29" s="62" t="s">
        <v>243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223</v>
      </c>
      <c r="O30" s="63"/>
      <c r="P30" s="64" t="s">
        <v>71</v>
      </c>
      <c r="Q30" s="64"/>
      <c r="R30" s="64"/>
      <c r="S30" s="77"/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5" t="s">
        <v>85</v>
      </c>
      <c r="Q40" s="225"/>
      <c r="R40" s="225"/>
      <c r="S40" s="225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3" t="s">
        <v>26</v>
      </c>
      <c r="E41" s="223"/>
      <c r="F41" s="223"/>
      <c r="G41" s="223"/>
      <c r="H41" s="223"/>
      <c r="I41" s="223"/>
      <c r="J41" s="52">
        <f>COUNT(B27:B39)</f>
        <v>3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2" t="s">
        <v>23</v>
      </c>
      <c r="H44" s="222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222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3" t="s">
        <v>27</v>
      </c>
      <c r="E61" s="223"/>
      <c r="F61" s="223"/>
      <c r="G61" s="223"/>
      <c r="H61" s="223"/>
      <c r="I61" s="223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2" t="s">
        <v>3</v>
      </c>
      <c r="H64" s="222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45779.59375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5.13</v>
      </c>
      <c r="I67" s="60">
        <v>0</v>
      </c>
      <c r="J67" s="61">
        <f>F67/H67</f>
        <v>0.97465886939571156</v>
      </c>
      <c r="K67" s="61">
        <f>(H67-F67)*100/F67</f>
        <v>2.5999999999999979</v>
      </c>
      <c r="L67" s="60" t="s">
        <v>67</v>
      </c>
      <c r="M67" s="78" t="s">
        <v>222</v>
      </c>
    </row>
    <row r="68" spans="2:13" ht="15.75" x14ac:dyDescent="0.25">
      <c r="B68" s="63">
        <v>45785.657638888886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4.6740000000000004</v>
      </c>
      <c r="I68" s="60">
        <v>0</v>
      </c>
      <c r="J68" s="61">
        <f t="shared" ref="J68:J73" si="4">F68/H68</f>
        <v>1.0697475395806588</v>
      </c>
      <c r="K68" s="61">
        <f t="shared" ref="K68:K73" si="5">(H68-F68)*100/F68</f>
        <v>-6.5199999999999934</v>
      </c>
      <c r="L68" s="60" t="s">
        <v>67</v>
      </c>
      <c r="M68" s="62" t="s">
        <v>243</v>
      </c>
    </row>
    <row r="69" spans="2:13" ht="15.75" x14ac:dyDescent="0.25">
      <c r="B69" s="63">
        <v>45796.525694444441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>
        <v>4.9000000000000004</v>
      </c>
      <c r="I69" s="60">
        <v>0</v>
      </c>
      <c r="J69" s="61">
        <f t="shared" si="4"/>
        <v>1.0204081632653061</v>
      </c>
      <c r="K69" s="61">
        <f t="shared" si="5"/>
        <v>-1.9999999999999929</v>
      </c>
      <c r="L69" s="60" t="s">
        <v>67</v>
      </c>
      <c r="M69" s="62" t="s">
        <v>243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223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 t="s">
        <v>2166</v>
      </c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3" t="s">
        <v>28</v>
      </c>
      <c r="E81" s="223"/>
      <c r="F81" s="223"/>
      <c r="G81" s="223"/>
      <c r="H81" s="223"/>
      <c r="I81" s="223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2" t="s">
        <v>24</v>
      </c>
      <c r="H84" s="222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3" t="s">
        <v>29</v>
      </c>
      <c r="E101" s="223"/>
      <c r="F101" s="223"/>
      <c r="G101" s="223"/>
      <c r="H101" s="223"/>
      <c r="I101" s="223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4" t="s">
        <v>4</v>
      </c>
      <c r="H104" s="224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/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62" t="s">
        <v>222</v>
      </c>
    </row>
    <row r="108" spans="2:13" ht="15.75" x14ac:dyDescent="0.25">
      <c r="B108" s="63">
        <v>45785.657638888886</v>
      </c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223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223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223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3" t="s">
        <v>69</v>
      </c>
      <c r="D119" s="223"/>
      <c r="E119" s="223"/>
      <c r="F119" s="223"/>
      <c r="G119" s="223"/>
      <c r="H119" s="223"/>
      <c r="I119" s="52">
        <f>COUNT(B107:B118)</f>
        <v>1</v>
      </c>
      <c r="J119" s="46"/>
      <c r="K119" s="46"/>
      <c r="L119" s="47"/>
      <c r="M119" s="48"/>
    </row>
  </sheetData>
  <mergeCells count="15"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3" sqref="B3:C3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6" t="s">
        <v>225</v>
      </c>
      <c r="C2" s="226"/>
      <c r="D2" s="227">
        <v>45017</v>
      </c>
      <c r="E2" s="227"/>
    </row>
    <row r="3" spans="1:5" x14ac:dyDescent="0.25">
      <c r="B3" s="226" t="s">
        <v>21</v>
      </c>
      <c r="C3" s="226"/>
      <c r="D3" s="227"/>
      <c r="E3" s="227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8" t="s">
        <v>22</v>
      </c>
      <c r="C44" s="228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29" t="s">
        <v>220</v>
      </c>
      <c r="C2" s="229"/>
      <c r="D2" s="229"/>
      <c r="E2" s="229"/>
      <c r="F2" s="230">
        <v>44713</v>
      </c>
      <c r="G2" s="231"/>
      <c r="H2" s="231"/>
    </row>
    <row r="3" spans="2:24" s="12" customFormat="1" ht="15" customHeight="1" x14ac:dyDescent="0.25">
      <c r="B3" s="229"/>
      <c r="C3" s="229"/>
      <c r="D3" s="229"/>
      <c r="E3" s="229"/>
      <c r="F3" s="231"/>
      <c r="G3" s="231"/>
      <c r="H3" s="231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2" t="s">
        <v>4</v>
      </c>
      <c r="C12" s="234" t="s">
        <v>133</v>
      </c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127"/>
      <c r="U12" s="125"/>
    </row>
    <row r="13" spans="2:24" ht="15" customHeight="1" x14ac:dyDescent="0.25">
      <c r="B13" s="233"/>
      <c r="C13" s="128" t="s">
        <v>78</v>
      </c>
      <c r="D13" s="129" t="s">
        <v>83</v>
      </c>
      <c r="E13" s="129" t="s">
        <v>134</v>
      </c>
      <c r="F13" s="129" t="s">
        <v>217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33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3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33"/>
      <c r="C16" s="195">
        <v>2425504512</v>
      </c>
      <c r="D16" s="195">
        <v>2513962496</v>
      </c>
      <c r="E16" s="60">
        <v>1445.7</v>
      </c>
      <c r="F16" s="60" t="s">
        <v>218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218</v>
      </c>
      <c r="L16" s="60" t="s">
        <v>219</v>
      </c>
      <c r="M16" s="60">
        <v>485</v>
      </c>
      <c r="N16" s="60" t="s">
        <v>219</v>
      </c>
      <c r="O16" s="60">
        <v>30</v>
      </c>
      <c r="P16" s="60">
        <v>49.5</v>
      </c>
      <c r="Q16" s="60">
        <v>50</v>
      </c>
      <c r="R16" s="150" t="s">
        <v>216</v>
      </c>
      <c r="X16" s="11"/>
    </row>
    <row r="17" spans="2:28" ht="15.75" customHeight="1" x14ac:dyDescent="0.25">
      <c r="B17" s="233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3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6" t="s">
        <v>2</v>
      </c>
      <c r="C25" s="238" t="s">
        <v>133</v>
      </c>
      <c r="D25" s="239"/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40"/>
      <c r="S25" s="188"/>
      <c r="T25" s="189"/>
    </row>
    <row r="26" spans="2:28" ht="15" customHeight="1" x14ac:dyDescent="0.3">
      <c r="B26" s="236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6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6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7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4" t="s">
        <v>3</v>
      </c>
      <c r="C36" s="246" t="s">
        <v>133</v>
      </c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7"/>
    </row>
    <row r="37" spans="2:25" ht="15.75" customHeight="1" x14ac:dyDescent="0.25">
      <c r="B37" s="245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5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5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5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8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49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49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49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49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6" t="s">
        <v>184</v>
      </c>
      <c r="C61" s="238" t="s">
        <v>133</v>
      </c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40"/>
      <c r="S61" s="166"/>
      <c r="T61" s="167"/>
    </row>
    <row r="62" spans="2:20" ht="15.75" x14ac:dyDescent="0.3">
      <c r="B62" s="236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50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50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7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6" t="s">
        <v>201</v>
      </c>
      <c r="C69" s="238" t="s">
        <v>133</v>
      </c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40"/>
      <c r="S69" s="166"/>
      <c r="T69" s="167"/>
    </row>
    <row r="70" spans="2:20" ht="15.75" x14ac:dyDescent="0.3">
      <c r="B70" s="236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6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50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7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41" t="s">
        <v>24</v>
      </c>
      <c r="C77" s="240" t="s">
        <v>133</v>
      </c>
      <c r="D77" s="243"/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177"/>
      <c r="S77" s="177"/>
      <c r="T77" s="178"/>
    </row>
    <row r="78" spans="2:20" x14ac:dyDescent="0.25">
      <c r="B78" s="242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42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2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42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42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2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2025-10-24T15:47:08Z</dcterms:modified>
</cp:coreProperties>
</file>