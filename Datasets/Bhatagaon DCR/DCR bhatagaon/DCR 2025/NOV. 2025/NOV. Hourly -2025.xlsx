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O17" i="39" l="1"/>
  <c r="N17" i="39"/>
  <c r="P17" i="39"/>
  <c r="P15" i="39"/>
  <c r="O15" i="39"/>
  <c r="N15" i="39"/>
  <c r="H38" i="32"/>
  <c r="G38" i="32"/>
  <c r="Q38" i="30"/>
  <c r="P38" i="30"/>
  <c r="H38" i="30"/>
  <c r="I38" i="30"/>
  <c r="J38" i="30"/>
  <c r="K38" i="30"/>
  <c r="L38" i="30"/>
  <c r="M38" i="30"/>
  <c r="N38" i="30"/>
  <c r="O38" i="30"/>
  <c r="G38" i="30"/>
  <c r="C38" i="30"/>
  <c r="D38" i="30"/>
  <c r="E38" i="30"/>
  <c r="F38" i="30"/>
  <c r="B38" i="30"/>
  <c r="C38" i="29"/>
  <c r="C38" i="27"/>
  <c r="C38" i="26"/>
  <c r="H38" i="23"/>
  <c r="G38" i="23"/>
  <c r="C38" i="19"/>
  <c r="C38" i="18"/>
  <c r="C37" i="18"/>
  <c r="C38" i="17"/>
  <c r="H38" i="15"/>
  <c r="G38" i="15"/>
  <c r="P38" i="9"/>
  <c r="H38" i="9"/>
  <c r="G38" i="9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2" i="20" l="1"/>
  <c r="C38" i="39"/>
  <c r="D37" i="39"/>
  <c r="E36" i="39"/>
  <c r="F35" i="39"/>
  <c r="G34" i="39"/>
  <c r="L31" i="39"/>
  <c r="J31" i="39"/>
  <c r="M29" i="39"/>
  <c r="L29" i="39"/>
  <c r="M28" i="39"/>
  <c r="N27" i="39"/>
  <c r="O26" i="39"/>
  <c r="P25" i="39"/>
  <c r="B23" i="39"/>
  <c r="A23" i="39"/>
  <c r="E21" i="39"/>
  <c r="D21" i="39"/>
  <c r="M14" i="39"/>
  <c r="L13" i="39"/>
  <c r="O11" i="39"/>
  <c r="N11" i="39"/>
  <c r="Q10" i="39"/>
  <c r="O10" i="39"/>
  <c r="A10" i="39"/>
  <c r="Q40" i="41"/>
  <c r="Q38" i="41"/>
  <c r="Q39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39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D40" i="32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40" i="32"/>
  <c r="G40" i="32"/>
  <c r="F38" i="32"/>
  <c r="F40" i="32" s="1"/>
  <c r="E38" i="32"/>
  <c r="E40" i="32" s="1"/>
  <c r="D38" i="32"/>
  <c r="D39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E39" i="3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40" i="29" s="1"/>
  <c r="P38" i="29"/>
  <c r="P39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40" i="29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K36" i="28"/>
  <c r="K31" i="39" s="1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40" i="27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39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40" i="26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L40" i="25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39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39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N40" i="23"/>
  <c r="Q38" i="23"/>
  <c r="Q40" i="23" s="1"/>
  <c r="P38" i="23"/>
  <c r="P40" i="23" s="1"/>
  <c r="O38" i="23"/>
  <c r="O40" i="23" s="1"/>
  <c r="N38" i="23"/>
  <c r="N39" i="23" s="1"/>
  <c r="M38" i="23"/>
  <c r="M40" i="23" s="1"/>
  <c r="L38" i="23"/>
  <c r="L40" i="23" s="1"/>
  <c r="K38" i="23"/>
  <c r="K40" i="23" s="1"/>
  <c r="J38" i="23"/>
  <c r="J40" i="23" s="1"/>
  <c r="I38" i="23"/>
  <c r="I40" i="23" s="1"/>
  <c r="H40" i="23"/>
  <c r="G40" i="23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O39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C40" i="21"/>
  <c r="C39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40" i="19"/>
  <c r="B38" i="19"/>
  <c r="B39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40" i="18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40" i="17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9" i="15"/>
  <c r="G40" i="15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I40" i="13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39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39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K39" i="1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40" i="9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40" i="9"/>
  <c r="G40" i="9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39" i="8" s="1"/>
  <c r="L38" i="8"/>
  <c r="L39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M39" i="3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B2" i="2"/>
  <c r="A9" i="39" s="1"/>
  <c r="B2" i="39" s="1"/>
  <c r="B39" i="41" l="1"/>
  <c r="C39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C39" i="40"/>
  <c r="D39" i="40"/>
  <c r="E39" i="40"/>
  <c r="F39" i="40"/>
  <c r="G39" i="40"/>
  <c r="H39" i="40"/>
  <c r="I39" i="40"/>
  <c r="J39" i="40"/>
  <c r="K39" i="40"/>
  <c r="L39" i="40"/>
  <c r="B40" i="40"/>
  <c r="M39" i="40"/>
  <c r="N39" i="40"/>
  <c r="O39" i="40"/>
  <c r="P39" i="40"/>
  <c r="Q39" i="40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C40" i="33"/>
  <c r="Q39" i="33"/>
  <c r="B39" i="33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B39" i="32"/>
  <c r="C39" i="32"/>
  <c r="F39" i="31"/>
  <c r="G39" i="31"/>
  <c r="H39" i="31"/>
  <c r="I39" i="31"/>
  <c r="J39" i="31"/>
  <c r="K39" i="31"/>
  <c r="L39" i="31"/>
  <c r="M39" i="31"/>
  <c r="N39" i="31"/>
  <c r="O39" i="31"/>
  <c r="P39" i="31"/>
  <c r="Q39" i="31"/>
  <c r="B39" i="31"/>
  <c r="C39" i="31"/>
  <c r="D39" i="31"/>
  <c r="G39" i="30"/>
  <c r="H39" i="30"/>
  <c r="I39" i="30"/>
  <c r="J39" i="30"/>
  <c r="K39" i="30"/>
  <c r="L39" i="30"/>
  <c r="M39" i="30"/>
  <c r="N39" i="30"/>
  <c r="O39" i="30"/>
  <c r="P39" i="30"/>
  <c r="Q39" i="30"/>
  <c r="B39" i="30"/>
  <c r="C39" i="30"/>
  <c r="D39" i="30"/>
  <c r="E39" i="30"/>
  <c r="F39" i="30"/>
  <c r="I39" i="29"/>
  <c r="J39" i="29"/>
  <c r="K39" i="29"/>
  <c r="L39" i="29"/>
  <c r="M39" i="29"/>
  <c r="N39" i="29"/>
  <c r="O39" i="29"/>
  <c r="Q39" i="29"/>
  <c r="B39" i="29"/>
  <c r="C39" i="29"/>
  <c r="D39" i="29"/>
  <c r="P40" i="29"/>
  <c r="E39" i="29"/>
  <c r="F39" i="29"/>
  <c r="G39" i="29"/>
  <c r="H39" i="29"/>
  <c r="I39" i="28"/>
  <c r="J39" i="28"/>
  <c r="L39" i="28"/>
  <c r="M39" i="28"/>
  <c r="N39" i="28"/>
  <c r="O39" i="28"/>
  <c r="K40" i="28"/>
  <c r="P39" i="28"/>
  <c r="Q39" i="28"/>
  <c r="B39" i="28"/>
  <c r="C39" i="28"/>
  <c r="D39" i="28"/>
  <c r="E39" i="28"/>
  <c r="F39" i="28"/>
  <c r="G39" i="28"/>
  <c r="H39" i="28"/>
  <c r="L39" i="27"/>
  <c r="M39" i="27"/>
  <c r="N39" i="27"/>
  <c r="O39" i="27"/>
  <c r="P39" i="27"/>
  <c r="Q39" i="27"/>
  <c r="K39" i="27"/>
  <c r="B39" i="27"/>
  <c r="C39" i="27"/>
  <c r="D39" i="27"/>
  <c r="E39" i="27"/>
  <c r="F39" i="27"/>
  <c r="G39" i="27"/>
  <c r="H39" i="27"/>
  <c r="I39" i="27"/>
  <c r="J39" i="27"/>
  <c r="K40" i="26"/>
  <c r="L39" i="26"/>
  <c r="M39" i="26"/>
  <c r="N39" i="26"/>
  <c r="O39" i="26"/>
  <c r="P39" i="26"/>
  <c r="Q39" i="26"/>
  <c r="B39" i="26"/>
  <c r="C39" i="26"/>
  <c r="D39" i="26"/>
  <c r="E39" i="26"/>
  <c r="F39" i="26"/>
  <c r="G39" i="26"/>
  <c r="H39" i="26"/>
  <c r="I39" i="26"/>
  <c r="J39" i="26"/>
  <c r="M39" i="25"/>
  <c r="N39" i="25"/>
  <c r="O39" i="25"/>
  <c r="P39" i="25"/>
  <c r="Q39" i="25"/>
  <c r="B39" i="25"/>
  <c r="C39" i="25"/>
  <c r="D39" i="25"/>
  <c r="E39" i="25"/>
  <c r="F39" i="25"/>
  <c r="G39" i="25"/>
  <c r="H39" i="25"/>
  <c r="I39" i="25"/>
  <c r="J39" i="25"/>
  <c r="K39" i="25"/>
  <c r="N39" i="24"/>
  <c r="O39" i="24"/>
  <c r="P39" i="24"/>
  <c r="Q39" i="24"/>
  <c r="B39" i="24"/>
  <c r="C39" i="24"/>
  <c r="D39" i="24"/>
  <c r="E39" i="24"/>
  <c r="F39" i="24"/>
  <c r="G39" i="24"/>
  <c r="H39" i="24"/>
  <c r="M40" i="24"/>
  <c r="I39" i="24"/>
  <c r="J39" i="24"/>
  <c r="K39" i="24"/>
  <c r="L39" i="24"/>
  <c r="O39" i="23"/>
  <c r="P39" i="23"/>
  <c r="Q39" i="23"/>
  <c r="B39" i="23"/>
  <c r="C39" i="23"/>
  <c r="D39" i="23"/>
  <c r="E39" i="23"/>
  <c r="F39" i="23"/>
  <c r="G39" i="23"/>
  <c r="H39" i="23"/>
  <c r="I39" i="23"/>
  <c r="J39" i="23"/>
  <c r="K39" i="23"/>
  <c r="L39" i="23"/>
  <c r="M39" i="23"/>
  <c r="P39" i="22"/>
  <c r="Q39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Q39" i="21"/>
  <c r="B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B39" i="20"/>
  <c r="C39" i="20"/>
  <c r="D39" i="20"/>
  <c r="E39" i="20"/>
  <c r="F39" i="20"/>
  <c r="G39" i="20"/>
  <c r="Q39" i="20"/>
  <c r="H39" i="20"/>
  <c r="I39" i="20"/>
  <c r="J39" i="20"/>
  <c r="K39" i="20"/>
  <c r="L39" i="20"/>
  <c r="M39" i="20"/>
  <c r="N39" i="20"/>
  <c r="O39" i="20"/>
  <c r="P39" i="20"/>
  <c r="C39" i="19"/>
  <c r="D39" i="19"/>
  <c r="E39" i="19"/>
  <c r="F39" i="19"/>
  <c r="G39" i="19"/>
  <c r="H39" i="19"/>
  <c r="I39" i="19"/>
  <c r="J39" i="19"/>
  <c r="K39" i="19"/>
  <c r="B40" i="19"/>
  <c r="L39" i="19"/>
  <c r="M39" i="19"/>
  <c r="N39" i="19"/>
  <c r="O39" i="19"/>
  <c r="P39" i="19"/>
  <c r="Q39" i="19"/>
  <c r="C39" i="18"/>
  <c r="D39" i="18"/>
  <c r="B40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B39" i="17"/>
  <c r="C39" i="17"/>
  <c r="F39" i="16"/>
  <c r="G39" i="16"/>
  <c r="H39" i="16"/>
  <c r="I39" i="16"/>
  <c r="J39" i="16"/>
  <c r="K39" i="16"/>
  <c r="L39" i="16"/>
  <c r="M39" i="16"/>
  <c r="N39" i="16"/>
  <c r="O39" i="16"/>
  <c r="P39" i="16"/>
  <c r="Q39" i="16"/>
  <c r="B39" i="16"/>
  <c r="C39" i="16"/>
  <c r="D39" i="16"/>
  <c r="E39" i="16"/>
  <c r="I39" i="15"/>
  <c r="J39" i="15"/>
  <c r="K39" i="15"/>
  <c r="L39" i="15"/>
  <c r="M39" i="15"/>
  <c r="H40" i="15"/>
  <c r="N39" i="15"/>
  <c r="O39" i="15"/>
  <c r="P39" i="15"/>
  <c r="Q39" i="15"/>
  <c r="B39" i="15"/>
  <c r="C39" i="15"/>
  <c r="D39" i="15"/>
  <c r="E39" i="15"/>
  <c r="F39" i="15"/>
  <c r="G39" i="15"/>
  <c r="G39" i="14"/>
  <c r="H39" i="14"/>
  <c r="I39" i="14"/>
  <c r="J39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J39" i="13"/>
  <c r="K39" i="13"/>
  <c r="L39" i="13"/>
  <c r="M39" i="13"/>
  <c r="N39" i="13"/>
  <c r="O39" i="13"/>
  <c r="P39" i="13"/>
  <c r="Q39" i="13"/>
  <c r="B39" i="13"/>
  <c r="C39" i="13"/>
  <c r="D39" i="13"/>
  <c r="E39" i="13"/>
  <c r="F39" i="13"/>
  <c r="G39" i="13"/>
  <c r="H39" i="13"/>
  <c r="H39" i="12"/>
  <c r="O40" i="12"/>
  <c r="I39" i="12"/>
  <c r="J39" i="12"/>
  <c r="K39" i="12"/>
  <c r="L39" i="12"/>
  <c r="M39" i="12"/>
  <c r="N39" i="12"/>
  <c r="P39" i="12"/>
  <c r="Q39" i="12"/>
  <c r="B39" i="12"/>
  <c r="C39" i="12"/>
  <c r="D39" i="12"/>
  <c r="E39" i="12"/>
  <c r="F39" i="12"/>
  <c r="G39" i="12"/>
  <c r="I39" i="11"/>
  <c r="J39" i="11"/>
  <c r="L39" i="11"/>
  <c r="M39" i="11"/>
  <c r="N39" i="11"/>
  <c r="O39" i="11"/>
  <c r="P39" i="11"/>
  <c r="Q39" i="11"/>
  <c r="B39" i="11"/>
  <c r="C39" i="11"/>
  <c r="D39" i="11"/>
  <c r="E39" i="11"/>
  <c r="F39" i="11"/>
  <c r="G39" i="11"/>
  <c r="H39" i="11"/>
  <c r="K39" i="10"/>
  <c r="L39" i="10"/>
  <c r="M39" i="10"/>
  <c r="N39" i="10"/>
  <c r="O39" i="10"/>
  <c r="P39" i="10"/>
  <c r="Q39" i="10"/>
  <c r="B39" i="10"/>
  <c r="C39" i="10"/>
  <c r="D39" i="10"/>
  <c r="E39" i="10"/>
  <c r="J39" i="10"/>
  <c r="F39" i="10"/>
  <c r="G39" i="10"/>
  <c r="H39" i="10"/>
  <c r="I39" i="10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I39" i="9"/>
  <c r="J39" i="9"/>
  <c r="K39" i="9"/>
  <c r="L40" i="8"/>
  <c r="N39" i="8"/>
  <c r="O39" i="8"/>
  <c r="P39" i="8"/>
  <c r="Q39" i="8"/>
  <c r="B39" i="8"/>
  <c r="M40" i="8"/>
  <c r="C39" i="8"/>
  <c r="D39" i="8"/>
  <c r="E39" i="8"/>
  <c r="F39" i="8"/>
  <c r="G39" i="8"/>
  <c r="H39" i="8"/>
  <c r="I39" i="8"/>
  <c r="J39" i="8"/>
  <c r="K39" i="8"/>
  <c r="L39" i="3"/>
  <c r="N39" i="3"/>
  <c r="O39" i="3"/>
  <c r="P39" i="3"/>
  <c r="Q39" i="3"/>
  <c r="B39" i="3"/>
  <c r="K40" i="3"/>
  <c r="C39" i="3"/>
  <c r="D39" i="3"/>
  <c r="E39" i="3"/>
  <c r="F39" i="3"/>
  <c r="G39" i="3"/>
  <c r="H39" i="3"/>
  <c r="I39" i="3"/>
  <c r="J39" i="3"/>
  <c r="O44" i="39"/>
  <c r="O43" i="39"/>
  <c r="O42" i="39"/>
  <c r="O41" i="39"/>
  <c r="O40" i="39"/>
  <c r="P44" i="39"/>
  <c r="P43" i="39"/>
  <c r="P42" i="39"/>
  <c r="P41" i="39"/>
  <c r="P40" i="39"/>
  <c r="Q44" i="39"/>
  <c r="Q43" i="39"/>
  <c r="Q42" i="39"/>
  <c r="Q41" i="39"/>
  <c r="Q40" i="39"/>
  <c r="C44" i="39"/>
  <c r="C43" i="39"/>
  <c r="C42" i="39"/>
  <c r="C41" i="39"/>
  <c r="C40" i="39"/>
  <c r="D44" i="39"/>
  <c r="D43" i="39"/>
  <c r="D42" i="39"/>
  <c r="D41" i="39"/>
  <c r="D40" i="39"/>
  <c r="B44" i="39"/>
  <c r="B43" i="39"/>
  <c r="B42" i="39"/>
  <c r="B41" i="39"/>
  <c r="B40" i="39"/>
  <c r="E44" i="39"/>
  <c r="E43" i="39"/>
  <c r="E42" i="39"/>
  <c r="E41" i="39"/>
  <c r="E40" i="39"/>
  <c r="N44" i="39"/>
  <c r="N43" i="39"/>
  <c r="N42" i="39"/>
  <c r="N41" i="39"/>
  <c r="N40" i="39"/>
  <c r="F44" i="39"/>
  <c r="F43" i="39"/>
  <c r="F42" i="39"/>
  <c r="F41" i="39"/>
  <c r="F40" i="39"/>
  <c r="G44" i="39"/>
  <c r="G43" i="39"/>
  <c r="G42" i="39"/>
  <c r="G41" i="39"/>
  <c r="G40" i="39"/>
  <c r="H44" i="39"/>
  <c r="H43" i="39"/>
  <c r="H42" i="39"/>
  <c r="H41" i="39"/>
  <c r="H40" i="39"/>
  <c r="I44" i="39"/>
  <c r="I43" i="39"/>
  <c r="I42" i="39"/>
  <c r="I41" i="39"/>
  <c r="I40" i="39"/>
  <c r="J44" i="39"/>
  <c r="J43" i="39"/>
  <c r="J42" i="39"/>
  <c r="J41" i="39"/>
  <c r="J40" i="39"/>
  <c r="K44" i="39"/>
  <c r="K43" i="39"/>
  <c r="K42" i="39"/>
  <c r="K41" i="39"/>
  <c r="K40" i="39"/>
  <c r="L44" i="39"/>
  <c r="L43" i="39"/>
  <c r="L42" i="39"/>
  <c r="L41" i="39"/>
  <c r="L40" i="39"/>
  <c r="M44" i="39"/>
  <c r="M43" i="39"/>
  <c r="M42" i="39"/>
  <c r="M41" i="39"/>
  <c r="M40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C46" i="39" l="1"/>
  <c r="C45" i="39"/>
  <c r="M46" i="39"/>
  <c r="M45" i="39"/>
  <c r="Q46" i="39"/>
  <c r="Q45" i="39"/>
  <c r="B46" i="39"/>
  <c r="B45" i="39"/>
  <c r="F46" i="39"/>
  <c r="F45" i="39"/>
  <c r="I46" i="39"/>
  <c r="I45" i="39"/>
  <c r="L46" i="39"/>
  <c r="L45" i="39"/>
  <c r="P46" i="39"/>
  <c r="P45" i="39"/>
  <c r="D46" i="39"/>
  <c r="D45" i="39"/>
  <c r="J46" i="39"/>
  <c r="J45" i="39"/>
  <c r="N46" i="39"/>
  <c r="N45" i="39"/>
  <c r="G46" i="39"/>
  <c r="G45" i="39"/>
  <c r="H46" i="39"/>
  <c r="H45" i="39"/>
  <c r="K46" i="39"/>
  <c r="K45" i="39"/>
  <c r="E46" i="39"/>
  <c r="E45" i="39"/>
  <c r="O46" i="39"/>
  <c r="O45" i="39"/>
</calcChain>
</file>

<file path=xl/sharedStrings.xml><?xml version="1.0" encoding="utf-8"?>
<sst xmlns="http://schemas.openxmlformats.org/spreadsheetml/2006/main" count="2858" uniqueCount="780">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</sst>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0" fontId="14" fillId="9" borderId="0" xfId="0" applyFont="1" applyFill="1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F16" sqref="F16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60</v>
      </c>
      <c r="B9" s="55">
        <v>10.210000000000001</v>
      </c>
      <c r="C9" s="55">
        <v>5.39</v>
      </c>
      <c r="D9" s="55">
        <v>10.98</v>
      </c>
      <c r="E9" s="55">
        <v>4.37</v>
      </c>
      <c r="F9" s="55">
        <v>5.5</v>
      </c>
      <c r="G9" s="55">
        <v>35.21</v>
      </c>
      <c r="H9" s="55">
        <v>8.0399999999999991</v>
      </c>
      <c r="I9" s="55">
        <v>1.48</v>
      </c>
      <c r="J9" s="55">
        <v>0.1</v>
      </c>
      <c r="K9" s="55">
        <v>287.68</v>
      </c>
      <c r="L9" s="55">
        <v>22.31</v>
      </c>
      <c r="M9" s="55">
        <v>98.22</v>
      </c>
      <c r="N9" s="55">
        <v>39.799999999999997</v>
      </c>
      <c r="O9" s="55">
        <v>0</v>
      </c>
      <c r="P9" s="55">
        <v>0.54</v>
      </c>
      <c r="Q9" s="55">
        <v>9.16</v>
      </c>
      <c r="R9" s="43"/>
      <c r="S9" s="43"/>
      <c r="T9" s="43"/>
      <c r="U9" s="43"/>
    </row>
    <row r="10" spans="1:21" s="11" customFormat="1" x14ac:dyDescent="0.25">
      <c r="A10" s="54" t="s">
        <v>61</v>
      </c>
      <c r="B10" s="55">
        <v>10.8</v>
      </c>
      <c r="C10" s="55">
        <v>5.63</v>
      </c>
      <c r="D10" s="55">
        <v>10.61</v>
      </c>
      <c r="E10" s="55">
        <v>4.04</v>
      </c>
      <c r="F10" s="55">
        <v>7.31</v>
      </c>
      <c r="G10" s="55">
        <v>30.77</v>
      </c>
      <c r="H10" s="55">
        <v>7.93</v>
      </c>
      <c r="I10" s="55">
        <v>1.41</v>
      </c>
      <c r="J10" s="55">
        <v>0.1</v>
      </c>
      <c r="K10" s="55">
        <v>225.33</v>
      </c>
      <c r="L10" s="55">
        <v>22.47</v>
      </c>
      <c r="M10" s="55">
        <v>98.19</v>
      </c>
      <c r="N10" s="55">
        <v>40</v>
      </c>
      <c r="O10" s="55">
        <v>0</v>
      </c>
      <c r="P10" s="55">
        <v>0.43</v>
      </c>
      <c r="Q10" s="55">
        <v>9.16</v>
      </c>
      <c r="R10" s="43"/>
      <c r="S10" s="43"/>
      <c r="T10" s="43"/>
      <c r="U10" s="43"/>
    </row>
    <row r="11" spans="1:21" s="11" customFormat="1" x14ac:dyDescent="0.25">
      <c r="A11" s="54" t="s">
        <v>62</v>
      </c>
      <c r="B11" s="55">
        <v>9.11</v>
      </c>
      <c r="C11" s="55">
        <v>5.32</v>
      </c>
      <c r="D11" s="55">
        <v>9.7899999999999991</v>
      </c>
      <c r="E11" s="55">
        <v>4.0999999999999996</v>
      </c>
      <c r="F11" s="55">
        <v>6.97</v>
      </c>
      <c r="G11" s="55">
        <v>25.36</v>
      </c>
      <c r="H11" s="55">
        <v>6.53</v>
      </c>
      <c r="I11" s="55">
        <v>1.36</v>
      </c>
      <c r="J11" s="55">
        <v>0.08</v>
      </c>
      <c r="K11" s="55">
        <v>307.77</v>
      </c>
      <c r="L11" s="55">
        <v>22.11</v>
      </c>
      <c r="M11" s="55">
        <v>98.2</v>
      </c>
      <c r="N11" s="55">
        <v>39.799999999999997</v>
      </c>
      <c r="O11" s="55">
        <v>0</v>
      </c>
      <c r="P11" s="55">
        <v>0.38</v>
      </c>
      <c r="Q11" s="55">
        <v>9.17</v>
      </c>
      <c r="R11" s="43"/>
      <c r="S11" s="43"/>
      <c r="T11" s="43"/>
      <c r="U11" s="43"/>
    </row>
    <row r="12" spans="1:21" s="11" customFormat="1" x14ac:dyDescent="0.25">
      <c r="A12" s="54" t="s">
        <v>63</v>
      </c>
      <c r="B12" s="55">
        <v>10.08</v>
      </c>
      <c r="C12" s="55">
        <v>4.43</v>
      </c>
      <c r="D12" s="55">
        <v>10.08</v>
      </c>
      <c r="E12" s="55">
        <v>4.21</v>
      </c>
      <c r="F12" s="55">
        <v>5.12</v>
      </c>
      <c r="G12" s="55">
        <v>23.54</v>
      </c>
      <c r="H12" s="55">
        <v>5.78</v>
      </c>
      <c r="I12" s="55">
        <v>1.34</v>
      </c>
      <c r="J12" s="55">
        <v>0.12</v>
      </c>
      <c r="K12" s="55">
        <v>311.29000000000002</v>
      </c>
      <c r="L12" s="55">
        <v>22.08</v>
      </c>
      <c r="M12" s="55">
        <v>98.23</v>
      </c>
      <c r="N12" s="55">
        <v>39.6</v>
      </c>
      <c r="O12" s="55">
        <v>0</v>
      </c>
      <c r="P12" s="55">
        <v>0.39</v>
      </c>
      <c r="Q12" s="55">
        <v>9.16</v>
      </c>
      <c r="R12" s="43"/>
      <c r="S12" s="43"/>
      <c r="T12" s="43"/>
      <c r="U12" s="43"/>
    </row>
    <row r="13" spans="1:21" s="11" customFormat="1" x14ac:dyDescent="0.25">
      <c r="A13" s="54" t="s">
        <v>64</v>
      </c>
      <c r="B13" s="55">
        <v>9.67</v>
      </c>
      <c r="C13" s="55">
        <v>5.27</v>
      </c>
      <c r="D13" s="55">
        <v>10.07</v>
      </c>
      <c r="E13" s="55">
        <v>4.33</v>
      </c>
      <c r="F13" s="55">
        <v>3.75</v>
      </c>
      <c r="G13" s="55">
        <v>16.61</v>
      </c>
      <c r="H13" s="55">
        <v>5.78</v>
      </c>
      <c r="I13" s="55">
        <v>1.29</v>
      </c>
      <c r="J13" s="55">
        <v>0.11</v>
      </c>
      <c r="K13" s="55">
        <v>321.14</v>
      </c>
      <c r="L13" s="55">
        <v>21.97</v>
      </c>
      <c r="M13" s="55">
        <v>98.23</v>
      </c>
      <c r="N13" s="55">
        <v>39.799999999999997</v>
      </c>
      <c r="O13" s="55">
        <v>0</v>
      </c>
      <c r="P13" s="55">
        <v>0.36</v>
      </c>
      <c r="Q13" s="55">
        <v>9.09</v>
      </c>
      <c r="R13" s="43"/>
      <c r="S13" s="43"/>
      <c r="T13" s="43"/>
      <c r="U13" s="43"/>
    </row>
    <row r="14" spans="1:21" s="11" customFormat="1" x14ac:dyDescent="0.25">
      <c r="A14" s="54" t="s">
        <v>65</v>
      </c>
      <c r="B14" s="55">
        <v>11.94</v>
      </c>
      <c r="C14" s="55">
        <v>5.69</v>
      </c>
      <c r="D14" s="55">
        <v>12.31</v>
      </c>
      <c r="E14" s="55">
        <v>4.05</v>
      </c>
      <c r="F14" s="55">
        <v>4.32</v>
      </c>
      <c r="G14" s="55">
        <v>17.37</v>
      </c>
      <c r="H14" s="55">
        <v>5</v>
      </c>
      <c r="I14" s="55">
        <v>1.26</v>
      </c>
      <c r="J14" s="55">
        <v>0.08</v>
      </c>
      <c r="K14" s="55">
        <v>307.77999999999997</v>
      </c>
      <c r="L14" s="55">
        <v>21.86</v>
      </c>
      <c r="M14" s="55">
        <v>98.28</v>
      </c>
      <c r="N14" s="55">
        <v>40.9</v>
      </c>
      <c r="O14" s="55">
        <v>0</v>
      </c>
      <c r="P14" s="55">
        <v>0.35</v>
      </c>
      <c r="Q14" s="55">
        <v>9.09</v>
      </c>
      <c r="R14" s="43"/>
      <c r="S14" s="43"/>
      <c r="T14" s="43"/>
      <c r="U14" s="43"/>
    </row>
    <row r="15" spans="1:21" s="11" customFormat="1" x14ac:dyDescent="0.25">
      <c r="A15" s="54" t="s">
        <v>66</v>
      </c>
      <c r="B15" s="55">
        <v>11.11</v>
      </c>
      <c r="C15" s="55">
        <v>5.67</v>
      </c>
      <c r="D15" s="55">
        <v>11.87</v>
      </c>
      <c r="E15" s="55">
        <v>4.01</v>
      </c>
      <c r="F15" s="55">
        <v>4.87</v>
      </c>
      <c r="G15" s="55">
        <v>17.37</v>
      </c>
      <c r="H15" s="55">
        <v>6.59</v>
      </c>
      <c r="I15" s="55">
        <v>1.26</v>
      </c>
      <c r="J15" s="55">
        <v>0.08</v>
      </c>
      <c r="K15" s="55">
        <v>308.64</v>
      </c>
      <c r="L15" s="55">
        <v>22.41</v>
      </c>
      <c r="M15" s="55">
        <v>98.28</v>
      </c>
      <c r="N15" s="55">
        <v>86.4</v>
      </c>
      <c r="O15" s="55">
        <v>0</v>
      </c>
      <c r="P15" s="55">
        <v>0.37</v>
      </c>
      <c r="Q15" s="55">
        <v>9.16</v>
      </c>
      <c r="R15" s="43"/>
      <c r="S15" s="43"/>
      <c r="T15" s="43"/>
      <c r="U15" s="43"/>
    </row>
    <row r="16" spans="1:21" s="11" customFormat="1" x14ac:dyDescent="0.25">
      <c r="A16" s="54" t="s">
        <v>67</v>
      </c>
      <c r="B16" s="55">
        <v>10.83</v>
      </c>
      <c r="C16" s="55">
        <v>5.67</v>
      </c>
      <c r="D16" s="55">
        <v>11.63</v>
      </c>
      <c r="E16" s="55">
        <v>5.28</v>
      </c>
      <c r="F16" s="55">
        <v>5.31</v>
      </c>
      <c r="G16" s="55">
        <v>20.67</v>
      </c>
      <c r="H16" s="55">
        <v>6.59</v>
      </c>
      <c r="I16" s="55">
        <v>1.33</v>
      </c>
      <c r="J16" s="55">
        <v>0.21</v>
      </c>
      <c r="K16" s="55">
        <v>303.69</v>
      </c>
      <c r="L16" s="55">
        <v>24.18</v>
      </c>
      <c r="M16" s="55">
        <v>98.23</v>
      </c>
      <c r="N16" s="55">
        <v>234.7</v>
      </c>
      <c r="O16" s="55">
        <v>0</v>
      </c>
      <c r="P16" s="55">
        <v>0.37</v>
      </c>
      <c r="Q16" s="55">
        <v>9.16</v>
      </c>
      <c r="R16" s="43"/>
      <c r="S16" s="43"/>
      <c r="T16" s="43"/>
      <c r="U16" s="43"/>
    </row>
    <row r="17" spans="1:21" s="11" customFormat="1" x14ac:dyDescent="0.25">
      <c r="A17" s="54" t="s">
        <v>68</v>
      </c>
      <c r="B17" s="55">
        <v>12.22</v>
      </c>
      <c r="C17" s="55">
        <v>5.94</v>
      </c>
      <c r="D17" s="55">
        <v>12.69</v>
      </c>
      <c r="E17" s="55">
        <v>4.6100000000000003</v>
      </c>
      <c r="F17" s="55">
        <v>5.34</v>
      </c>
      <c r="G17" s="55">
        <v>20.67</v>
      </c>
      <c r="H17" s="55">
        <v>6.32</v>
      </c>
      <c r="I17" s="55">
        <v>1.49</v>
      </c>
      <c r="J17" s="55">
        <v>0.35</v>
      </c>
      <c r="K17" s="55">
        <v>323.02999999999997</v>
      </c>
      <c r="L17" s="55">
        <v>29</v>
      </c>
      <c r="M17" s="55">
        <v>98.12</v>
      </c>
      <c r="N17" s="55">
        <v>632.29999999999995</v>
      </c>
      <c r="O17" s="55">
        <v>0</v>
      </c>
      <c r="P17" s="55">
        <v>0.43</v>
      </c>
      <c r="Q17" s="55">
        <v>9.1199999999999992</v>
      </c>
      <c r="R17" s="43"/>
      <c r="S17" s="43"/>
      <c r="T17" s="43"/>
      <c r="U17" s="43"/>
    </row>
    <row r="18" spans="1:21" s="11" customFormat="1" x14ac:dyDescent="0.25">
      <c r="A18" s="54" t="s">
        <v>69</v>
      </c>
      <c r="B18" s="55">
        <v>11.76</v>
      </c>
      <c r="C18" s="55">
        <v>9</v>
      </c>
      <c r="D18" s="55">
        <v>13.57</v>
      </c>
      <c r="E18" s="55">
        <v>4.6399999999999997</v>
      </c>
      <c r="F18" s="55">
        <v>10</v>
      </c>
      <c r="G18" s="55">
        <v>24.94</v>
      </c>
      <c r="H18" s="55">
        <v>10</v>
      </c>
      <c r="I18" s="55">
        <v>2.1</v>
      </c>
      <c r="J18" s="55">
        <v>0.46</v>
      </c>
      <c r="K18" s="55">
        <v>329.06</v>
      </c>
      <c r="L18" s="55">
        <v>31.97</v>
      </c>
      <c r="M18" s="55">
        <v>70.61</v>
      </c>
      <c r="N18" s="55">
        <v>649.20000000000005</v>
      </c>
      <c r="O18" s="55">
        <v>0</v>
      </c>
      <c r="P18" s="55">
        <v>0.56999999999999995</v>
      </c>
      <c r="Q18" s="55">
        <v>9.1199999999999992</v>
      </c>
      <c r="R18" s="43"/>
      <c r="S18" s="43"/>
      <c r="T18" s="43"/>
      <c r="U18" s="43"/>
    </row>
    <row r="19" spans="1:21" s="11" customFormat="1" x14ac:dyDescent="0.25">
      <c r="A19" s="54" t="s">
        <v>70</v>
      </c>
      <c r="B19" s="55">
        <v>9.14</v>
      </c>
      <c r="C19" s="55">
        <v>14.27</v>
      </c>
      <c r="D19" s="55">
        <v>14.15</v>
      </c>
      <c r="E19" s="55">
        <v>5.01</v>
      </c>
      <c r="F19" s="55">
        <v>12.45</v>
      </c>
      <c r="G19" s="55">
        <v>24.94</v>
      </c>
      <c r="H19" s="55">
        <v>10</v>
      </c>
      <c r="I19" s="55">
        <v>3.13</v>
      </c>
      <c r="J19" s="55">
        <v>1.03</v>
      </c>
      <c r="K19" s="55">
        <v>336.23</v>
      </c>
      <c r="L19" s="55">
        <v>31.98</v>
      </c>
      <c r="M19" s="55">
        <v>69.36</v>
      </c>
      <c r="N19" s="55">
        <v>793.5</v>
      </c>
      <c r="O19" s="55">
        <v>0</v>
      </c>
      <c r="P19" s="55">
        <v>0.65</v>
      </c>
      <c r="Q19" s="55">
        <v>9.09</v>
      </c>
      <c r="R19" s="43"/>
      <c r="S19" s="43"/>
      <c r="T19" s="43"/>
      <c r="U19" s="43"/>
    </row>
    <row r="20" spans="1:21" s="11" customFormat="1" x14ac:dyDescent="0.25">
      <c r="A20" s="54" t="s">
        <v>71</v>
      </c>
      <c r="B20" s="55">
        <v>8.35</v>
      </c>
      <c r="C20" s="55">
        <v>14.13</v>
      </c>
      <c r="D20" s="55">
        <v>14.07</v>
      </c>
      <c r="E20" s="55">
        <v>5</v>
      </c>
      <c r="F20" s="55">
        <v>15.64</v>
      </c>
      <c r="G20" s="55">
        <v>40.35</v>
      </c>
      <c r="H20" s="55">
        <v>10.24</v>
      </c>
      <c r="I20" s="55">
        <v>3.05</v>
      </c>
      <c r="J20" s="55">
        <v>0.68</v>
      </c>
      <c r="K20" s="55">
        <v>341.85</v>
      </c>
      <c r="L20" s="55">
        <v>31.38</v>
      </c>
      <c r="M20" s="55">
        <v>67.73</v>
      </c>
      <c r="N20" s="55">
        <v>513.9</v>
      </c>
      <c r="O20" s="55">
        <v>0</v>
      </c>
      <c r="P20" s="55">
        <v>0.5</v>
      </c>
      <c r="Q20" s="55">
        <v>9.1199999999999992</v>
      </c>
      <c r="R20" s="43"/>
      <c r="S20" s="43"/>
      <c r="T20" s="43"/>
      <c r="U20" s="43"/>
    </row>
    <row r="21" spans="1:21" s="11" customFormat="1" x14ac:dyDescent="0.25">
      <c r="A21" s="54" t="s">
        <v>72</v>
      </c>
      <c r="B21" s="55">
        <v>7.66</v>
      </c>
      <c r="C21" s="55">
        <v>13.51</v>
      </c>
      <c r="D21" s="55">
        <v>12.98</v>
      </c>
      <c r="E21" s="55">
        <v>5.01</v>
      </c>
      <c r="F21" s="55">
        <v>12.81</v>
      </c>
      <c r="G21" s="55">
        <v>40.35</v>
      </c>
      <c r="H21" s="55">
        <v>10.24</v>
      </c>
      <c r="I21" s="55">
        <v>1.78</v>
      </c>
      <c r="J21" s="55">
        <v>0.49</v>
      </c>
      <c r="K21" s="55">
        <v>347.59</v>
      </c>
      <c r="L21" s="55">
        <v>30.2</v>
      </c>
      <c r="M21" s="55">
        <v>75.23</v>
      </c>
      <c r="N21" s="55">
        <v>642.6</v>
      </c>
      <c r="O21" s="55">
        <v>0</v>
      </c>
      <c r="P21" s="55">
        <v>0.47</v>
      </c>
      <c r="Q21" s="55">
        <v>9.11</v>
      </c>
      <c r="R21" s="43"/>
      <c r="S21" s="43"/>
      <c r="T21" s="43"/>
      <c r="U21" s="43"/>
    </row>
    <row r="22" spans="1:21" s="11" customFormat="1" x14ac:dyDescent="0.25">
      <c r="A22" s="54" t="s">
        <v>73</v>
      </c>
      <c r="B22" s="55">
        <v>8.91</v>
      </c>
      <c r="C22" s="55">
        <v>13.07</v>
      </c>
      <c r="D22" s="55">
        <v>13.98</v>
      </c>
      <c r="E22" s="55">
        <v>4.8899999999999997</v>
      </c>
      <c r="F22" s="55">
        <v>13.81</v>
      </c>
      <c r="G22" s="55">
        <v>38.06</v>
      </c>
      <c r="H22" s="55">
        <v>8.36</v>
      </c>
      <c r="I22" s="55">
        <v>1.59</v>
      </c>
      <c r="J22" s="55">
        <v>0.56999999999999995</v>
      </c>
      <c r="K22" s="55">
        <v>342.74</v>
      </c>
      <c r="L22" s="55">
        <v>30.47</v>
      </c>
      <c r="M22" s="55">
        <v>72.569999999999993</v>
      </c>
      <c r="N22" s="55">
        <v>279.2</v>
      </c>
      <c r="O22" s="55">
        <v>0</v>
      </c>
      <c r="P22" s="55">
        <v>0.44</v>
      </c>
      <c r="Q22" s="55">
        <v>9.02</v>
      </c>
      <c r="R22" s="43"/>
      <c r="S22" s="43"/>
      <c r="T22" s="43"/>
      <c r="U22" s="43"/>
    </row>
    <row r="23" spans="1:21" s="11" customFormat="1" x14ac:dyDescent="0.25">
      <c r="A23" s="54" t="s">
        <v>74</v>
      </c>
      <c r="B23" s="55">
        <v>11.58</v>
      </c>
      <c r="C23" s="55">
        <v>15.16</v>
      </c>
      <c r="D23" s="55">
        <v>16.53</v>
      </c>
      <c r="E23" s="55">
        <v>5.0599999999999996</v>
      </c>
      <c r="F23" s="55">
        <v>12.8</v>
      </c>
      <c r="G23" s="55">
        <v>38.06</v>
      </c>
      <c r="H23" s="55">
        <v>6.8</v>
      </c>
      <c r="I23" s="55">
        <v>1.32</v>
      </c>
      <c r="J23" s="55">
        <v>0.6</v>
      </c>
      <c r="K23" s="55">
        <v>337.92</v>
      </c>
      <c r="L23" s="55">
        <v>29.87</v>
      </c>
      <c r="M23" s="55">
        <v>71.69</v>
      </c>
      <c r="N23" s="55">
        <v>164.2</v>
      </c>
      <c r="O23" s="55">
        <v>0</v>
      </c>
      <c r="P23" s="55">
        <v>0.59</v>
      </c>
      <c r="Q23" s="55">
        <v>9.08</v>
      </c>
      <c r="R23" s="43"/>
      <c r="S23" s="43"/>
      <c r="T23" s="43"/>
      <c r="U23" s="43"/>
    </row>
    <row r="24" spans="1:21" s="11" customFormat="1" x14ac:dyDescent="0.25">
      <c r="A24" s="54" t="s">
        <v>75</v>
      </c>
      <c r="B24" s="55">
        <v>15.56</v>
      </c>
      <c r="C24" s="55">
        <v>14.34</v>
      </c>
      <c r="D24" s="55">
        <v>19.48</v>
      </c>
      <c r="E24" s="55">
        <v>5.17</v>
      </c>
      <c r="F24" s="55">
        <v>13.96</v>
      </c>
      <c r="G24" s="55">
        <v>33.86</v>
      </c>
      <c r="H24" s="55">
        <v>5.95</v>
      </c>
      <c r="I24" s="55">
        <v>1.33</v>
      </c>
      <c r="J24" s="55">
        <v>0.64</v>
      </c>
      <c r="K24" s="55">
        <v>341.08</v>
      </c>
      <c r="L24" s="55">
        <v>28.76</v>
      </c>
      <c r="M24" s="55">
        <v>76.48</v>
      </c>
      <c r="N24" s="55">
        <v>137.5</v>
      </c>
      <c r="O24" s="55">
        <v>0</v>
      </c>
      <c r="P24" s="55">
        <v>0.63</v>
      </c>
      <c r="Q24" s="55">
        <v>9.11</v>
      </c>
      <c r="R24" s="43"/>
      <c r="S24" s="43"/>
      <c r="T24" s="43"/>
      <c r="U24" s="43"/>
    </row>
    <row r="25" spans="1:21" s="11" customFormat="1" x14ac:dyDescent="0.25">
      <c r="A25" s="54" t="s">
        <v>76</v>
      </c>
      <c r="B25" s="55">
        <v>32.659999999999997</v>
      </c>
      <c r="C25" s="55">
        <v>17.48</v>
      </c>
      <c r="D25" s="55">
        <v>35.32</v>
      </c>
      <c r="E25" s="55">
        <v>5.96</v>
      </c>
      <c r="F25" s="55">
        <v>13.45</v>
      </c>
      <c r="G25" s="55">
        <v>33.86</v>
      </c>
      <c r="H25" s="55">
        <v>5.7</v>
      </c>
      <c r="I25" s="55">
        <v>1.45</v>
      </c>
      <c r="J25" s="55">
        <v>0.36</v>
      </c>
      <c r="K25" s="55">
        <v>333.63</v>
      </c>
      <c r="L25" s="55">
        <v>28.64</v>
      </c>
      <c r="M25" s="55">
        <v>86.13</v>
      </c>
      <c r="N25" s="55">
        <v>94.7</v>
      </c>
      <c r="O25" s="55">
        <v>0</v>
      </c>
      <c r="P25" s="55">
        <v>1.05</v>
      </c>
      <c r="Q25" s="55">
        <v>9.1300000000000008</v>
      </c>
      <c r="R25" s="43"/>
      <c r="S25" s="43"/>
      <c r="T25" s="43"/>
      <c r="U25" s="43"/>
    </row>
    <row r="26" spans="1:21" s="11" customFormat="1" x14ac:dyDescent="0.25">
      <c r="A26" s="54" t="s">
        <v>77</v>
      </c>
      <c r="B26" s="55">
        <v>15.41</v>
      </c>
      <c r="C26" s="55">
        <v>14.26</v>
      </c>
      <c r="D26" s="55">
        <v>18.91</v>
      </c>
      <c r="E26" s="55">
        <v>5.38</v>
      </c>
      <c r="F26" s="55">
        <v>11.61</v>
      </c>
      <c r="G26" s="55">
        <v>49.36</v>
      </c>
      <c r="H26" s="55">
        <v>5.09</v>
      </c>
      <c r="I26" s="55">
        <v>1.68</v>
      </c>
      <c r="J26" s="55">
        <v>0.77</v>
      </c>
      <c r="K26" s="55">
        <v>337.84</v>
      </c>
      <c r="L26" s="55">
        <v>26.84</v>
      </c>
      <c r="M26" s="55">
        <v>89.99</v>
      </c>
      <c r="N26" s="55">
        <v>44.3</v>
      </c>
      <c r="O26" s="55">
        <v>0</v>
      </c>
      <c r="P26" s="55">
        <v>0.86</v>
      </c>
      <c r="Q26" s="55">
        <v>9.17</v>
      </c>
      <c r="R26" s="43"/>
      <c r="S26" s="43"/>
      <c r="T26" s="43"/>
      <c r="U26" s="43"/>
    </row>
    <row r="27" spans="1:21" s="11" customFormat="1" x14ac:dyDescent="0.25">
      <c r="A27" s="54" t="s">
        <v>78</v>
      </c>
      <c r="B27" s="55">
        <v>20.010000000000002</v>
      </c>
      <c r="C27" s="55">
        <v>14.84</v>
      </c>
      <c r="D27" s="55">
        <v>23.8</v>
      </c>
      <c r="E27" s="55">
        <v>6.16</v>
      </c>
      <c r="F27" s="55">
        <v>11.34</v>
      </c>
      <c r="G27" s="55">
        <v>49.36</v>
      </c>
      <c r="H27" s="55">
        <v>8.64</v>
      </c>
      <c r="I27" s="55">
        <v>2.2400000000000002</v>
      </c>
      <c r="J27" s="55">
        <v>2.5</v>
      </c>
      <c r="K27" s="55">
        <v>337.07</v>
      </c>
      <c r="L27" s="55">
        <v>25.95</v>
      </c>
      <c r="M27" s="55">
        <v>95.41</v>
      </c>
      <c r="N27" s="55">
        <v>43</v>
      </c>
      <c r="O27" s="55">
        <v>0.2</v>
      </c>
      <c r="P27" s="55">
        <v>1.19</v>
      </c>
      <c r="Q27" s="55">
        <v>9.32</v>
      </c>
      <c r="R27" s="43"/>
      <c r="S27" s="43"/>
      <c r="T27" s="43"/>
      <c r="U27" s="43"/>
    </row>
    <row r="28" spans="1:21" s="11" customFormat="1" x14ac:dyDescent="0.25">
      <c r="A28" s="54" t="s">
        <v>79</v>
      </c>
      <c r="B28" s="55">
        <v>17.34</v>
      </c>
      <c r="C28" s="55">
        <v>12.69</v>
      </c>
      <c r="D28" s="55">
        <v>20.100000000000001</v>
      </c>
      <c r="E28" s="55">
        <v>5.68</v>
      </c>
      <c r="F28" s="55">
        <v>9.8800000000000008</v>
      </c>
      <c r="G28" s="55">
        <v>50.1</v>
      </c>
      <c r="H28" s="55">
        <v>8.64</v>
      </c>
      <c r="I28" s="55">
        <v>2.2000000000000002</v>
      </c>
      <c r="J28" s="55">
        <v>1.49</v>
      </c>
      <c r="K28" s="55">
        <v>334.99</v>
      </c>
      <c r="L28" s="55">
        <v>24.45</v>
      </c>
      <c r="M28" s="55">
        <v>98.03</v>
      </c>
      <c r="N28" s="55">
        <v>41.8</v>
      </c>
      <c r="O28" s="55">
        <v>0</v>
      </c>
      <c r="P28" s="55">
        <v>0.83</v>
      </c>
      <c r="Q28" s="55">
        <v>9.36</v>
      </c>
      <c r="R28" s="43"/>
      <c r="S28" s="43"/>
      <c r="T28" s="43"/>
      <c r="U28" s="43"/>
    </row>
    <row r="29" spans="1:21" s="11" customFormat="1" x14ac:dyDescent="0.25">
      <c r="A29" s="54" t="s">
        <v>80</v>
      </c>
      <c r="B29" s="55">
        <v>43.41</v>
      </c>
      <c r="C29" s="55">
        <v>10.79</v>
      </c>
      <c r="D29" s="55">
        <v>38.65</v>
      </c>
      <c r="E29" s="55">
        <v>7.87</v>
      </c>
      <c r="F29" s="55">
        <v>8.6999999999999993</v>
      </c>
      <c r="G29" s="55">
        <v>50.1</v>
      </c>
      <c r="H29" s="55">
        <v>7.34</v>
      </c>
      <c r="I29" s="55">
        <v>2.19</v>
      </c>
      <c r="J29" s="55">
        <v>0.33</v>
      </c>
      <c r="K29" s="55">
        <v>339.21</v>
      </c>
      <c r="L29" s="55">
        <v>23.59</v>
      </c>
      <c r="M29" s="55">
        <v>98.07</v>
      </c>
      <c r="N29" s="55">
        <v>41.1</v>
      </c>
      <c r="O29" s="55">
        <v>0</v>
      </c>
      <c r="P29" s="55">
        <v>1.61</v>
      </c>
      <c r="Q29" s="55">
        <v>9.43</v>
      </c>
      <c r="R29" s="43"/>
      <c r="S29" s="43"/>
      <c r="T29" s="43"/>
      <c r="U29" s="43"/>
    </row>
    <row r="30" spans="1:21" s="11" customFormat="1" x14ac:dyDescent="0.25">
      <c r="A30" s="54" t="s">
        <v>81</v>
      </c>
      <c r="B30" s="55">
        <v>51.04</v>
      </c>
      <c r="C30" s="55">
        <v>8.9700000000000006</v>
      </c>
      <c r="D30" s="55">
        <v>41.59</v>
      </c>
      <c r="E30" s="55">
        <v>9.16</v>
      </c>
      <c r="F30" s="55">
        <v>7.58</v>
      </c>
      <c r="G30" s="55">
        <v>77.55</v>
      </c>
      <c r="H30" s="55">
        <v>19.829999999999998</v>
      </c>
      <c r="I30" s="55">
        <v>2.46</v>
      </c>
      <c r="J30" s="55">
        <v>0.2</v>
      </c>
      <c r="K30" s="55">
        <v>337.23</v>
      </c>
      <c r="L30" s="55">
        <v>23.67</v>
      </c>
      <c r="M30" s="55">
        <v>98.11</v>
      </c>
      <c r="N30" s="55">
        <v>41.1</v>
      </c>
      <c r="O30" s="55">
        <v>0</v>
      </c>
      <c r="P30" s="55">
        <v>1.42</v>
      </c>
      <c r="Q30" s="55">
        <v>9.49</v>
      </c>
      <c r="R30" s="43"/>
      <c r="S30" s="43"/>
      <c r="T30" s="43"/>
      <c r="U30" s="43"/>
    </row>
    <row r="31" spans="1:21" s="11" customFormat="1" x14ac:dyDescent="0.25">
      <c r="A31" s="54" t="s">
        <v>82</v>
      </c>
      <c r="B31" s="55">
        <v>29.59</v>
      </c>
      <c r="C31" s="55">
        <v>9.83</v>
      </c>
      <c r="D31" s="55">
        <v>26.71</v>
      </c>
      <c r="E31" s="55">
        <v>8.68</v>
      </c>
      <c r="F31" s="55">
        <v>6.83</v>
      </c>
      <c r="G31" s="55">
        <v>278.79000000000002</v>
      </c>
      <c r="H31" s="55">
        <v>43.24</v>
      </c>
      <c r="I31" s="55">
        <v>2.65</v>
      </c>
      <c r="J31" s="55">
        <v>0.09</v>
      </c>
      <c r="K31" s="55">
        <v>353.41</v>
      </c>
      <c r="L31" s="55">
        <v>23.14</v>
      </c>
      <c r="M31" s="55">
        <v>98.18</v>
      </c>
      <c r="N31" s="55">
        <v>41.1</v>
      </c>
      <c r="O31" s="55">
        <v>0</v>
      </c>
      <c r="P31" s="55">
        <v>1.02</v>
      </c>
      <c r="Q31" s="55">
        <v>9.5399999999999991</v>
      </c>
      <c r="R31" s="43"/>
      <c r="S31" s="43"/>
      <c r="T31" s="43"/>
      <c r="U31" s="43"/>
    </row>
    <row r="32" spans="1:21" s="11" customFormat="1" x14ac:dyDescent="0.25">
      <c r="A32" s="54" t="s">
        <v>83</v>
      </c>
      <c r="B32" s="55">
        <v>32.29</v>
      </c>
      <c r="C32" s="55">
        <v>6.76</v>
      </c>
      <c r="D32" s="55">
        <v>29.43</v>
      </c>
      <c r="E32" s="55">
        <v>6.92</v>
      </c>
      <c r="F32" s="55">
        <v>6.36</v>
      </c>
      <c r="G32" s="55">
        <v>277.79000000000002</v>
      </c>
      <c r="H32" s="55">
        <v>40.24</v>
      </c>
      <c r="I32" s="55">
        <v>2.67</v>
      </c>
      <c r="J32" s="55">
        <v>0.1</v>
      </c>
      <c r="K32" s="55">
        <v>266.48</v>
      </c>
      <c r="L32" s="55">
        <v>22.43</v>
      </c>
      <c r="M32" s="55">
        <v>98.23</v>
      </c>
      <c r="N32" s="55">
        <v>41</v>
      </c>
      <c r="O32" s="55">
        <v>0</v>
      </c>
      <c r="P32" s="55">
        <v>0.95</v>
      </c>
      <c r="Q32" s="55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7.66</v>
      </c>
      <c r="C34" s="28">
        <f t="shared" si="0"/>
        <v>4.43</v>
      </c>
      <c r="D34" s="28">
        <f t="shared" si="0"/>
        <v>9.7899999999999991</v>
      </c>
      <c r="E34" s="28">
        <f t="shared" si="0"/>
        <v>4.01</v>
      </c>
      <c r="F34" s="28">
        <f t="shared" si="0"/>
        <v>3.75</v>
      </c>
      <c r="G34" s="28">
        <f t="shared" si="0"/>
        <v>16.61</v>
      </c>
      <c r="H34" s="28">
        <f t="shared" si="0"/>
        <v>5</v>
      </c>
      <c r="I34" s="28">
        <f t="shared" si="0"/>
        <v>1.26</v>
      </c>
      <c r="J34" s="28">
        <f t="shared" si="0"/>
        <v>0.08</v>
      </c>
      <c r="K34" s="28">
        <f t="shared" si="0"/>
        <v>225.33</v>
      </c>
      <c r="L34" s="28">
        <f t="shared" si="0"/>
        <v>21.86</v>
      </c>
      <c r="M34" s="28">
        <f t="shared" si="0"/>
        <v>67.73</v>
      </c>
      <c r="N34" s="28">
        <f t="shared" si="0"/>
        <v>39.6</v>
      </c>
      <c r="O34" s="28">
        <f t="shared" si="0"/>
        <v>0</v>
      </c>
      <c r="P34" s="28">
        <f t="shared" si="0"/>
        <v>0.35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51.04</v>
      </c>
      <c r="C35" s="29">
        <f t="shared" si="1"/>
        <v>17.48</v>
      </c>
      <c r="D35" s="29">
        <f t="shared" si="1"/>
        <v>41.59</v>
      </c>
      <c r="E35" s="29">
        <f t="shared" si="1"/>
        <v>9.16</v>
      </c>
      <c r="F35" s="29">
        <f t="shared" si="1"/>
        <v>15.64</v>
      </c>
      <c r="G35" s="29">
        <f t="shared" si="1"/>
        <v>278.79000000000002</v>
      </c>
      <c r="H35" s="29">
        <f t="shared" si="1"/>
        <v>43.24</v>
      </c>
      <c r="I35" s="29">
        <f t="shared" si="1"/>
        <v>3.13</v>
      </c>
      <c r="J35" s="29">
        <f t="shared" si="1"/>
        <v>2.5</v>
      </c>
      <c r="K35" s="29">
        <f t="shared" si="1"/>
        <v>353.41</v>
      </c>
      <c r="L35" s="29">
        <f t="shared" si="1"/>
        <v>31.98</v>
      </c>
      <c r="M35" s="29">
        <f t="shared" si="1"/>
        <v>98.28</v>
      </c>
      <c r="N35" s="29">
        <f t="shared" si="1"/>
        <v>793.5</v>
      </c>
      <c r="O35" s="29">
        <f t="shared" si="1"/>
        <v>0.2</v>
      </c>
      <c r="P35" s="29">
        <f t="shared" si="1"/>
        <v>1.61</v>
      </c>
      <c r="Q35" s="29">
        <f t="shared" si="1"/>
        <v>9.58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17.111666666666668</v>
      </c>
      <c r="C36" s="28">
        <f t="shared" si="2"/>
        <v>9.9212499999999988</v>
      </c>
      <c r="D36" s="28">
        <f t="shared" si="2"/>
        <v>18.304166666666664</v>
      </c>
      <c r="E36" s="28">
        <f t="shared" si="2"/>
        <v>5.3995833333333323</v>
      </c>
      <c r="F36" s="28">
        <f t="shared" si="2"/>
        <v>8.987916666666667</v>
      </c>
      <c r="G36" s="28">
        <f t="shared" si="2"/>
        <v>54.793333333333344</v>
      </c>
      <c r="H36" s="28">
        <f t="shared" si="2"/>
        <v>10.786250000000001</v>
      </c>
      <c r="I36" s="28">
        <f t="shared" si="2"/>
        <v>1.8358333333333334</v>
      </c>
      <c r="J36" s="28">
        <f t="shared" si="2"/>
        <v>0.48083333333333328</v>
      </c>
      <c r="K36" s="28">
        <f t="shared" si="2"/>
        <v>321.36166666666668</v>
      </c>
      <c r="L36" s="28">
        <f t="shared" si="2"/>
        <v>25.905416666666664</v>
      </c>
      <c r="M36" s="28">
        <f t="shared" si="2"/>
        <v>89.575000000000003</v>
      </c>
      <c r="N36" s="28">
        <f t="shared" si="2"/>
        <v>198.39583333333337</v>
      </c>
      <c r="O36" s="28">
        <f t="shared" si="2"/>
        <v>8.3333333333333332E-3</v>
      </c>
      <c r="P36" s="28">
        <f t="shared" si="2"/>
        <v>0.68333333333333324</v>
      </c>
      <c r="Q36" s="28">
        <f t="shared" si="2"/>
        <v>9.2058333333333326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11.837596578428544</v>
      </c>
      <c r="C37" s="28">
        <f t="shared" ref="C37:Q37" si="3">STDEV(C9:C32)</f>
        <v>4.21449394816631</v>
      </c>
      <c r="D37" s="28">
        <f t="shared" si="3"/>
        <v>9.4576814497950412</v>
      </c>
      <c r="E37" s="28">
        <f t="shared" si="3"/>
        <v>1.4340925904456205</v>
      </c>
      <c r="F37" s="28">
        <f t="shared" si="3"/>
        <v>3.6602850674998386</v>
      </c>
      <c r="G37" s="28">
        <f t="shared" si="3"/>
        <v>70.263654199374471</v>
      </c>
      <c r="H37" s="28">
        <f t="shared" si="3"/>
        <v>10.003370220124294</v>
      </c>
      <c r="I37" s="28">
        <f t="shared" si="3"/>
        <v>0.59941940508162139</v>
      </c>
      <c r="J37" s="28">
        <f t="shared" si="3"/>
        <v>0.55609599317311076</v>
      </c>
      <c r="K37" s="28">
        <f t="shared" si="3"/>
        <v>28.949862305997794</v>
      </c>
      <c r="L37" s="28">
        <f t="shared" si="3"/>
        <v>3.7168511441186785</v>
      </c>
      <c r="M37" s="28">
        <f t="shared" si="3"/>
        <v>12.007256139518134</v>
      </c>
      <c r="N37" s="28">
        <f t="shared" si="3"/>
        <v>246.76256054400127</v>
      </c>
      <c r="O37" s="28">
        <f t="shared" si="3"/>
        <v>4.0824829046386311E-2</v>
      </c>
      <c r="P37" s="28">
        <f t="shared" si="3"/>
        <v>0.35707345081280184</v>
      </c>
      <c r="Q37" s="28">
        <f t="shared" si="3"/>
        <v>0.15733975054463914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3" sqref="D1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84</v>
      </c>
      <c r="B9" s="55">
        <v>20.079999999999998</v>
      </c>
      <c r="C9" s="55">
        <v>4.58</v>
      </c>
      <c r="D9" s="55">
        <v>18.22</v>
      </c>
      <c r="E9" s="55">
        <v>6.27</v>
      </c>
      <c r="F9" s="55">
        <v>7.09</v>
      </c>
      <c r="G9" s="55">
        <v>95.78</v>
      </c>
      <c r="H9" s="55">
        <v>23.22</v>
      </c>
      <c r="I9" s="55">
        <v>2.66</v>
      </c>
      <c r="J9" s="55">
        <v>0.22</v>
      </c>
      <c r="K9" s="55">
        <v>342.55</v>
      </c>
      <c r="L9" s="55">
        <v>22.29</v>
      </c>
      <c r="M9" s="55">
        <v>98.23</v>
      </c>
      <c r="N9" s="55">
        <v>41.1</v>
      </c>
      <c r="O9" s="55">
        <v>0</v>
      </c>
      <c r="P9" s="55">
        <v>0.72</v>
      </c>
      <c r="Q9" s="55">
        <v>9.59</v>
      </c>
      <c r="R9" s="43"/>
      <c r="S9" s="43"/>
      <c r="T9" s="43"/>
      <c r="U9" s="43"/>
    </row>
    <row r="10" spans="1:21" s="11" customFormat="1" x14ac:dyDescent="0.25">
      <c r="A10" s="54" t="s">
        <v>85</v>
      </c>
      <c r="B10" s="55">
        <v>23.91</v>
      </c>
      <c r="C10" s="55">
        <v>5.45</v>
      </c>
      <c r="D10" s="55">
        <v>19.11</v>
      </c>
      <c r="E10" s="55">
        <v>6.25</v>
      </c>
      <c r="F10" s="55">
        <v>5.63</v>
      </c>
      <c r="G10" s="55">
        <v>38.659999999999997</v>
      </c>
      <c r="H10" s="55">
        <v>16.45</v>
      </c>
      <c r="I10" s="55">
        <v>2.68</v>
      </c>
      <c r="J10" s="55">
        <v>0.35</v>
      </c>
      <c r="K10" s="55">
        <v>357.83</v>
      </c>
      <c r="L10" s="55">
        <v>22.03</v>
      </c>
      <c r="M10" s="55">
        <v>98.3</v>
      </c>
      <c r="N10" s="55">
        <v>41.1</v>
      </c>
      <c r="O10" s="55">
        <v>0</v>
      </c>
      <c r="P10" s="55">
        <v>0.81</v>
      </c>
      <c r="Q10" s="55">
        <v>9.56</v>
      </c>
      <c r="R10" s="43"/>
      <c r="S10" s="43"/>
      <c r="T10" s="43"/>
      <c r="U10" s="43"/>
    </row>
    <row r="11" spans="1:21" s="11" customFormat="1" x14ac:dyDescent="0.25">
      <c r="A11" s="54" t="s">
        <v>86</v>
      </c>
      <c r="B11" s="55">
        <v>22.73</v>
      </c>
      <c r="C11" s="55">
        <v>3.15</v>
      </c>
      <c r="D11" s="55">
        <v>19.18</v>
      </c>
      <c r="E11" s="55">
        <v>5.23</v>
      </c>
      <c r="F11" s="55">
        <v>5.22</v>
      </c>
      <c r="G11" s="55">
        <v>29.28</v>
      </c>
      <c r="H11" s="55">
        <v>10.99</v>
      </c>
      <c r="I11" s="55">
        <v>2.41</v>
      </c>
      <c r="J11" s="55">
        <v>0.47</v>
      </c>
      <c r="K11" s="55">
        <v>339.69</v>
      </c>
      <c r="L11" s="55">
        <v>21.94</v>
      </c>
      <c r="M11" s="55">
        <v>98.3</v>
      </c>
      <c r="N11" s="55">
        <v>40.799999999999997</v>
      </c>
      <c r="O11" s="55">
        <v>0</v>
      </c>
      <c r="P11" s="55">
        <v>0.76</v>
      </c>
      <c r="Q11" s="55">
        <v>9.4700000000000006</v>
      </c>
      <c r="R11" s="43"/>
      <c r="S11" s="43"/>
      <c r="T11" s="43"/>
      <c r="U11" s="43"/>
    </row>
    <row r="12" spans="1:21" s="11" customFormat="1" x14ac:dyDescent="0.25">
      <c r="A12" s="54" t="s">
        <v>87</v>
      </c>
      <c r="B12" s="55">
        <v>22.13</v>
      </c>
      <c r="C12" s="55">
        <v>5.01</v>
      </c>
      <c r="D12" s="55">
        <v>17.670000000000002</v>
      </c>
      <c r="E12" s="55">
        <v>5.28</v>
      </c>
      <c r="F12" s="55">
        <v>4.76</v>
      </c>
      <c r="G12" s="55">
        <v>29.28</v>
      </c>
      <c r="H12" s="55">
        <v>10.65</v>
      </c>
      <c r="I12" s="55">
        <v>2.31</v>
      </c>
      <c r="J12" s="55">
        <v>0.65</v>
      </c>
      <c r="K12" s="55">
        <v>339.37</v>
      </c>
      <c r="L12" s="55">
        <v>21.87</v>
      </c>
      <c r="M12" s="55">
        <v>98.25</v>
      </c>
      <c r="N12" s="55">
        <v>41.1</v>
      </c>
      <c r="O12" s="55">
        <v>0.2</v>
      </c>
      <c r="P12" s="55">
        <v>0.69</v>
      </c>
      <c r="Q12" s="55">
        <v>9.43</v>
      </c>
      <c r="R12" s="43"/>
      <c r="S12" s="43"/>
      <c r="T12" s="43"/>
      <c r="U12" s="43"/>
    </row>
    <row r="13" spans="1:21" s="11" customFormat="1" x14ac:dyDescent="0.25">
      <c r="A13" s="54" t="s">
        <v>88</v>
      </c>
      <c r="B13" s="55">
        <v>24.35</v>
      </c>
      <c r="C13" s="55">
        <v>4.04</v>
      </c>
      <c r="D13" s="55">
        <v>21.53</v>
      </c>
      <c r="E13" s="55">
        <v>5.32</v>
      </c>
      <c r="F13" s="55">
        <v>5.69</v>
      </c>
      <c r="G13" s="55">
        <v>28.24</v>
      </c>
      <c r="H13" s="55">
        <v>8.83</v>
      </c>
      <c r="I13" s="55">
        <v>2.19</v>
      </c>
      <c r="J13" s="55">
        <v>0.11</v>
      </c>
      <c r="K13" s="55">
        <v>330.61</v>
      </c>
      <c r="L13" s="55">
        <v>21.36</v>
      </c>
      <c r="M13" s="55">
        <v>98.25</v>
      </c>
      <c r="N13" s="55">
        <v>41.1</v>
      </c>
      <c r="O13" s="55">
        <v>0</v>
      </c>
      <c r="P13" s="55">
        <v>0.59</v>
      </c>
      <c r="Q13" s="55">
        <v>9.4499999999999993</v>
      </c>
      <c r="R13" s="43"/>
      <c r="S13" s="43"/>
      <c r="T13" s="43"/>
      <c r="U13" s="43"/>
    </row>
    <row r="14" spans="1:21" s="11" customFormat="1" x14ac:dyDescent="0.25">
      <c r="A14" s="54" t="s">
        <v>89</v>
      </c>
      <c r="B14" s="55">
        <v>25.09</v>
      </c>
      <c r="C14" s="55">
        <v>3.06</v>
      </c>
      <c r="D14" s="55">
        <v>20.02</v>
      </c>
      <c r="E14" s="55">
        <v>5.23</v>
      </c>
      <c r="F14" s="55">
        <v>5.59</v>
      </c>
      <c r="G14" s="55">
        <v>23.8</v>
      </c>
      <c r="H14" s="55">
        <v>6.19</v>
      </c>
      <c r="I14" s="55">
        <v>2.13</v>
      </c>
      <c r="J14" s="55">
        <v>0.12</v>
      </c>
      <c r="K14" s="55">
        <v>350.57</v>
      </c>
      <c r="L14" s="55">
        <v>21.31</v>
      </c>
      <c r="M14" s="55">
        <v>98.27</v>
      </c>
      <c r="N14" s="55">
        <v>42</v>
      </c>
      <c r="O14" s="55">
        <v>0.2</v>
      </c>
      <c r="P14" s="55">
        <v>0.62</v>
      </c>
      <c r="Q14" s="55">
        <v>9.4600000000000009</v>
      </c>
      <c r="R14" s="43"/>
      <c r="S14" s="43"/>
      <c r="T14" s="43"/>
      <c r="U14" s="43"/>
    </row>
    <row r="15" spans="1:21" s="11" customFormat="1" x14ac:dyDescent="0.25">
      <c r="A15" s="54" t="s">
        <v>90</v>
      </c>
      <c r="B15" s="55">
        <v>23.48</v>
      </c>
      <c r="C15" s="55">
        <v>-1.08</v>
      </c>
      <c r="D15" s="55">
        <v>18.23</v>
      </c>
      <c r="E15" s="55">
        <v>5.33</v>
      </c>
      <c r="F15" s="55">
        <v>4.59</v>
      </c>
      <c r="G15" s="55">
        <v>28.46</v>
      </c>
      <c r="H15" s="55">
        <v>4.7699999999999996</v>
      </c>
      <c r="I15" s="55">
        <v>2.0699999999999998</v>
      </c>
      <c r="J15" s="55">
        <v>0.09</v>
      </c>
      <c r="K15" s="55">
        <v>268.14999999999998</v>
      </c>
      <c r="L15" s="55">
        <v>22.06</v>
      </c>
      <c r="M15" s="55">
        <v>98.28</v>
      </c>
      <c r="N15" s="55">
        <v>115</v>
      </c>
      <c r="O15" s="55">
        <v>0</v>
      </c>
      <c r="P15" s="55">
        <v>0.6</v>
      </c>
      <c r="Q15" s="55">
        <v>9.44</v>
      </c>
      <c r="R15" s="43"/>
      <c r="S15" s="43"/>
      <c r="T15" s="43"/>
      <c r="U15" s="43"/>
    </row>
    <row r="16" spans="1:21" s="11" customFormat="1" x14ac:dyDescent="0.25">
      <c r="A16" s="54" t="s">
        <v>91</v>
      </c>
      <c r="B16" s="55">
        <v>25.47</v>
      </c>
      <c r="C16" s="55">
        <v>-1.1200000000000001</v>
      </c>
      <c r="D16" s="55">
        <v>19.84</v>
      </c>
      <c r="E16" s="55">
        <v>5.39</v>
      </c>
      <c r="F16" s="55">
        <v>4.7</v>
      </c>
      <c r="G16" s="55">
        <v>32.229999999999997</v>
      </c>
      <c r="H16" s="55">
        <v>4.93</v>
      </c>
      <c r="I16" s="55">
        <v>2.0099999999999998</v>
      </c>
      <c r="J16" s="55">
        <v>0.21</v>
      </c>
      <c r="K16" s="55">
        <v>358.25</v>
      </c>
      <c r="L16" s="55">
        <v>27.49</v>
      </c>
      <c r="M16" s="55">
        <v>98.18</v>
      </c>
      <c r="N16" s="55">
        <v>288.10000000000002</v>
      </c>
      <c r="O16" s="55">
        <v>0</v>
      </c>
      <c r="P16" s="55">
        <v>0.63</v>
      </c>
      <c r="Q16" s="55">
        <v>9.41</v>
      </c>
      <c r="R16" s="43"/>
      <c r="S16" s="43"/>
      <c r="T16" s="43"/>
      <c r="U16" s="43"/>
    </row>
    <row r="17" spans="1:21" s="11" customFormat="1" x14ac:dyDescent="0.25">
      <c r="A17" s="54" t="s">
        <v>92</v>
      </c>
      <c r="B17" s="55">
        <v>25.78</v>
      </c>
      <c r="C17" s="55">
        <v>2.84</v>
      </c>
      <c r="D17" s="55">
        <v>20.93</v>
      </c>
      <c r="E17" s="55">
        <v>5.95</v>
      </c>
      <c r="F17" s="55">
        <v>6.73</v>
      </c>
      <c r="G17" s="55">
        <v>59.45</v>
      </c>
      <c r="H17" s="55">
        <v>6.49</v>
      </c>
      <c r="I17" s="55">
        <v>2.19</v>
      </c>
      <c r="J17" s="55">
        <v>0.55000000000000004</v>
      </c>
      <c r="K17" s="55">
        <v>344.11</v>
      </c>
      <c r="L17" s="55">
        <v>28.42</v>
      </c>
      <c r="M17" s="55">
        <v>86.38</v>
      </c>
      <c r="N17" s="55">
        <v>513.4</v>
      </c>
      <c r="O17" s="55">
        <v>0</v>
      </c>
      <c r="P17" s="55">
        <v>0.61</v>
      </c>
      <c r="Q17" s="55">
        <v>9.52</v>
      </c>
      <c r="R17" s="43"/>
      <c r="S17" s="43"/>
      <c r="T17" s="43"/>
      <c r="U17" s="43"/>
    </row>
    <row r="18" spans="1:21" s="11" customFormat="1" x14ac:dyDescent="0.25">
      <c r="A18" s="54" t="s">
        <v>93</v>
      </c>
      <c r="B18" s="55">
        <v>21.19</v>
      </c>
      <c r="C18" s="55">
        <v>9.07</v>
      </c>
      <c r="D18" s="55">
        <v>21.17</v>
      </c>
      <c r="E18" s="55">
        <v>7.91</v>
      </c>
      <c r="F18" s="55">
        <v>9.86</v>
      </c>
      <c r="G18" s="55">
        <v>59.45</v>
      </c>
      <c r="H18" s="55">
        <v>8.5399999999999991</v>
      </c>
      <c r="I18" s="55">
        <v>2.2799999999999998</v>
      </c>
      <c r="J18" s="55">
        <v>0.47</v>
      </c>
      <c r="K18" s="55">
        <v>346.29</v>
      </c>
      <c r="L18" s="55">
        <v>29.91</v>
      </c>
      <c r="M18" s="55">
        <v>83.55</v>
      </c>
      <c r="N18" s="55">
        <v>532.79999999999995</v>
      </c>
      <c r="O18" s="55">
        <v>0</v>
      </c>
      <c r="P18" s="55">
        <v>0.69</v>
      </c>
      <c r="Q18" s="55">
        <v>9.5399999999999991</v>
      </c>
      <c r="R18" s="43"/>
      <c r="S18" s="43"/>
      <c r="T18" s="43"/>
      <c r="U18" s="43"/>
    </row>
    <row r="19" spans="1:21" s="11" customFormat="1" x14ac:dyDescent="0.25">
      <c r="A19" s="54" t="s">
        <v>94</v>
      </c>
      <c r="B19" s="55">
        <v>20.43</v>
      </c>
      <c r="C19" s="55">
        <v>12.25</v>
      </c>
      <c r="D19" s="55">
        <v>19.23</v>
      </c>
      <c r="E19" s="55">
        <v>7.58</v>
      </c>
      <c r="F19" s="55">
        <v>12.94</v>
      </c>
      <c r="G19" s="55">
        <v>50.08</v>
      </c>
      <c r="H19" s="55">
        <v>8.5399999999999991</v>
      </c>
      <c r="I19" s="55">
        <v>2.27</v>
      </c>
      <c r="J19" s="55">
        <v>0.6</v>
      </c>
      <c r="K19" s="55">
        <v>347.55</v>
      </c>
      <c r="L19" s="55">
        <v>28.72</v>
      </c>
      <c r="M19" s="55">
        <v>76.95</v>
      </c>
      <c r="N19" s="55">
        <v>739.2</v>
      </c>
      <c r="O19" s="55">
        <v>0</v>
      </c>
      <c r="P19" s="55">
        <v>0.66</v>
      </c>
      <c r="Q19" s="55">
        <v>9.5299999999999994</v>
      </c>
      <c r="R19" s="43"/>
      <c r="S19" s="43"/>
      <c r="T19" s="43"/>
      <c r="U19" s="43"/>
    </row>
    <row r="20" spans="1:21" s="11" customFormat="1" x14ac:dyDescent="0.25">
      <c r="A20" s="54" t="s">
        <v>95</v>
      </c>
      <c r="B20" s="55">
        <v>16.3</v>
      </c>
      <c r="C20" s="55">
        <v>8.64</v>
      </c>
      <c r="D20" s="55">
        <v>15.68</v>
      </c>
      <c r="E20" s="55">
        <v>7.14</v>
      </c>
      <c r="F20" s="55">
        <v>12.27</v>
      </c>
      <c r="G20" s="55">
        <v>50.08</v>
      </c>
      <c r="H20" s="55">
        <v>7.95</v>
      </c>
      <c r="I20" s="55">
        <v>2.56</v>
      </c>
      <c r="J20" s="55">
        <v>0.21</v>
      </c>
      <c r="K20" s="55">
        <v>171.33</v>
      </c>
      <c r="L20" s="55">
        <v>29.41</v>
      </c>
      <c r="M20" s="55">
        <v>72.22</v>
      </c>
      <c r="N20" s="55">
        <v>548.79999999999995</v>
      </c>
      <c r="O20" s="55">
        <v>0</v>
      </c>
      <c r="P20" s="55">
        <v>0.61</v>
      </c>
      <c r="Q20" s="55">
        <v>9.3800000000000008</v>
      </c>
      <c r="R20" s="43"/>
      <c r="S20" s="43"/>
      <c r="T20" s="43"/>
      <c r="U20" s="43"/>
    </row>
    <row r="21" spans="1:21" s="11" customFormat="1" x14ac:dyDescent="0.25">
      <c r="A21" s="54" t="s">
        <v>96</v>
      </c>
      <c r="B21" s="55">
        <v>15.24</v>
      </c>
      <c r="C21" s="55">
        <v>13.85</v>
      </c>
      <c r="D21" s="55">
        <v>18.5</v>
      </c>
      <c r="E21" s="55">
        <v>7.88</v>
      </c>
      <c r="F21" s="55">
        <v>15.66</v>
      </c>
      <c r="G21" s="55">
        <v>48.4</v>
      </c>
      <c r="H21" s="55">
        <v>7.95</v>
      </c>
      <c r="I21" s="55">
        <v>2.4700000000000002</v>
      </c>
      <c r="J21" s="55">
        <v>0.44</v>
      </c>
      <c r="K21" s="55">
        <v>348.23</v>
      </c>
      <c r="L21" s="55">
        <v>32.07</v>
      </c>
      <c r="M21" s="55">
        <v>62.55</v>
      </c>
      <c r="N21" s="55">
        <v>669.9</v>
      </c>
      <c r="O21" s="55">
        <v>0</v>
      </c>
      <c r="P21" s="55">
        <v>0.65</v>
      </c>
      <c r="Q21" s="55">
        <v>9.26</v>
      </c>
      <c r="R21" s="43"/>
      <c r="S21" s="43"/>
      <c r="T21" s="43"/>
      <c r="U21" s="43"/>
    </row>
    <row r="22" spans="1:21" s="11" customFormat="1" x14ac:dyDescent="0.25">
      <c r="A22" s="54" t="s">
        <v>97</v>
      </c>
      <c r="B22" s="55">
        <v>13.52</v>
      </c>
      <c r="C22" s="55">
        <v>14.11</v>
      </c>
      <c r="D22" s="55">
        <v>18.22</v>
      </c>
      <c r="E22" s="55">
        <v>8.2200000000000006</v>
      </c>
      <c r="F22" s="55">
        <v>17.16</v>
      </c>
      <c r="G22" s="55">
        <v>44.98</v>
      </c>
      <c r="H22" s="55">
        <v>7.93</v>
      </c>
      <c r="I22" s="55">
        <v>2.2999999999999998</v>
      </c>
      <c r="J22" s="55">
        <v>1.03</v>
      </c>
      <c r="K22" s="55">
        <v>339.46</v>
      </c>
      <c r="L22" s="55">
        <v>31.99</v>
      </c>
      <c r="M22" s="55">
        <v>58.21</v>
      </c>
      <c r="N22" s="55">
        <v>256.39999999999998</v>
      </c>
      <c r="O22" s="55">
        <v>0</v>
      </c>
      <c r="P22" s="55">
        <v>0.6</v>
      </c>
      <c r="Q22" s="55">
        <v>9.24</v>
      </c>
      <c r="R22" s="43"/>
      <c r="S22" s="43"/>
      <c r="T22" s="43"/>
      <c r="U22" s="43"/>
    </row>
    <row r="23" spans="1:21" s="11" customFormat="1" x14ac:dyDescent="0.25">
      <c r="A23" s="54" t="s">
        <v>98</v>
      </c>
      <c r="B23" s="55">
        <v>15.65</v>
      </c>
      <c r="C23" s="55">
        <v>16.52</v>
      </c>
      <c r="D23" s="55">
        <v>18.59</v>
      </c>
      <c r="E23" s="55">
        <v>8.6999999999999993</v>
      </c>
      <c r="F23" s="55">
        <v>16.54</v>
      </c>
      <c r="G23" s="55">
        <v>45.23</v>
      </c>
      <c r="H23" s="55">
        <v>7.93</v>
      </c>
      <c r="I23" s="55">
        <v>1.95</v>
      </c>
      <c r="J23" s="55">
        <v>0.85</v>
      </c>
      <c r="K23" s="55">
        <v>339.29</v>
      </c>
      <c r="L23" s="55">
        <v>30.14</v>
      </c>
      <c r="M23" s="55">
        <v>63.42</v>
      </c>
      <c r="N23" s="55">
        <v>200.8</v>
      </c>
      <c r="O23" s="55">
        <v>0</v>
      </c>
      <c r="P23" s="55">
        <v>0.71</v>
      </c>
      <c r="Q23" s="55">
        <v>9.24</v>
      </c>
      <c r="R23" s="43"/>
      <c r="S23" s="43"/>
      <c r="T23" s="43"/>
      <c r="U23" s="43"/>
    </row>
    <row r="24" spans="1:21" s="11" customFormat="1" x14ac:dyDescent="0.25">
      <c r="A24" s="54" t="s">
        <v>99</v>
      </c>
      <c r="B24" s="55">
        <v>13.21</v>
      </c>
      <c r="C24" s="55">
        <v>13.7</v>
      </c>
      <c r="D24" s="55">
        <v>17.75</v>
      </c>
      <c r="E24" s="55">
        <v>7.43</v>
      </c>
      <c r="F24" s="55">
        <v>14.9</v>
      </c>
      <c r="G24" s="55">
        <v>45.23</v>
      </c>
      <c r="H24" s="55">
        <v>7.91</v>
      </c>
      <c r="I24" s="55">
        <v>1.88</v>
      </c>
      <c r="J24" s="55">
        <v>1.2</v>
      </c>
      <c r="K24" s="55">
        <v>338.59</v>
      </c>
      <c r="L24" s="55">
        <v>29.63</v>
      </c>
      <c r="M24" s="55">
        <v>61.02</v>
      </c>
      <c r="N24" s="55">
        <v>129.69999999999999</v>
      </c>
      <c r="O24" s="55">
        <v>0.2</v>
      </c>
      <c r="P24" s="55">
        <v>0.55000000000000004</v>
      </c>
      <c r="Q24" s="55">
        <v>9.17</v>
      </c>
      <c r="R24" s="43"/>
      <c r="S24" s="43"/>
      <c r="T24" s="43"/>
      <c r="U24" s="43"/>
    </row>
    <row r="25" spans="1:21" s="11" customFormat="1" x14ac:dyDescent="0.25">
      <c r="A25" s="54" t="s">
        <v>100</v>
      </c>
      <c r="B25" s="55">
        <v>15.51</v>
      </c>
      <c r="C25" s="55">
        <v>11.61</v>
      </c>
      <c r="D25" s="55">
        <v>18.5</v>
      </c>
      <c r="E25" s="55">
        <v>6.49</v>
      </c>
      <c r="F25" s="55">
        <v>12.3</v>
      </c>
      <c r="G25" s="55">
        <v>36.31</v>
      </c>
      <c r="H25" s="55">
        <v>7.91</v>
      </c>
      <c r="I25" s="55">
        <v>1.8</v>
      </c>
      <c r="J25" s="55">
        <v>1.06</v>
      </c>
      <c r="K25" s="55">
        <v>339.08</v>
      </c>
      <c r="L25" s="55">
        <v>28.92</v>
      </c>
      <c r="M25" s="55">
        <v>69.989999999999995</v>
      </c>
      <c r="N25" s="55">
        <v>74.599999999999994</v>
      </c>
      <c r="O25" s="55">
        <v>0</v>
      </c>
      <c r="P25" s="55">
        <v>0.6</v>
      </c>
      <c r="Q25" s="55">
        <v>9.16</v>
      </c>
      <c r="R25" s="43"/>
      <c r="S25" s="43"/>
      <c r="T25" s="43"/>
      <c r="U25" s="43"/>
    </row>
    <row r="26" spans="1:21" s="11" customFormat="1" x14ac:dyDescent="0.25">
      <c r="A26" s="54" t="s">
        <v>101</v>
      </c>
      <c r="B26" s="55">
        <v>19.91</v>
      </c>
      <c r="C26" s="55">
        <v>16.45</v>
      </c>
      <c r="D26" s="55">
        <v>24.56</v>
      </c>
      <c r="E26" s="55">
        <v>7.57</v>
      </c>
      <c r="F26" s="55">
        <v>12.59</v>
      </c>
      <c r="G26" s="55">
        <v>27.53</v>
      </c>
      <c r="H26" s="55">
        <v>7.52</v>
      </c>
      <c r="I26" s="55">
        <v>1.74</v>
      </c>
      <c r="J26" s="55">
        <v>0.88</v>
      </c>
      <c r="K26" s="55">
        <v>341.53</v>
      </c>
      <c r="L26" s="55">
        <v>27.54</v>
      </c>
      <c r="M26" s="55">
        <v>80.510000000000005</v>
      </c>
      <c r="N26" s="55">
        <v>52.3</v>
      </c>
      <c r="O26" s="55">
        <v>0.2</v>
      </c>
      <c r="P26" s="55">
        <v>0.99</v>
      </c>
      <c r="Q26" s="55">
        <v>9.24</v>
      </c>
      <c r="R26" s="43"/>
      <c r="S26" s="43"/>
      <c r="T26" s="43"/>
      <c r="U26" s="43"/>
    </row>
    <row r="27" spans="1:21" s="11" customFormat="1" x14ac:dyDescent="0.25">
      <c r="A27" s="54" t="s">
        <v>102</v>
      </c>
      <c r="B27" s="55">
        <v>35.020000000000003</v>
      </c>
      <c r="C27" s="55">
        <v>19.68</v>
      </c>
      <c r="D27" s="55">
        <v>38.36</v>
      </c>
      <c r="E27" s="55">
        <v>8.5</v>
      </c>
      <c r="F27" s="55">
        <v>9.98</v>
      </c>
      <c r="G27" s="55">
        <v>42.79</v>
      </c>
      <c r="H27" s="55">
        <v>7.39</v>
      </c>
      <c r="I27" s="55">
        <v>1.95</v>
      </c>
      <c r="J27" s="55">
        <v>0.49</v>
      </c>
      <c r="K27" s="55">
        <v>341.85</v>
      </c>
      <c r="L27" s="55">
        <v>26.23</v>
      </c>
      <c r="M27" s="55">
        <v>91.63</v>
      </c>
      <c r="N27" s="55">
        <v>46.9</v>
      </c>
      <c r="O27" s="55">
        <v>0</v>
      </c>
      <c r="P27" s="55">
        <v>1.48</v>
      </c>
      <c r="Q27" s="55">
        <v>9.27</v>
      </c>
      <c r="R27" s="43"/>
      <c r="S27" s="43"/>
      <c r="T27" s="43"/>
      <c r="U27" s="43"/>
    </row>
    <row r="28" spans="1:21" s="11" customFormat="1" x14ac:dyDescent="0.25">
      <c r="A28" s="54" t="s">
        <v>103</v>
      </c>
      <c r="B28" s="55">
        <v>85.27</v>
      </c>
      <c r="C28" s="55">
        <v>27.53</v>
      </c>
      <c r="D28" s="55">
        <v>69.349999999999994</v>
      </c>
      <c r="E28" s="55">
        <v>7.96</v>
      </c>
      <c r="F28" s="55">
        <v>7.1</v>
      </c>
      <c r="G28" s="55">
        <v>66.34</v>
      </c>
      <c r="H28" s="55">
        <v>10.33</v>
      </c>
      <c r="I28" s="55">
        <v>2.34</v>
      </c>
      <c r="J28" s="55">
        <v>0.12</v>
      </c>
      <c r="K28" s="55">
        <v>340.49</v>
      </c>
      <c r="L28" s="55">
        <v>25.18</v>
      </c>
      <c r="M28" s="55">
        <v>98.02</v>
      </c>
      <c r="N28" s="55">
        <v>46.9</v>
      </c>
      <c r="O28" s="55">
        <v>0</v>
      </c>
      <c r="P28" s="55">
        <v>2.2400000000000002</v>
      </c>
      <c r="Q28" s="55">
        <v>9.36</v>
      </c>
      <c r="R28" s="43"/>
      <c r="S28" s="43"/>
      <c r="T28" s="43"/>
      <c r="U28" s="43"/>
    </row>
    <row r="29" spans="1:21" s="11" customFormat="1" x14ac:dyDescent="0.25">
      <c r="A29" s="54" t="s">
        <v>104</v>
      </c>
      <c r="B29" s="55">
        <v>92.49</v>
      </c>
      <c r="C29" s="55">
        <v>3.38</v>
      </c>
      <c r="D29" s="55">
        <v>73.680000000000007</v>
      </c>
      <c r="E29" s="55">
        <v>7.62</v>
      </c>
      <c r="F29" s="55">
        <v>5.87</v>
      </c>
      <c r="G29" s="55">
        <v>76.17</v>
      </c>
      <c r="H29" s="55">
        <v>11.45</v>
      </c>
      <c r="I29" s="55">
        <v>3.1</v>
      </c>
      <c r="J29" s="55">
        <v>0.19</v>
      </c>
      <c r="K29" s="55">
        <v>347.21</v>
      </c>
      <c r="L29" s="55">
        <v>24.42</v>
      </c>
      <c r="M29" s="55">
        <v>98.1</v>
      </c>
      <c r="N29" s="55">
        <v>46.8</v>
      </c>
      <c r="O29" s="55">
        <v>0</v>
      </c>
      <c r="P29" s="55">
        <v>2.2599999999999998</v>
      </c>
      <c r="Q29" s="55">
        <v>9.6300000000000008</v>
      </c>
      <c r="R29" s="43"/>
      <c r="S29" s="43"/>
      <c r="T29" s="43"/>
      <c r="U29" s="43"/>
    </row>
    <row r="30" spans="1:21" s="11" customFormat="1" x14ac:dyDescent="0.25">
      <c r="A30" s="54" t="s">
        <v>105</v>
      </c>
      <c r="B30" s="55">
        <v>92.65</v>
      </c>
      <c r="C30" s="55">
        <v>12.54</v>
      </c>
      <c r="D30" s="55">
        <v>73.27</v>
      </c>
      <c r="E30" s="55">
        <v>7.37</v>
      </c>
      <c r="F30" s="55">
        <v>8.15</v>
      </c>
      <c r="G30" s="55">
        <v>98.93</v>
      </c>
      <c r="H30" s="55">
        <v>14.93</v>
      </c>
      <c r="I30" s="55">
        <v>3.61</v>
      </c>
      <c r="J30" s="55">
        <v>0.12</v>
      </c>
      <c r="K30" s="55">
        <v>312.95</v>
      </c>
      <c r="L30" s="55">
        <v>24.47</v>
      </c>
      <c r="M30" s="55">
        <v>98.09</v>
      </c>
      <c r="N30" s="55">
        <v>47</v>
      </c>
      <c r="O30" s="55">
        <v>0</v>
      </c>
      <c r="P30" s="55">
        <v>1.67</v>
      </c>
      <c r="Q30" s="55">
        <v>9.67</v>
      </c>
      <c r="R30" s="43"/>
      <c r="S30" s="43"/>
      <c r="T30" s="43"/>
      <c r="U30" s="43"/>
    </row>
    <row r="31" spans="1:21" s="11" customFormat="1" x14ac:dyDescent="0.25">
      <c r="A31" s="54" t="s">
        <v>106</v>
      </c>
      <c r="B31" s="55">
        <v>42.09</v>
      </c>
      <c r="C31" s="55">
        <v>11.7</v>
      </c>
      <c r="D31" s="55">
        <v>38.200000000000003</v>
      </c>
      <c r="E31" s="55">
        <v>6.79</v>
      </c>
      <c r="F31" s="55">
        <v>7.81</v>
      </c>
      <c r="G31" s="55">
        <v>98.93</v>
      </c>
      <c r="H31" s="55">
        <v>16.760000000000002</v>
      </c>
      <c r="I31" s="55">
        <v>3.79</v>
      </c>
      <c r="J31" s="55">
        <v>0.18</v>
      </c>
      <c r="K31" s="55">
        <v>353.38</v>
      </c>
      <c r="L31" s="55">
        <v>24.24</v>
      </c>
      <c r="M31" s="55">
        <v>98.07</v>
      </c>
      <c r="N31" s="55">
        <v>47.2</v>
      </c>
      <c r="O31" s="55">
        <v>0</v>
      </c>
      <c r="P31" s="55">
        <v>1.34</v>
      </c>
      <c r="Q31" s="55">
        <v>9.68</v>
      </c>
      <c r="R31" s="43"/>
      <c r="S31" s="43"/>
      <c r="T31" s="43"/>
      <c r="U31" s="43"/>
    </row>
    <row r="32" spans="1:21" s="11" customFormat="1" x14ac:dyDescent="0.25">
      <c r="A32" s="54" t="s">
        <v>107</v>
      </c>
      <c r="B32" s="55">
        <v>43.81</v>
      </c>
      <c r="C32" s="55">
        <v>10.039999999999999</v>
      </c>
      <c r="D32" s="55">
        <v>36.57</v>
      </c>
      <c r="E32" s="55">
        <v>6.28</v>
      </c>
      <c r="F32" s="55">
        <v>8.49</v>
      </c>
      <c r="G32" s="55">
        <v>90.66</v>
      </c>
      <c r="H32" s="55">
        <v>16.760000000000002</v>
      </c>
      <c r="I32" s="55">
        <v>3.78</v>
      </c>
      <c r="J32" s="55">
        <v>0.18</v>
      </c>
      <c r="K32" s="55">
        <v>338.41</v>
      </c>
      <c r="L32" s="55">
        <v>23.69</v>
      </c>
      <c r="M32" s="55">
        <v>98.13</v>
      </c>
      <c r="N32" s="55">
        <v>47.1</v>
      </c>
      <c r="O32" s="55">
        <v>0</v>
      </c>
      <c r="P32" s="55">
        <v>1.0900000000000001</v>
      </c>
      <c r="Q32" s="55">
        <v>9.68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13.21</v>
      </c>
      <c r="C34" s="28">
        <f t="shared" si="0"/>
        <v>-1.1200000000000001</v>
      </c>
      <c r="D34" s="28">
        <f t="shared" si="0"/>
        <v>15.68</v>
      </c>
      <c r="E34" s="28">
        <f t="shared" si="0"/>
        <v>5.23</v>
      </c>
      <c r="F34" s="28">
        <f t="shared" si="0"/>
        <v>4.59</v>
      </c>
      <c r="G34" s="28">
        <f t="shared" si="0"/>
        <v>23.8</v>
      </c>
      <c r="H34" s="28">
        <f t="shared" si="0"/>
        <v>4.7699999999999996</v>
      </c>
      <c r="I34" s="28">
        <f t="shared" si="0"/>
        <v>1.74</v>
      </c>
      <c r="J34" s="28">
        <f t="shared" si="0"/>
        <v>0.09</v>
      </c>
      <c r="K34" s="28">
        <f t="shared" si="0"/>
        <v>171.33</v>
      </c>
      <c r="L34" s="28">
        <f t="shared" si="0"/>
        <v>21.31</v>
      </c>
      <c r="M34" s="28">
        <f t="shared" si="0"/>
        <v>58.21</v>
      </c>
      <c r="N34" s="28">
        <f t="shared" si="0"/>
        <v>40.799999999999997</v>
      </c>
      <c r="O34" s="28">
        <f t="shared" si="0"/>
        <v>0</v>
      </c>
      <c r="P34" s="28">
        <f t="shared" si="0"/>
        <v>0.55000000000000004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92.65</v>
      </c>
      <c r="C35" s="29">
        <f t="shared" si="1"/>
        <v>27.53</v>
      </c>
      <c r="D35" s="29">
        <f t="shared" si="1"/>
        <v>73.680000000000007</v>
      </c>
      <c r="E35" s="29">
        <f t="shared" si="1"/>
        <v>8.6999999999999993</v>
      </c>
      <c r="F35" s="29">
        <f t="shared" si="1"/>
        <v>17.16</v>
      </c>
      <c r="G35" s="29">
        <f t="shared" si="1"/>
        <v>98.93</v>
      </c>
      <c r="H35" s="29">
        <f t="shared" si="1"/>
        <v>23.22</v>
      </c>
      <c r="I35" s="29">
        <f t="shared" si="1"/>
        <v>3.79</v>
      </c>
      <c r="J35" s="29">
        <f t="shared" si="1"/>
        <v>1.2</v>
      </c>
      <c r="K35" s="29">
        <f t="shared" si="1"/>
        <v>358.25</v>
      </c>
      <c r="L35" s="29">
        <f t="shared" si="1"/>
        <v>32.07</v>
      </c>
      <c r="M35" s="29">
        <f t="shared" si="1"/>
        <v>98.3</v>
      </c>
      <c r="N35" s="29">
        <f t="shared" si="1"/>
        <v>739.2</v>
      </c>
      <c r="O35" s="29">
        <f t="shared" si="1"/>
        <v>0.2</v>
      </c>
      <c r="P35" s="29">
        <f t="shared" si="1"/>
        <v>2.2599999999999998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31.471249999999998</v>
      </c>
      <c r="C36" s="28">
        <f t="shared" si="2"/>
        <v>9.4583333333333321</v>
      </c>
      <c r="D36" s="28">
        <f t="shared" si="2"/>
        <v>28.181666666666668</v>
      </c>
      <c r="E36" s="28">
        <f t="shared" si="2"/>
        <v>6.8204166666666666</v>
      </c>
      <c r="F36" s="28">
        <f t="shared" si="2"/>
        <v>9.2341666666666669</v>
      </c>
      <c r="G36" s="28">
        <f t="shared" si="2"/>
        <v>51.928750000000008</v>
      </c>
      <c r="H36" s="28">
        <f t="shared" si="2"/>
        <v>10.096666666666666</v>
      </c>
      <c r="I36" s="28">
        <f t="shared" si="2"/>
        <v>2.4362500000000007</v>
      </c>
      <c r="J36" s="28">
        <f t="shared" si="2"/>
        <v>0.44958333333333328</v>
      </c>
      <c r="K36" s="28">
        <f t="shared" si="2"/>
        <v>332.3654166666667</v>
      </c>
      <c r="L36" s="28">
        <f t="shared" si="2"/>
        <v>26.055416666666673</v>
      </c>
      <c r="M36" s="28">
        <f t="shared" si="2"/>
        <v>86.78749999999998</v>
      </c>
      <c r="N36" s="28">
        <f t="shared" si="2"/>
        <v>193.75416666666669</v>
      </c>
      <c r="O36" s="28">
        <f t="shared" si="2"/>
        <v>3.3333333333333333E-2</v>
      </c>
      <c r="P36" s="28">
        <f t="shared" si="2"/>
        <v>0.92375000000000007</v>
      </c>
      <c r="Q36" s="28">
        <f t="shared" si="2"/>
        <v>9.432500000000001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23.981894132775505</v>
      </c>
      <c r="C37" s="28">
        <f t="shared" ref="C37:Q37" si="3">STDEV(C9:C32)</f>
        <v>6.8850465987287741</v>
      </c>
      <c r="D37" s="28">
        <f t="shared" si="3"/>
        <v>18.13423801558249</v>
      </c>
      <c r="E37" s="28">
        <f t="shared" si="3"/>
        <v>1.1461408941641298</v>
      </c>
      <c r="F37" s="28">
        <f t="shared" si="3"/>
        <v>4.0739532308970139</v>
      </c>
      <c r="G37" s="28">
        <f t="shared" si="3"/>
        <v>24.067853413521988</v>
      </c>
      <c r="H37" s="28">
        <f t="shared" si="3"/>
        <v>4.4704845245295308</v>
      </c>
      <c r="I37" s="28">
        <f t="shared" si="3"/>
        <v>0.585393308884679</v>
      </c>
      <c r="J37" s="28">
        <f t="shared" si="3"/>
        <v>0.33971188773233524</v>
      </c>
      <c r="K37" s="28">
        <f t="shared" si="3"/>
        <v>38.576313410440385</v>
      </c>
      <c r="L37" s="28">
        <f t="shared" si="3"/>
        <v>3.5653403754415121</v>
      </c>
      <c r="M37" s="28">
        <f t="shared" si="3"/>
        <v>14.698589772639769</v>
      </c>
      <c r="N37" s="28">
        <f t="shared" si="3"/>
        <v>227.81420534241735</v>
      </c>
      <c r="O37" s="28">
        <f t="shared" si="3"/>
        <v>7.6138698762688112E-2</v>
      </c>
      <c r="P37" s="28">
        <f t="shared" si="3"/>
        <v>0.50696721873269557</v>
      </c>
      <c r="Q37" s="28">
        <f t="shared" si="3"/>
        <v>0.1627548169326567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K25" sqref="K25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108</v>
      </c>
      <c r="B9" s="55">
        <v>36.4</v>
      </c>
      <c r="C9" s="55">
        <v>11.69</v>
      </c>
      <c r="D9" s="55">
        <v>27.95</v>
      </c>
      <c r="E9" s="55">
        <v>5.32</v>
      </c>
      <c r="F9" s="55">
        <v>5.25</v>
      </c>
      <c r="G9" s="55">
        <v>78.13</v>
      </c>
      <c r="H9" s="55">
        <v>15.2</v>
      </c>
      <c r="I9" s="55">
        <v>3.67</v>
      </c>
      <c r="J9" s="55">
        <v>0.18</v>
      </c>
      <c r="K9" s="55">
        <v>326.75</v>
      </c>
      <c r="L9" s="55">
        <v>23.03</v>
      </c>
      <c r="M9" s="55">
        <v>98.26</v>
      </c>
      <c r="N9" s="55">
        <v>47.1</v>
      </c>
      <c r="O9" s="55">
        <v>0</v>
      </c>
      <c r="P9" s="55">
        <v>1.1299999999999999</v>
      </c>
      <c r="Q9" s="55">
        <v>9.67</v>
      </c>
      <c r="R9" s="43"/>
      <c r="S9" s="43"/>
      <c r="T9" s="43"/>
      <c r="U9" s="43"/>
    </row>
    <row r="10" spans="1:21" s="11" customFormat="1" x14ac:dyDescent="0.25">
      <c r="A10" s="54" t="s">
        <v>109</v>
      </c>
      <c r="B10" s="55">
        <v>30.89</v>
      </c>
      <c r="C10" s="55">
        <v>8.81</v>
      </c>
      <c r="D10" s="55">
        <v>26.21</v>
      </c>
      <c r="E10" s="55">
        <v>4.9400000000000004</v>
      </c>
      <c r="F10" s="55">
        <v>6.19</v>
      </c>
      <c r="G10" s="55">
        <v>64.2</v>
      </c>
      <c r="H10" s="55">
        <v>11.41</v>
      </c>
      <c r="I10" s="55">
        <v>3.62</v>
      </c>
      <c r="J10" s="55">
        <v>0.08</v>
      </c>
      <c r="K10" s="55">
        <v>300.5</v>
      </c>
      <c r="L10" s="55">
        <v>22.61</v>
      </c>
      <c r="M10" s="55">
        <v>98.3</v>
      </c>
      <c r="N10" s="55">
        <v>47.2</v>
      </c>
      <c r="O10" s="55">
        <v>0</v>
      </c>
      <c r="P10" s="55">
        <v>0.84</v>
      </c>
      <c r="Q10" s="55">
        <v>9.67</v>
      </c>
      <c r="R10" s="43"/>
      <c r="S10" s="43"/>
      <c r="T10" s="43"/>
      <c r="U10" s="43"/>
    </row>
    <row r="11" spans="1:21" s="11" customFormat="1" x14ac:dyDescent="0.25">
      <c r="A11" s="54" t="s">
        <v>110</v>
      </c>
      <c r="B11" s="55">
        <v>25.73</v>
      </c>
      <c r="C11" s="55">
        <v>6.55</v>
      </c>
      <c r="D11" s="55">
        <v>24.06</v>
      </c>
      <c r="E11" s="55">
        <v>4.9800000000000004</v>
      </c>
      <c r="F11" s="55">
        <v>7.63</v>
      </c>
      <c r="G11" s="55">
        <v>56.82</v>
      </c>
      <c r="H11" s="55">
        <v>11.99</v>
      </c>
      <c r="I11" s="55">
        <v>3.5</v>
      </c>
      <c r="J11" s="55">
        <v>0.13</v>
      </c>
      <c r="K11" s="55">
        <v>351.16</v>
      </c>
      <c r="L11" s="55">
        <v>22.5</v>
      </c>
      <c r="M11" s="55">
        <v>98.35</v>
      </c>
      <c r="N11" s="55">
        <v>47.2</v>
      </c>
      <c r="O11" s="55">
        <v>0</v>
      </c>
      <c r="P11" s="55">
        <v>0.72</v>
      </c>
      <c r="Q11" s="55">
        <v>9.67</v>
      </c>
      <c r="R11" s="43"/>
      <c r="S11" s="43"/>
      <c r="T11" s="43"/>
      <c r="U11" s="43"/>
    </row>
    <row r="12" spans="1:21" s="11" customFormat="1" x14ac:dyDescent="0.25">
      <c r="A12" s="54" t="s">
        <v>111</v>
      </c>
      <c r="B12" s="55">
        <v>34.619999999999997</v>
      </c>
      <c r="C12" s="55">
        <v>5.53</v>
      </c>
      <c r="D12" s="55">
        <v>27.25</v>
      </c>
      <c r="E12" s="55">
        <v>4.7</v>
      </c>
      <c r="F12" s="55">
        <v>6.68</v>
      </c>
      <c r="G12" s="55">
        <v>49.04</v>
      </c>
      <c r="H12" s="55">
        <v>11.99</v>
      </c>
      <c r="I12" s="55">
        <v>3.43</v>
      </c>
      <c r="J12" s="55">
        <v>0.14000000000000001</v>
      </c>
      <c r="K12" s="55">
        <v>347.4</v>
      </c>
      <c r="L12" s="55">
        <v>22.1</v>
      </c>
      <c r="M12" s="55">
        <v>98.4</v>
      </c>
      <c r="N12" s="55">
        <v>47.2</v>
      </c>
      <c r="O12" s="55">
        <v>0</v>
      </c>
      <c r="P12" s="55">
        <v>0.81</v>
      </c>
      <c r="Q12" s="55">
        <v>9.66</v>
      </c>
      <c r="R12" s="43"/>
      <c r="S12" s="43"/>
      <c r="T12" s="43"/>
      <c r="U12" s="43"/>
    </row>
    <row r="13" spans="1:21" s="11" customFormat="1" x14ac:dyDescent="0.25">
      <c r="A13" s="54" t="s">
        <v>112</v>
      </c>
      <c r="B13" s="55">
        <v>26.03</v>
      </c>
      <c r="C13" s="55">
        <v>9.08</v>
      </c>
      <c r="D13" s="55">
        <v>22.13</v>
      </c>
      <c r="E13" s="55">
        <v>4.88</v>
      </c>
      <c r="F13" s="55">
        <v>6.32</v>
      </c>
      <c r="G13" s="55">
        <v>54.28</v>
      </c>
      <c r="H13" s="55">
        <v>11.33</v>
      </c>
      <c r="I13" s="55">
        <v>3.34</v>
      </c>
      <c r="J13" s="55">
        <v>7.0000000000000007E-2</v>
      </c>
      <c r="K13" s="55">
        <v>359.91</v>
      </c>
      <c r="L13" s="55">
        <v>21.93</v>
      </c>
      <c r="M13" s="55">
        <v>98.36</v>
      </c>
      <c r="N13" s="55">
        <v>47.3</v>
      </c>
      <c r="O13" s="55">
        <v>0.2</v>
      </c>
      <c r="P13" s="55">
        <v>0.77</v>
      </c>
      <c r="Q13" s="55">
        <v>9.65</v>
      </c>
      <c r="R13" s="43"/>
      <c r="S13" s="43"/>
      <c r="T13" s="43"/>
      <c r="U13" s="43"/>
    </row>
    <row r="14" spans="1:21" s="11" customFormat="1" x14ac:dyDescent="0.25">
      <c r="A14" s="54" t="s">
        <v>113</v>
      </c>
      <c r="B14" s="55">
        <v>29.39</v>
      </c>
      <c r="C14" s="55">
        <v>7.99</v>
      </c>
      <c r="D14" s="55">
        <v>22.79</v>
      </c>
      <c r="E14" s="55">
        <v>4.71</v>
      </c>
      <c r="F14" s="55">
        <v>5.42</v>
      </c>
      <c r="G14" s="55">
        <v>54.28</v>
      </c>
      <c r="H14" s="55">
        <v>11.33</v>
      </c>
      <c r="I14" s="55">
        <v>3.26</v>
      </c>
      <c r="J14" s="55">
        <v>0.11</v>
      </c>
      <c r="K14" s="55">
        <v>324.60000000000002</v>
      </c>
      <c r="L14" s="55">
        <v>21.86</v>
      </c>
      <c r="M14" s="55">
        <v>98.29</v>
      </c>
      <c r="N14" s="55">
        <v>48.8</v>
      </c>
      <c r="O14" s="55">
        <v>0</v>
      </c>
      <c r="P14" s="55">
        <v>0.79</v>
      </c>
      <c r="Q14" s="55">
        <v>9.6199999999999992</v>
      </c>
      <c r="R14" s="43"/>
      <c r="S14" s="43"/>
      <c r="T14" s="43"/>
      <c r="U14" s="43"/>
    </row>
    <row r="15" spans="1:21" s="11" customFormat="1" x14ac:dyDescent="0.25">
      <c r="A15" s="54" t="s">
        <v>114</v>
      </c>
      <c r="B15" s="55">
        <v>23.69</v>
      </c>
      <c r="C15" s="55">
        <v>9.19</v>
      </c>
      <c r="D15" s="55">
        <v>20.66</v>
      </c>
      <c r="E15" s="55">
        <v>4.88</v>
      </c>
      <c r="F15" s="55">
        <v>8.67</v>
      </c>
      <c r="G15" s="55">
        <v>43.65</v>
      </c>
      <c r="H15" s="55">
        <v>10.85</v>
      </c>
      <c r="I15" s="55">
        <v>3.17</v>
      </c>
      <c r="J15" s="55">
        <v>0.18</v>
      </c>
      <c r="K15" s="55">
        <v>139.01</v>
      </c>
      <c r="L15" s="55">
        <v>22.79</v>
      </c>
      <c r="M15" s="55">
        <v>98.27</v>
      </c>
      <c r="N15" s="55">
        <v>120.3</v>
      </c>
      <c r="O15" s="55">
        <v>0</v>
      </c>
      <c r="P15" s="55">
        <v>0.65</v>
      </c>
      <c r="Q15" s="55">
        <v>9.56</v>
      </c>
      <c r="R15" s="43"/>
      <c r="S15" s="43"/>
      <c r="T15" s="43"/>
      <c r="U15" s="43"/>
    </row>
    <row r="16" spans="1:21" s="11" customFormat="1" x14ac:dyDescent="0.25">
      <c r="A16" s="54" t="s">
        <v>115</v>
      </c>
      <c r="B16" s="55">
        <v>27.18</v>
      </c>
      <c r="C16" s="55">
        <v>8.6999999999999993</v>
      </c>
      <c r="D16" s="55">
        <v>26.34</v>
      </c>
      <c r="E16" s="55">
        <v>6.68</v>
      </c>
      <c r="F16" s="55">
        <v>8.3800000000000008</v>
      </c>
      <c r="G16" s="55">
        <v>44.42</v>
      </c>
      <c r="H16" s="55">
        <v>9.93</v>
      </c>
      <c r="I16" s="55">
        <v>3.04</v>
      </c>
      <c r="J16" s="55">
        <v>0.41</v>
      </c>
      <c r="K16" s="55">
        <v>357.06</v>
      </c>
      <c r="L16" s="55">
        <v>28.25</v>
      </c>
      <c r="M16" s="55">
        <v>94.8</v>
      </c>
      <c r="N16" s="55">
        <v>370.5</v>
      </c>
      <c r="O16" s="55">
        <v>0.2</v>
      </c>
      <c r="P16" s="55">
        <v>0.79</v>
      </c>
      <c r="Q16" s="55">
        <v>9.5500000000000007</v>
      </c>
      <c r="R16" s="43"/>
      <c r="S16" s="43"/>
      <c r="T16" s="43"/>
      <c r="U16" s="43"/>
    </row>
    <row r="17" spans="1:21" s="11" customFormat="1" x14ac:dyDescent="0.25">
      <c r="A17" s="54" t="s">
        <v>116</v>
      </c>
      <c r="B17" s="55">
        <v>23.66</v>
      </c>
      <c r="C17" s="55">
        <v>10.25</v>
      </c>
      <c r="D17" s="55">
        <v>23.4</v>
      </c>
      <c r="E17" s="55">
        <v>7.21</v>
      </c>
      <c r="F17" s="55">
        <v>9.73</v>
      </c>
      <c r="G17" s="55">
        <v>44.42</v>
      </c>
      <c r="H17" s="55">
        <v>8.39</v>
      </c>
      <c r="I17" s="55">
        <v>2.96</v>
      </c>
      <c r="J17" s="55">
        <v>0.71</v>
      </c>
      <c r="K17" s="55">
        <v>132.31</v>
      </c>
      <c r="L17" s="55">
        <v>29.35</v>
      </c>
      <c r="M17" s="55">
        <v>68.89</v>
      </c>
      <c r="N17" s="55">
        <v>557.29999999999995</v>
      </c>
      <c r="O17" s="55">
        <v>0</v>
      </c>
      <c r="P17" s="55">
        <v>0.73</v>
      </c>
      <c r="Q17" s="55">
        <v>9.5299999999999994</v>
      </c>
      <c r="R17" s="43"/>
      <c r="S17" s="43"/>
      <c r="T17" s="43"/>
      <c r="U17" s="43"/>
    </row>
    <row r="18" spans="1:21" s="11" customFormat="1" x14ac:dyDescent="0.25">
      <c r="A18" s="54" t="s">
        <v>117</v>
      </c>
      <c r="B18" s="55">
        <v>18.21</v>
      </c>
      <c r="C18" s="55">
        <v>22.87</v>
      </c>
      <c r="D18" s="55">
        <v>22.09</v>
      </c>
      <c r="E18" s="55">
        <v>7.82</v>
      </c>
      <c r="F18" s="55">
        <v>9.19</v>
      </c>
      <c r="G18" s="55">
        <v>43.92</v>
      </c>
      <c r="H18" s="55">
        <v>6.92</v>
      </c>
      <c r="I18" s="55">
        <v>2.89</v>
      </c>
      <c r="J18" s="55">
        <v>0.77</v>
      </c>
      <c r="K18" s="55">
        <v>341.63</v>
      </c>
      <c r="L18" s="55">
        <v>31.4</v>
      </c>
      <c r="M18" s="55">
        <v>62.2</v>
      </c>
      <c r="N18" s="55">
        <v>675</v>
      </c>
      <c r="O18" s="55">
        <v>0</v>
      </c>
      <c r="P18" s="55">
        <v>0.66</v>
      </c>
      <c r="Q18" s="55">
        <v>9.4700000000000006</v>
      </c>
      <c r="R18" s="43"/>
      <c r="S18" s="43"/>
      <c r="T18" s="43"/>
      <c r="U18" s="43"/>
    </row>
    <row r="19" spans="1:21" s="11" customFormat="1" x14ac:dyDescent="0.25">
      <c r="A19" s="54" t="s">
        <v>118</v>
      </c>
      <c r="B19" s="55">
        <v>11.42</v>
      </c>
      <c r="C19" s="55">
        <v>22.19</v>
      </c>
      <c r="D19" s="55">
        <v>19.14</v>
      </c>
      <c r="E19" s="55">
        <v>7.85</v>
      </c>
      <c r="F19" s="55">
        <v>17.39</v>
      </c>
      <c r="G19" s="55">
        <v>45.57</v>
      </c>
      <c r="H19" s="55">
        <v>6.92</v>
      </c>
      <c r="I19" s="55">
        <v>2.08</v>
      </c>
      <c r="J19" s="55">
        <v>0.5</v>
      </c>
      <c r="K19" s="55">
        <v>338.07</v>
      </c>
      <c r="L19" s="55">
        <v>32.880000000000003</v>
      </c>
      <c r="M19" s="55">
        <v>54.32</v>
      </c>
      <c r="N19" s="55">
        <v>673.7</v>
      </c>
      <c r="O19" s="55">
        <v>0</v>
      </c>
      <c r="P19" s="55">
        <v>0.66</v>
      </c>
      <c r="Q19" s="55">
        <v>9.1300000000000008</v>
      </c>
      <c r="R19" s="43"/>
      <c r="S19" s="43"/>
      <c r="T19" s="43"/>
      <c r="U19" s="43"/>
    </row>
    <row r="20" spans="1:21" s="11" customFormat="1" x14ac:dyDescent="0.25">
      <c r="A20" s="54" t="s">
        <v>119</v>
      </c>
      <c r="B20" s="55">
        <v>8.0500000000000007</v>
      </c>
      <c r="C20" s="55">
        <v>16.57</v>
      </c>
      <c r="D20" s="55">
        <v>14.9</v>
      </c>
      <c r="E20" s="55">
        <v>8.43</v>
      </c>
      <c r="F20" s="55">
        <v>14.96</v>
      </c>
      <c r="G20" s="55">
        <v>45.57</v>
      </c>
      <c r="H20" s="55">
        <v>9.48</v>
      </c>
      <c r="I20" s="55">
        <v>2.15</v>
      </c>
      <c r="J20" s="55">
        <v>0.65</v>
      </c>
      <c r="K20" s="55">
        <v>330.24</v>
      </c>
      <c r="L20" s="55">
        <v>33.11</v>
      </c>
      <c r="M20" s="55">
        <v>53.37</v>
      </c>
      <c r="N20" s="55">
        <v>691.7</v>
      </c>
      <c r="O20" s="55">
        <v>0</v>
      </c>
      <c r="P20" s="55">
        <v>0.66</v>
      </c>
      <c r="Q20" s="55">
        <v>9.15</v>
      </c>
      <c r="R20" s="43"/>
      <c r="S20" s="43"/>
      <c r="T20" s="43"/>
      <c r="U20" s="43"/>
    </row>
    <row r="21" spans="1:21" s="11" customFormat="1" x14ac:dyDescent="0.25">
      <c r="A21" s="54" t="s">
        <v>120</v>
      </c>
      <c r="B21" s="55">
        <v>7.41</v>
      </c>
      <c r="C21" s="55">
        <v>14.08</v>
      </c>
      <c r="D21" s="55">
        <v>12.82</v>
      </c>
      <c r="E21" s="55">
        <v>8.0500000000000007</v>
      </c>
      <c r="F21" s="55">
        <v>12.24</v>
      </c>
      <c r="G21" s="55">
        <v>42.76</v>
      </c>
      <c r="H21" s="55">
        <v>9.48</v>
      </c>
      <c r="I21" s="55">
        <v>2.19</v>
      </c>
      <c r="J21" s="55">
        <v>1.22</v>
      </c>
      <c r="K21" s="55">
        <v>329.09</v>
      </c>
      <c r="L21" s="55">
        <v>33.5</v>
      </c>
      <c r="M21" s="55">
        <v>47.49</v>
      </c>
      <c r="N21" s="55">
        <v>743.2</v>
      </c>
      <c r="O21" s="55">
        <v>0</v>
      </c>
      <c r="P21" s="55">
        <v>0.66</v>
      </c>
      <c r="Q21" s="55">
        <v>9.15</v>
      </c>
      <c r="R21" s="43"/>
      <c r="S21" s="43"/>
      <c r="T21" s="43"/>
      <c r="U21" s="43"/>
    </row>
    <row r="22" spans="1:21" s="11" customFormat="1" x14ac:dyDescent="0.25">
      <c r="A22" s="54" t="s">
        <v>121</v>
      </c>
      <c r="B22" s="55">
        <v>8.68</v>
      </c>
      <c r="C22" s="55">
        <v>11.06</v>
      </c>
      <c r="D22" s="55">
        <v>12.73</v>
      </c>
      <c r="E22" s="55">
        <v>6.58</v>
      </c>
      <c r="F22" s="55">
        <v>12.36</v>
      </c>
      <c r="G22" s="55">
        <v>41.72</v>
      </c>
      <c r="H22" s="55">
        <v>6.98</v>
      </c>
      <c r="I22" s="55">
        <v>2.09</v>
      </c>
      <c r="J22" s="55">
        <v>1.1200000000000001</v>
      </c>
      <c r="K22" s="55">
        <v>335.1</v>
      </c>
      <c r="L22" s="55">
        <v>32.03</v>
      </c>
      <c r="M22" s="55">
        <v>44.42</v>
      </c>
      <c r="N22" s="55">
        <v>257.8</v>
      </c>
      <c r="O22" s="55">
        <v>0</v>
      </c>
      <c r="P22" s="55">
        <v>0.66</v>
      </c>
      <c r="Q22" s="55">
        <v>9.07</v>
      </c>
      <c r="R22" s="43"/>
      <c r="S22" s="43"/>
      <c r="T22" s="43"/>
      <c r="U22" s="43"/>
    </row>
    <row r="23" spans="1:21" s="11" customFormat="1" x14ac:dyDescent="0.25">
      <c r="A23" s="54" t="s">
        <v>122</v>
      </c>
      <c r="B23" s="55">
        <v>8.24</v>
      </c>
      <c r="C23" s="55">
        <v>11.29</v>
      </c>
      <c r="D23" s="55">
        <v>12.51</v>
      </c>
      <c r="E23" s="55">
        <v>6.49</v>
      </c>
      <c r="F23" s="55">
        <v>14.14</v>
      </c>
      <c r="G23" s="55">
        <v>34.51</v>
      </c>
      <c r="H23" s="55">
        <v>9.11</v>
      </c>
      <c r="I23" s="55">
        <v>1.82</v>
      </c>
      <c r="J23" s="55">
        <v>1.38</v>
      </c>
      <c r="K23" s="55">
        <v>335.85</v>
      </c>
      <c r="L23" s="55">
        <v>31.35</v>
      </c>
      <c r="M23" s="55">
        <v>47.24</v>
      </c>
      <c r="N23" s="55">
        <v>163.30000000000001</v>
      </c>
      <c r="O23" s="55">
        <v>0</v>
      </c>
      <c r="P23" s="55">
        <v>0.66</v>
      </c>
      <c r="Q23" s="55">
        <v>9.06</v>
      </c>
      <c r="R23" s="43"/>
      <c r="S23" s="43"/>
      <c r="T23" s="43"/>
      <c r="U23" s="43"/>
    </row>
    <row r="24" spans="1:21" s="11" customFormat="1" x14ac:dyDescent="0.25">
      <c r="A24" s="54" t="s">
        <v>123</v>
      </c>
      <c r="B24" s="55">
        <v>8.7100000000000009</v>
      </c>
      <c r="C24" s="55">
        <v>16.27</v>
      </c>
      <c r="D24" s="55">
        <v>15.49</v>
      </c>
      <c r="E24" s="55">
        <v>7.14</v>
      </c>
      <c r="F24" s="55">
        <v>20.39</v>
      </c>
      <c r="G24" s="55">
        <v>34.51</v>
      </c>
      <c r="H24" s="55">
        <v>9.11</v>
      </c>
      <c r="I24" s="55">
        <v>1.69</v>
      </c>
      <c r="J24" s="55">
        <v>1.03</v>
      </c>
      <c r="K24" s="55">
        <v>338.99</v>
      </c>
      <c r="L24" s="55">
        <v>29.86</v>
      </c>
      <c r="M24" s="55">
        <v>52.77</v>
      </c>
      <c r="N24" s="55">
        <v>104</v>
      </c>
      <c r="O24" s="55">
        <v>0</v>
      </c>
      <c r="P24" s="55">
        <v>0.66</v>
      </c>
      <c r="Q24" s="55">
        <v>9.07</v>
      </c>
      <c r="R24" s="43"/>
      <c r="S24" s="43"/>
      <c r="T24" s="43"/>
      <c r="U24" s="43"/>
    </row>
    <row r="25" spans="1:21" s="11" customFormat="1" x14ac:dyDescent="0.25">
      <c r="A25" s="54" t="s">
        <v>124</v>
      </c>
      <c r="B25" s="55">
        <v>13.85</v>
      </c>
      <c r="C25" s="55">
        <v>15.74</v>
      </c>
      <c r="D25" s="55">
        <v>18.82</v>
      </c>
      <c r="E25" s="55">
        <v>7.72</v>
      </c>
      <c r="F25" s="55">
        <v>18.28</v>
      </c>
      <c r="G25" s="55">
        <v>32.15</v>
      </c>
      <c r="H25" s="55">
        <v>7.46</v>
      </c>
      <c r="I25" s="55">
        <v>1.71</v>
      </c>
      <c r="J25" s="55">
        <v>1.1599999999999999</v>
      </c>
      <c r="K25" s="55">
        <v>340.77</v>
      </c>
      <c r="L25" s="55">
        <v>28.96</v>
      </c>
      <c r="M25" s="55">
        <v>58.76</v>
      </c>
      <c r="N25" s="55">
        <v>73.400000000000006</v>
      </c>
      <c r="O25" s="55">
        <v>0</v>
      </c>
      <c r="P25" s="55">
        <v>0.66</v>
      </c>
      <c r="Q25" s="55">
        <v>9.1199999999999992</v>
      </c>
      <c r="R25" s="43"/>
      <c r="S25" s="43"/>
      <c r="T25" s="43"/>
      <c r="U25" s="43"/>
    </row>
    <row r="26" spans="1:21" s="11" customFormat="1" x14ac:dyDescent="0.25">
      <c r="A26" s="54" t="s">
        <v>125</v>
      </c>
      <c r="B26" s="55">
        <v>31.75</v>
      </c>
      <c r="C26" s="55">
        <v>33.880000000000003</v>
      </c>
      <c r="D26" s="55">
        <v>38.74</v>
      </c>
      <c r="E26" s="55">
        <v>7.93</v>
      </c>
      <c r="F26" s="55">
        <v>12.21</v>
      </c>
      <c r="G26" s="55">
        <v>32.57</v>
      </c>
      <c r="H26" s="55">
        <v>6.27</v>
      </c>
      <c r="I26" s="55">
        <v>1.75</v>
      </c>
      <c r="J26" s="55">
        <v>0.45</v>
      </c>
      <c r="K26" s="55">
        <v>346.49</v>
      </c>
      <c r="L26" s="55">
        <v>27.68</v>
      </c>
      <c r="M26" s="55">
        <v>71.959999999999994</v>
      </c>
      <c r="N26" s="55">
        <v>45.5</v>
      </c>
      <c r="O26" s="55">
        <v>0</v>
      </c>
      <c r="P26" s="55">
        <v>0.66</v>
      </c>
      <c r="Q26" s="55">
        <v>9.16</v>
      </c>
      <c r="R26" s="43"/>
      <c r="S26" s="43"/>
      <c r="T26" s="43"/>
      <c r="U26" s="43"/>
    </row>
    <row r="27" spans="1:21" s="11" customFormat="1" x14ac:dyDescent="0.25">
      <c r="A27" s="54" t="s">
        <v>126</v>
      </c>
      <c r="B27" s="55">
        <v>84.74</v>
      </c>
      <c r="C27" s="55">
        <v>40.869999999999997</v>
      </c>
      <c r="D27" s="55">
        <v>80.819999999999993</v>
      </c>
      <c r="E27" s="55">
        <v>8.1300000000000008</v>
      </c>
      <c r="F27" s="55">
        <v>6.33</v>
      </c>
      <c r="G27" s="55">
        <v>41.09</v>
      </c>
      <c r="H27" s="55">
        <v>8.81</v>
      </c>
      <c r="I27" s="55">
        <v>1.94</v>
      </c>
      <c r="J27" s="55">
        <v>0.09</v>
      </c>
      <c r="K27" s="55">
        <v>309.68</v>
      </c>
      <c r="L27" s="55">
        <v>25.66</v>
      </c>
      <c r="M27" s="55">
        <v>84.03</v>
      </c>
      <c r="N27" s="55">
        <v>40.1</v>
      </c>
      <c r="O27" s="55">
        <v>0</v>
      </c>
      <c r="P27" s="55">
        <v>0.66</v>
      </c>
      <c r="Q27" s="55">
        <v>9.32</v>
      </c>
      <c r="R27" s="43"/>
      <c r="S27" s="43"/>
      <c r="T27" s="43"/>
      <c r="U27" s="43"/>
    </row>
    <row r="28" spans="1:21" s="11" customFormat="1" x14ac:dyDescent="0.25">
      <c r="A28" s="54" t="s">
        <v>127</v>
      </c>
      <c r="B28" s="55">
        <v>111.69</v>
      </c>
      <c r="C28" s="55">
        <v>23.25</v>
      </c>
      <c r="D28" s="55">
        <v>91.29</v>
      </c>
      <c r="E28" s="55">
        <v>8.73</v>
      </c>
      <c r="F28" s="55">
        <v>7.71</v>
      </c>
      <c r="G28" s="55">
        <v>54.61</v>
      </c>
      <c r="H28" s="55">
        <v>8.81</v>
      </c>
      <c r="I28" s="55">
        <v>2.57</v>
      </c>
      <c r="J28" s="55">
        <v>0.15</v>
      </c>
      <c r="K28" s="55">
        <v>336.96</v>
      </c>
      <c r="L28" s="55">
        <v>25.17</v>
      </c>
      <c r="M28" s="55">
        <v>94.45</v>
      </c>
      <c r="N28" s="55">
        <v>40</v>
      </c>
      <c r="O28" s="55">
        <v>0</v>
      </c>
      <c r="P28" s="55">
        <v>0.66</v>
      </c>
      <c r="Q28" s="55">
        <v>9.6199999999999992</v>
      </c>
      <c r="R28" s="43"/>
      <c r="S28" s="43"/>
      <c r="T28" s="43"/>
      <c r="U28" s="43"/>
    </row>
    <row r="29" spans="1:21" s="11" customFormat="1" x14ac:dyDescent="0.25">
      <c r="A29" s="54" t="s">
        <v>128</v>
      </c>
      <c r="B29" s="55">
        <v>97.95</v>
      </c>
      <c r="C29" s="55">
        <v>20.21</v>
      </c>
      <c r="D29" s="55">
        <v>81.28</v>
      </c>
      <c r="E29" s="55">
        <v>9.24</v>
      </c>
      <c r="F29" s="55">
        <v>6.92</v>
      </c>
      <c r="G29" s="55">
        <v>73.260000000000005</v>
      </c>
      <c r="H29" s="55">
        <v>12.68</v>
      </c>
      <c r="I29" s="55">
        <v>3.46</v>
      </c>
      <c r="J29" s="55">
        <v>0.13</v>
      </c>
      <c r="K29" s="55">
        <v>308.7</v>
      </c>
      <c r="L29" s="55">
        <v>24.49</v>
      </c>
      <c r="M29" s="55">
        <v>96.93</v>
      </c>
      <c r="N29" s="55">
        <v>40</v>
      </c>
      <c r="O29" s="55">
        <v>0</v>
      </c>
      <c r="P29" s="55">
        <v>0.66</v>
      </c>
      <c r="Q29" s="55">
        <v>9.67</v>
      </c>
      <c r="R29" s="43"/>
      <c r="S29" s="43"/>
      <c r="T29" s="43"/>
      <c r="U29" s="43"/>
    </row>
    <row r="30" spans="1:21" s="11" customFormat="1" x14ac:dyDescent="0.25">
      <c r="A30" s="54" t="s">
        <v>129</v>
      </c>
      <c r="B30" s="55">
        <v>57.69</v>
      </c>
      <c r="C30" s="55">
        <v>18.86</v>
      </c>
      <c r="D30" s="55">
        <v>44.11</v>
      </c>
      <c r="E30" s="55">
        <v>7.69</v>
      </c>
      <c r="F30" s="55">
        <v>6.9</v>
      </c>
      <c r="G30" s="55">
        <v>75.239999999999995</v>
      </c>
      <c r="H30" s="55">
        <v>12.68</v>
      </c>
      <c r="I30" s="55">
        <v>3.62</v>
      </c>
      <c r="J30" s="55">
        <v>0.14000000000000001</v>
      </c>
      <c r="K30" s="55">
        <v>357.28</v>
      </c>
      <c r="L30" s="55">
        <v>24.1</v>
      </c>
      <c r="M30" s="55">
        <v>98.27</v>
      </c>
      <c r="N30" s="55">
        <v>40</v>
      </c>
      <c r="O30" s="55">
        <v>0</v>
      </c>
      <c r="P30" s="55">
        <v>0.66</v>
      </c>
      <c r="Q30" s="55">
        <v>9.68</v>
      </c>
      <c r="R30" s="43"/>
      <c r="S30" s="43"/>
      <c r="T30" s="43"/>
      <c r="U30" s="43"/>
    </row>
    <row r="31" spans="1:21" s="11" customFormat="1" x14ac:dyDescent="0.25">
      <c r="A31" s="54" t="s">
        <v>130</v>
      </c>
      <c r="B31" s="55">
        <v>56.98</v>
      </c>
      <c r="C31" s="55">
        <v>14.6</v>
      </c>
      <c r="D31" s="55">
        <v>50.44</v>
      </c>
      <c r="E31" s="55">
        <v>7.55</v>
      </c>
      <c r="F31" s="55">
        <v>5.91</v>
      </c>
      <c r="G31" s="55">
        <v>75.239999999999995</v>
      </c>
      <c r="H31" s="55">
        <v>11.59</v>
      </c>
      <c r="I31" s="55">
        <v>3.67</v>
      </c>
      <c r="J31" s="55">
        <v>0.1</v>
      </c>
      <c r="K31" s="55">
        <v>341.05</v>
      </c>
      <c r="L31" s="55">
        <v>23.44</v>
      </c>
      <c r="M31" s="55">
        <v>98.45</v>
      </c>
      <c r="N31" s="55">
        <v>40</v>
      </c>
      <c r="O31" s="55">
        <v>0</v>
      </c>
      <c r="P31" s="55">
        <v>0.66</v>
      </c>
      <c r="Q31" s="55">
        <v>9.67</v>
      </c>
      <c r="R31" s="43"/>
      <c r="S31" s="43"/>
      <c r="T31" s="43"/>
      <c r="U31" s="43"/>
    </row>
    <row r="32" spans="1:21" s="11" customFormat="1" x14ac:dyDescent="0.25">
      <c r="A32" s="54" t="s">
        <v>131</v>
      </c>
      <c r="B32" s="55">
        <v>39.61</v>
      </c>
      <c r="C32" s="55">
        <v>10.79</v>
      </c>
      <c r="D32" s="55">
        <v>32</v>
      </c>
      <c r="E32" s="55">
        <v>6.79</v>
      </c>
      <c r="F32" s="55">
        <v>6.19</v>
      </c>
      <c r="G32" s="55">
        <v>73.78</v>
      </c>
      <c r="H32" s="55">
        <v>10.86</v>
      </c>
      <c r="I32" s="55">
        <v>3.67</v>
      </c>
      <c r="J32" s="55">
        <v>0.87</v>
      </c>
      <c r="K32" s="55">
        <v>341.5</v>
      </c>
      <c r="L32" s="55">
        <v>23.37</v>
      </c>
      <c r="M32" s="55">
        <v>98.46</v>
      </c>
      <c r="N32" s="55">
        <v>39.799999999999997</v>
      </c>
      <c r="O32" s="55">
        <v>0</v>
      </c>
      <c r="P32" s="55">
        <v>0.66</v>
      </c>
      <c r="Q32" s="55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7.41</v>
      </c>
      <c r="C34" s="28">
        <f t="shared" si="0"/>
        <v>5.53</v>
      </c>
      <c r="D34" s="28">
        <f t="shared" si="0"/>
        <v>12.51</v>
      </c>
      <c r="E34" s="28">
        <f t="shared" si="0"/>
        <v>4.7</v>
      </c>
      <c r="F34" s="28">
        <f t="shared" si="0"/>
        <v>5.25</v>
      </c>
      <c r="G34" s="28">
        <f t="shared" si="0"/>
        <v>32.15</v>
      </c>
      <c r="H34" s="28">
        <f t="shared" si="0"/>
        <v>6.27</v>
      </c>
      <c r="I34" s="28">
        <f t="shared" si="0"/>
        <v>1.69</v>
      </c>
      <c r="J34" s="28">
        <f t="shared" si="0"/>
        <v>7.0000000000000007E-2</v>
      </c>
      <c r="K34" s="28">
        <f t="shared" si="0"/>
        <v>132.31</v>
      </c>
      <c r="L34" s="28">
        <f t="shared" si="0"/>
        <v>21.86</v>
      </c>
      <c r="M34" s="28">
        <f t="shared" si="0"/>
        <v>44.42</v>
      </c>
      <c r="N34" s="28">
        <f t="shared" si="0"/>
        <v>39.799999999999997</v>
      </c>
      <c r="O34" s="28">
        <f t="shared" si="0"/>
        <v>0</v>
      </c>
      <c r="P34" s="28">
        <f t="shared" si="0"/>
        <v>0.65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111.69</v>
      </c>
      <c r="C35" s="29">
        <f t="shared" si="1"/>
        <v>40.869999999999997</v>
      </c>
      <c r="D35" s="29">
        <f t="shared" si="1"/>
        <v>91.29</v>
      </c>
      <c r="E35" s="29">
        <f t="shared" si="1"/>
        <v>9.24</v>
      </c>
      <c r="F35" s="29">
        <f t="shared" si="1"/>
        <v>20.39</v>
      </c>
      <c r="G35" s="29">
        <f t="shared" si="1"/>
        <v>78.13</v>
      </c>
      <c r="H35" s="29">
        <f t="shared" si="1"/>
        <v>15.2</v>
      </c>
      <c r="I35" s="29">
        <f t="shared" si="1"/>
        <v>3.67</v>
      </c>
      <c r="J35" s="29">
        <f t="shared" si="1"/>
        <v>1.38</v>
      </c>
      <c r="K35" s="29">
        <f t="shared" si="1"/>
        <v>359.91</v>
      </c>
      <c r="L35" s="29">
        <f t="shared" si="1"/>
        <v>33.5</v>
      </c>
      <c r="M35" s="29">
        <f t="shared" si="1"/>
        <v>98.46</v>
      </c>
      <c r="N35" s="29">
        <f t="shared" si="1"/>
        <v>743.2</v>
      </c>
      <c r="O35" s="29">
        <f t="shared" si="1"/>
        <v>0.2</v>
      </c>
      <c r="P35" s="29">
        <f t="shared" si="1"/>
        <v>1.1299999999999999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34.273750000000014</v>
      </c>
      <c r="C36" s="28">
        <f t="shared" si="2"/>
        <v>15.430000000000001</v>
      </c>
      <c r="D36" s="28">
        <f t="shared" si="2"/>
        <v>31.998750000000001</v>
      </c>
      <c r="E36" s="28">
        <f t="shared" si="2"/>
        <v>6.8516666666666666</v>
      </c>
      <c r="F36" s="28">
        <f t="shared" si="2"/>
        <v>9.8079166666666673</v>
      </c>
      <c r="G36" s="28">
        <f t="shared" si="2"/>
        <v>51.489166666666669</v>
      </c>
      <c r="H36" s="28">
        <f t="shared" si="2"/>
        <v>9.9825000000000017</v>
      </c>
      <c r="I36" s="28">
        <f t="shared" si="2"/>
        <v>2.8037499999999995</v>
      </c>
      <c r="J36" s="28">
        <f t="shared" si="2"/>
        <v>0.49041666666666667</v>
      </c>
      <c r="K36" s="28">
        <f t="shared" si="2"/>
        <v>319.58750000000003</v>
      </c>
      <c r="L36" s="28">
        <f t="shared" si="2"/>
        <v>26.725833333333338</v>
      </c>
      <c r="M36" s="28">
        <f t="shared" si="2"/>
        <v>79.793333333333337</v>
      </c>
      <c r="N36" s="28">
        <f t="shared" si="2"/>
        <v>208.35000000000002</v>
      </c>
      <c r="O36" s="28">
        <f t="shared" si="2"/>
        <v>1.6666666666666666E-2</v>
      </c>
      <c r="P36" s="28">
        <f t="shared" si="2"/>
        <v>0.71375000000000011</v>
      </c>
      <c r="Q36" s="28">
        <f t="shared" si="2"/>
        <v>9.4420833333333327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28.54631854928741</v>
      </c>
      <c r="C37" s="28">
        <f t="shared" ref="C37:Q37" si="3">STDEV(C9:C32)</f>
        <v>8.5673982657209411</v>
      </c>
      <c r="D37" s="28">
        <f t="shared" si="3"/>
        <v>22.392786748628794</v>
      </c>
      <c r="E37" s="28">
        <f t="shared" si="3"/>
        <v>1.4261461193100757</v>
      </c>
      <c r="F37" s="28">
        <f t="shared" si="3"/>
        <v>4.4225813622585957</v>
      </c>
      <c r="G37" s="28">
        <f t="shared" si="3"/>
        <v>14.606656289891081</v>
      </c>
      <c r="H37" s="28">
        <f t="shared" si="3"/>
        <v>2.2345668775927812</v>
      </c>
      <c r="I37" s="28">
        <f t="shared" si="3"/>
        <v>0.74488874278675665</v>
      </c>
      <c r="J37" s="28">
        <f t="shared" si="3"/>
        <v>0.43640307621227459</v>
      </c>
      <c r="K37" s="28">
        <f t="shared" si="3"/>
        <v>58.565303665892877</v>
      </c>
      <c r="L37" s="28">
        <f t="shared" si="3"/>
        <v>4.119683310608953</v>
      </c>
      <c r="M37" s="28">
        <f t="shared" si="3"/>
        <v>21.423122953982407</v>
      </c>
      <c r="N37" s="28">
        <f t="shared" si="3"/>
        <v>254.97641493658398</v>
      </c>
      <c r="O37" s="28">
        <f t="shared" si="3"/>
        <v>5.6465970257327996E-2</v>
      </c>
      <c r="P37" s="28">
        <f t="shared" si="3"/>
        <v>0.10651852257787907</v>
      </c>
      <c r="Q37" s="28">
        <f t="shared" si="3"/>
        <v>0.25151677559518176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132</v>
      </c>
      <c r="B9" s="55">
        <v>31.13</v>
      </c>
      <c r="C9" s="55">
        <v>1.85</v>
      </c>
      <c r="D9" s="55">
        <v>25.74</v>
      </c>
      <c r="E9" s="55">
        <v>7.04</v>
      </c>
      <c r="F9" s="55">
        <v>5.72</v>
      </c>
      <c r="G9" s="55">
        <v>66.88</v>
      </c>
      <c r="H9" s="55">
        <v>10.4</v>
      </c>
      <c r="I9" s="55">
        <v>3.56</v>
      </c>
      <c r="J9" s="55">
        <v>1.35</v>
      </c>
      <c r="K9" s="55">
        <v>338.41</v>
      </c>
      <c r="L9" s="55">
        <v>23.22</v>
      </c>
      <c r="M9" s="55">
        <v>96.26</v>
      </c>
      <c r="N9" s="55">
        <v>40</v>
      </c>
      <c r="O9" s="55">
        <v>0</v>
      </c>
      <c r="P9" s="5" t="s">
        <v>14</v>
      </c>
      <c r="Q9" s="55">
        <v>9.68</v>
      </c>
      <c r="R9" s="43"/>
      <c r="S9" s="43"/>
      <c r="T9" s="43"/>
      <c r="U9" s="43"/>
    </row>
    <row r="10" spans="1:21" s="11" customFormat="1" x14ac:dyDescent="0.25">
      <c r="A10" s="54" t="s">
        <v>133</v>
      </c>
      <c r="B10" s="55">
        <v>27.4</v>
      </c>
      <c r="C10" s="55">
        <v>4.3</v>
      </c>
      <c r="D10" s="55">
        <v>23.91</v>
      </c>
      <c r="E10" s="55">
        <v>7.11</v>
      </c>
      <c r="F10" s="55">
        <v>5.24</v>
      </c>
      <c r="G10" s="55">
        <v>59.19</v>
      </c>
      <c r="H10" s="55">
        <v>8.08</v>
      </c>
      <c r="I10" s="55">
        <v>3.25</v>
      </c>
      <c r="J10" s="55">
        <v>1.1599999999999999</v>
      </c>
      <c r="K10" s="55">
        <v>338.7</v>
      </c>
      <c r="L10" s="55">
        <v>22.67</v>
      </c>
      <c r="M10" s="55">
        <v>98.61</v>
      </c>
      <c r="N10" s="55">
        <v>40.200000000000003</v>
      </c>
      <c r="O10" s="55">
        <v>0</v>
      </c>
      <c r="P10" s="5" t="s">
        <v>14</v>
      </c>
      <c r="Q10" s="55">
        <v>9.66</v>
      </c>
      <c r="R10" s="43"/>
      <c r="S10" s="43"/>
      <c r="T10" s="43"/>
      <c r="U10" s="43"/>
    </row>
    <row r="11" spans="1:21" s="11" customFormat="1" x14ac:dyDescent="0.25">
      <c r="A11" s="54" t="s">
        <v>134</v>
      </c>
      <c r="B11" s="55">
        <v>26.03</v>
      </c>
      <c r="C11" s="55">
        <v>2.2999999999999998</v>
      </c>
      <c r="D11" s="55">
        <v>21.23</v>
      </c>
      <c r="E11" s="55">
        <v>6.22</v>
      </c>
      <c r="F11" s="55">
        <v>4.51</v>
      </c>
      <c r="G11" s="55">
        <v>59.19</v>
      </c>
      <c r="H11" s="55">
        <v>9.84</v>
      </c>
      <c r="I11" s="55">
        <v>2.9</v>
      </c>
      <c r="J11" s="55">
        <v>0.78</v>
      </c>
      <c r="K11" s="55">
        <v>342.76</v>
      </c>
      <c r="L11" s="55">
        <v>21.66</v>
      </c>
      <c r="M11" s="55">
        <v>98.72</v>
      </c>
      <c r="N11" s="55">
        <v>40</v>
      </c>
      <c r="O11" s="55">
        <v>0</v>
      </c>
      <c r="P11" s="5" t="s">
        <v>14</v>
      </c>
      <c r="Q11" s="55">
        <v>9.6</v>
      </c>
      <c r="R11" s="43"/>
      <c r="S11" s="43"/>
      <c r="T11" s="43"/>
      <c r="U11" s="43"/>
    </row>
    <row r="12" spans="1:21" s="11" customFormat="1" x14ac:dyDescent="0.25">
      <c r="A12" s="54" t="s">
        <v>135</v>
      </c>
      <c r="B12" s="55">
        <v>24.23</v>
      </c>
      <c r="C12" s="55">
        <v>2.23</v>
      </c>
      <c r="D12" s="55">
        <v>19.59</v>
      </c>
      <c r="E12" s="55">
        <v>5.97</v>
      </c>
      <c r="F12" s="55">
        <v>5.22</v>
      </c>
      <c r="G12" s="55">
        <v>75.180000000000007</v>
      </c>
      <c r="H12" s="55">
        <v>11.16</v>
      </c>
      <c r="I12" s="55">
        <v>2.84</v>
      </c>
      <c r="J12" s="55">
        <v>0.55000000000000004</v>
      </c>
      <c r="K12" s="55">
        <v>346.87</v>
      </c>
      <c r="L12" s="55">
        <v>21.37</v>
      </c>
      <c r="M12" s="55">
        <v>98.83</v>
      </c>
      <c r="N12" s="55">
        <v>40</v>
      </c>
      <c r="O12" s="55">
        <v>0</v>
      </c>
      <c r="P12" s="5" t="s">
        <v>14</v>
      </c>
      <c r="Q12" s="55">
        <v>9.5299999999999994</v>
      </c>
      <c r="R12" s="43"/>
      <c r="S12" s="43"/>
      <c r="T12" s="43"/>
      <c r="U12" s="43"/>
    </row>
    <row r="13" spans="1:21" s="11" customFormat="1" x14ac:dyDescent="0.25">
      <c r="A13" s="54" t="s">
        <v>136</v>
      </c>
      <c r="B13" s="55">
        <v>22.96</v>
      </c>
      <c r="C13" s="55">
        <v>5.44</v>
      </c>
      <c r="D13" s="55">
        <v>18.37</v>
      </c>
      <c r="E13" s="55">
        <v>5.65</v>
      </c>
      <c r="F13" s="55">
        <v>6.72</v>
      </c>
      <c r="G13" s="55">
        <v>75.180000000000007</v>
      </c>
      <c r="H13" s="55">
        <v>11.16</v>
      </c>
      <c r="I13" s="55">
        <v>2.83</v>
      </c>
      <c r="J13" s="55">
        <v>0.11</v>
      </c>
      <c r="K13" s="55">
        <v>306.23</v>
      </c>
      <c r="L13" s="55">
        <v>21.13</v>
      </c>
      <c r="M13" s="55">
        <v>98.93</v>
      </c>
      <c r="N13" s="55">
        <v>39.799999999999997</v>
      </c>
      <c r="O13" s="55">
        <v>0</v>
      </c>
      <c r="P13" s="5" t="s">
        <v>14</v>
      </c>
      <c r="Q13" s="55">
        <v>9.48</v>
      </c>
      <c r="R13" s="43"/>
      <c r="S13" s="43"/>
      <c r="T13" s="43"/>
      <c r="U13" s="43"/>
    </row>
    <row r="14" spans="1:21" s="11" customFormat="1" x14ac:dyDescent="0.25">
      <c r="A14" s="54" t="s">
        <v>137</v>
      </c>
      <c r="B14" s="55">
        <v>19.760000000000002</v>
      </c>
      <c r="C14" s="55">
        <v>8.31</v>
      </c>
      <c r="D14" s="55">
        <v>19.04</v>
      </c>
      <c r="E14" s="55">
        <v>5.31</v>
      </c>
      <c r="F14" s="55">
        <v>5.84</v>
      </c>
      <c r="G14" s="55">
        <v>59.89</v>
      </c>
      <c r="H14" s="55">
        <v>8.64</v>
      </c>
      <c r="I14" s="55">
        <v>2.73</v>
      </c>
      <c r="J14" s="55">
        <v>0.11</v>
      </c>
      <c r="K14" s="55">
        <v>323.55</v>
      </c>
      <c r="L14" s="55">
        <v>20.9</v>
      </c>
      <c r="M14" s="55">
        <v>99.01</v>
      </c>
      <c r="N14" s="55">
        <v>40.9</v>
      </c>
      <c r="O14" s="55">
        <v>0</v>
      </c>
      <c r="P14" s="5" t="s">
        <v>14</v>
      </c>
      <c r="Q14" s="55">
        <v>9.4600000000000009</v>
      </c>
      <c r="R14" s="43"/>
      <c r="S14" s="43"/>
      <c r="T14" s="43"/>
      <c r="U14" s="43"/>
    </row>
    <row r="15" spans="1:21" s="11" customFormat="1" x14ac:dyDescent="0.25">
      <c r="A15" s="54" t="s">
        <v>138</v>
      </c>
      <c r="B15" s="55">
        <v>22.15</v>
      </c>
      <c r="C15" s="55">
        <v>4.5</v>
      </c>
      <c r="D15" s="55">
        <v>20.059999999999999</v>
      </c>
      <c r="E15" s="55">
        <v>5.83</v>
      </c>
      <c r="F15" s="55">
        <v>4.93</v>
      </c>
      <c r="G15" s="55">
        <v>50.79</v>
      </c>
      <c r="H15" s="55">
        <v>8.64</v>
      </c>
      <c r="I15" s="55">
        <v>2.61</v>
      </c>
      <c r="J15" s="55">
        <v>0.69</v>
      </c>
      <c r="K15" s="55">
        <v>340.68</v>
      </c>
      <c r="L15" s="55">
        <v>21.26</v>
      </c>
      <c r="M15" s="55">
        <v>99.06</v>
      </c>
      <c r="N15" s="55">
        <v>104.7</v>
      </c>
      <c r="O15" s="55">
        <v>0</v>
      </c>
      <c r="P15" s="5" t="s">
        <v>14</v>
      </c>
      <c r="Q15" s="55">
        <v>9.43</v>
      </c>
      <c r="R15" s="43"/>
      <c r="S15" s="43"/>
      <c r="T15" s="43"/>
      <c r="U15" s="43"/>
    </row>
    <row r="16" spans="1:21" s="11" customFormat="1" x14ac:dyDescent="0.25">
      <c r="A16" s="54" t="s">
        <v>139</v>
      </c>
      <c r="B16" s="55">
        <v>25.34</v>
      </c>
      <c r="C16" s="55">
        <v>3.27</v>
      </c>
      <c r="D16" s="55">
        <v>21.74</v>
      </c>
      <c r="E16" s="55">
        <v>5.68</v>
      </c>
      <c r="F16" s="55">
        <v>5</v>
      </c>
      <c r="G16" s="55">
        <v>60.87</v>
      </c>
      <c r="H16" s="55">
        <v>8.82</v>
      </c>
      <c r="I16" s="55">
        <v>2.5299999999999998</v>
      </c>
      <c r="J16" s="55">
        <v>0.56999999999999995</v>
      </c>
      <c r="K16" s="55">
        <v>336.65</v>
      </c>
      <c r="L16" s="55">
        <v>26.54</v>
      </c>
      <c r="M16" s="55">
        <v>96.16</v>
      </c>
      <c r="N16" s="55">
        <v>360</v>
      </c>
      <c r="O16" s="55">
        <v>0.2</v>
      </c>
      <c r="P16" s="5" t="s">
        <v>14</v>
      </c>
      <c r="Q16" s="55">
        <v>9.4700000000000006</v>
      </c>
      <c r="R16" s="43"/>
      <c r="S16" s="43"/>
      <c r="T16" s="43"/>
      <c r="U16" s="43"/>
    </row>
    <row r="17" spans="1:21" s="11" customFormat="1" x14ac:dyDescent="0.25">
      <c r="A17" s="54" t="s">
        <v>140</v>
      </c>
      <c r="B17" s="55">
        <v>21.3</v>
      </c>
      <c r="C17" s="55">
        <v>4.59</v>
      </c>
      <c r="D17" s="55">
        <v>18.53</v>
      </c>
      <c r="E17" s="55">
        <v>6.19</v>
      </c>
      <c r="F17" s="55">
        <v>9.74</v>
      </c>
      <c r="G17" s="55">
        <v>60.87</v>
      </c>
      <c r="H17" s="55">
        <v>8.82</v>
      </c>
      <c r="I17" s="55">
        <v>2.56</v>
      </c>
      <c r="J17" s="55">
        <v>0.48</v>
      </c>
      <c r="K17" s="55">
        <v>140.1</v>
      </c>
      <c r="L17" s="55">
        <v>27.74</v>
      </c>
      <c r="M17" s="55">
        <v>66.510000000000005</v>
      </c>
      <c r="N17" s="55">
        <v>581.70000000000005</v>
      </c>
      <c r="O17" s="55">
        <v>0</v>
      </c>
      <c r="P17" s="5" t="s">
        <v>14</v>
      </c>
      <c r="Q17" s="55">
        <v>9.4600000000000009</v>
      </c>
      <c r="R17" s="43"/>
      <c r="S17" s="43"/>
      <c r="T17" s="43"/>
      <c r="U17" s="43"/>
    </row>
    <row r="18" spans="1:21" s="11" customFormat="1" x14ac:dyDescent="0.25">
      <c r="A18" s="54" t="s">
        <v>141</v>
      </c>
      <c r="B18" s="55">
        <v>16.02</v>
      </c>
      <c r="C18" s="55">
        <v>12.15</v>
      </c>
      <c r="D18" s="55">
        <v>18.05</v>
      </c>
      <c r="E18" s="55">
        <v>7.56</v>
      </c>
      <c r="F18" s="55">
        <v>13.98</v>
      </c>
      <c r="G18" s="55">
        <v>59.35</v>
      </c>
      <c r="H18" s="55">
        <v>7.8</v>
      </c>
      <c r="I18" s="55">
        <v>2.63</v>
      </c>
      <c r="J18" s="55">
        <v>0.81</v>
      </c>
      <c r="K18" s="55">
        <v>131.68</v>
      </c>
      <c r="L18" s="55">
        <v>29</v>
      </c>
      <c r="M18" s="55">
        <v>54.74</v>
      </c>
      <c r="N18" s="55">
        <v>726.6</v>
      </c>
      <c r="O18" s="55">
        <v>0</v>
      </c>
      <c r="P18" s="5" t="s">
        <v>14</v>
      </c>
      <c r="Q18" s="55">
        <v>9.4600000000000009</v>
      </c>
      <c r="R18" s="43"/>
      <c r="S18" s="43"/>
      <c r="T18" s="43"/>
      <c r="U18" s="43"/>
    </row>
    <row r="19" spans="1:21" s="11" customFormat="1" x14ac:dyDescent="0.25">
      <c r="A19" s="54" t="s">
        <v>142</v>
      </c>
      <c r="B19" s="55">
        <v>10.67</v>
      </c>
      <c r="C19" s="55">
        <v>18.170000000000002</v>
      </c>
      <c r="D19" s="55">
        <v>17.98</v>
      </c>
      <c r="E19" s="55">
        <v>8.1199999999999992</v>
      </c>
      <c r="F19" s="55">
        <v>13.61</v>
      </c>
      <c r="G19" s="55">
        <v>50.33</v>
      </c>
      <c r="H19" s="55">
        <v>8.07</v>
      </c>
      <c r="I19" s="55">
        <v>2.69</v>
      </c>
      <c r="J19" s="55">
        <v>0.92</v>
      </c>
      <c r="K19" s="55">
        <v>344.92</v>
      </c>
      <c r="L19" s="55">
        <v>32.33</v>
      </c>
      <c r="M19" s="55">
        <v>45.18</v>
      </c>
      <c r="N19" s="55">
        <v>773.7</v>
      </c>
      <c r="O19" s="55">
        <v>0</v>
      </c>
      <c r="P19" s="55">
        <v>0.4</v>
      </c>
      <c r="Q19" s="55">
        <v>9.33</v>
      </c>
      <c r="R19" s="43"/>
      <c r="S19" s="43"/>
      <c r="T19" s="43"/>
      <c r="U19" s="43"/>
    </row>
    <row r="20" spans="1:21" s="11" customFormat="1" x14ac:dyDescent="0.25">
      <c r="A20" s="54" t="s">
        <v>143</v>
      </c>
      <c r="B20" s="55">
        <v>7.85</v>
      </c>
      <c r="C20" s="55">
        <v>22.4</v>
      </c>
      <c r="D20" s="55">
        <v>17.59</v>
      </c>
      <c r="E20" s="55">
        <v>10.93</v>
      </c>
      <c r="F20" s="55">
        <v>17.059999999999999</v>
      </c>
      <c r="G20" s="55">
        <v>46.26</v>
      </c>
      <c r="H20" s="55">
        <v>8.07</v>
      </c>
      <c r="I20" s="55">
        <v>2.46</v>
      </c>
      <c r="J20" s="55">
        <v>0.85</v>
      </c>
      <c r="K20" s="55">
        <v>337.57</v>
      </c>
      <c r="L20" s="55">
        <v>31.44</v>
      </c>
      <c r="M20" s="55">
        <v>37.869999999999997</v>
      </c>
      <c r="N20" s="55">
        <v>805</v>
      </c>
      <c r="O20" s="55">
        <v>0</v>
      </c>
      <c r="P20" s="55">
        <v>0.4</v>
      </c>
      <c r="Q20" s="55">
        <v>9.2200000000000006</v>
      </c>
      <c r="R20" s="43"/>
      <c r="S20" s="43"/>
      <c r="T20" s="43"/>
      <c r="U20" s="43"/>
    </row>
    <row r="21" spans="1:21" s="11" customFormat="1" x14ac:dyDescent="0.25">
      <c r="A21" s="54" t="s">
        <v>144</v>
      </c>
      <c r="B21" s="55">
        <v>8.41</v>
      </c>
      <c r="C21" s="55">
        <v>25.11</v>
      </c>
      <c r="D21" s="55">
        <v>19.87</v>
      </c>
      <c r="E21" s="55">
        <v>17.97</v>
      </c>
      <c r="F21" s="55">
        <v>14.8</v>
      </c>
      <c r="G21" s="55">
        <v>35.68</v>
      </c>
      <c r="H21" s="55">
        <v>7.11</v>
      </c>
      <c r="I21" s="55">
        <v>1.98</v>
      </c>
      <c r="J21" s="55">
        <v>0.83</v>
      </c>
      <c r="K21" s="55">
        <v>337.72</v>
      </c>
      <c r="L21" s="55">
        <v>32.159999999999997</v>
      </c>
      <c r="M21" s="55">
        <v>32.76</v>
      </c>
      <c r="N21" s="55">
        <v>743.3</v>
      </c>
      <c r="O21" s="55">
        <v>0</v>
      </c>
      <c r="P21" s="55">
        <v>0.47</v>
      </c>
      <c r="Q21" s="55">
        <v>9.1</v>
      </c>
      <c r="R21" s="43"/>
      <c r="S21" s="43"/>
      <c r="T21" s="43"/>
      <c r="U21" s="43"/>
    </row>
    <row r="22" spans="1:21" s="11" customFormat="1" x14ac:dyDescent="0.25">
      <c r="A22" s="54" t="s">
        <v>145</v>
      </c>
      <c r="B22" s="55">
        <v>12.28</v>
      </c>
      <c r="C22" s="55">
        <v>23.19</v>
      </c>
      <c r="D22" s="55">
        <v>21.19</v>
      </c>
      <c r="E22" s="55">
        <v>21.68</v>
      </c>
      <c r="F22" s="55">
        <v>24.44</v>
      </c>
      <c r="G22" s="18" t="s">
        <v>12</v>
      </c>
      <c r="H22" s="18" t="s">
        <v>12</v>
      </c>
      <c r="I22" s="55">
        <v>1.92</v>
      </c>
      <c r="J22" s="55">
        <v>1.1599999999999999</v>
      </c>
      <c r="K22" s="55">
        <v>337.41</v>
      </c>
      <c r="L22" s="55">
        <v>32.17</v>
      </c>
      <c r="M22" s="55">
        <v>30.54</v>
      </c>
      <c r="N22" s="55">
        <v>293</v>
      </c>
      <c r="O22" s="55">
        <v>0</v>
      </c>
      <c r="P22" s="55">
        <v>0.59</v>
      </c>
      <c r="Q22" s="55">
        <v>9.17</v>
      </c>
      <c r="R22" s="43"/>
      <c r="S22" s="43"/>
      <c r="T22" s="43"/>
      <c r="U22" s="43"/>
    </row>
    <row r="23" spans="1:21" s="11" customFormat="1" x14ac:dyDescent="0.25">
      <c r="A23" s="54" t="s">
        <v>146</v>
      </c>
      <c r="B23" s="55">
        <v>8.75</v>
      </c>
      <c r="C23" s="55">
        <v>23.57</v>
      </c>
      <c r="D23" s="55">
        <v>18.489999999999998</v>
      </c>
      <c r="E23" s="55">
        <v>16.82</v>
      </c>
      <c r="F23" s="55">
        <v>20.6</v>
      </c>
      <c r="G23" s="18" t="s">
        <v>12</v>
      </c>
      <c r="H23" s="18" t="s">
        <v>12</v>
      </c>
      <c r="I23" s="55">
        <v>1.93</v>
      </c>
      <c r="J23" s="55">
        <v>1.22</v>
      </c>
      <c r="K23" s="55">
        <v>334.4</v>
      </c>
      <c r="L23" s="55">
        <v>30.9</v>
      </c>
      <c r="M23" s="55">
        <v>29.98</v>
      </c>
      <c r="N23" s="55">
        <v>181.3</v>
      </c>
      <c r="O23" s="55">
        <v>0</v>
      </c>
      <c r="P23" s="55">
        <v>0.63</v>
      </c>
      <c r="Q23" s="55">
        <v>9.19</v>
      </c>
      <c r="R23" s="43"/>
      <c r="S23" s="43"/>
      <c r="T23" s="43"/>
      <c r="U23" s="43"/>
    </row>
    <row r="24" spans="1:21" s="11" customFormat="1" x14ac:dyDescent="0.25">
      <c r="A24" s="54" t="s">
        <v>147</v>
      </c>
      <c r="B24" s="55">
        <v>8.68</v>
      </c>
      <c r="C24" s="55">
        <v>23.02</v>
      </c>
      <c r="D24" s="55">
        <v>18.989999999999998</v>
      </c>
      <c r="E24" s="55">
        <v>15.06</v>
      </c>
      <c r="F24" s="55">
        <v>18.04</v>
      </c>
      <c r="G24" s="18" t="s">
        <v>12</v>
      </c>
      <c r="H24" s="55">
        <v>0.73</v>
      </c>
      <c r="I24" s="55">
        <v>1.76</v>
      </c>
      <c r="J24" s="55">
        <v>1.45</v>
      </c>
      <c r="K24" s="55">
        <v>336.31</v>
      </c>
      <c r="L24" s="55">
        <v>29.28</v>
      </c>
      <c r="M24" s="55">
        <v>30.26</v>
      </c>
      <c r="N24" s="55">
        <v>125.5</v>
      </c>
      <c r="O24" s="55">
        <v>0</v>
      </c>
      <c r="P24" s="55">
        <v>0.55000000000000004</v>
      </c>
      <c r="Q24" s="55">
        <v>9.19</v>
      </c>
      <c r="R24" s="43"/>
      <c r="S24" s="43"/>
      <c r="T24" s="43"/>
      <c r="U24" s="43"/>
    </row>
    <row r="25" spans="1:21" s="11" customFormat="1" x14ac:dyDescent="0.25">
      <c r="A25" s="54" t="s">
        <v>148</v>
      </c>
      <c r="B25" s="55">
        <v>9.94</v>
      </c>
      <c r="C25" s="55">
        <v>19.82</v>
      </c>
      <c r="D25" s="55">
        <v>18.32</v>
      </c>
      <c r="E25" s="55">
        <v>9.58</v>
      </c>
      <c r="F25" s="55">
        <v>18.010000000000002</v>
      </c>
      <c r="G25" s="55">
        <v>35.869999999999997</v>
      </c>
      <c r="H25" s="55">
        <v>4.57</v>
      </c>
      <c r="I25" s="55">
        <v>1.56</v>
      </c>
      <c r="J25" s="55">
        <v>1.52</v>
      </c>
      <c r="K25" s="55">
        <v>340.37</v>
      </c>
      <c r="L25" s="55">
        <v>28.14</v>
      </c>
      <c r="M25" s="55">
        <v>35.479999999999997</v>
      </c>
      <c r="N25" s="55">
        <v>77</v>
      </c>
      <c r="O25" s="55">
        <v>0</v>
      </c>
      <c r="P25" s="55">
        <v>0.47</v>
      </c>
      <c r="Q25" s="55">
        <v>9.15</v>
      </c>
      <c r="R25" s="43"/>
      <c r="S25" s="43"/>
      <c r="T25" s="43"/>
      <c r="U25" s="43"/>
    </row>
    <row r="26" spans="1:21" s="11" customFormat="1" x14ac:dyDescent="0.25">
      <c r="A26" s="54" t="s">
        <v>149</v>
      </c>
      <c r="B26" s="55">
        <v>28.01</v>
      </c>
      <c r="C26" s="55">
        <v>29.57</v>
      </c>
      <c r="D26" s="55">
        <v>37.24</v>
      </c>
      <c r="E26" s="55">
        <v>10.29</v>
      </c>
      <c r="F26" s="55">
        <v>11.01</v>
      </c>
      <c r="G26" s="55">
        <v>33.78</v>
      </c>
      <c r="H26" s="55">
        <v>4.0199999999999996</v>
      </c>
      <c r="I26" s="55">
        <v>1.55</v>
      </c>
      <c r="J26" s="55">
        <v>0.85</v>
      </c>
      <c r="K26" s="55">
        <v>343.69</v>
      </c>
      <c r="L26" s="55">
        <v>26.39</v>
      </c>
      <c r="M26" s="55">
        <v>43.65</v>
      </c>
      <c r="N26" s="55">
        <v>46.8</v>
      </c>
      <c r="O26" s="55">
        <v>0</v>
      </c>
      <c r="P26" s="55">
        <v>1.02</v>
      </c>
      <c r="Q26" s="55">
        <v>9.19</v>
      </c>
      <c r="R26" s="43"/>
      <c r="S26" s="43"/>
      <c r="T26" s="43"/>
      <c r="U26" s="43"/>
    </row>
    <row r="27" spans="1:21" s="11" customFormat="1" x14ac:dyDescent="0.25">
      <c r="A27" s="54" t="s">
        <v>150</v>
      </c>
      <c r="B27" s="55">
        <v>102.48</v>
      </c>
      <c r="C27" s="55">
        <v>30.15</v>
      </c>
      <c r="D27" s="55">
        <v>88.78</v>
      </c>
      <c r="E27" s="55">
        <v>11.06</v>
      </c>
      <c r="F27" s="55">
        <v>8.4700000000000006</v>
      </c>
      <c r="G27" s="55">
        <v>46.84</v>
      </c>
      <c r="H27" s="55">
        <v>6.36</v>
      </c>
      <c r="I27" s="55">
        <v>1.92</v>
      </c>
      <c r="J27" s="55">
        <v>0.24</v>
      </c>
      <c r="K27" s="55">
        <v>333.03</v>
      </c>
      <c r="L27" s="55">
        <v>24.33</v>
      </c>
      <c r="M27" s="55">
        <v>55.6</v>
      </c>
      <c r="N27" s="55">
        <v>42.2</v>
      </c>
      <c r="O27" s="55">
        <v>0</v>
      </c>
      <c r="P27" s="55">
        <v>1.66</v>
      </c>
      <c r="Q27" s="55">
        <v>9.34</v>
      </c>
      <c r="R27" s="43"/>
      <c r="S27" s="43"/>
      <c r="T27" s="43"/>
      <c r="U27" s="43"/>
    </row>
    <row r="28" spans="1:21" s="11" customFormat="1" x14ac:dyDescent="0.25">
      <c r="A28" s="54" t="s">
        <v>151</v>
      </c>
      <c r="B28" s="55">
        <v>115.08</v>
      </c>
      <c r="C28" s="55">
        <v>9.15</v>
      </c>
      <c r="D28" s="55">
        <v>94.08</v>
      </c>
      <c r="E28" s="55">
        <v>10.75</v>
      </c>
      <c r="F28" s="55">
        <v>6.43</v>
      </c>
      <c r="G28" s="55">
        <v>86.44</v>
      </c>
      <c r="H28" s="55">
        <v>12.59</v>
      </c>
      <c r="I28" s="55">
        <v>2.64</v>
      </c>
      <c r="J28" s="55">
        <v>0.13</v>
      </c>
      <c r="K28" s="55">
        <v>333.56</v>
      </c>
      <c r="L28" s="55">
        <v>23.12</v>
      </c>
      <c r="M28" s="55">
        <v>69.540000000000006</v>
      </c>
      <c r="N28" s="55">
        <v>41.9</v>
      </c>
      <c r="O28" s="55">
        <v>0</v>
      </c>
      <c r="P28" s="55">
        <v>2.64</v>
      </c>
      <c r="Q28" s="55">
        <v>9.64</v>
      </c>
      <c r="R28" s="43"/>
      <c r="S28" s="43"/>
      <c r="T28" s="43"/>
      <c r="U28" s="43"/>
    </row>
    <row r="29" spans="1:21" s="11" customFormat="1" x14ac:dyDescent="0.25">
      <c r="A29" s="54" t="s">
        <v>152</v>
      </c>
      <c r="B29" s="55">
        <v>119.08</v>
      </c>
      <c r="C29" s="55">
        <v>2.97</v>
      </c>
      <c r="D29" s="55">
        <v>88.97</v>
      </c>
      <c r="E29" s="55">
        <v>8.0500000000000007</v>
      </c>
      <c r="F29" s="55">
        <v>3.9</v>
      </c>
      <c r="G29" s="55">
        <v>108.98</v>
      </c>
      <c r="H29" s="55">
        <v>18.22</v>
      </c>
      <c r="I29" s="55">
        <v>3.53</v>
      </c>
      <c r="J29" s="55">
        <v>0.1</v>
      </c>
      <c r="K29" s="55">
        <v>323.55</v>
      </c>
      <c r="L29" s="55">
        <v>22.39</v>
      </c>
      <c r="M29" s="55">
        <v>79.75</v>
      </c>
      <c r="N29" s="55">
        <v>41.8</v>
      </c>
      <c r="O29" s="55">
        <v>0</v>
      </c>
      <c r="P29" s="55">
        <v>2.0499999999999998</v>
      </c>
      <c r="Q29" s="55">
        <v>9.67</v>
      </c>
      <c r="R29" s="43"/>
      <c r="S29" s="43"/>
      <c r="T29" s="43"/>
      <c r="U29" s="43"/>
    </row>
    <row r="30" spans="1:21" s="11" customFormat="1" x14ac:dyDescent="0.25">
      <c r="A30" s="54" t="s">
        <v>153</v>
      </c>
      <c r="B30" s="55">
        <v>134.30000000000001</v>
      </c>
      <c r="C30" s="55">
        <v>-14.57</v>
      </c>
      <c r="D30" s="55">
        <v>96.46</v>
      </c>
      <c r="E30" s="55">
        <v>8.17</v>
      </c>
      <c r="F30" s="55">
        <v>4.33</v>
      </c>
      <c r="G30" s="55">
        <v>138.85</v>
      </c>
      <c r="H30" s="55">
        <v>23.95</v>
      </c>
      <c r="I30" s="55">
        <v>4.41</v>
      </c>
      <c r="J30" s="55">
        <v>0.08</v>
      </c>
      <c r="K30" s="55">
        <v>337.82</v>
      </c>
      <c r="L30" s="55">
        <v>21.97</v>
      </c>
      <c r="M30" s="55">
        <v>85.2</v>
      </c>
      <c r="N30" s="55">
        <v>41.8</v>
      </c>
      <c r="O30" s="55">
        <v>0</v>
      </c>
      <c r="P30" s="55">
        <v>2.36</v>
      </c>
      <c r="Q30" s="55">
        <v>9.74</v>
      </c>
      <c r="R30" s="43"/>
      <c r="S30" s="43"/>
      <c r="T30" s="43"/>
      <c r="U30" s="43"/>
    </row>
    <row r="31" spans="1:21" s="11" customFormat="1" x14ac:dyDescent="0.25">
      <c r="A31" s="54" t="s">
        <v>154</v>
      </c>
      <c r="B31" s="55">
        <v>139</v>
      </c>
      <c r="C31" s="55">
        <v>-20.2</v>
      </c>
      <c r="D31" s="55">
        <v>99.76</v>
      </c>
      <c r="E31" s="55">
        <v>8.67</v>
      </c>
      <c r="F31" s="55">
        <v>4.8600000000000003</v>
      </c>
      <c r="G31" s="55">
        <v>145.57</v>
      </c>
      <c r="H31" s="55">
        <v>25.23</v>
      </c>
      <c r="I31" s="55">
        <v>5.24</v>
      </c>
      <c r="J31" s="55">
        <v>0.2</v>
      </c>
      <c r="K31" s="55">
        <v>340.06</v>
      </c>
      <c r="L31" s="55">
        <v>21.64</v>
      </c>
      <c r="M31" s="55">
        <v>93.37</v>
      </c>
      <c r="N31" s="55">
        <v>41.9</v>
      </c>
      <c r="O31" s="55">
        <v>0</v>
      </c>
      <c r="P31" s="55">
        <v>2.4300000000000002</v>
      </c>
      <c r="Q31" s="55">
        <v>9.7899999999999991</v>
      </c>
      <c r="R31" s="43"/>
      <c r="S31" s="43"/>
      <c r="T31" s="43"/>
      <c r="U31" s="43"/>
    </row>
    <row r="32" spans="1:21" s="11" customFormat="1" x14ac:dyDescent="0.25">
      <c r="A32" s="54" t="s">
        <v>155</v>
      </c>
      <c r="B32" s="55">
        <v>105.76</v>
      </c>
      <c r="C32" s="55">
        <v>-11.94</v>
      </c>
      <c r="D32" s="55">
        <v>73.69</v>
      </c>
      <c r="E32" s="55">
        <v>7.88</v>
      </c>
      <c r="F32" s="55">
        <v>4.47</v>
      </c>
      <c r="G32" s="55">
        <v>145.1</v>
      </c>
      <c r="H32" s="55">
        <v>24.87</v>
      </c>
      <c r="I32" s="55">
        <v>5.72</v>
      </c>
      <c r="J32" s="55">
        <v>0.13</v>
      </c>
      <c r="K32" s="55">
        <v>346.68</v>
      </c>
      <c r="L32" s="55">
        <v>21.05</v>
      </c>
      <c r="M32" s="55">
        <v>87.65</v>
      </c>
      <c r="N32" s="55">
        <v>41.8</v>
      </c>
      <c r="O32" s="55">
        <v>0</v>
      </c>
      <c r="P32" s="55">
        <v>2.2000000000000002</v>
      </c>
      <c r="Q32" s="55">
        <v>9.81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7.85</v>
      </c>
      <c r="C34" s="28">
        <f t="shared" si="0"/>
        <v>-20.2</v>
      </c>
      <c r="D34" s="28">
        <f t="shared" si="0"/>
        <v>17.59</v>
      </c>
      <c r="E34" s="28">
        <f t="shared" si="0"/>
        <v>5.31</v>
      </c>
      <c r="F34" s="28">
        <f t="shared" si="0"/>
        <v>3.9</v>
      </c>
      <c r="G34" s="28">
        <f t="shared" si="0"/>
        <v>33.78</v>
      </c>
      <c r="H34" s="28">
        <f t="shared" si="0"/>
        <v>0.73</v>
      </c>
      <c r="I34" s="28">
        <f t="shared" si="0"/>
        <v>1.55</v>
      </c>
      <c r="J34" s="28">
        <f t="shared" si="0"/>
        <v>0.08</v>
      </c>
      <c r="K34" s="28">
        <f t="shared" si="0"/>
        <v>131.68</v>
      </c>
      <c r="L34" s="28">
        <f t="shared" si="0"/>
        <v>20.9</v>
      </c>
      <c r="M34" s="28">
        <f t="shared" si="0"/>
        <v>29.98</v>
      </c>
      <c r="N34" s="28">
        <f t="shared" si="0"/>
        <v>39.799999999999997</v>
      </c>
      <c r="O34" s="28">
        <f t="shared" si="0"/>
        <v>0</v>
      </c>
      <c r="P34" s="28">
        <f t="shared" si="0"/>
        <v>0.4</v>
      </c>
      <c r="Q34" s="28">
        <f t="shared" si="0"/>
        <v>9.1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139</v>
      </c>
      <c r="C35" s="29">
        <f t="shared" si="1"/>
        <v>30.15</v>
      </c>
      <c r="D35" s="29">
        <f t="shared" si="1"/>
        <v>99.76</v>
      </c>
      <c r="E35" s="29">
        <f t="shared" si="1"/>
        <v>21.68</v>
      </c>
      <c r="F35" s="29">
        <f t="shared" si="1"/>
        <v>24.44</v>
      </c>
      <c r="G35" s="29">
        <f t="shared" si="1"/>
        <v>145.57</v>
      </c>
      <c r="H35" s="29">
        <f t="shared" si="1"/>
        <v>25.23</v>
      </c>
      <c r="I35" s="29">
        <f t="shared" si="1"/>
        <v>5.72</v>
      </c>
      <c r="J35" s="29">
        <f t="shared" si="1"/>
        <v>1.52</v>
      </c>
      <c r="K35" s="29">
        <f t="shared" si="1"/>
        <v>346.87</v>
      </c>
      <c r="L35" s="29">
        <f t="shared" si="1"/>
        <v>32.33</v>
      </c>
      <c r="M35" s="29">
        <f t="shared" si="1"/>
        <v>99.06</v>
      </c>
      <c r="N35" s="29">
        <f t="shared" si="1"/>
        <v>805</v>
      </c>
      <c r="O35" s="29">
        <f t="shared" si="1"/>
        <v>0.2</v>
      </c>
      <c r="P35" s="29">
        <f t="shared" si="1"/>
        <v>2.64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43.608750000000008</v>
      </c>
      <c r="C36" s="28">
        <f t="shared" si="2"/>
        <v>9.5562500000000004</v>
      </c>
      <c r="D36" s="28">
        <f t="shared" si="2"/>
        <v>38.236250000000005</v>
      </c>
      <c r="E36" s="28">
        <f t="shared" si="2"/>
        <v>9.4829166666666662</v>
      </c>
      <c r="F36" s="28">
        <f t="shared" si="2"/>
        <v>9.8720833333333342</v>
      </c>
      <c r="G36" s="28">
        <f t="shared" si="2"/>
        <v>71.480476190476182</v>
      </c>
      <c r="H36" s="28">
        <f t="shared" si="2"/>
        <v>10.779545454545454</v>
      </c>
      <c r="I36" s="28">
        <f t="shared" si="2"/>
        <v>2.8229166666666665</v>
      </c>
      <c r="J36" s="28">
        <f t="shared" si="2"/>
        <v>0.67874999999999996</v>
      </c>
      <c r="K36" s="28">
        <f t="shared" si="2"/>
        <v>319.69666666666666</v>
      </c>
      <c r="L36" s="28">
        <f t="shared" si="2"/>
        <v>25.533333333333328</v>
      </c>
      <c r="M36" s="28">
        <f t="shared" si="2"/>
        <v>69.319166666666675</v>
      </c>
      <c r="N36" s="28">
        <f t="shared" si="2"/>
        <v>221.28750000000002</v>
      </c>
      <c r="O36" s="28">
        <f t="shared" si="2"/>
        <v>8.3333333333333332E-3</v>
      </c>
      <c r="P36" s="28">
        <f t="shared" si="2"/>
        <v>1.2764285714285712</v>
      </c>
      <c r="Q36" s="28">
        <f t="shared" si="2"/>
        <v>9.4483333333333324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45.685294876303274</v>
      </c>
      <c r="C37" s="28">
        <f t="shared" ref="C37:Q37" si="3">STDEV(C9:C32)</f>
        <v>13.603175400554859</v>
      </c>
      <c r="D37" s="28">
        <f t="shared" si="3"/>
        <v>31.250386406306689</v>
      </c>
      <c r="E37" s="28">
        <f t="shared" si="3"/>
        <v>4.326287171282762</v>
      </c>
      <c r="F37" s="28">
        <f t="shared" si="3"/>
        <v>6.1372171707907883</v>
      </c>
      <c r="G37" s="28">
        <f t="shared" si="3"/>
        <v>34.658921719550172</v>
      </c>
      <c r="H37" s="28">
        <f t="shared" si="3"/>
        <v>6.5708464898423573</v>
      </c>
      <c r="I37" s="28">
        <f t="shared" si="3"/>
        <v>1.0611416295532923</v>
      </c>
      <c r="J37" s="28">
        <f t="shared" si="3"/>
        <v>0.47130081319868217</v>
      </c>
      <c r="K37" s="28">
        <f t="shared" si="3"/>
        <v>57.277486028954783</v>
      </c>
      <c r="L37" s="28">
        <f t="shared" si="3"/>
        <v>4.2088020258446326</v>
      </c>
      <c r="M37" s="28">
        <f t="shared" si="3"/>
        <v>27.706424449883475</v>
      </c>
      <c r="N37" s="28">
        <f t="shared" si="3"/>
        <v>279.25173202140849</v>
      </c>
      <c r="O37" s="28">
        <f t="shared" si="3"/>
        <v>4.0824829046386311E-2</v>
      </c>
      <c r="P37" s="28">
        <f t="shared" si="3"/>
        <v>0.8893438129218747</v>
      </c>
      <c r="Q37" s="28">
        <f t="shared" si="3"/>
        <v>0.22015146301277833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COUNT(P9:P32)+10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6" sqref="G16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156</v>
      </c>
      <c r="B9" s="55">
        <v>95.29</v>
      </c>
      <c r="C9" s="55">
        <v>-21.97</v>
      </c>
      <c r="D9" s="55">
        <v>62.71</v>
      </c>
      <c r="E9" s="55">
        <v>5.08</v>
      </c>
      <c r="F9" s="55">
        <v>4.49</v>
      </c>
      <c r="G9" s="55">
        <v>141.38</v>
      </c>
      <c r="H9" s="55">
        <v>22.61</v>
      </c>
      <c r="I9" s="55">
        <v>5.78</v>
      </c>
      <c r="J9" s="55">
        <v>0.11</v>
      </c>
      <c r="K9" s="55">
        <v>357.84</v>
      </c>
      <c r="L9" s="55">
        <v>20.9</v>
      </c>
      <c r="M9" s="55">
        <v>98.22</v>
      </c>
      <c r="N9" s="55">
        <v>41.8</v>
      </c>
      <c r="O9" s="55">
        <v>0</v>
      </c>
      <c r="P9" s="55">
        <v>1.88</v>
      </c>
      <c r="Q9" s="55">
        <v>9.81</v>
      </c>
      <c r="R9" s="43"/>
      <c r="S9" s="43"/>
      <c r="T9" s="43"/>
      <c r="U9" s="43"/>
    </row>
    <row r="10" spans="1:21" s="11" customFormat="1" x14ac:dyDescent="0.25">
      <c r="A10" s="54" t="s">
        <v>157</v>
      </c>
      <c r="B10" s="55">
        <v>87.3</v>
      </c>
      <c r="C10" s="55">
        <v>-20.43</v>
      </c>
      <c r="D10" s="55">
        <v>57.38</v>
      </c>
      <c r="E10" s="55">
        <v>4.76</v>
      </c>
      <c r="F10" s="55">
        <v>4.0199999999999996</v>
      </c>
      <c r="G10" s="55">
        <v>129.96</v>
      </c>
      <c r="H10" s="55">
        <v>20.32</v>
      </c>
      <c r="I10" s="55">
        <v>5.72</v>
      </c>
      <c r="J10" s="55">
        <v>0.09</v>
      </c>
      <c r="K10" s="55">
        <v>343.47</v>
      </c>
      <c r="L10" s="55">
        <v>20.309999999999999</v>
      </c>
      <c r="M10" s="55">
        <v>98.45</v>
      </c>
      <c r="N10" s="55">
        <v>41.9</v>
      </c>
      <c r="O10" s="55">
        <v>0</v>
      </c>
      <c r="P10" s="55">
        <v>1.59</v>
      </c>
      <c r="Q10" s="55">
        <v>9.7899999999999991</v>
      </c>
      <c r="R10" s="43"/>
      <c r="S10" s="43"/>
      <c r="T10" s="43"/>
      <c r="U10" s="43"/>
    </row>
    <row r="11" spans="1:21" s="11" customFormat="1" x14ac:dyDescent="0.25">
      <c r="A11" s="54" t="s">
        <v>158</v>
      </c>
      <c r="B11" s="55">
        <v>80.72</v>
      </c>
      <c r="C11" s="55">
        <v>-17.53</v>
      </c>
      <c r="D11" s="55">
        <v>53.72</v>
      </c>
      <c r="E11" s="55">
        <v>4.58</v>
      </c>
      <c r="F11" s="55">
        <v>3.46</v>
      </c>
      <c r="G11" s="55">
        <v>108.13</v>
      </c>
      <c r="H11" s="55">
        <v>18.96</v>
      </c>
      <c r="I11" s="55">
        <v>5.49</v>
      </c>
      <c r="J11" s="55">
        <v>0.17</v>
      </c>
      <c r="K11" s="55">
        <v>211.91</v>
      </c>
      <c r="L11" s="55">
        <v>19.8</v>
      </c>
      <c r="M11" s="55">
        <v>98.85</v>
      </c>
      <c r="N11" s="55">
        <v>41.8</v>
      </c>
      <c r="O11" s="55">
        <v>0</v>
      </c>
      <c r="P11" s="55">
        <v>1.44</v>
      </c>
      <c r="Q11" s="55">
        <v>9.7899999999999991</v>
      </c>
      <c r="R11" s="43"/>
      <c r="S11" s="43"/>
      <c r="T11" s="43"/>
      <c r="U11" s="43"/>
    </row>
    <row r="12" spans="1:21" s="11" customFormat="1" x14ac:dyDescent="0.25">
      <c r="A12" s="54" t="s">
        <v>159</v>
      </c>
      <c r="B12" s="55">
        <v>68.930000000000007</v>
      </c>
      <c r="C12" s="55">
        <v>-10.23</v>
      </c>
      <c r="D12" s="55">
        <v>47.16</v>
      </c>
      <c r="E12" s="55">
        <v>4.29</v>
      </c>
      <c r="F12" s="55">
        <v>3.53</v>
      </c>
      <c r="G12" s="55">
        <v>88.59</v>
      </c>
      <c r="H12" s="55">
        <v>18.59</v>
      </c>
      <c r="I12" s="55">
        <v>5.25</v>
      </c>
      <c r="J12" s="55">
        <v>0.2</v>
      </c>
      <c r="K12" s="55">
        <v>339.93</v>
      </c>
      <c r="L12" s="55">
        <v>19.48</v>
      </c>
      <c r="M12" s="55">
        <v>99.17</v>
      </c>
      <c r="N12" s="55">
        <v>41.8</v>
      </c>
      <c r="O12" s="55">
        <v>0</v>
      </c>
      <c r="P12" s="55">
        <v>1.26</v>
      </c>
      <c r="Q12" s="55">
        <v>9.76</v>
      </c>
      <c r="R12" s="43"/>
      <c r="S12" s="43"/>
      <c r="T12" s="43"/>
      <c r="U12" s="43"/>
    </row>
    <row r="13" spans="1:21" s="11" customFormat="1" x14ac:dyDescent="0.25">
      <c r="A13" s="54" t="s">
        <v>160</v>
      </c>
      <c r="B13" s="55">
        <v>67.260000000000005</v>
      </c>
      <c r="C13" s="55">
        <v>-12.31</v>
      </c>
      <c r="D13" s="55">
        <v>45.34</v>
      </c>
      <c r="E13" s="55">
        <v>4.6100000000000003</v>
      </c>
      <c r="F13" s="55">
        <v>4.09</v>
      </c>
      <c r="G13" s="55">
        <v>79.239999999999995</v>
      </c>
      <c r="H13" s="55">
        <v>18.489999999999998</v>
      </c>
      <c r="I13" s="55">
        <v>4.96</v>
      </c>
      <c r="J13" s="55">
        <v>0.12</v>
      </c>
      <c r="K13" s="55">
        <v>346.76</v>
      </c>
      <c r="L13" s="55">
        <v>19.55</v>
      </c>
      <c r="M13" s="55">
        <v>99.22</v>
      </c>
      <c r="N13" s="55">
        <v>41.9</v>
      </c>
      <c r="O13" s="55">
        <v>0</v>
      </c>
      <c r="P13" s="55">
        <v>1.26</v>
      </c>
      <c r="Q13" s="55">
        <v>9.73</v>
      </c>
      <c r="R13" s="43"/>
      <c r="S13" s="43"/>
      <c r="T13" s="43"/>
      <c r="U13" s="43"/>
    </row>
    <row r="14" spans="1:21" s="11" customFormat="1" x14ac:dyDescent="0.25">
      <c r="A14" s="54" t="s">
        <v>161</v>
      </c>
      <c r="B14" s="55">
        <v>64.989999999999995</v>
      </c>
      <c r="C14" s="55">
        <v>-15.59</v>
      </c>
      <c r="D14" s="55">
        <v>43.78</v>
      </c>
      <c r="E14" s="55">
        <v>4.4000000000000004</v>
      </c>
      <c r="F14" s="55">
        <v>4.32</v>
      </c>
      <c r="G14" s="55">
        <v>90.67</v>
      </c>
      <c r="H14" s="55">
        <v>21.42</v>
      </c>
      <c r="I14" s="55">
        <v>4.9000000000000004</v>
      </c>
      <c r="J14" s="55">
        <v>0.17</v>
      </c>
      <c r="K14" s="55">
        <v>338.04</v>
      </c>
      <c r="L14" s="55">
        <v>18.95</v>
      </c>
      <c r="M14" s="55">
        <v>99.26</v>
      </c>
      <c r="N14" s="55">
        <v>42.9</v>
      </c>
      <c r="O14" s="55">
        <v>0</v>
      </c>
      <c r="P14" s="55">
        <v>1.1499999999999999</v>
      </c>
      <c r="Q14" s="55">
        <v>9.74</v>
      </c>
      <c r="R14" s="43"/>
      <c r="S14" s="43"/>
      <c r="T14" s="43"/>
      <c r="U14" s="43"/>
    </row>
    <row r="15" spans="1:21" s="11" customFormat="1" x14ac:dyDescent="0.25">
      <c r="A15" s="54" t="s">
        <v>162</v>
      </c>
      <c r="B15" s="55">
        <v>64.97</v>
      </c>
      <c r="C15" s="55">
        <v>-14.8</v>
      </c>
      <c r="D15" s="55">
        <v>44.37</v>
      </c>
      <c r="E15" s="55">
        <v>4.5</v>
      </c>
      <c r="F15" s="55">
        <v>4.25</v>
      </c>
      <c r="G15" s="55">
        <v>90.56</v>
      </c>
      <c r="H15" s="55">
        <v>20.75</v>
      </c>
      <c r="I15" s="55">
        <v>4.91</v>
      </c>
      <c r="J15" s="55">
        <v>0.08</v>
      </c>
      <c r="K15" s="55">
        <v>342.45</v>
      </c>
      <c r="L15" s="55">
        <v>19.96</v>
      </c>
      <c r="M15" s="55">
        <v>99.23</v>
      </c>
      <c r="N15" s="55">
        <v>100.3</v>
      </c>
      <c r="O15" s="55">
        <v>0</v>
      </c>
      <c r="P15" s="55">
        <v>1.1000000000000001</v>
      </c>
      <c r="Q15" s="55">
        <v>9.7200000000000006</v>
      </c>
      <c r="R15" s="43"/>
      <c r="S15" s="43"/>
      <c r="T15" s="43"/>
      <c r="U15" s="43"/>
    </row>
    <row r="16" spans="1:21" s="11" customFormat="1" x14ac:dyDescent="0.25">
      <c r="A16" s="54" t="s">
        <v>163</v>
      </c>
      <c r="B16" s="55">
        <v>64.72</v>
      </c>
      <c r="C16" s="55">
        <v>-8.4700000000000006</v>
      </c>
      <c r="D16" s="55">
        <v>47.22</v>
      </c>
      <c r="E16" s="55">
        <v>5.38</v>
      </c>
      <c r="F16" s="55">
        <v>3.92</v>
      </c>
      <c r="G16" s="55">
        <v>89.84</v>
      </c>
      <c r="H16" s="55">
        <v>19.940000000000001</v>
      </c>
      <c r="I16" s="55">
        <v>4.91</v>
      </c>
      <c r="J16" s="55">
        <v>0.18</v>
      </c>
      <c r="K16" s="55">
        <v>240.18</v>
      </c>
      <c r="L16" s="55">
        <v>25.4</v>
      </c>
      <c r="M16" s="55">
        <v>84.2</v>
      </c>
      <c r="N16" s="55">
        <v>348.8</v>
      </c>
      <c r="O16" s="55">
        <v>0</v>
      </c>
      <c r="P16" s="55">
        <v>1.32</v>
      </c>
      <c r="Q16" s="55">
        <v>9.73</v>
      </c>
      <c r="R16" s="43"/>
      <c r="S16" s="43"/>
      <c r="T16" s="43"/>
      <c r="U16" s="43"/>
    </row>
    <row r="17" spans="1:21" s="11" customFormat="1" x14ac:dyDescent="0.25">
      <c r="A17" s="54" t="s">
        <v>164</v>
      </c>
      <c r="B17" s="55">
        <v>56.72</v>
      </c>
      <c r="C17" s="55">
        <v>-5.41</v>
      </c>
      <c r="D17" s="55">
        <v>40.17</v>
      </c>
      <c r="E17" s="55">
        <v>5.57</v>
      </c>
      <c r="F17" s="55">
        <v>7.3</v>
      </c>
      <c r="G17" s="55">
        <v>89.05</v>
      </c>
      <c r="H17" s="55">
        <v>19.18</v>
      </c>
      <c r="I17" s="55">
        <v>4.8600000000000003</v>
      </c>
      <c r="J17" s="55">
        <v>1.1000000000000001</v>
      </c>
      <c r="K17" s="55">
        <v>158.08000000000001</v>
      </c>
      <c r="L17" s="55">
        <v>27.56</v>
      </c>
      <c r="M17" s="55">
        <v>57.99</v>
      </c>
      <c r="N17" s="55">
        <v>540.6</v>
      </c>
      <c r="O17" s="55">
        <v>0</v>
      </c>
      <c r="P17" s="55">
        <v>1.23</v>
      </c>
      <c r="Q17" s="55">
        <v>9.73</v>
      </c>
      <c r="R17" s="43"/>
      <c r="S17" s="43"/>
      <c r="T17" s="43"/>
      <c r="U17" s="43"/>
    </row>
    <row r="18" spans="1:21" s="11" customFormat="1" x14ac:dyDescent="0.25">
      <c r="A18" s="54" t="s">
        <v>165</v>
      </c>
      <c r="B18" s="55">
        <v>52.68</v>
      </c>
      <c r="C18" s="55">
        <v>-4.83</v>
      </c>
      <c r="D18" s="55">
        <v>37.4</v>
      </c>
      <c r="E18" s="55">
        <v>5.48</v>
      </c>
      <c r="F18" s="55">
        <v>4.46</v>
      </c>
      <c r="G18" s="55">
        <v>86.42</v>
      </c>
      <c r="H18" s="55">
        <v>16.2</v>
      </c>
      <c r="I18" s="55">
        <v>4.63</v>
      </c>
      <c r="J18" s="55">
        <v>0.39</v>
      </c>
      <c r="K18" s="55">
        <v>343.18</v>
      </c>
      <c r="L18" s="55">
        <v>31.34</v>
      </c>
      <c r="M18" s="55">
        <v>41.35</v>
      </c>
      <c r="N18" s="55">
        <v>720.5</v>
      </c>
      <c r="O18" s="55">
        <v>0</v>
      </c>
      <c r="P18" s="55">
        <v>1.0900000000000001</v>
      </c>
      <c r="Q18" s="55">
        <v>9.6999999999999993</v>
      </c>
      <c r="R18" s="43"/>
      <c r="S18" s="43"/>
      <c r="T18" s="43"/>
      <c r="U18" s="43"/>
    </row>
    <row r="19" spans="1:21" s="11" customFormat="1" x14ac:dyDescent="0.25">
      <c r="A19" s="54" t="s">
        <v>166</v>
      </c>
      <c r="B19" s="55">
        <v>43.37</v>
      </c>
      <c r="C19" s="55">
        <v>4.08</v>
      </c>
      <c r="D19" s="55">
        <v>32.72</v>
      </c>
      <c r="E19" s="55">
        <v>5.5</v>
      </c>
      <c r="F19" s="55">
        <v>5.6</v>
      </c>
      <c r="G19" s="55">
        <v>72.08</v>
      </c>
      <c r="H19" s="55">
        <v>17.39</v>
      </c>
      <c r="I19" s="55">
        <v>4.3499999999999996</v>
      </c>
      <c r="J19" s="55">
        <v>0.36</v>
      </c>
      <c r="K19" s="55">
        <v>323.29000000000002</v>
      </c>
      <c r="L19" s="55">
        <v>32.1</v>
      </c>
      <c r="M19" s="55">
        <v>36.11</v>
      </c>
      <c r="N19" s="55">
        <v>762.8</v>
      </c>
      <c r="O19" s="55">
        <v>0</v>
      </c>
      <c r="P19" s="55">
        <v>1</v>
      </c>
      <c r="Q19" s="55">
        <v>9.68</v>
      </c>
      <c r="R19" s="43"/>
      <c r="S19" s="43"/>
      <c r="T19" s="43"/>
      <c r="U19" s="43"/>
    </row>
    <row r="20" spans="1:21" s="11" customFormat="1" x14ac:dyDescent="0.25">
      <c r="A20" s="54" t="s">
        <v>167</v>
      </c>
      <c r="B20" s="55">
        <v>0.64</v>
      </c>
      <c r="C20" s="55">
        <v>0.88</v>
      </c>
      <c r="D20" s="55">
        <v>0</v>
      </c>
      <c r="E20" s="55">
        <v>6.78</v>
      </c>
      <c r="F20" s="55">
        <v>12.78</v>
      </c>
      <c r="G20" s="55">
        <v>65.53</v>
      </c>
      <c r="H20" s="55">
        <v>17.260000000000002</v>
      </c>
      <c r="I20" s="55">
        <v>4.0599999999999996</v>
      </c>
      <c r="J20" s="55">
        <v>0.7</v>
      </c>
      <c r="K20" s="55">
        <v>331.89</v>
      </c>
      <c r="L20" s="55">
        <v>33.049999999999997</v>
      </c>
      <c r="M20" s="55">
        <v>36.4</v>
      </c>
      <c r="N20" s="55">
        <v>762.4</v>
      </c>
      <c r="O20" s="55">
        <v>0</v>
      </c>
      <c r="P20" s="55">
        <v>0.88</v>
      </c>
      <c r="Q20" s="55">
        <v>9.65</v>
      </c>
      <c r="R20" s="43"/>
      <c r="S20" s="43"/>
      <c r="T20" s="43"/>
      <c r="U20" s="43"/>
    </row>
    <row r="21" spans="1:21" s="11" customFormat="1" x14ac:dyDescent="0.25">
      <c r="A21" s="54" t="s">
        <v>168</v>
      </c>
      <c r="B21" s="55">
        <v>0</v>
      </c>
      <c r="C21" s="55">
        <v>0.89</v>
      </c>
      <c r="D21" s="55">
        <v>0.01</v>
      </c>
      <c r="E21" s="55">
        <v>6.08</v>
      </c>
      <c r="F21" s="55">
        <v>11.85</v>
      </c>
      <c r="G21" s="55">
        <v>62.15</v>
      </c>
      <c r="H21" s="55">
        <v>16.579999999999998</v>
      </c>
      <c r="I21" s="55">
        <v>3.89</v>
      </c>
      <c r="J21" s="55">
        <v>0.94</v>
      </c>
      <c r="K21" s="55">
        <v>332.33</v>
      </c>
      <c r="L21" s="55">
        <v>32.18</v>
      </c>
      <c r="M21" s="55">
        <v>37.82</v>
      </c>
      <c r="N21" s="55">
        <v>732.2</v>
      </c>
      <c r="O21" s="55">
        <v>0</v>
      </c>
      <c r="P21" s="55">
        <v>0.83</v>
      </c>
      <c r="Q21" s="55">
        <v>9.57</v>
      </c>
      <c r="R21" s="43"/>
      <c r="S21" s="43"/>
      <c r="T21" s="43"/>
      <c r="U21" s="43"/>
    </row>
    <row r="22" spans="1:21" s="11" customFormat="1" x14ac:dyDescent="0.25">
      <c r="A22" s="54" t="s">
        <v>169</v>
      </c>
      <c r="B22" s="55">
        <v>0</v>
      </c>
      <c r="C22" s="55">
        <v>0.88</v>
      </c>
      <c r="D22" s="55">
        <v>0</v>
      </c>
      <c r="E22" s="55">
        <v>5.61</v>
      </c>
      <c r="F22" s="55">
        <v>11.52</v>
      </c>
      <c r="G22" s="55">
        <v>58.91</v>
      </c>
      <c r="H22" s="55">
        <v>16.260000000000002</v>
      </c>
      <c r="I22" s="55">
        <v>3.71</v>
      </c>
      <c r="J22" s="55">
        <v>0.73</v>
      </c>
      <c r="K22" s="55">
        <v>328.42</v>
      </c>
      <c r="L22" s="55">
        <v>31.96</v>
      </c>
      <c r="M22" s="55">
        <v>41.46</v>
      </c>
      <c r="N22" s="55">
        <v>328.6</v>
      </c>
      <c r="O22" s="55">
        <v>0</v>
      </c>
      <c r="P22" s="55">
        <v>0.71</v>
      </c>
      <c r="Q22" s="55">
        <v>9.34</v>
      </c>
      <c r="R22" s="43"/>
      <c r="S22" s="43"/>
      <c r="T22" s="43"/>
      <c r="U22" s="43"/>
    </row>
    <row r="23" spans="1:21" s="11" customFormat="1" x14ac:dyDescent="0.25">
      <c r="A23" s="54" t="s">
        <v>170</v>
      </c>
      <c r="B23" s="55">
        <v>0</v>
      </c>
      <c r="C23" s="55">
        <v>1.04</v>
      </c>
      <c r="D23" s="55">
        <v>0.09</v>
      </c>
      <c r="E23" s="55">
        <v>5.01</v>
      </c>
      <c r="F23" s="55">
        <v>12.14</v>
      </c>
      <c r="G23" s="55">
        <v>52.89</v>
      </c>
      <c r="H23" s="55">
        <v>15.21</v>
      </c>
      <c r="I23" s="55">
        <v>3.21</v>
      </c>
      <c r="J23" s="55">
        <v>0.79</v>
      </c>
      <c r="K23" s="55">
        <v>331.96</v>
      </c>
      <c r="L23" s="55">
        <v>30.82</v>
      </c>
      <c r="M23" s="55">
        <v>45.73</v>
      </c>
      <c r="N23" s="55">
        <v>162</v>
      </c>
      <c r="O23" s="55">
        <v>0</v>
      </c>
      <c r="P23" s="55">
        <v>0.63</v>
      </c>
      <c r="Q23" s="55">
        <v>9.15</v>
      </c>
      <c r="R23" s="43"/>
      <c r="S23" s="43"/>
      <c r="T23" s="43"/>
      <c r="U23" s="43"/>
    </row>
    <row r="24" spans="1:21" s="11" customFormat="1" x14ac:dyDescent="0.25">
      <c r="A24" s="54" t="s">
        <v>171</v>
      </c>
      <c r="B24" s="55">
        <v>2.19</v>
      </c>
      <c r="C24" s="55">
        <v>23.18</v>
      </c>
      <c r="D24" s="55">
        <v>13.41</v>
      </c>
      <c r="E24" s="55">
        <v>6.1</v>
      </c>
      <c r="F24" s="55">
        <v>17.16</v>
      </c>
      <c r="G24" s="55">
        <v>44.78</v>
      </c>
      <c r="H24" s="55">
        <v>13.14</v>
      </c>
      <c r="I24" s="55">
        <v>2.79</v>
      </c>
      <c r="J24" s="55">
        <v>0.97</v>
      </c>
      <c r="K24" s="55">
        <v>332.72</v>
      </c>
      <c r="L24" s="55">
        <v>29.15</v>
      </c>
      <c r="M24" s="55">
        <v>47.56</v>
      </c>
      <c r="N24" s="55">
        <v>106.1</v>
      </c>
      <c r="O24" s="55">
        <v>0</v>
      </c>
      <c r="P24" s="55">
        <v>0.52</v>
      </c>
      <c r="Q24" s="55">
        <v>9.1199999999999992</v>
      </c>
      <c r="R24" s="43"/>
      <c r="S24" s="43"/>
      <c r="T24" s="43"/>
      <c r="U24" s="43"/>
    </row>
    <row r="25" spans="1:21" s="11" customFormat="1" x14ac:dyDescent="0.25">
      <c r="A25" s="54" t="s">
        <v>172</v>
      </c>
      <c r="B25" s="55">
        <v>9.8699999999999992</v>
      </c>
      <c r="C25" s="55">
        <v>29.89</v>
      </c>
      <c r="D25" s="55">
        <v>33.39</v>
      </c>
      <c r="E25" s="55">
        <v>6.48</v>
      </c>
      <c r="F25" s="55">
        <v>18.059999999999999</v>
      </c>
      <c r="G25" s="55">
        <v>42.34</v>
      </c>
      <c r="H25" s="55">
        <v>0</v>
      </c>
      <c r="I25" s="55">
        <v>1.89</v>
      </c>
      <c r="J25" s="55">
        <v>0.34</v>
      </c>
      <c r="K25" s="55">
        <v>342.33</v>
      </c>
      <c r="L25" s="55">
        <v>28.37</v>
      </c>
      <c r="M25" s="55">
        <v>54.34</v>
      </c>
      <c r="N25" s="55">
        <v>75.7</v>
      </c>
      <c r="O25" s="55">
        <v>0</v>
      </c>
      <c r="P25" s="55">
        <v>0.61</v>
      </c>
      <c r="Q25" s="55">
        <v>9.26</v>
      </c>
      <c r="R25" s="43"/>
      <c r="S25" s="43"/>
      <c r="T25" s="43"/>
      <c r="U25" s="43"/>
    </row>
    <row r="26" spans="1:21" s="11" customFormat="1" x14ac:dyDescent="0.25">
      <c r="A26" s="54" t="s">
        <v>173</v>
      </c>
      <c r="B26" s="55">
        <v>18.739999999999998</v>
      </c>
      <c r="C26" s="55">
        <v>39.19</v>
      </c>
      <c r="D26" s="55">
        <v>31.2</v>
      </c>
      <c r="E26" s="55">
        <v>6.85</v>
      </c>
      <c r="F26" s="55">
        <v>13.79</v>
      </c>
      <c r="G26" s="55">
        <v>68.41</v>
      </c>
      <c r="H26" s="55">
        <v>20.92</v>
      </c>
      <c r="I26" s="55">
        <v>2.19</v>
      </c>
      <c r="J26" s="55">
        <v>0.13</v>
      </c>
      <c r="K26" s="55">
        <v>334.33</v>
      </c>
      <c r="L26" s="55">
        <v>26.71</v>
      </c>
      <c r="M26" s="55">
        <v>64.78</v>
      </c>
      <c r="N26" s="55">
        <v>49.9</v>
      </c>
      <c r="O26" s="55">
        <v>0</v>
      </c>
      <c r="P26" s="55">
        <v>1.03</v>
      </c>
      <c r="Q26" s="55">
        <v>9.25</v>
      </c>
      <c r="R26" s="43"/>
      <c r="S26" s="43"/>
      <c r="T26" s="43"/>
      <c r="U26" s="43"/>
    </row>
    <row r="27" spans="1:21" s="11" customFormat="1" x14ac:dyDescent="0.25">
      <c r="A27" s="54" t="s">
        <v>174</v>
      </c>
      <c r="B27" s="55">
        <v>26.27</v>
      </c>
      <c r="C27" s="55">
        <v>36.880000000000003</v>
      </c>
      <c r="D27" s="55">
        <v>36.200000000000003</v>
      </c>
      <c r="E27" s="55">
        <v>6.47</v>
      </c>
      <c r="F27" s="55">
        <v>7.2</v>
      </c>
      <c r="G27" s="55">
        <v>85.5</v>
      </c>
      <c r="H27" s="55">
        <v>24.63</v>
      </c>
      <c r="I27" s="55">
        <v>2.5499999999999998</v>
      </c>
      <c r="J27" s="55">
        <v>0.22</v>
      </c>
      <c r="K27" s="55">
        <v>344.24</v>
      </c>
      <c r="L27" s="55">
        <v>25.5</v>
      </c>
      <c r="M27" s="55">
        <v>68.959999999999994</v>
      </c>
      <c r="N27" s="55">
        <v>46.7</v>
      </c>
      <c r="O27" s="55">
        <v>0</v>
      </c>
      <c r="P27" s="55">
        <v>1.23</v>
      </c>
      <c r="Q27" s="55">
        <v>9.25</v>
      </c>
      <c r="R27" s="43"/>
      <c r="S27" s="43"/>
      <c r="T27" s="43"/>
      <c r="U27" s="43"/>
    </row>
    <row r="28" spans="1:21" s="11" customFormat="1" x14ac:dyDescent="0.25">
      <c r="A28" s="54" t="s">
        <v>175</v>
      </c>
      <c r="B28" s="55">
        <v>10.74</v>
      </c>
      <c r="C28" s="55">
        <v>18.93</v>
      </c>
      <c r="D28" s="55">
        <v>17.350000000000001</v>
      </c>
      <c r="E28" s="55">
        <v>6.09</v>
      </c>
      <c r="F28" s="55">
        <v>7.11</v>
      </c>
      <c r="G28" s="55">
        <v>85.5</v>
      </c>
      <c r="H28" s="55">
        <v>27.76</v>
      </c>
      <c r="I28" s="55">
        <v>2.78</v>
      </c>
      <c r="J28" s="55">
        <v>0.28999999999999998</v>
      </c>
      <c r="K28" s="55">
        <v>340.31</v>
      </c>
      <c r="L28" s="55">
        <v>25.6</v>
      </c>
      <c r="M28" s="55">
        <v>70.260000000000005</v>
      </c>
      <c r="N28" s="55">
        <v>47.7</v>
      </c>
      <c r="O28" s="55">
        <v>0</v>
      </c>
      <c r="P28" s="55">
        <v>0.94</v>
      </c>
      <c r="Q28" s="55">
        <v>9.27</v>
      </c>
      <c r="R28" s="43"/>
      <c r="S28" s="43"/>
      <c r="T28" s="43"/>
      <c r="U28" s="43"/>
    </row>
    <row r="29" spans="1:21" s="11" customFormat="1" x14ac:dyDescent="0.25">
      <c r="A29" s="54" t="s">
        <v>176</v>
      </c>
      <c r="B29" s="55">
        <v>11.75</v>
      </c>
      <c r="C29" s="55">
        <v>14.6</v>
      </c>
      <c r="D29" s="55">
        <v>14.97</v>
      </c>
      <c r="E29" s="55">
        <v>5.75</v>
      </c>
      <c r="F29" s="55">
        <v>5.16</v>
      </c>
      <c r="G29" s="55">
        <v>81.7</v>
      </c>
      <c r="H29" s="55">
        <v>27.76</v>
      </c>
      <c r="I29" s="55">
        <v>2.88</v>
      </c>
      <c r="J29" s="55">
        <v>0.48</v>
      </c>
      <c r="K29" s="55">
        <v>318.39</v>
      </c>
      <c r="L29" s="55">
        <v>25.28</v>
      </c>
      <c r="M29" s="55">
        <v>73.61</v>
      </c>
      <c r="N29" s="55">
        <v>47.9</v>
      </c>
      <c r="O29" s="55">
        <v>0</v>
      </c>
      <c r="P29" s="55">
        <v>0.89</v>
      </c>
      <c r="Q29" s="55">
        <v>9.2899999999999991</v>
      </c>
      <c r="R29" s="43"/>
      <c r="S29" s="43"/>
      <c r="T29" s="43"/>
      <c r="U29" s="43"/>
    </row>
    <row r="30" spans="1:21" s="11" customFormat="1" x14ac:dyDescent="0.25">
      <c r="A30" s="54" t="s">
        <v>177</v>
      </c>
      <c r="B30" s="55">
        <v>12.6</v>
      </c>
      <c r="C30" s="55">
        <v>13.83</v>
      </c>
      <c r="D30" s="55">
        <v>14.21</v>
      </c>
      <c r="E30" s="55">
        <v>5.59</v>
      </c>
      <c r="F30" s="55">
        <v>5.8</v>
      </c>
      <c r="G30" s="55">
        <v>75.78</v>
      </c>
      <c r="H30" s="55">
        <v>26.12</v>
      </c>
      <c r="I30" s="55">
        <v>3.05</v>
      </c>
      <c r="J30" s="55">
        <v>0.63</v>
      </c>
      <c r="K30" s="55">
        <v>327.61</v>
      </c>
      <c r="L30" s="55">
        <v>24.41</v>
      </c>
      <c r="M30" s="55">
        <v>79.900000000000006</v>
      </c>
      <c r="N30" s="55">
        <v>47.7</v>
      </c>
      <c r="O30" s="55">
        <v>0</v>
      </c>
      <c r="P30" s="55">
        <v>0.89</v>
      </c>
      <c r="Q30" s="55">
        <v>9.32</v>
      </c>
      <c r="R30" s="43"/>
      <c r="S30" s="43"/>
      <c r="T30" s="43"/>
      <c r="U30" s="43"/>
    </row>
    <row r="31" spans="1:21" s="11" customFormat="1" x14ac:dyDescent="0.25">
      <c r="A31" s="54" t="s">
        <v>178</v>
      </c>
      <c r="B31" s="55">
        <v>11.89</v>
      </c>
      <c r="C31" s="55">
        <v>7.53</v>
      </c>
      <c r="D31" s="55">
        <v>12.75</v>
      </c>
      <c r="E31" s="55">
        <v>5.52</v>
      </c>
      <c r="F31" s="55">
        <v>4.07</v>
      </c>
      <c r="G31" s="55">
        <v>63.11</v>
      </c>
      <c r="H31" s="55">
        <v>21.2</v>
      </c>
      <c r="I31" s="55">
        <v>2.85</v>
      </c>
      <c r="J31" s="55">
        <v>0.84</v>
      </c>
      <c r="K31" s="55">
        <v>327.11</v>
      </c>
      <c r="L31" s="55">
        <v>23.54</v>
      </c>
      <c r="M31" s="55">
        <v>86.33</v>
      </c>
      <c r="N31" s="55">
        <v>47.9</v>
      </c>
      <c r="O31" s="55">
        <v>0</v>
      </c>
      <c r="P31" s="55">
        <v>0.84</v>
      </c>
      <c r="Q31" s="55">
        <v>9.3000000000000007</v>
      </c>
      <c r="R31" s="43"/>
      <c r="S31" s="43"/>
      <c r="T31" s="43"/>
      <c r="U31" s="43"/>
    </row>
    <row r="32" spans="1:21" s="11" customFormat="1" x14ac:dyDescent="0.25">
      <c r="A32" s="54" t="s">
        <v>179</v>
      </c>
      <c r="B32" s="55">
        <v>13.17</v>
      </c>
      <c r="C32" s="55">
        <v>8.5299999999999994</v>
      </c>
      <c r="D32" s="55">
        <v>13.69</v>
      </c>
      <c r="E32" s="55">
        <v>5.44</v>
      </c>
      <c r="F32" s="55">
        <v>4.7699999999999996</v>
      </c>
      <c r="G32" s="55">
        <v>58.72</v>
      </c>
      <c r="H32" s="55">
        <v>24.26</v>
      </c>
      <c r="I32" s="55">
        <v>2.74</v>
      </c>
      <c r="J32" s="55">
        <v>0.57999999999999996</v>
      </c>
      <c r="K32" s="55">
        <v>347.85</v>
      </c>
      <c r="L32" s="55">
        <v>22.96</v>
      </c>
      <c r="M32" s="55">
        <v>94.25</v>
      </c>
      <c r="N32" s="55">
        <v>48.1</v>
      </c>
      <c r="O32" s="55">
        <v>0</v>
      </c>
      <c r="P32" s="55">
        <v>0.7</v>
      </c>
      <c r="Q32" s="55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-21.97</v>
      </c>
      <c r="D34" s="28">
        <f t="shared" si="0"/>
        <v>0</v>
      </c>
      <c r="E34" s="28">
        <f t="shared" si="0"/>
        <v>4.29</v>
      </c>
      <c r="F34" s="28">
        <f t="shared" si="0"/>
        <v>3.46</v>
      </c>
      <c r="G34" s="28">
        <f t="shared" si="0"/>
        <v>42.34</v>
      </c>
      <c r="H34" s="28">
        <f t="shared" si="0"/>
        <v>0</v>
      </c>
      <c r="I34" s="28">
        <f t="shared" si="0"/>
        <v>1.89</v>
      </c>
      <c r="J34" s="28">
        <f t="shared" si="0"/>
        <v>0.08</v>
      </c>
      <c r="K34" s="28">
        <f t="shared" si="0"/>
        <v>158.08000000000001</v>
      </c>
      <c r="L34" s="28">
        <f t="shared" si="0"/>
        <v>18.95</v>
      </c>
      <c r="M34" s="28">
        <f t="shared" si="0"/>
        <v>36.11</v>
      </c>
      <c r="N34" s="28">
        <f t="shared" si="0"/>
        <v>41.8</v>
      </c>
      <c r="O34" s="28">
        <f t="shared" si="0"/>
        <v>0</v>
      </c>
      <c r="P34" s="28">
        <f t="shared" si="0"/>
        <v>0.52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95.29</v>
      </c>
      <c r="C35" s="29">
        <f t="shared" si="1"/>
        <v>39.19</v>
      </c>
      <c r="D35" s="29">
        <f t="shared" si="1"/>
        <v>62.71</v>
      </c>
      <c r="E35" s="29">
        <f t="shared" si="1"/>
        <v>6.85</v>
      </c>
      <c r="F35" s="29">
        <f t="shared" si="1"/>
        <v>18.059999999999999</v>
      </c>
      <c r="G35" s="29">
        <f t="shared" si="1"/>
        <v>141.38</v>
      </c>
      <c r="H35" s="29">
        <f t="shared" si="1"/>
        <v>27.76</v>
      </c>
      <c r="I35" s="29">
        <f t="shared" si="1"/>
        <v>5.78</v>
      </c>
      <c r="J35" s="29">
        <f t="shared" si="1"/>
        <v>1.1000000000000001</v>
      </c>
      <c r="K35" s="29">
        <f t="shared" si="1"/>
        <v>357.84</v>
      </c>
      <c r="L35" s="29">
        <f t="shared" si="1"/>
        <v>33.049999999999997</v>
      </c>
      <c r="M35" s="29">
        <f t="shared" si="1"/>
        <v>99.26</v>
      </c>
      <c r="N35" s="29">
        <f t="shared" si="1"/>
        <v>762.8</v>
      </c>
      <c r="O35" s="29">
        <f t="shared" si="1"/>
        <v>0</v>
      </c>
      <c r="P35" s="29">
        <f t="shared" si="1"/>
        <v>1.88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36.033750000000005</v>
      </c>
      <c r="C36" s="28">
        <f t="shared" si="2"/>
        <v>2.8649999999999998</v>
      </c>
      <c r="D36" s="28">
        <f t="shared" si="2"/>
        <v>29.135000000000009</v>
      </c>
      <c r="E36" s="28">
        <f t="shared" si="2"/>
        <v>5.496666666666667</v>
      </c>
      <c r="F36" s="28">
        <f t="shared" si="2"/>
        <v>7.5354166666666664</v>
      </c>
      <c r="G36" s="28">
        <f t="shared" si="2"/>
        <v>79.635000000000005</v>
      </c>
      <c r="H36" s="28">
        <f t="shared" si="2"/>
        <v>19.372916666666661</v>
      </c>
      <c r="I36" s="28">
        <f t="shared" si="2"/>
        <v>3.931249999999999</v>
      </c>
      <c r="J36" s="28">
        <f t="shared" si="2"/>
        <v>0.44208333333333333</v>
      </c>
      <c r="K36" s="28">
        <f t="shared" si="2"/>
        <v>320.19249999999994</v>
      </c>
      <c r="L36" s="28">
        <f t="shared" si="2"/>
        <v>25.619999999999994</v>
      </c>
      <c r="M36" s="28">
        <f t="shared" si="2"/>
        <v>71.393749999999997</v>
      </c>
      <c r="N36" s="28">
        <f t="shared" si="2"/>
        <v>217.83333333333334</v>
      </c>
      <c r="O36" s="28">
        <f t="shared" si="2"/>
        <v>0</v>
      </c>
      <c r="P36" s="28">
        <f t="shared" si="2"/>
        <v>1.0425000000000002</v>
      </c>
      <c r="Q36" s="28">
        <f t="shared" si="2"/>
        <v>9.5095833333333335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32.105660453449225</v>
      </c>
      <c r="C37" s="28">
        <f t="shared" ref="C37:Q37" si="3">STDEV(C9:C32)</f>
        <v>17.559840298372528</v>
      </c>
      <c r="D37" s="28">
        <f t="shared" si="3"/>
        <v>19.640249489250365</v>
      </c>
      <c r="E37" s="28">
        <f t="shared" si="3"/>
        <v>0.7456987774340702</v>
      </c>
      <c r="F37" s="28">
        <f t="shared" si="3"/>
        <v>4.5105846330474808</v>
      </c>
      <c r="G37" s="28">
        <f t="shared" si="3"/>
        <v>23.732301597831491</v>
      </c>
      <c r="H37" s="28">
        <f t="shared" si="3"/>
        <v>5.634866210492059</v>
      </c>
      <c r="I37" s="28">
        <f t="shared" si="3"/>
        <v>1.1981301101589823</v>
      </c>
      <c r="J37" s="28">
        <f t="shared" si="3"/>
        <v>0.32155842212664826</v>
      </c>
      <c r="K37" s="28">
        <f t="shared" si="3"/>
        <v>47.551041158080245</v>
      </c>
      <c r="L37" s="28">
        <f t="shared" si="3"/>
        <v>4.7255954306217802</v>
      </c>
      <c r="M37" s="28">
        <f t="shared" si="3"/>
        <v>24.166975456547988</v>
      </c>
      <c r="N37" s="28">
        <f t="shared" si="3"/>
        <v>270.37967132657485</v>
      </c>
      <c r="O37" s="28">
        <f t="shared" si="3"/>
        <v>0</v>
      </c>
      <c r="P37" s="28">
        <f t="shared" si="3"/>
        <v>0.32623344535710141</v>
      </c>
      <c r="Q37" s="28">
        <f t="shared" si="3"/>
        <v>0.24557791939169465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3" sqref="D13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180</v>
      </c>
      <c r="B9" s="55">
        <v>10.41</v>
      </c>
      <c r="C9" s="55">
        <v>7.94</v>
      </c>
      <c r="D9" s="55">
        <v>11.27</v>
      </c>
      <c r="E9" s="55">
        <v>5.01</v>
      </c>
      <c r="F9" s="55">
        <v>4.46</v>
      </c>
      <c r="G9" s="55">
        <v>57.35</v>
      </c>
      <c r="H9" s="55">
        <v>24.26</v>
      </c>
      <c r="I9" s="55">
        <v>2.77</v>
      </c>
      <c r="J9" s="55">
        <v>0.33</v>
      </c>
      <c r="K9" s="55">
        <v>317.64999999999998</v>
      </c>
      <c r="L9" s="55">
        <v>22.3</v>
      </c>
      <c r="M9" s="55">
        <v>98.29</v>
      </c>
      <c r="N9" s="55">
        <v>48.3</v>
      </c>
      <c r="O9" s="55">
        <v>0</v>
      </c>
      <c r="P9" s="55">
        <v>0.65</v>
      </c>
      <c r="Q9" s="55">
        <v>9.2899999999999991</v>
      </c>
      <c r="R9" s="43"/>
      <c r="S9" s="43"/>
      <c r="T9" s="43"/>
      <c r="U9" s="43"/>
    </row>
    <row r="10" spans="1:21" s="11" customFormat="1" x14ac:dyDescent="0.25">
      <c r="A10" s="54" t="s">
        <v>181</v>
      </c>
      <c r="B10" s="55">
        <v>8.51</v>
      </c>
      <c r="C10" s="55">
        <v>7.38</v>
      </c>
      <c r="D10" s="55">
        <v>9.7200000000000006</v>
      </c>
      <c r="E10" s="55">
        <v>5.0999999999999996</v>
      </c>
      <c r="F10" s="55">
        <v>4.38</v>
      </c>
      <c r="G10" s="55">
        <v>54.55</v>
      </c>
      <c r="H10" s="55">
        <v>20.99</v>
      </c>
      <c r="I10" s="55">
        <v>2.4700000000000002</v>
      </c>
      <c r="J10" s="55">
        <v>0.13</v>
      </c>
      <c r="K10" s="55">
        <v>232.68</v>
      </c>
      <c r="L10" s="55">
        <v>21.16</v>
      </c>
      <c r="M10" s="55">
        <v>99.42</v>
      </c>
      <c r="N10" s="55">
        <v>48.3</v>
      </c>
      <c r="O10" s="55">
        <v>0</v>
      </c>
      <c r="P10" s="55">
        <v>0.62</v>
      </c>
      <c r="Q10" s="55">
        <v>9.2799999999999994</v>
      </c>
      <c r="R10" s="43"/>
      <c r="S10" s="43"/>
      <c r="T10" s="43"/>
      <c r="U10" s="43"/>
    </row>
    <row r="11" spans="1:21" s="11" customFormat="1" x14ac:dyDescent="0.25">
      <c r="A11" s="54" t="s">
        <v>182</v>
      </c>
      <c r="B11" s="55">
        <v>9.75</v>
      </c>
      <c r="C11" s="55">
        <v>6.65</v>
      </c>
      <c r="D11" s="55">
        <v>9.8000000000000007</v>
      </c>
      <c r="E11" s="55">
        <v>5.14</v>
      </c>
      <c r="F11" s="55">
        <v>4.04</v>
      </c>
      <c r="G11" s="55">
        <v>42.61</v>
      </c>
      <c r="H11" s="55">
        <v>18.09</v>
      </c>
      <c r="I11" s="55">
        <v>2.38</v>
      </c>
      <c r="J11" s="55">
        <v>0.11</v>
      </c>
      <c r="K11" s="55">
        <v>349.29</v>
      </c>
      <c r="L11" s="55">
        <v>20.47</v>
      </c>
      <c r="M11" s="55">
        <v>97.82</v>
      </c>
      <c r="N11" s="55">
        <v>48.2</v>
      </c>
      <c r="O11" s="55">
        <v>0</v>
      </c>
      <c r="P11" s="55">
        <v>0.66</v>
      </c>
      <c r="Q11" s="55">
        <v>9.27</v>
      </c>
      <c r="R11" s="43"/>
      <c r="S11" s="43"/>
      <c r="T11" s="43"/>
      <c r="U11" s="43"/>
    </row>
    <row r="12" spans="1:21" s="11" customFormat="1" x14ac:dyDescent="0.25">
      <c r="A12" s="54" t="s">
        <v>183</v>
      </c>
      <c r="B12" s="55">
        <v>9.98</v>
      </c>
      <c r="C12" s="55">
        <v>5.44</v>
      </c>
      <c r="D12" s="55">
        <v>10.06</v>
      </c>
      <c r="E12" s="55">
        <v>5.01</v>
      </c>
      <c r="F12" s="55">
        <v>3.73</v>
      </c>
      <c r="G12" s="55">
        <v>45.43</v>
      </c>
      <c r="H12" s="55">
        <v>18.97</v>
      </c>
      <c r="I12" s="55">
        <v>2.57</v>
      </c>
      <c r="J12" s="55">
        <v>0.08</v>
      </c>
      <c r="K12" s="55">
        <v>329.2</v>
      </c>
      <c r="L12" s="55">
        <v>20.14</v>
      </c>
      <c r="M12" s="55">
        <v>97.95</v>
      </c>
      <c r="N12" s="55">
        <v>48</v>
      </c>
      <c r="O12" s="55">
        <v>0</v>
      </c>
      <c r="P12" s="55">
        <v>0.56999999999999995</v>
      </c>
      <c r="Q12" s="55">
        <v>9.23</v>
      </c>
      <c r="R12" s="43"/>
      <c r="S12" s="43"/>
      <c r="T12" s="43"/>
      <c r="U12" s="43"/>
    </row>
    <row r="13" spans="1:21" s="11" customFormat="1" x14ac:dyDescent="0.25">
      <c r="A13" s="54" t="s">
        <v>184</v>
      </c>
      <c r="B13" s="55">
        <v>11.98</v>
      </c>
      <c r="C13" s="55">
        <v>5.97</v>
      </c>
      <c r="D13" s="55">
        <v>12.26</v>
      </c>
      <c r="E13" s="55">
        <v>5.04</v>
      </c>
      <c r="F13" s="55">
        <v>3.27</v>
      </c>
      <c r="G13" s="55">
        <v>47.32</v>
      </c>
      <c r="H13" s="55">
        <v>18.97</v>
      </c>
      <c r="I13" s="55">
        <v>2.42</v>
      </c>
      <c r="J13" s="55">
        <v>0.16</v>
      </c>
      <c r="K13" s="55">
        <v>343.83</v>
      </c>
      <c r="L13" s="55">
        <v>20.059999999999999</v>
      </c>
      <c r="M13" s="55">
        <v>98.09</v>
      </c>
      <c r="N13" s="55">
        <v>48.1</v>
      </c>
      <c r="O13" s="55">
        <v>0</v>
      </c>
      <c r="P13" s="55">
        <v>0.56000000000000005</v>
      </c>
      <c r="Q13" s="55">
        <v>9.24</v>
      </c>
      <c r="R13" s="43"/>
      <c r="S13" s="43"/>
      <c r="T13" s="43"/>
      <c r="U13" s="43"/>
    </row>
    <row r="14" spans="1:21" s="11" customFormat="1" x14ac:dyDescent="0.25">
      <c r="A14" s="54" t="s">
        <v>185</v>
      </c>
      <c r="B14" s="55">
        <v>13.76</v>
      </c>
      <c r="C14" s="55">
        <v>7.48</v>
      </c>
      <c r="D14" s="55">
        <v>14.31</v>
      </c>
      <c r="E14" s="55">
        <v>5.21</v>
      </c>
      <c r="F14" s="55">
        <v>3.96</v>
      </c>
      <c r="G14" s="55">
        <v>49.64</v>
      </c>
      <c r="H14" s="55">
        <v>17.78</v>
      </c>
      <c r="I14" s="55">
        <v>2.36</v>
      </c>
      <c r="J14" s="55">
        <v>0.18</v>
      </c>
      <c r="K14" s="55">
        <v>352.98</v>
      </c>
      <c r="L14" s="55">
        <v>19.88</v>
      </c>
      <c r="M14" s="55">
        <v>98.17</v>
      </c>
      <c r="N14" s="55">
        <v>49.1</v>
      </c>
      <c r="O14" s="55">
        <v>0</v>
      </c>
      <c r="P14" s="55">
        <v>0.54</v>
      </c>
      <c r="Q14" s="55">
        <v>9.3000000000000007</v>
      </c>
      <c r="R14" s="43"/>
      <c r="S14" s="43"/>
      <c r="T14" s="43"/>
      <c r="U14" s="43"/>
    </row>
    <row r="15" spans="1:21" s="11" customFormat="1" x14ac:dyDescent="0.25">
      <c r="A15" s="54" t="s">
        <v>186</v>
      </c>
      <c r="B15" s="55">
        <v>14.83</v>
      </c>
      <c r="C15" s="55">
        <v>6.47</v>
      </c>
      <c r="D15" s="55">
        <v>14.81</v>
      </c>
      <c r="E15" s="55">
        <v>5.24</v>
      </c>
      <c r="F15" s="55">
        <v>4.05</v>
      </c>
      <c r="G15" s="55">
        <v>54.16</v>
      </c>
      <c r="H15" s="55">
        <v>24.6</v>
      </c>
      <c r="I15" s="55">
        <v>2.2599999999999998</v>
      </c>
      <c r="J15" s="55">
        <v>0.99</v>
      </c>
      <c r="K15" s="55">
        <v>354.96</v>
      </c>
      <c r="L15" s="55">
        <v>21.18</v>
      </c>
      <c r="M15" s="55">
        <v>98.14</v>
      </c>
      <c r="N15" s="55">
        <v>110.6</v>
      </c>
      <c r="O15" s="55">
        <v>0</v>
      </c>
      <c r="P15" s="55">
        <v>0.57999999999999996</v>
      </c>
      <c r="Q15" s="55">
        <v>9.34</v>
      </c>
      <c r="R15" s="43"/>
      <c r="S15" s="43"/>
      <c r="T15" s="43"/>
      <c r="U15" s="43"/>
    </row>
    <row r="16" spans="1:21" s="11" customFormat="1" x14ac:dyDescent="0.25">
      <c r="A16" s="54" t="s">
        <v>187</v>
      </c>
      <c r="B16" s="55">
        <v>15.86</v>
      </c>
      <c r="C16" s="55">
        <v>4.95</v>
      </c>
      <c r="D16" s="55">
        <v>14.85</v>
      </c>
      <c r="E16" s="55">
        <v>5.3</v>
      </c>
      <c r="F16" s="55">
        <v>4.3499999999999996</v>
      </c>
      <c r="G16" s="55">
        <v>69.08</v>
      </c>
      <c r="H16" s="55">
        <v>24.84</v>
      </c>
      <c r="I16" s="55">
        <v>2.2000000000000002</v>
      </c>
      <c r="J16" s="55">
        <v>1.17</v>
      </c>
      <c r="K16" s="55">
        <v>346.39</v>
      </c>
      <c r="L16" s="55">
        <v>26.52</v>
      </c>
      <c r="M16" s="55">
        <v>97.45</v>
      </c>
      <c r="N16" s="55">
        <v>319.89999999999998</v>
      </c>
      <c r="O16" s="55">
        <v>0</v>
      </c>
      <c r="P16" s="55">
        <v>0.66</v>
      </c>
      <c r="Q16" s="55">
        <v>9.35</v>
      </c>
      <c r="R16" s="43"/>
      <c r="S16" s="43"/>
      <c r="T16" s="43"/>
      <c r="U16" s="43"/>
    </row>
    <row r="17" spans="1:21" s="11" customFormat="1" x14ac:dyDescent="0.25">
      <c r="A17" s="54" t="s">
        <v>188</v>
      </c>
      <c r="B17" s="55">
        <v>17.079999999999998</v>
      </c>
      <c r="C17" s="55">
        <v>8.52</v>
      </c>
      <c r="D17" s="55">
        <v>17.09</v>
      </c>
      <c r="E17" s="55">
        <v>5.91</v>
      </c>
      <c r="F17" s="55">
        <v>5.52</v>
      </c>
      <c r="G17" s="55">
        <v>86.05</v>
      </c>
      <c r="H17" s="55">
        <v>30.56</v>
      </c>
      <c r="I17" s="55">
        <v>2.2999999999999998</v>
      </c>
      <c r="J17" s="55">
        <v>1.63</v>
      </c>
      <c r="K17" s="55">
        <v>345.3</v>
      </c>
      <c r="L17" s="55">
        <v>29.83</v>
      </c>
      <c r="M17" s="55">
        <v>63.69</v>
      </c>
      <c r="N17" s="55">
        <v>513.5</v>
      </c>
      <c r="O17" s="55">
        <v>0</v>
      </c>
      <c r="P17" s="55">
        <v>0.7</v>
      </c>
      <c r="Q17" s="55">
        <v>9.3800000000000008</v>
      </c>
      <c r="R17" s="43"/>
      <c r="S17" s="43"/>
      <c r="T17" s="43"/>
      <c r="U17" s="43"/>
    </row>
    <row r="18" spans="1:21" s="11" customFormat="1" x14ac:dyDescent="0.25">
      <c r="A18" s="54" t="s">
        <v>189</v>
      </c>
      <c r="B18" s="55">
        <v>15.11</v>
      </c>
      <c r="C18" s="55">
        <v>14.32</v>
      </c>
      <c r="D18" s="55">
        <v>18.55</v>
      </c>
      <c r="E18" s="55">
        <v>11.74</v>
      </c>
      <c r="F18" s="55">
        <v>8.1300000000000008</v>
      </c>
      <c r="G18" s="55">
        <v>86.05</v>
      </c>
      <c r="H18" s="55">
        <v>30.6</v>
      </c>
      <c r="I18" s="55">
        <v>2.46</v>
      </c>
      <c r="J18" s="55">
        <v>0.87</v>
      </c>
      <c r="K18" s="55">
        <v>346.16</v>
      </c>
      <c r="L18" s="55">
        <v>31.23</v>
      </c>
      <c r="M18" s="55">
        <v>53.48</v>
      </c>
      <c r="N18" s="55">
        <v>671</v>
      </c>
      <c r="O18" s="55">
        <v>0</v>
      </c>
      <c r="P18" s="55">
        <v>0.82</v>
      </c>
      <c r="Q18" s="55">
        <v>9.39</v>
      </c>
      <c r="R18" s="43"/>
      <c r="S18" s="43"/>
      <c r="T18" s="43"/>
      <c r="U18" s="43"/>
    </row>
    <row r="19" spans="1:21" s="11" customFormat="1" x14ac:dyDescent="0.25">
      <c r="A19" s="54" t="s">
        <v>190</v>
      </c>
      <c r="B19" s="55">
        <v>10.59</v>
      </c>
      <c r="C19" s="55">
        <v>11.8</v>
      </c>
      <c r="D19" s="55">
        <v>13.69</v>
      </c>
      <c r="E19" s="55">
        <v>7.78</v>
      </c>
      <c r="F19" s="55">
        <v>10.67</v>
      </c>
      <c r="G19" s="55">
        <v>82.55</v>
      </c>
      <c r="H19" s="55">
        <v>30.6</v>
      </c>
      <c r="I19" s="55">
        <v>2.37</v>
      </c>
      <c r="J19" s="55">
        <v>1.24</v>
      </c>
      <c r="K19" s="55">
        <v>353.19</v>
      </c>
      <c r="L19" s="55">
        <v>31.23</v>
      </c>
      <c r="M19" s="55">
        <v>48.57</v>
      </c>
      <c r="N19" s="55">
        <v>701.5</v>
      </c>
      <c r="O19" s="55">
        <v>0</v>
      </c>
      <c r="P19" s="55">
        <v>0.78</v>
      </c>
      <c r="Q19" s="55">
        <v>9.3800000000000008</v>
      </c>
      <c r="R19" s="43"/>
      <c r="S19" s="43"/>
      <c r="T19" s="43"/>
      <c r="U19" s="43"/>
    </row>
    <row r="20" spans="1:21" s="11" customFormat="1" x14ac:dyDescent="0.25">
      <c r="A20" s="54" t="s">
        <v>191</v>
      </c>
      <c r="B20" s="55">
        <v>8.34</v>
      </c>
      <c r="C20" s="55">
        <v>11.75</v>
      </c>
      <c r="D20" s="55">
        <v>12.19</v>
      </c>
      <c r="E20" s="55">
        <v>6.35</v>
      </c>
      <c r="F20" s="55">
        <v>10.06</v>
      </c>
      <c r="G20" s="55">
        <v>80.72</v>
      </c>
      <c r="H20" s="55">
        <v>26.29</v>
      </c>
      <c r="I20" s="55">
        <v>2.21</v>
      </c>
      <c r="J20" s="55">
        <v>0.66</v>
      </c>
      <c r="K20" s="55">
        <v>354.05</v>
      </c>
      <c r="L20" s="55">
        <v>30.62</v>
      </c>
      <c r="M20" s="55">
        <v>47.18</v>
      </c>
      <c r="N20" s="55">
        <v>615.29999999999995</v>
      </c>
      <c r="O20" s="55">
        <v>0</v>
      </c>
      <c r="P20" s="55">
        <v>0.73</v>
      </c>
      <c r="Q20" s="55">
        <v>9.3000000000000007</v>
      </c>
      <c r="R20" s="43"/>
      <c r="S20" s="43"/>
      <c r="T20" s="43"/>
      <c r="U20" s="43"/>
    </row>
    <row r="21" spans="1:21" s="11" customFormat="1" x14ac:dyDescent="0.25">
      <c r="A21" s="54" t="s">
        <v>192</v>
      </c>
      <c r="B21" s="55">
        <v>6.61</v>
      </c>
      <c r="C21" s="55">
        <v>13.71</v>
      </c>
      <c r="D21" s="55">
        <v>11.53</v>
      </c>
      <c r="E21" s="55">
        <v>5.32</v>
      </c>
      <c r="F21" s="55">
        <v>10.19</v>
      </c>
      <c r="G21" s="55">
        <v>69.5</v>
      </c>
      <c r="H21" s="55">
        <v>25.25</v>
      </c>
      <c r="I21" s="55">
        <v>2.13</v>
      </c>
      <c r="J21" s="55">
        <v>1.06</v>
      </c>
      <c r="K21" s="55">
        <v>346.31</v>
      </c>
      <c r="L21" s="55">
        <v>29.99</v>
      </c>
      <c r="M21" s="55">
        <v>51</v>
      </c>
      <c r="N21" s="55">
        <v>414.2</v>
      </c>
      <c r="O21" s="55">
        <v>0</v>
      </c>
      <c r="P21" s="55">
        <v>0.65</v>
      </c>
      <c r="Q21" s="55">
        <v>9.17</v>
      </c>
      <c r="R21" s="43"/>
      <c r="S21" s="43"/>
      <c r="T21" s="43"/>
      <c r="U21" s="43"/>
    </row>
    <row r="22" spans="1:21" s="11" customFormat="1" x14ac:dyDescent="0.25">
      <c r="A22" s="54" t="s">
        <v>193</v>
      </c>
      <c r="B22" s="55">
        <v>9.33</v>
      </c>
      <c r="C22" s="55">
        <v>17.239999999999998</v>
      </c>
      <c r="D22" s="55">
        <v>16.03</v>
      </c>
      <c r="E22" s="55">
        <v>6.38</v>
      </c>
      <c r="F22" s="55">
        <v>12.85</v>
      </c>
      <c r="G22" s="55">
        <v>60.05</v>
      </c>
      <c r="H22" s="55">
        <v>17.829999999999998</v>
      </c>
      <c r="I22" s="55">
        <v>2.21</v>
      </c>
      <c r="J22" s="55">
        <v>1.25</v>
      </c>
      <c r="K22" s="55">
        <v>350.1</v>
      </c>
      <c r="L22" s="55">
        <v>30.01</v>
      </c>
      <c r="M22" s="55">
        <v>50.3</v>
      </c>
      <c r="N22" s="55">
        <v>296.39999999999998</v>
      </c>
      <c r="O22" s="55">
        <v>0</v>
      </c>
      <c r="P22" s="55">
        <v>0.65</v>
      </c>
      <c r="Q22" s="55">
        <v>9.15</v>
      </c>
      <c r="R22" s="43"/>
      <c r="S22" s="43"/>
      <c r="T22" s="43"/>
      <c r="U22" s="43"/>
    </row>
    <row r="23" spans="1:21" s="11" customFormat="1" x14ac:dyDescent="0.25">
      <c r="A23" s="54" t="s">
        <v>194</v>
      </c>
      <c r="B23" s="55">
        <v>6.46</v>
      </c>
      <c r="C23" s="55">
        <v>16.95</v>
      </c>
      <c r="D23" s="55">
        <v>13.36</v>
      </c>
      <c r="E23" s="55">
        <v>8.56</v>
      </c>
      <c r="F23" s="55">
        <v>14.27</v>
      </c>
      <c r="G23" s="55">
        <v>53.82</v>
      </c>
      <c r="H23" s="55">
        <v>18.329999999999998</v>
      </c>
      <c r="I23" s="55">
        <v>2.12</v>
      </c>
      <c r="J23" s="55">
        <v>0.88</v>
      </c>
      <c r="K23" s="55">
        <v>352.15</v>
      </c>
      <c r="L23" s="55">
        <v>28.95</v>
      </c>
      <c r="M23" s="55">
        <v>48.93</v>
      </c>
      <c r="N23" s="55">
        <v>177.8</v>
      </c>
      <c r="O23" s="55">
        <v>0</v>
      </c>
      <c r="P23" s="55">
        <v>0.65</v>
      </c>
      <c r="Q23" s="55">
        <v>9.19</v>
      </c>
      <c r="R23" s="43"/>
      <c r="S23" s="43"/>
      <c r="T23" s="43"/>
      <c r="U23" s="43"/>
    </row>
    <row r="24" spans="1:21" s="11" customFormat="1" x14ac:dyDescent="0.25">
      <c r="A24" s="54" t="s">
        <v>195</v>
      </c>
      <c r="B24" s="55">
        <v>7.7</v>
      </c>
      <c r="C24" s="55">
        <v>18.25</v>
      </c>
      <c r="D24" s="55">
        <v>14.21</v>
      </c>
      <c r="E24" s="55">
        <v>9.08</v>
      </c>
      <c r="F24" s="55">
        <v>18.55</v>
      </c>
      <c r="G24" s="55">
        <v>49.31</v>
      </c>
      <c r="H24" s="55">
        <v>18.329999999999998</v>
      </c>
      <c r="I24" s="55">
        <v>2.0499999999999998</v>
      </c>
      <c r="J24" s="55">
        <v>0.51</v>
      </c>
      <c r="K24" s="55">
        <v>351.3</v>
      </c>
      <c r="L24" s="55">
        <v>27.7</v>
      </c>
      <c r="M24" s="55">
        <v>51.02</v>
      </c>
      <c r="N24" s="55">
        <v>130</v>
      </c>
      <c r="O24" s="55">
        <v>0</v>
      </c>
      <c r="P24" s="55">
        <v>0.69</v>
      </c>
      <c r="Q24" s="55">
        <v>9.19</v>
      </c>
      <c r="R24" s="43"/>
      <c r="S24" s="43"/>
      <c r="T24" s="43"/>
      <c r="U24" s="43"/>
    </row>
    <row r="25" spans="1:21" s="11" customFormat="1" x14ac:dyDescent="0.25">
      <c r="A25" s="54" t="s">
        <v>196</v>
      </c>
      <c r="B25" s="55">
        <v>14.34</v>
      </c>
      <c r="C25" s="55">
        <v>16.29</v>
      </c>
      <c r="D25" s="55">
        <v>19.32</v>
      </c>
      <c r="E25" s="55">
        <v>7.92</v>
      </c>
      <c r="F25" s="55">
        <v>12.98</v>
      </c>
      <c r="G25" s="55">
        <v>47.31</v>
      </c>
      <c r="H25" s="55">
        <v>16.809999999999999</v>
      </c>
      <c r="I25" s="55">
        <v>1.92</v>
      </c>
      <c r="J25" s="55">
        <v>0.95</v>
      </c>
      <c r="K25" s="55">
        <v>347.86</v>
      </c>
      <c r="L25" s="55">
        <v>27.31</v>
      </c>
      <c r="M25" s="55">
        <v>54.7</v>
      </c>
      <c r="N25" s="55">
        <v>78</v>
      </c>
      <c r="O25" s="55">
        <v>0</v>
      </c>
      <c r="P25" s="55">
        <v>0.73</v>
      </c>
      <c r="Q25" s="55">
        <v>9.16</v>
      </c>
      <c r="R25" s="43"/>
      <c r="S25" s="43"/>
      <c r="T25" s="43"/>
      <c r="U25" s="43"/>
    </row>
    <row r="26" spans="1:21" s="11" customFormat="1" x14ac:dyDescent="0.25">
      <c r="A26" s="54" t="s">
        <v>197</v>
      </c>
      <c r="B26" s="55">
        <v>28.6</v>
      </c>
      <c r="C26" s="55">
        <v>37.770000000000003</v>
      </c>
      <c r="D26" s="55">
        <v>39.659999999999997</v>
      </c>
      <c r="E26" s="55">
        <v>7.57</v>
      </c>
      <c r="F26" s="55">
        <v>9.34</v>
      </c>
      <c r="G26" s="55">
        <v>48.64</v>
      </c>
      <c r="H26" s="55">
        <v>16.809999999999999</v>
      </c>
      <c r="I26" s="55">
        <v>2.0099999999999998</v>
      </c>
      <c r="J26" s="55">
        <v>0.12</v>
      </c>
      <c r="K26" s="55">
        <v>87.17</v>
      </c>
      <c r="L26" s="55">
        <v>25.94</v>
      </c>
      <c r="M26" s="55">
        <v>66.27</v>
      </c>
      <c r="N26" s="55">
        <v>46.4</v>
      </c>
      <c r="O26" s="55">
        <v>0</v>
      </c>
      <c r="P26" s="55">
        <v>1.67</v>
      </c>
      <c r="Q26" s="55">
        <v>9.23</v>
      </c>
      <c r="R26" s="43"/>
      <c r="S26" s="43"/>
      <c r="T26" s="43"/>
      <c r="U26" s="43"/>
    </row>
    <row r="27" spans="1:21" s="11" customFormat="1" x14ac:dyDescent="0.25">
      <c r="A27" s="54" t="s">
        <v>198</v>
      </c>
      <c r="B27" s="55">
        <v>26.26</v>
      </c>
      <c r="C27" s="55">
        <v>31.24</v>
      </c>
      <c r="D27" s="55">
        <v>31.98</v>
      </c>
      <c r="E27" s="55">
        <v>7.29</v>
      </c>
      <c r="F27" s="55">
        <v>9.18</v>
      </c>
      <c r="G27" s="55">
        <v>63.36</v>
      </c>
      <c r="H27" s="55">
        <v>23.91</v>
      </c>
      <c r="I27" s="55">
        <v>2.4900000000000002</v>
      </c>
      <c r="J27" s="55">
        <v>0.17</v>
      </c>
      <c r="K27" s="55">
        <v>344.09</v>
      </c>
      <c r="L27" s="55">
        <v>24.53</v>
      </c>
      <c r="M27" s="55">
        <v>83.54</v>
      </c>
      <c r="N27" s="55">
        <v>41.7</v>
      </c>
      <c r="O27" s="55">
        <v>0</v>
      </c>
      <c r="P27" s="55">
        <v>1.79</v>
      </c>
      <c r="Q27" s="55">
        <v>9.32</v>
      </c>
      <c r="R27" s="43"/>
      <c r="S27" s="43"/>
      <c r="T27" s="43"/>
      <c r="U27" s="43"/>
    </row>
    <row r="28" spans="1:21" s="11" customFormat="1" x14ac:dyDescent="0.25">
      <c r="A28" s="54" t="s">
        <v>199</v>
      </c>
      <c r="B28" s="55">
        <v>82.56</v>
      </c>
      <c r="C28" s="55">
        <v>28.58</v>
      </c>
      <c r="D28" s="55">
        <v>67.52</v>
      </c>
      <c r="E28" s="55">
        <v>7.01</v>
      </c>
      <c r="F28" s="55">
        <v>5.92</v>
      </c>
      <c r="G28" s="55">
        <v>77.12</v>
      </c>
      <c r="H28" s="55">
        <v>30.94</v>
      </c>
      <c r="I28" s="55">
        <v>3.03</v>
      </c>
      <c r="J28" s="55">
        <v>0.17</v>
      </c>
      <c r="K28" s="55">
        <v>323.08</v>
      </c>
      <c r="L28" s="55">
        <v>23.28</v>
      </c>
      <c r="M28" s="55">
        <v>92.44</v>
      </c>
      <c r="N28" s="55">
        <v>41.5</v>
      </c>
      <c r="O28" s="55">
        <v>0</v>
      </c>
      <c r="P28" s="55">
        <v>2.35</v>
      </c>
      <c r="Q28" s="55">
        <v>9.5</v>
      </c>
      <c r="R28" s="43"/>
      <c r="S28" s="43"/>
      <c r="T28" s="43"/>
      <c r="U28" s="43"/>
    </row>
    <row r="29" spans="1:21" s="11" customFormat="1" x14ac:dyDescent="0.25">
      <c r="A29" s="54" t="s">
        <v>200</v>
      </c>
      <c r="B29" s="55">
        <v>45.24</v>
      </c>
      <c r="C29" s="55">
        <v>16.079999999999998</v>
      </c>
      <c r="D29" s="55">
        <v>44.07</v>
      </c>
      <c r="E29" s="55">
        <v>6.41</v>
      </c>
      <c r="F29" s="55">
        <v>4.76</v>
      </c>
      <c r="G29" s="55">
        <v>101.52</v>
      </c>
      <c r="H29" s="55">
        <v>34.99</v>
      </c>
      <c r="I29" s="55">
        <v>3.62</v>
      </c>
      <c r="J29" s="55">
        <v>0.21</v>
      </c>
      <c r="K29" s="55">
        <v>339.74</v>
      </c>
      <c r="L29" s="55">
        <v>23.49</v>
      </c>
      <c r="M29" s="55">
        <v>94.31</v>
      </c>
      <c r="N29" s="55">
        <v>42</v>
      </c>
      <c r="O29" s="55">
        <v>0</v>
      </c>
      <c r="P29" s="55">
        <v>1.57</v>
      </c>
      <c r="Q29" s="55">
        <v>9.65</v>
      </c>
      <c r="R29" s="43"/>
      <c r="S29" s="43"/>
      <c r="T29" s="43"/>
      <c r="U29" s="43"/>
    </row>
    <row r="30" spans="1:21" s="11" customFormat="1" x14ac:dyDescent="0.25">
      <c r="A30" s="54" t="s">
        <v>201</v>
      </c>
      <c r="B30" s="55">
        <v>44.61</v>
      </c>
      <c r="C30" s="55">
        <v>10.56</v>
      </c>
      <c r="D30" s="55">
        <v>37.07</v>
      </c>
      <c r="E30" s="55">
        <v>5.42</v>
      </c>
      <c r="F30" s="55">
        <v>4.75</v>
      </c>
      <c r="G30" s="55">
        <v>103.33</v>
      </c>
      <c r="H30" s="55">
        <v>36.229999999999997</v>
      </c>
      <c r="I30" s="55">
        <v>3.91</v>
      </c>
      <c r="J30" s="55">
        <v>0.12</v>
      </c>
      <c r="K30" s="55">
        <v>345.87</v>
      </c>
      <c r="L30" s="55">
        <v>22.51</v>
      </c>
      <c r="M30" s="55">
        <v>97.96</v>
      </c>
      <c r="N30" s="55">
        <v>41.6</v>
      </c>
      <c r="O30" s="55">
        <v>0</v>
      </c>
      <c r="P30" s="55">
        <v>1.39</v>
      </c>
      <c r="Q30" s="55">
        <v>9.65</v>
      </c>
      <c r="R30" s="43"/>
      <c r="S30" s="43"/>
      <c r="T30" s="43"/>
      <c r="U30" s="43"/>
    </row>
    <row r="31" spans="1:21" s="11" customFormat="1" x14ac:dyDescent="0.25">
      <c r="A31" s="54" t="s">
        <v>202</v>
      </c>
      <c r="B31" s="55">
        <v>56.35</v>
      </c>
      <c r="C31" s="55">
        <v>6.63</v>
      </c>
      <c r="D31" s="55">
        <v>42.54</v>
      </c>
      <c r="E31" s="55">
        <v>5.35</v>
      </c>
      <c r="F31" s="55">
        <v>4.66</v>
      </c>
      <c r="G31" s="55">
        <v>121.04</v>
      </c>
      <c r="H31" s="55">
        <v>40.9</v>
      </c>
      <c r="I31" s="55">
        <v>4.3499999999999996</v>
      </c>
      <c r="J31" s="55">
        <v>0.14000000000000001</v>
      </c>
      <c r="K31" s="55">
        <v>353.31</v>
      </c>
      <c r="L31" s="55">
        <v>21.61</v>
      </c>
      <c r="M31" s="55">
        <v>98.33</v>
      </c>
      <c r="N31" s="55">
        <v>41.5</v>
      </c>
      <c r="O31" s="55">
        <v>0</v>
      </c>
      <c r="P31" s="55">
        <v>1.71</v>
      </c>
      <c r="Q31" s="55">
        <v>9.69</v>
      </c>
      <c r="R31" s="43"/>
      <c r="S31" s="43"/>
      <c r="T31" s="43"/>
      <c r="U31" s="43"/>
    </row>
    <row r="32" spans="1:21" s="11" customFormat="1" x14ac:dyDescent="0.25">
      <c r="A32" s="54" t="s">
        <v>203</v>
      </c>
      <c r="B32" s="55">
        <v>45.55</v>
      </c>
      <c r="C32" s="55">
        <v>4.78</v>
      </c>
      <c r="D32" s="55">
        <v>33.06</v>
      </c>
      <c r="E32" s="55">
        <v>5.54</v>
      </c>
      <c r="F32" s="55">
        <v>4.76</v>
      </c>
      <c r="G32" s="55">
        <v>121.04</v>
      </c>
      <c r="H32" s="55">
        <v>40.9</v>
      </c>
      <c r="I32" s="55">
        <v>4.57</v>
      </c>
      <c r="J32" s="55">
        <v>0.68</v>
      </c>
      <c r="K32" s="55">
        <v>337.8</v>
      </c>
      <c r="L32" s="55">
        <v>21.6</v>
      </c>
      <c r="M32" s="55">
        <v>98.39</v>
      </c>
      <c r="N32" s="55">
        <v>41.7</v>
      </c>
      <c r="O32" s="55">
        <v>0</v>
      </c>
      <c r="P32" s="55">
        <v>1.56</v>
      </c>
      <c r="Q32" s="55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6.46</v>
      </c>
      <c r="C34" s="28">
        <f t="shared" si="0"/>
        <v>4.78</v>
      </c>
      <c r="D34" s="28">
        <f t="shared" si="0"/>
        <v>9.7200000000000006</v>
      </c>
      <c r="E34" s="28">
        <f t="shared" si="0"/>
        <v>5.01</v>
      </c>
      <c r="F34" s="28">
        <f t="shared" si="0"/>
        <v>3.27</v>
      </c>
      <c r="G34" s="28">
        <f t="shared" si="0"/>
        <v>42.61</v>
      </c>
      <c r="H34" s="28">
        <f t="shared" si="0"/>
        <v>16.809999999999999</v>
      </c>
      <c r="I34" s="28">
        <f t="shared" si="0"/>
        <v>1.92</v>
      </c>
      <c r="J34" s="28">
        <f t="shared" si="0"/>
        <v>0.08</v>
      </c>
      <c r="K34" s="28">
        <f t="shared" si="0"/>
        <v>87.17</v>
      </c>
      <c r="L34" s="28">
        <f t="shared" si="0"/>
        <v>19.88</v>
      </c>
      <c r="M34" s="28">
        <f t="shared" si="0"/>
        <v>47.18</v>
      </c>
      <c r="N34" s="28">
        <f t="shared" si="0"/>
        <v>41.5</v>
      </c>
      <c r="O34" s="28">
        <f t="shared" si="0"/>
        <v>0</v>
      </c>
      <c r="P34" s="28">
        <f t="shared" si="0"/>
        <v>0.54</v>
      </c>
      <c r="Q34" s="28">
        <f t="shared" si="0"/>
        <v>9.15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82.56</v>
      </c>
      <c r="C35" s="29">
        <f t="shared" si="1"/>
        <v>37.770000000000003</v>
      </c>
      <c r="D35" s="29">
        <f t="shared" si="1"/>
        <v>67.52</v>
      </c>
      <c r="E35" s="29">
        <f t="shared" si="1"/>
        <v>11.74</v>
      </c>
      <c r="F35" s="29">
        <f t="shared" si="1"/>
        <v>18.55</v>
      </c>
      <c r="G35" s="29">
        <f t="shared" si="1"/>
        <v>121.04</v>
      </c>
      <c r="H35" s="29">
        <f t="shared" si="1"/>
        <v>40.9</v>
      </c>
      <c r="I35" s="29">
        <f t="shared" si="1"/>
        <v>4.57</v>
      </c>
      <c r="J35" s="29">
        <f t="shared" si="1"/>
        <v>1.63</v>
      </c>
      <c r="K35" s="29">
        <f t="shared" si="1"/>
        <v>354.96</v>
      </c>
      <c r="L35" s="29">
        <f t="shared" si="1"/>
        <v>31.23</v>
      </c>
      <c r="M35" s="29">
        <f t="shared" si="1"/>
        <v>99.42</v>
      </c>
      <c r="N35" s="29">
        <f t="shared" si="1"/>
        <v>701.5</v>
      </c>
      <c r="O35" s="29">
        <f t="shared" si="1"/>
        <v>0</v>
      </c>
      <c r="P35" s="29">
        <f t="shared" si="1"/>
        <v>2.35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21.658750000000001</v>
      </c>
      <c r="C36" s="28">
        <f t="shared" si="2"/>
        <v>13.197916666666664</v>
      </c>
      <c r="D36" s="28">
        <f t="shared" si="2"/>
        <v>22.039583333333336</v>
      </c>
      <c r="E36" s="28">
        <f t="shared" si="2"/>
        <v>6.4449999999999976</v>
      </c>
      <c r="F36" s="28">
        <f t="shared" si="2"/>
        <v>7.4512499999999982</v>
      </c>
      <c r="G36" s="28">
        <f t="shared" si="2"/>
        <v>69.64791666666666</v>
      </c>
      <c r="H36" s="28">
        <f t="shared" si="2"/>
        <v>25.324166666666667</v>
      </c>
      <c r="I36" s="28">
        <f t="shared" si="2"/>
        <v>2.6324999999999998</v>
      </c>
      <c r="J36" s="28">
        <f t="shared" si="2"/>
        <v>0.57541666666666658</v>
      </c>
      <c r="K36" s="28">
        <f t="shared" si="2"/>
        <v>329.35250000000002</v>
      </c>
      <c r="L36" s="28">
        <f t="shared" si="2"/>
        <v>25.064166666666665</v>
      </c>
      <c r="M36" s="28">
        <f t="shared" si="2"/>
        <v>78.56</v>
      </c>
      <c r="N36" s="28">
        <f t="shared" si="2"/>
        <v>192.27499999999998</v>
      </c>
      <c r="O36" s="28">
        <f t="shared" si="2"/>
        <v>0</v>
      </c>
      <c r="P36" s="28">
        <f t="shared" si="2"/>
        <v>0.9700000000000002</v>
      </c>
      <c r="Q36" s="28">
        <f t="shared" si="2"/>
        <v>9.3479166666666647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19.416509181733666</v>
      </c>
      <c r="C37" s="28">
        <f t="shared" ref="C37:Q37" si="3">STDEV(C9:C32)</f>
        <v>8.7250688195450454</v>
      </c>
      <c r="D37" s="28">
        <f t="shared" si="3"/>
        <v>14.81061854069474</v>
      </c>
      <c r="E37" s="28">
        <f t="shared" si="3"/>
        <v>1.6712140861479021</v>
      </c>
      <c r="F37" s="28">
        <f t="shared" si="3"/>
        <v>4.1254505024089312</v>
      </c>
      <c r="G37" s="28">
        <f t="shared" si="3"/>
        <v>23.671198786558232</v>
      </c>
      <c r="H37" s="28">
        <f t="shared" si="3"/>
        <v>7.5894474317199689</v>
      </c>
      <c r="I37" s="28">
        <f t="shared" si="3"/>
        <v>0.73316615353932779</v>
      </c>
      <c r="J37" s="28">
        <f t="shared" si="3"/>
        <v>0.47674602815578754</v>
      </c>
      <c r="K37" s="28">
        <f t="shared" si="3"/>
        <v>57.220339288236374</v>
      </c>
      <c r="L37" s="28">
        <f t="shared" si="3"/>
        <v>4.0644866157087423</v>
      </c>
      <c r="M37" s="28">
        <f t="shared" si="3"/>
        <v>22.216928524066443</v>
      </c>
      <c r="N37" s="28">
        <f t="shared" si="3"/>
        <v>223.85111754486942</v>
      </c>
      <c r="O37" s="28">
        <f t="shared" si="3"/>
        <v>0</v>
      </c>
      <c r="P37" s="28">
        <f t="shared" si="3"/>
        <v>0.51975746852446114</v>
      </c>
      <c r="Q37" s="28">
        <f t="shared" si="3"/>
        <v>0.17008895796961188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3" sqref="D13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204</v>
      </c>
      <c r="B9" s="55">
        <v>42.92</v>
      </c>
      <c r="C9" s="55">
        <v>3.2</v>
      </c>
      <c r="D9" s="55">
        <v>31.63</v>
      </c>
      <c r="E9" s="55">
        <v>5.98</v>
      </c>
      <c r="F9" s="55">
        <v>4.41</v>
      </c>
      <c r="G9" s="55">
        <v>122.01</v>
      </c>
      <c r="H9" s="55">
        <v>43.41</v>
      </c>
      <c r="I9" s="55">
        <v>4.5599999999999996</v>
      </c>
      <c r="J9" s="55">
        <v>0.3</v>
      </c>
      <c r="K9" s="55">
        <v>352.72</v>
      </c>
      <c r="L9" s="55">
        <v>20.9</v>
      </c>
      <c r="M9" s="55">
        <v>98.43</v>
      </c>
      <c r="N9" s="55">
        <v>41.7</v>
      </c>
      <c r="O9" s="55">
        <v>0</v>
      </c>
      <c r="P9" s="55">
        <v>1.52</v>
      </c>
      <c r="Q9" s="55">
        <v>9.68</v>
      </c>
      <c r="R9" s="43"/>
      <c r="S9" s="43"/>
      <c r="T9" s="43"/>
      <c r="U9" s="43"/>
    </row>
    <row r="10" spans="1:21" s="11" customFormat="1" x14ac:dyDescent="0.25">
      <c r="A10" s="54" t="s">
        <v>205</v>
      </c>
      <c r="B10" s="55">
        <v>40.57</v>
      </c>
      <c r="C10" s="55">
        <v>0.64</v>
      </c>
      <c r="D10" s="55">
        <v>28.4</v>
      </c>
      <c r="E10" s="55">
        <v>5.25</v>
      </c>
      <c r="F10" s="55">
        <v>4.49</v>
      </c>
      <c r="G10" s="55">
        <v>122.01</v>
      </c>
      <c r="H10" s="55">
        <v>43.41</v>
      </c>
      <c r="I10" s="55">
        <v>4.41</v>
      </c>
      <c r="J10" s="55">
        <v>0.11</v>
      </c>
      <c r="K10" s="55">
        <v>39.700000000000003</v>
      </c>
      <c r="L10" s="55">
        <v>20.66</v>
      </c>
      <c r="M10" s="55">
        <v>96.32</v>
      </c>
      <c r="N10" s="55">
        <v>41.5</v>
      </c>
      <c r="O10" s="55">
        <v>0</v>
      </c>
      <c r="P10" s="55">
        <v>1.21</v>
      </c>
      <c r="Q10" s="55">
        <v>9.69</v>
      </c>
      <c r="R10" s="43"/>
      <c r="S10" s="43"/>
      <c r="T10" s="43"/>
      <c r="U10" s="43"/>
    </row>
    <row r="11" spans="1:21" s="11" customFormat="1" x14ac:dyDescent="0.25">
      <c r="A11" s="54" t="s">
        <v>206</v>
      </c>
      <c r="B11" s="55">
        <v>36.94</v>
      </c>
      <c r="C11" s="55">
        <v>1.1399999999999999</v>
      </c>
      <c r="D11" s="55">
        <v>26.05</v>
      </c>
      <c r="E11" s="55">
        <v>4.96</v>
      </c>
      <c r="F11" s="55">
        <v>3.72</v>
      </c>
      <c r="G11" s="55">
        <v>112.34</v>
      </c>
      <c r="H11" s="55">
        <v>41.69</v>
      </c>
      <c r="I11" s="55">
        <v>4.28</v>
      </c>
      <c r="J11" s="55">
        <v>0.12</v>
      </c>
      <c r="K11" s="55">
        <v>347.71</v>
      </c>
      <c r="L11" s="55">
        <v>20.81</v>
      </c>
      <c r="M11" s="55">
        <v>98.27</v>
      </c>
      <c r="N11" s="55">
        <v>41.6</v>
      </c>
      <c r="O11" s="55">
        <v>0</v>
      </c>
      <c r="P11" s="55">
        <v>1.17</v>
      </c>
      <c r="Q11" s="55">
        <v>9.67</v>
      </c>
      <c r="R11" s="43"/>
      <c r="S11" s="43"/>
      <c r="T11" s="43"/>
      <c r="U11" s="43"/>
    </row>
    <row r="12" spans="1:21" s="11" customFormat="1" x14ac:dyDescent="0.25">
      <c r="A12" s="54" t="s">
        <v>207</v>
      </c>
      <c r="B12" s="55">
        <v>32.159999999999997</v>
      </c>
      <c r="C12" s="55">
        <v>3.33</v>
      </c>
      <c r="D12" s="55">
        <v>23.78</v>
      </c>
      <c r="E12" s="55">
        <v>5.26</v>
      </c>
      <c r="F12" s="55">
        <v>3.86</v>
      </c>
      <c r="G12" s="55">
        <v>111.85</v>
      </c>
      <c r="H12" s="55">
        <v>41.69</v>
      </c>
      <c r="I12" s="55">
        <v>4.12</v>
      </c>
      <c r="J12" s="55">
        <v>0.2</v>
      </c>
      <c r="K12" s="55">
        <v>355.07</v>
      </c>
      <c r="L12" s="55">
        <v>20.079999999999998</v>
      </c>
      <c r="M12" s="55">
        <v>98.36</v>
      </c>
      <c r="N12" s="55">
        <v>41.5</v>
      </c>
      <c r="O12" s="55">
        <v>0</v>
      </c>
      <c r="P12" s="55">
        <v>1.0900000000000001</v>
      </c>
      <c r="Q12" s="55">
        <v>9.67</v>
      </c>
      <c r="R12" s="43"/>
      <c r="S12" s="43"/>
      <c r="T12" s="43"/>
      <c r="U12" s="43"/>
    </row>
    <row r="13" spans="1:21" s="11" customFormat="1" x14ac:dyDescent="0.25">
      <c r="A13" s="54" t="s">
        <v>208</v>
      </c>
      <c r="B13" s="55">
        <v>28.9</v>
      </c>
      <c r="C13" s="55">
        <v>2.85</v>
      </c>
      <c r="D13" s="55">
        <v>22.89</v>
      </c>
      <c r="E13" s="55">
        <v>5.71</v>
      </c>
      <c r="F13" s="55">
        <v>4.2</v>
      </c>
      <c r="G13" s="55">
        <v>109.4</v>
      </c>
      <c r="H13" s="55">
        <v>41.34</v>
      </c>
      <c r="I13" s="55">
        <v>3.98</v>
      </c>
      <c r="J13" s="55">
        <v>0.25</v>
      </c>
      <c r="K13" s="55">
        <v>349.09</v>
      </c>
      <c r="L13" s="55">
        <v>20</v>
      </c>
      <c r="M13" s="55">
        <v>97.65</v>
      </c>
      <c r="N13" s="55">
        <v>41.5</v>
      </c>
      <c r="O13" s="55">
        <v>0</v>
      </c>
      <c r="P13" s="55">
        <v>1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209</v>
      </c>
      <c r="B14" s="55">
        <v>30.13</v>
      </c>
      <c r="C14" s="55">
        <v>0</v>
      </c>
      <c r="D14" s="55">
        <v>22.34</v>
      </c>
      <c r="E14" s="55">
        <v>5.13</v>
      </c>
      <c r="F14" s="55">
        <v>3.66</v>
      </c>
      <c r="G14" s="55">
        <v>115.16</v>
      </c>
      <c r="H14" s="55">
        <v>39.909999999999997</v>
      </c>
      <c r="I14" s="55">
        <v>3.81</v>
      </c>
      <c r="J14" s="55">
        <v>0.28999999999999998</v>
      </c>
      <c r="K14" s="55">
        <v>343.67</v>
      </c>
      <c r="L14" s="55">
        <v>20.03</v>
      </c>
      <c r="M14" s="55">
        <v>92.65</v>
      </c>
      <c r="N14" s="55">
        <v>42.4</v>
      </c>
      <c r="O14" s="55">
        <v>0</v>
      </c>
      <c r="P14" s="55">
        <v>0.99</v>
      </c>
      <c r="Q14" s="55">
        <v>9.65</v>
      </c>
      <c r="R14" s="43"/>
      <c r="S14" s="43"/>
      <c r="T14" s="43"/>
      <c r="U14" s="43"/>
    </row>
    <row r="15" spans="1:21" s="11" customFormat="1" x14ac:dyDescent="0.25">
      <c r="A15" s="54" t="s">
        <v>210</v>
      </c>
      <c r="B15" s="55">
        <v>30.54</v>
      </c>
      <c r="C15" s="55">
        <v>0</v>
      </c>
      <c r="D15" s="55">
        <v>22.46</v>
      </c>
      <c r="E15" s="55">
        <v>4.83</v>
      </c>
      <c r="F15" s="55">
        <v>3.87</v>
      </c>
      <c r="G15" s="55">
        <v>127.74</v>
      </c>
      <c r="H15" s="55">
        <v>44.63</v>
      </c>
      <c r="I15" s="55">
        <v>3.76</v>
      </c>
      <c r="J15" s="55">
        <v>0.23</v>
      </c>
      <c r="K15" s="55">
        <v>356.67</v>
      </c>
      <c r="L15" s="55">
        <v>20.23</v>
      </c>
      <c r="M15" s="55">
        <v>91.9</v>
      </c>
      <c r="N15" s="55">
        <v>100.2</v>
      </c>
      <c r="O15" s="55">
        <v>0</v>
      </c>
      <c r="P15" s="55">
        <v>0.95</v>
      </c>
      <c r="Q15" s="55">
        <v>9.65</v>
      </c>
      <c r="R15" s="43"/>
      <c r="S15" s="43"/>
      <c r="T15" s="43"/>
      <c r="U15" s="43"/>
    </row>
    <row r="16" spans="1:21" s="11" customFormat="1" x14ac:dyDescent="0.25">
      <c r="A16" s="54" t="s">
        <v>211</v>
      </c>
      <c r="B16" s="55">
        <v>31.6</v>
      </c>
      <c r="C16" s="55">
        <v>4.66</v>
      </c>
      <c r="D16" s="55">
        <v>24.97</v>
      </c>
      <c r="E16" s="55">
        <v>6.26</v>
      </c>
      <c r="F16" s="55">
        <v>4.12</v>
      </c>
      <c r="G16" s="55">
        <v>127.74</v>
      </c>
      <c r="H16" s="55">
        <v>44.63</v>
      </c>
      <c r="I16" s="55">
        <v>3.74</v>
      </c>
      <c r="J16" s="55">
        <v>0.98</v>
      </c>
      <c r="K16" s="55">
        <v>348.72</v>
      </c>
      <c r="L16" s="55">
        <v>26.61</v>
      </c>
      <c r="M16" s="55">
        <v>83.57</v>
      </c>
      <c r="N16" s="55">
        <v>345.5</v>
      </c>
      <c r="O16" s="55">
        <v>0</v>
      </c>
      <c r="P16" s="55">
        <v>1.18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212</v>
      </c>
      <c r="B17" s="55">
        <v>28.28</v>
      </c>
      <c r="C17" s="55">
        <v>8.14</v>
      </c>
      <c r="D17" s="55">
        <v>26.23</v>
      </c>
      <c r="E17" s="55">
        <v>7.94</v>
      </c>
      <c r="F17" s="55">
        <v>6.2</v>
      </c>
      <c r="G17" s="55">
        <v>116.87</v>
      </c>
      <c r="H17" s="55">
        <v>41.55</v>
      </c>
      <c r="I17" s="55">
        <v>3.65</v>
      </c>
      <c r="J17" s="55">
        <v>0.78</v>
      </c>
      <c r="K17" s="55">
        <v>346.01</v>
      </c>
      <c r="L17" s="55">
        <v>28.38</v>
      </c>
      <c r="M17" s="55">
        <v>44.6</v>
      </c>
      <c r="N17" s="55">
        <v>574.70000000000005</v>
      </c>
      <c r="O17" s="55">
        <v>0</v>
      </c>
      <c r="P17" s="55">
        <v>1.1399999999999999</v>
      </c>
      <c r="Q17" s="55">
        <v>9.66</v>
      </c>
      <c r="R17" s="43"/>
      <c r="S17" s="43"/>
      <c r="T17" s="43"/>
      <c r="U17" s="43"/>
    </row>
    <row r="18" spans="1:21" s="11" customFormat="1" x14ac:dyDescent="0.25">
      <c r="A18" s="54" t="s">
        <v>213</v>
      </c>
      <c r="B18" s="55">
        <v>25.02</v>
      </c>
      <c r="C18" s="55">
        <v>3.79</v>
      </c>
      <c r="D18" s="55">
        <v>20.190000000000001</v>
      </c>
      <c r="E18" s="55">
        <v>6.98</v>
      </c>
      <c r="F18" s="55">
        <v>5.07</v>
      </c>
      <c r="G18" s="55">
        <v>116.87</v>
      </c>
      <c r="H18" s="55">
        <v>41.55</v>
      </c>
      <c r="I18" s="55">
        <v>3.46</v>
      </c>
      <c r="J18" s="55">
        <v>0.31</v>
      </c>
      <c r="K18" s="55">
        <v>358.44</v>
      </c>
      <c r="L18" s="55">
        <v>30.05</v>
      </c>
      <c r="M18" s="55">
        <v>40.56</v>
      </c>
      <c r="N18" s="55">
        <v>735.6</v>
      </c>
      <c r="O18" s="55">
        <v>0</v>
      </c>
      <c r="P18" s="55">
        <v>1.05</v>
      </c>
      <c r="Q18" s="55">
        <v>9.65</v>
      </c>
      <c r="R18" s="43"/>
      <c r="S18" s="43"/>
      <c r="T18" s="43"/>
      <c r="U18" s="43"/>
    </row>
    <row r="19" spans="1:21" s="11" customFormat="1" x14ac:dyDescent="0.25">
      <c r="A19" s="54" t="s">
        <v>214</v>
      </c>
      <c r="B19" s="55">
        <v>19.690000000000001</v>
      </c>
      <c r="C19" s="55">
        <v>3.56</v>
      </c>
      <c r="D19" s="55">
        <v>16.98</v>
      </c>
      <c r="E19" s="55">
        <v>6.19</v>
      </c>
      <c r="F19" s="55">
        <v>4.8</v>
      </c>
      <c r="G19" s="55">
        <v>86.51</v>
      </c>
      <c r="H19" s="55">
        <v>32.5</v>
      </c>
      <c r="I19" s="55">
        <v>3.2</v>
      </c>
      <c r="J19" s="55">
        <v>1.05</v>
      </c>
      <c r="K19" s="55">
        <v>124.26</v>
      </c>
      <c r="L19" s="55">
        <v>28.66</v>
      </c>
      <c r="M19" s="55">
        <v>46.64</v>
      </c>
      <c r="N19" s="55">
        <v>821.5</v>
      </c>
      <c r="O19" s="55">
        <v>0</v>
      </c>
      <c r="P19" s="55">
        <v>0.87</v>
      </c>
      <c r="Q19" s="55">
        <v>9.57</v>
      </c>
      <c r="R19" s="43"/>
      <c r="S19" s="43"/>
      <c r="T19" s="43"/>
      <c r="U19" s="43"/>
    </row>
    <row r="20" spans="1:21" s="11" customFormat="1" x14ac:dyDescent="0.25">
      <c r="A20" s="54" t="s">
        <v>215</v>
      </c>
      <c r="B20" s="55">
        <v>14.85</v>
      </c>
      <c r="C20" s="55">
        <v>9.14</v>
      </c>
      <c r="D20" s="55">
        <v>14.63</v>
      </c>
      <c r="E20" s="55">
        <v>6.13</v>
      </c>
      <c r="F20" s="55">
        <v>6.52</v>
      </c>
      <c r="G20" s="55">
        <v>57.74</v>
      </c>
      <c r="H20" s="55">
        <v>29.64</v>
      </c>
      <c r="I20" s="55">
        <v>2.94</v>
      </c>
      <c r="J20" s="55">
        <v>0.56000000000000005</v>
      </c>
      <c r="K20" s="55">
        <v>106.64</v>
      </c>
      <c r="L20" s="55">
        <v>31.19</v>
      </c>
      <c r="M20" s="55">
        <v>40.86</v>
      </c>
      <c r="N20" s="55">
        <v>814.7</v>
      </c>
      <c r="O20" s="55">
        <v>0</v>
      </c>
      <c r="P20" s="55">
        <v>0.75</v>
      </c>
      <c r="Q20" s="55">
        <v>9.43</v>
      </c>
      <c r="R20" s="43"/>
      <c r="S20" s="43"/>
      <c r="T20" s="43"/>
      <c r="U20" s="43"/>
    </row>
    <row r="21" spans="1:21" s="11" customFormat="1" x14ac:dyDescent="0.25">
      <c r="A21" s="54" t="s">
        <v>216</v>
      </c>
      <c r="B21" s="55">
        <v>12.99</v>
      </c>
      <c r="C21" s="55">
        <v>11.14</v>
      </c>
      <c r="D21" s="55">
        <v>14.74</v>
      </c>
      <c r="E21" s="55">
        <v>6.59</v>
      </c>
      <c r="F21" s="55">
        <v>9.52</v>
      </c>
      <c r="G21" s="55">
        <v>52.83</v>
      </c>
      <c r="H21" s="55">
        <v>20.51</v>
      </c>
      <c r="I21" s="55">
        <v>2.66</v>
      </c>
      <c r="J21" s="55">
        <v>0.84</v>
      </c>
      <c r="K21" s="55">
        <v>340.44</v>
      </c>
      <c r="L21" s="55">
        <v>30.86</v>
      </c>
      <c r="M21" s="55">
        <v>33.22</v>
      </c>
      <c r="N21" s="55">
        <v>847.6</v>
      </c>
      <c r="O21" s="55">
        <v>0</v>
      </c>
      <c r="P21" s="55">
        <v>0.64</v>
      </c>
      <c r="Q21" s="55">
        <v>9.36</v>
      </c>
      <c r="R21" s="43"/>
      <c r="S21" s="43"/>
      <c r="T21" s="43"/>
      <c r="U21" s="43"/>
    </row>
    <row r="22" spans="1:21" s="11" customFormat="1" x14ac:dyDescent="0.25">
      <c r="A22" s="54" t="s">
        <v>217</v>
      </c>
      <c r="B22" s="55">
        <v>9.6999999999999993</v>
      </c>
      <c r="C22" s="55">
        <v>13.51</v>
      </c>
      <c r="D22" s="55">
        <v>14.37</v>
      </c>
      <c r="E22" s="55">
        <v>9.77</v>
      </c>
      <c r="F22" s="55">
        <v>14.33</v>
      </c>
      <c r="G22" s="55">
        <v>41.9</v>
      </c>
      <c r="H22" s="55">
        <v>17.559999999999999</v>
      </c>
      <c r="I22" s="55">
        <v>2.4300000000000002</v>
      </c>
      <c r="J22" s="55">
        <v>1.17</v>
      </c>
      <c r="K22" s="55">
        <v>348.32</v>
      </c>
      <c r="L22" s="55">
        <v>30.23</v>
      </c>
      <c r="M22" s="55">
        <v>35.950000000000003</v>
      </c>
      <c r="N22" s="55">
        <v>359.8</v>
      </c>
      <c r="O22" s="55">
        <v>0</v>
      </c>
      <c r="P22" s="55">
        <v>0.62</v>
      </c>
      <c r="Q22" s="55">
        <v>9.31</v>
      </c>
      <c r="R22" s="43"/>
      <c r="S22" s="43"/>
      <c r="T22" s="43"/>
      <c r="U22" s="43"/>
    </row>
    <row r="23" spans="1:21" s="11" customFormat="1" x14ac:dyDescent="0.25">
      <c r="A23" s="54" t="s">
        <v>218</v>
      </c>
      <c r="B23" s="55">
        <v>10.7</v>
      </c>
      <c r="C23" s="55">
        <v>17.940000000000001</v>
      </c>
      <c r="D23" s="55">
        <v>17.5</v>
      </c>
      <c r="E23" s="55">
        <v>10.37</v>
      </c>
      <c r="F23" s="55">
        <v>13.13</v>
      </c>
      <c r="G23" s="55">
        <v>46.03</v>
      </c>
      <c r="H23" s="55">
        <v>18.96</v>
      </c>
      <c r="I23" s="55">
        <v>2.2400000000000002</v>
      </c>
      <c r="J23" s="55">
        <v>0.86</v>
      </c>
      <c r="K23" s="55">
        <v>359.16</v>
      </c>
      <c r="L23" s="55">
        <v>28.69</v>
      </c>
      <c r="M23" s="55">
        <v>35.07</v>
      </c>
      <c r="N23" s="55">
        <v>184.2</v>
      </c>
      <c r="O23" s="55">
        <v>0</v>
      </c>
      <c r="P23" s="55">
        <v>0.56999999999999995</v>
      </c>
      <c r="Q23" s="55">
        <v>9.23</v>
      </c>
      <c r="R23" s="43"/>
      <c r="S23" s="43"/>
      <c r="T23" s="43"/>
      <c r="U23" s="43"/>
    </row>
    <row r="24" spans="1:21" s="11" customFormat="1" x14ac:dyDescent="0.25">
      <c r="A24" s="54" t="s">
        <v>219</v>
      </c>
      <c r="B24" s="55">
        <v>6.83</v>
      </c>
      <c r="C24" s="55">
        <v>15.87</v>
      </c>
      <c r="D24" s="55">
        <v>12.4</v>
      </c>
      <c r="E24" s="55">
        <v>10.58</v>
      </c>
      <c r="F24" s="55">
        <v>18.53</v>
      </c>
      <c r="G24" s="55">
        <v>50.49</v>
      </c>
      <c r="H24" s="55">
        <v>18.96</v>
      </c>
      <c r="I24" s="55">
        <v>2.16</v>
      </c>
      <c r="J24" s="55">
        <v>0.72</v>
      </c>
      <c r="K24" s="55">
        <v>120.57</v>
      </c>
      <c r="L24" s="55">
        <v>27.11</v>
      </c>
      <c r="M24" s="55">
        <v>36.700000000000003</v>
      </c>
      <c r="N24" s="55">
        <v>110.1</v>
      </c>
      <c r="O24" s="55">
        <v>0</v>
      </c>
      <c r="P24" s="55">
        <v>0.5</v>
      </c>
      <c r="Q24" s="55">
        <v>9.2100000000000009</v>
      </c>
      <c r="R24" s="43"/>
      <c r="S24" s="43"/>
      <c r="T24" s="43"/>
      <c r="U24" s="43"/>
    </row>
    <row r="25" spans="1:21" s="11" customFormat="1" x14ac:dyDescent="0.25">
      <c r="A25" s="54" t="s">
        <v>220</v>
      </c>
      <c r="B25" s="55">
        <v>13.52</v>
      </c>
      <c r="C25" s="55">
        <v>20.82</v>
      </c>
      <c r="D25" s="55">
        <v>21.26</v>
      </c>
      <c r="E25" s="55">
        <v>10.53</v>
      </c>
      <c r="F25" s="55">
        <v>18.190000000000001</v>
      </c>
      <c r="G25" s="55">
        <v>50.49</v>
      </c>
      <c r="H25" s="55">
        <v>16.75</v>
      </c>
      <c r="I25" s="55">
        <v>2.21</v>
      </c>
      <c r="J25" s="55">
        <v>0.51</v>
      </c>
      <c r="K25" s="55">
        <v>348.43</v>
      </c>
      <c r="L25" s="55">
        <v>26.23</v>
      </c>
      <c r="M25" s="55">
        <v>38.17</v>
      </c>
      <c r="N25" s="55">
        <v>74.7</v>
      </c>
      <c r="O25" s="55">
        <v>0</v>
      </c>
      <c r="P25" s="55">
        <v>0.61</v>
      </c>
      <c r="Q25" s="55">
        <v>9.19</v>
      </c>
      <c r="R25" s="43"/>
      <c r="S25" s="43"/>
      <c r="T25" s="43"/>
      <c r="U25" s="43"/>
    </row>
    <row r="26" spans="1:21" s="11" customFormat="1" x14ac:dyDescent="0.25">
      <c r="A26" s="54" t="s">
        <v>221</v>
      </c>
      <c r="B26" s="55">
        <v>13.89</v>
      </c>
      <c r="C26" s="55">
        <v>29.54</v>
      </c>
      <c r="D26" s="55">
        <v>25.21</v>
      </c>
      <c r="E26" s="55">
        <v>8.1999999999999993</v>
      </c>
      <c r="F26" s="55">
        <v>11.68</v>
      </c>
      <c r="G26" s="55">
        <v>45.87</v>
      </c>
      <c r="H26" s="55">
        <v>14.84</v>
      </c>
      <c r="I26" s="55">
        <v>2.0299999999999998</v>
      </c>
      <c r="J26" s="55">
        <v>0.53</v>
      </c>
      <c r="K26" s="55">
        <v>346.91</v>
      </c>
      <c r="L26" s="55">
        <v>25.68</v>
      </c>
      <c r="M26" s="55">
        <v>48.11</v>
      </c>
      <c r="N26" s="55">
        <v>46.3</v>
      </c>
      <c r="O26" s="55">
        <v>0</v>
      </c>
      <c r="P26" s="55">
        <v>0.91</v>
      </c>
      <c r="Q26" s="55">
        <v>9.24</v>
      </c>
      <c r="R26" s="43"/>
      <c r="S26" s="43"/>
      <c r="T26" s="43"/>
      <c r="U26" s="43"/>
    </row>
    <row r="27" spans="1:21" s="11" customFormat="1" x14ac:dyDescent="0.25">
      <c r="A27" s="54" t="s">
        <v>222</v>
      </c>
      <c r="B27" s="55">
        <v>27.88</v>
      </c>
      <c r="C27" s="55">
        <v>18.71</v>
      </c>
      <c r="D27" s="55">
        <v>28.73</v>
      </c>
      <c r="E27" s="55">
        <v>6.99</v>
      </c>
      <c r="F27" s="55">
        <v>5.34</v>
      </c>
      <c r="G27" s="55">
        <v>54.51</v>
      </c>
      <c r="H27" s="55">
        <v>19.38</v>
      </c>
      <c r="I27" s="55">
        <v>2.2999999999999998</v>
      </c>
      <c r="J27" s="55">
        <v>0.2</v>
      </c>
      <c r="K27" s="55">
        <v>333.32</v>
      </c>
      <c r="L27" s="55">
        <v>23.58</v>
      </c>
      <c r="M27" s="55">
        <v>71.930000000000007</v>
      </c>
      <c r="N27" s="55">
        <v>41.9</v>
      </c>
      <c r="O27" s="55">
        <v>0</v>
      </c>
      <c r="P27" s="55">
        <v>1.03</v>
      </c>
      <c r="Q27" s="55">
        <v>9.3000000000000007</v>
      </c>
      <c r="R27" s="43"/>
      <c r="S27" s="43"/>
      <c r="T27" s="43"/>
      <c r="U27" s="43"/>
    </row>
    <row r="28" spans="1:21" s="11" customFormat="1" x14ac:dyDescent="0.25">
      <c r="A28" s="54" t="s">
        <v>223</v>
      </c>
      <c r="B28" s="55">
        <v>50.15</v>
      </c>
      <c r="C28" s="55">
        <v>9.9499999999999993</v>
      </c>
      <c r="D28" s="55">
        <v>44.54</v>
      </c>
      <c r="E28" s="55">
        <v>6.83</v>
      </c>
      <c r="F28" s="55">
        <v>3.7</v>
      </c>
      <c r="G28" s="55">
        <v>87.34</v>
      </c>
      <c r="H28" s="55">
        <v>25.26</v>
      </c>
      <c r="I28" s="55">
        <v>2.92</v>
      </c>
      <c r="J28" s="55">
        <v>0.16</v>
      </c>
      <c r="K28" s="55">
        <v>357.13</v>
      </c>
      <c r="L28" s="55">
        <v>22.56</v>
      </c>
      <c r="M28" s="55">
        <v>76.849999999999994</v>
      </c>
      <c r="N28" s="55">
        <v>41.7</v>
      </c>
      <c r="O28" s="55">
        <v>0</v>
      </c>
      <c r="P28" s="55">
        <v>1.27</v>
      </c>
      <c r="Q28" s="55">
        <v>9.6300000000000008</v>
      </c>
      <c r="R28" s="43"/>
      <c r="S28" s="43"/>
      <c r="T28" s="43"/>
      <c r="U28" s="43"/>
    </row>
    <row r="29" spans="1:21" s="11" customFormat="1" x14ac:dyDescent="0.25">
      <c r="A29" s="54" t="s">
        <v>224</v>
      </c>
      <c r="B29" s="55">
        <v>70.81</v>
      </c>
      <c r="C29" s="55">
        <v>6.77</v>
      </c>
      <c r="D29" s="55">
        <v>55.86</v>
      </c>
      <c r="E29" s="55">
        <v>7.2</v>
      </c>
      <c r="F29" s="55">
        <v>4.6100000000000003</v>
      </c>
      <c r="G29" s="55">
        <v>112.15</v>
      </c>
      <c r="H29" s="55">
        <v>34.81</v>
      </c>
      <c r="I29" s="55">
        <v>3.65</v>
      </c>
      <c r="J29" s="55">
        <v>0.11</v>
      </c>
      <c r="K29" s="55">
        <v>327.68</v>
      </c>
      <c r="L29" s="55">
        <v>21.99</v>
      </c>
      <c r="M29" s="55">
        <v>81.98</v>
      </c>
      <c r="N29" s="55">
        <v>41.4</v>
      </c>
      <c r="O29" s="55">
        <v>0</v>
      </c>
      <c r="P29" s="55">
        <v>2.0099999999999998</v>
      </c>
      <c r="Q29" s="55">
        <v>9.67</v>
      </c>
      <c r="R29" s="43"/>
      <c r="S29" s="43"/>
      <c r="T29" s="43"/>
      <c r="U29" s="43"/>
    </row>
    <row r="30" spans="1:21" s="11" customFormat="1" x14ac:dyDescent="0.25">
      <c r="A30" s="54" t="s">
        <v>225</v>
      </c>
      <c r="B30" s="55">
        <v>76.38</v>
      </c>
      <c r="C30" s="55">
        <v>4.46</v>
      </c>
      <c r="D30" s="55">
        <v>58.5</v>
      </c>
      <c r="E30" s="55">
        <v>7.41</v>
      </c>
      <c r="F30" s="55">
        <v>3.93</v>
      </c>
      <c r="G30" s="55">
        <v>112.15</v>
      </c>
      <c r="H30" s="55">
        <v>37.03</v>
      </c>
      <c r="I30" s="55">
        <v>4.26</v>
      </c>
      <c r="J30" s="55">
        <v>0.19</v>
      </c>
      <c r="K30" s="55">
        <v>333.16</v>
      </c>
      <c r="L30" s="55">
        <v>21.89</v>
      </c>
      <c r="M30" s="55">
        <v>80.59</v>
      </c>
      <c r="N30" s="55">
        <v>41.6</v>
      </c>
      <c r="O30" s="55">
        <v>0</v>
      </c>
      <c r="P30" s="55">
        <v>2.04</v>
      </c>
      <c r="Q30" s="55">
        <v>9.69</v>
      </c>
      <c r="R30" s="43"/>
      <c r="S30" s="43"/>
      <c r="T30" s="43"/>
      <c r="U30" s="43"/>
    </row>
    <row r="31" spans="1:21" s="11" customFormat="1" x14ac:dyDescent="0.25">
      <c r="A31" s="54" t="s">
        <v>226</v>
      </c>
      <c r="B31" s="55">
        <v>62.9</v>
      </c>
      <c r="C31" s="55">
        <v>1.1299999999999999</v>
      </c>
      <c r="D31" s="55">
        <v>46.82</v>
      </c>
      <c r="E31" s="55">
        <v>7.37</v>
      </c>
      <c r="F31" s="55">
        <v>3.59</v>
      </c>
      <c r="G31" s="55">
        <v>111.5</v>
      </c>
      <c r="H31" s="55">
        <v>38.86</v>
      </c>
      <c r="I31" s="55">
        <v>4.75</v>
      </c>
      <c r="J31" s="55">
        <v>0.11</v>
      </c>
      <c r="K31" s="55">
        <v>345.79</v>
      </c>
      <c r="L31" s="55">
        <v>20.79</v>
      </c>
      <c r="M31" s="55">
        <v>90.64</v>
      </c>
      <c r="N31" s="55">
        <v>41.6</v>
      </c>
      <c r="O31" s="55">
        <v>0</v>
      </c>
      <c r="P31" s="55">
        <v>1.93</v>
      </c>
      <c r="Q31" s="55">
        <v>9.7200000000000006</v>
      </c>
      <c r="R31" s="43"/>
      <c r="S31" s="43"/>
      <c r="T31" s="43"/>
      <c r="U31" s="43"/>
    </row>
    <row r="32" spans="1:21" s="11" customFormat="1" x14ac:dyDescent="0.25">
      <c r="A32" s="54" t="s">
        <v>227</v>
      </c>
      <c r="B32" s="55">
        <v>61.09</v>
      </c>
      <c r="C32" s="55">
        <v>0.17</v>
      </c>
      <c r="D32" s="55">
        <v>41.7</v>
      </c>
      <c r="E32" s="55">
        <v>6.73</v>
      </c>
      <c r="F32" s="55">
        <v>3.9</v>
      </c>
      <c r="G32" s="55">
        <v>102.02</v>
      </c>
      <c r="H32" s="55">
        <v>40.75</v>
      </c>
      <c r="I32" s="55">
        <v>5.03</v>
      </c>
      <c r="J32" s="55">
        <v>1.17</v>
      </c>
      <c r="K32" s="55">
        <v>347.98</v>
      </c>
      <c r="L32" s="55">
        <v>20.6</v>
      </c>
      <c r="M32" s="55">
        <v>84.91</v>
      </c>
      <c r="N32" s="55">
        <v>41.8</v>
      </c>
      <c r="O32" s="55">
        <v>0</v>
      </c>
      <c r="P32" s="55">
        <v>1.74</v>
      </c>
      <c r="Q32" s="55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6.83</v>
      </c>
      <c r="C34" s="28">
        <f t="shared" si="0"/>
        <v>0</v>
      </c>
      <c r="D34" s="28">
        <f t="shared" si="0"/>
        <v>12.4</v>
      </c>
      <c r="E34" s="28">
        <f t="shared" si="0"/>
        <v>4.83</v>
      </c>
      <c r="F34" s="28">
        <f t="shared" si="0"/>
        <v>3.59</v>
      </c>
      <c r="G34" s="28">
        <f t="shared" si="0"/>
        <v>41.9</v>
      </c>
      <c r="H34" s="28">
        <f t="shared" si="0"/>
        <v>14.84</v>
      </c>
      <c r="I34" s="28">
        <f t="shared" si="0"/>
        <v>2.0299999999999998</v>
      </c>
      <c r="J34" s="28">
        <f t="shared" si="0"/>
        <v>0.11</v>
      </c>
      <c r="K34" s="28">
        <f t="shared" si="0"/>
        <v>39.700000000000003</v>
      </c>
      <c r="L34" s="28">
        <f t="shared" si="0"/>
        <v>20</v>
      </c>
      <c r="M34" s="28">
        <f t="shared" si="0"/>
        <v>33.22</v>
      </c>
      <c r="N34" s="28">
        <f t="shared" si="0"/>
        <v>41.4</v>
      </c>
      <c r="O34" s="28">
        <f t="shared" si="0"/>
        <v>0</v>
      </c>
      <c r="P34" s="28">
        <f t="shared" si="0"/>
        <v>0.5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76.38</v>
      </c>
      <c r="C35" s="29">
        <f t="shared" si="1"/>
        <v>29.54</v>
      </c>
      <c r="D35" s="29">
        <f t="shared" si="1"/>
        <v>58.5</v>
      </c>
      <c r="E35" s="29">
        <f t="shared" si="1"/>
        <v>10.58</v>
      </c>
      <c r="F35" s="29">
        <f t="shared" si="1"/>
        <v>18.53</v>
      </c>
      <c r="G35" s="29">
        <f t="shared" si="1"/>
        <v>127.74</v>
      </c>
      <c r="H35" s="29">
        <f t="shared" si="1"/>
        <v>44.63</v>
      </c>
      <c r="I35" s="29">
        <f t="shared" si="1"/>
        <v>5.03</v>
      </c>
      <c r="J35" s="29">
        <f t="shared" si="1"/>
        <v>1.17</v>
      </c>
      <c r="K35" s="29">
        <f t="shared" si="1"/>
        <v>359.16</v>
      </c>
      <c r="L35" s="29">
        <f t="shared" si="1"/>
        <v>31.19</v>
      </c>
      <c r="M35" s="29">
        <f t="shared" si="1"/>
        <v>98.43</v>
      </c>
      <c r="N35" s="29">
        <f t="shared" si="1"/>
        <v>847.6</v>
      </c>
      <c r="O35" s="29">
        <f t="shared" si="1"/>
        <v>0</v>
      </c>
      <c r="P35" s="29">
        <f t="shared" si="1"/>
        <v>2.04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32.434999999999995</v>
      </c>
      <c r="C36" s="28">
        <f t="shared" si="2"/>
        <v>7.935833333333334</v>
      </c>
      <c r="D36" s="28">
        <f t="shared" si="2"/>
        <v>27.590833333333336</v>
      </c>
      <c r="E36" s="28">
        <f t="shared" si="2"/>
        <v>7.0495833333333335</v>
      </c>
      <c r="F36" s="28">
        <f t="shared" si="2"/>
        <v>6.8904166666666677</v>
      </c>
      <c r="G36" s="28">
        <f t="shared" si="2"/>
        <v>91.396666666666661</v>
      </c>
      <c r="H36" s="28">
        <f t="shared" si="2"/>
        <v>32.900833333333331</v>
      </c>
      <c r="I36" s="28">
        <f t="shared" si="2"/>
        <v>3.4395833333333337</v>
      </c>
      <c r="J36" s="28">
        <f t="shared" si="2"/>
        <v>0.4895833333333332</v>
      </c>
      <c r="K36" s="28">
        <f t="shared" si="2"/>
        <v>305.73291666666665</v>
      </c>
      <c r="L36" s="28">
        <f t="shared" si="2"/>
        <v>24.492083333333337</v>
      </c>
      <c r="M36" s="28">
        <f t="shared" si="2"/>
        <v>68.497083333333336</v>
      </c>
      <c r="N36" s="28">
        <f t="shared" si="2"/>
        <v>229.79583333333338</v>
      </c>
      <c r="O36" s="28">
        <f t="shared" si="2"/>
        <v>0</v>
      </c>
      <c r="P36" s="28">
        <f t="shared" si="2"/>
        <v>1.1162499999999997</v>
      </c>
      <c r="Q36" s="28">
        <f t="shared" si="2"/>
        <v>9.5387499999999985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19.753703010035764</v>
      </c>
      <c r="C37" s="28">
        <f t="shared" ref="C37:Q37" si="3">STDEV(C9:C32)</f>
        <v>7.8595148188934516</v>
      </c>
      <c r="D37" s="28">
        <f t="shared" si="3"/>
        <v>12.826804446893243</v>
      </c>
      <c r="E37" s="28">
        <f t="shared" si="3"/>
        <v>1.7484116497843001</v>
      </c>
      <c r="F37" s="28">
        <f t="shared" si="3"/>
        <v>4.6978093684523641</v>
      </c>
      <c r="G37" s="28">
        <f t="shared" si="3"/>
        <v>31.544690405100216</v>
      </c>
      <c r="H37" s="28">
        <f t="shared" si="3"/>
        <v>10.743877090116783</v>
      </c>
      <c r="I37" s="28">
        <f t="shared" si="3"/>
        <v>0.91068287405739956</v>
      </c>
      <c r="J37" s="28">
        <f t="shared" si="3"/>
        <v>0.36431566778976388</v>
      </c>
      <c r="K37" s="28">
        <f t="shared" si="3"/>
        <v>96.37164292824113</v>
      </c>
      <c r="L37" s="28">
        <f t="shared" si="3"/>
        <v>4.0669580333373814</v>
      </c>
      <c r="M37" s="28">
        <f t="shared" si="3"/>
        <v>25.695882512179065</v>
      </c>
      <c r="N37" s="28">
        <f t="shared" si="3"/>
        <v>294.48238225765715</v>
      </c>
      <c r="O37" s="28">
        <f t="shared" si="3"/>
        <v>0</v>
      </c>
      <c r="P37" s="28">
        <f t="shared" si="3"/>
        <v>0.44822172793306708</v>
      </c>
      <c r="Q37" s="28">
        <f t="shared" si="3"/>
        <v>0.19193097717669227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2" sqref="D12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228</v>
      </c>
      <c r="B9" s="55">
        <v>55.11</v>
      </c>
      <c r="C9" s="55">
        <v>0.01</v>
      </c>
      <c r="D9" s="55">
        <v>37.81</v>
      </c>
      <c r="E9" s="55">
        <v>5.51</v>
      </c>
      <c r="F9" s="55">
        <v>3.77</v>
      </c>
      <c r="G9" s="55">
        <v>259.27</v>
      </c>
      <c r="H9" s="55">
        <v>48.18</v>
      </c>
      <c r="I9" s="55">
        <v>4.93</v>
      </c>
      <c r="J9" s="55">
        <v>0.72</v>
      </c>
      <c r="K9" s="55">
        <v>357.16</v>
      </c>
      <c r="L9" s="55">
        <v>20.41</v>
      </c>
      <c r="M9" s="55">
        <v>79.22</v>
      </c>
      <c r="N9" s="55">
        <v>41.8</v>
      </c>
      <c r="O9" s="55">
        <v>0</v>
      </c>
      <c r="P9" s="55">
        <v>1.63</v>
      </c>
      <c r="Q9" s="55">
        <v>9.7100000000000009</v>
      </c>
      <c r="R9" s="43"/>
      <c r="S9" s="43"/>
      <c r="T9" s="43"/>
      <c r="U9" s="43"/>
    </row>
    <row r="10" spans="1:21" s="11" customFormat="1" x14ac:dyDescent="0.25">
      <c r="A10" s="54" t="s">
        <v>229</v>
      </c>
      <c r="B10" s="55">
        <v>44.31</v>
      </c>
      <c r="C10" s="55">
        <v>0.43</v>
      </c>
      <c r="D10" s="55">
        <v>31.48</v>
      </c>
      <c r="E10" s="55">
        <v>5.54</v>
      </c>
      <c r="F10" s="55">
        <v>4.17</v>
      </c>
      <c r="G10" s="55">
        <v>259.27</v>
      </c>
      <c r="H10" s="55">
        <v>48.18</v>
      </c>
      <c r="I10" s="55">
        <v>4.7300000000000004</v>
      </c>
      <c r="J10" s="55">
        <v>1.26</v>
      </c>
      <c r="K10" s="55">
        <v>349.1</v>
      </c>
      <c r="L10" s="55">
        <v>20.46</v>
      </c>
      <c r="M10" s="55">
        <v>75.599999999999994</v>
      </c>
      <c r="N10" s="55">
        <v>41.9</v>
      </c>
      <c r="O10" s="55">
        <v>0</v>
      </c>
      <c r="P10" s="55">
        <v>1.24</v>
      </c>
      <c r="Q10" s="55">
        <v>9.69</v>
      </c>
      <c r="R10" s="43"/>
      <c r="S10" s="43"/>
      <c r="T10" s="43"/>
      <c r="U10" s="43"/>
    </row>
    <row r="11" spans="1:21" s="11" customFormat="1" x14ac:dyDescent="0.25">
      <c r="A11" s="54" t="s">
        <v>230</v>
      </c>
      <c r="B11" s="55">
        <v>33.049999999999997</v>
      </c>
      <c r="C11" s="55">
        <v>2.5499999999999998</v>
      </c>
      <c r="D11" s="55">
        <v>26.08</v>
      </c>
      <c r="E11" s="55">
        <v>6.1</v>
      </c>
      <c r="F11" s="55">
        <v>4.0999999999999996</v>
      </c>
      <c r="G11" s="55">
        <v>155.86000000000001</v>
      </c>
      <c r="H11" s="55">
        <v>41.77</v>
      </c>
      <c r="I11" s="55">
        <v>4.3099999999999996</v>
      </c>
      <c r="J11" s="55">
        <v>1.3</v>
      </c>
      <c r="K11" s="55">
        <v>348.38</v>
      </c>
      <c r="L11" s="55">
        <v>19.600000000000001</v>
      </c>
      <c r="M11" s="55">
        <v>75.040000000000006</v>
      </c>
      <c r="N11" s="55">
        <v>41.4</v>
      </c>
      <c r="O11" s="55">
        <v>0</v>
      </c>
      <c r="P11" s="55">
        <v>1.1299999999999999</v>
      </c>
      <c r="Q11" s="55">
        <v>9.67</v>
      </c>
      <c r="R11" s="43"/>
      <c r="S11" s="43"/>
      <c r="T11" s="43"/>
      <c r="U11" s="43"/>
    </row>
    <row r="12" spans="1:21" s="11" customFormat="1" x14ac:dyDescent="0.25">
      <c r="A12" s="54" t="s">
        <v>231</v>
      </c>
      <c r="B12" s="55">
        <v>28.69</v>
      </c>
      <c r="C12" s="55">
        <v>3.06</v>
      </c>
      <c r="D12" s="55">
        <v>23.42</v>
      </c>
      <c r="E12" s="55">
        <v>5.62</v>
      </c>
      <c r="F12" s="55">
        <v>3.91</v>
      </c>
      <c r="G12" s="55">
        <v>176.98</v>
      </c>
      <c r="H12" s="55">
        <v>50.71</v>
      </c>
      <c r="I12" s="55">
        <v>4.0999999999999996</v>
      </c>
      <c r="J12" s="55">
        <v>1.1399999999999999</v>
      </c>
      <c r="K12" s="55">
        <v>344.79</v>
      </c>
      <c r="L12" s="55">
        <v>19.18</v>
      </c>
      <c r="M12" s="55">
        <v>77.260000000000005</v>
      </c>
      <c r="N12" s="55">
        <v>41.9</v>
      </c>
      <c r="O12" s="55">
        <v>0</v>
      </c>
      <c r="P12" s="55">
        <v>0.99</v>
      </c>
      <c r="Q12" s="55">
        <v>9.65</v>
      </c>
      <c r="R12" s="43"/>
      <c r="S12" s="43"/>
      <c r="T12" s="43"/>
      <c r="U12" s="43"/>
    </row>
    <row r="13" spans="1:21" s="11" customFormat="1" x14ac:dyDescent="0.25">
      <c r="A13" s="54" t="s">
        <v>232</v>
      </c>
      <c r="B13" s="55">
        <v>22.4</v>
      </c>
      <c r="C13" s="55">
        <v>4.21</v>
      </c>
      <c r="D13" s="55">
        <v>19.239999999999998</v>
      </c>
      <c r="E13" s="55">
        <v>5.18</v>
      </c>
      <c r="F13" s="55">
        <v>3.5</v>
      </c>
      <c r="G13" s="55">
        <v>176.98</v>
      </c>
      <c r="H13" s="55">
        <v>50.71</v>
      </c>
      <c r="I13" s="55">
        <v>3.89</v>
      </c>
      <c r="J13" s="55">
        <v>1.1499999999999999</v>
      </c>
      <c r="K13" s="55">
        <v>345.66</v>
      </c>
      <c r="L13" s="55">
        <v>18.45</v>
      </c>
      <c r="M13" s="55">
        <v>84.15</v>
      </c>
      <c r="N13" s="55">
        <v>42</v>
      </c>
      <c r="O13" s="55">
        <v>0</v>
      </c>
      <c r="P13" s="55">
        <v>0.81</v>
      </c>
      <c r="Q13" s="55">
        <v>9.57</v>
      </c>
      <c r="R13" s="43"/>
      <c r="S13" s="43"/>
      <c r="T13" s="43"/>
      <c r="U13" s="43"/>
    </row>
    <row r="14" spans="1:21" s="11" customFormat="1" x14ac:dyDescent="0.25">
      <c r="A14" s="54" t="s">
        <v>233</v>
      </c>
      <c r="B14" s="55">
        <v>20.76</v>
      </c>
      <c r="C14" s="55">
        <v>4.4400000000000004</v>
      </c>
      <c r="D14" s="55">
        <v>18.260000000000002</v>
      </c>
      <c r="E14" s="55">
        <v>5.13</v>
      </c>
      <c r="F14" s="55">
        <v>3.73</v>
      </c>
      <c r="G14" s="55">
        <v>170.43</v>
      </c>
      <c r="H14" s="55">
        <v>51.8</v>
      </c>
      <c r="I14" s="55">
        <v>3.98</v>
      </c>
      <c r="J14" s="55">
        <v>0.31</v>
      </c>
      <c r="K14" s="55">
        <v>356.03</v>
      </c>
      <c r="L14" s="55">
        <v>18.13</v>
      </c>
      <c r="M14" s="55">
        <v>85.19</v>
      </c>
      <c r="N14" s="55">
        <v>42.6</v>
      </c>
      <c r="O14" s="55">
        <v>0</v>
      </c>
      <c r="P14" s="55">
        <v>0.82</v>
      </c>
      <c r="Q14" s="55">
        <v>9.5299999999999994</v>
      </c>
      <c r="R14" s="43"/>
      <c r="S14" s="43"/>
      <c r="T14" s="43"/>
      <c r="U14" s="43"/>
    </row>
    <row r="15" spans="1:21" s="11" customFormat="1" x14ac:dyDescent="0.25">
      <c r="A15" s="54" t="s">
        <v>234</v>
      </c>
      <c r="B15" s="55">
        <v>21.27</v>
      </c>
      <c r="C15" s="55">
        <v>4.84</v>
      </c>
      <c r="D15" s="55">
        <v>18.78</v>
      </c>
      <c r="E15" s="55">
        <v>4.99</v>
      </c>
      <c r="F15" s="55">
        <v>3.75</v>
      </c>
      <c r="G15" s="55">
        <v>170.43</v>
      </c>
      <c r="H15" s="55">
        <v>52.92</v>
      </c>
      <c r="I15" s="55">
        <v>4.38</v>
      </c>
      <c r="J15" s="55">
        <v>0.14000000000000001</v>
      </c>
      <c r="K15" s="55">
        <v>347.85</v>
      </c>
      <c r="L15" s="55">
        <v>18.100000000000001</v>
      </c>
      <c r="M15" s="55">
        <v>91.23</v>
      </c>
      <c r="N15" s="55">
        <v>94.9</v>
      </c>
      <c r="O15" s="55">
        <v>0</v>
      </c>
      <c r="P15" s="55">
        <v>0.9</v>
      </c>
      <c r="Q15" s="55">
        <v>9.57</v>
      </c>
      <c r="R15" s="43"/>
      <c r="S15" s="43"/>
      <c r="T15" s="43"/>
      <c r="U15" s="43"/>
    </row>
    <row r="16" spans="1:21" s="11" customFormat="1" x14ac:dyDescent="0.25">
      <c r="A16" s="54" t="s">
        <v>235</v>
      </c>
      <c r="B16" s="55">
        <v>21.93</v>
      </c>
      <c r="C16" s="55">
        <v>7.53</v>
      </c>
      <c r="D16" s="55">
        <v>19.579999999999998</v>
      </c>
      <c r="E16" s="55">
        <v>5.13</v>
      </c>
      <c r="F16" s="55">
        <v>3.91</v>
      </c>
      <c r="G16" s="55">
        <v>146.32</v>
      </c>
      <c r="H16" s="55">
        <v>52.92</v>
      </c>
      <c r="I16" s="55">
        <v>4.38</v>
      </c>
      <c r="J16" s="55">
        <v>0.34</v>
      </c>
      <c r="K16" s="55">
        <v>346.56</v>
      </c>
      <c r="L16" s="55">
        <v>25.2</v>
      </c>
      <c r="M16" s="55">
        <v>76.19</v>
      </c>
      <c r="N16" s="55">
        <v>360.2</v>
      </c>
      <c r="O16" s="55">
        <v>0</v>
      </c>
      <c r="P16" s="55">
        <v>0.96</v>
      </c>
      <c r="Q16" s="55">
        <v>9.59</v>
      </c>
      <c r="R16" s="43"/>
      <c r="S16" s="43"/>
      <c r="T16" s="43"/>
      <c r="U16" s="43"/>
    </row>
    <row r="17" spans="1:21" s="11" customFormat="1" x14ac:dyDescent="0.25">
      <c r="A17" s="54" t="s">
        <v>236</v>
      </c>
      <c r="B17" s="55">
        <v>21.64</v>
      </c>
      <c r="C17" s="55">
        <v>5.64</v>
      </c>
      <c r="D17" s="55">
        <v>18.53</v>
      </c>
      <c r="E17" s="55">
        <v>5.18</v>
      </c>
      <c r="F17" s="55">
        <v>3.72</v>
      </c>
      <c r="G17" s="55">
        <v>131.04</v>
      </c>
      <c r="H17" s="55">
        <v>51.47</v>
      </c>
      <c r="I17" s="55">
        <v>4.33</v>
      </c>
      <c r="J17" s="55">
        <v>0.56999999999999995</v>
      </c>
      <c r="K17" s="55">
        <v>342.18</v>
      </c>
      <c r="L17" s="55">
        <v>27.53</v>
      </c>
      <c r="M17" s="55">
        <v>44</v>
      </c>
      <c r="N17" s="55">
        <v>569.4</v>
      </c>
      <c r="O17" s="55">
        <v>0</v>
      </c>
      <c r="P17" s="55">
        <v>0.88</v>
      </c>
      <c r="Q17" s="55">
        <v>9.5399999999999991</v>
      </c>
      <c r="R17" s="43"/>
      <c r="S17" s="43"/>
      <c r="T17" s="43"/>
      <c r="U17" s="43"/>
    </row>
    <row r="18" spans="1:21" s="11" customFormat="1" x14ac:dyDescent="0.25">
      <c r="A18" s="54" t="s">
        <v>237</v>
      </c>
      <c r="B18" s="55">
        <v>18.07</v>
      </c>
      <c r="C18" s="55">
        <v>10.8</v>
      </c>
      <c r="D18" s="55">
        <v>17.059999999999999</v>
      </c>
      <c r="E18" s="55">
        <v>7.88</v>
      </c>
      <c r="F18" s="55">
        <v>5.26</v>
      </c>
      <c r="G18" s="55">
        <v>78.64</v>
      </c>
      <c r="H18" s="55">
        <v>46.35</v>
      </c>
      <c r="I18" s="55">
        <v>4.1399999999999997</v>
      </c>
      <c r="J18" s="55">
        <v>1.1100000000000001</v>
      </c>
      <c r="K18" s="55">
        <v>344.77</v>
      </c>
      <c r="L18" s="55">
        <v>29.84</v>
      </c>
      <c r="M18" s="55">
        <v>31.73</v>
      </c>
      <c r="N18" s="55">
        <v>689.1</v>
      </c>
      <c r="O18" s="55">
        <v>0</v>
      </c>
      <c r="P18" s="55">
        <v>0.8</v>
      </c>
      <c r="Q18" s="55">
        <v>9.4700000000000006</v>
      </c>
      <c r="R18" s="43"/>
      <c r="S18" s="43"/>
      <c r="T18" s="43"/>
      <c r="U18" s="43"/>
    </row>
    <row r="19" spans="1:21" s="11" customFormat="1" x14ac:dyDescent="0.25">
      <c r="A19" s="54" t="s">
        <v>238</v>
      </c>
      <c r="B19" s="55">
        <v>12.77</v>
      </c>
      <c r="C19" s="55">
        <v>15.35</v>
      </c>
      <c r="D19" s="55">
        <v>16.3</v>
      </c>
      <c r="E19" s="55">
        <v>9.06</v>
      </c>
      <c r="F19" s="55">
        <v>7.55</v>
      </c>
      <c r="G19" s="55">
        <v>102.41</v>
      </c>
      <c r="H19" s="55">
        <v>36.67</v>
      </c>
      <c r="I19" s="55">
        <v>3.82</v>
      </c>
      <c r="J19" s="55">
        <v>2.02</v>
      </c>
      <c r="K19" s="55">
        <v>342.22</v>
      </c>
      <c r="L19" s="55">
        <v>30.1</v>
      </c>
      <c r="M19" s="55">
        <v>29.89</v>
      </c>
      <c r="N19" s="55">
        <v>813</v>
      </c>
      <c r="O19" s="55">
        <v>0</v>
      </c>
      <c r="P19" s="55">
        <v>0.8</v>
      </c>
      <c r="Q19" s="55">
        <v>9.39</v>
      </c>
      <c r="R19" s="43"/>
      <c r="S19" s="43"/>
      <c r="T19" s="43"/>
      <c r="U19" s="43"/>
    </row>
    <row r="20" spans="1:21" s="11" customFormat="1" x14ac:dyDescent="0.25">
      <c r="A20" s="54" t="s">
        <v>239</v>
      </c>
      <c r="B20" s="55">
        <v>6.74</v>
      </c>
      <c r="C20" s="55">
        <v>16.829999999999998</v>
      </c>
      <c r="D20" s="55">
        <v>13.04</v>
      </c>
      <c r="E20" s="55">
        <v>6.22</v>
      </c>
      <c r="F20" s="55">
        <v>8.61</v>
      </c>
      <c r="G20" s="55">
        <v>102.41</v>
      </c>
      <c r="H20" s="55">
        <v>35.47</v>
      </c>
      <c r="I20" s="55">
        <v>3.51</v>
      </c>
      <c r="J20" s="55">
        <v>1.74</v>
      </c>
      <c r="K20" s="55">
        <v>341.02</v>
      </c>
      <c r="L20" s="55">
        <v>30.69</v>
      </c>
      <c r="M20" s="55">
        <v>27.96</v>
      </c>
      <c r="N20" s="55">
        <v>816.6</v>
      </c>
      <c r="O20" s="55">
        <v>0</v>
      </c>
      <c r="P20" s="55">
        <v>0.73</v>
      </c>
      <c r="Q20" s="55">
        <v>9.3000000000000007</v>
      </c>
      <c r="R20" s="43"/>
      <c r="S20" s="43"/>
      <c r="T20" s="43"/>
      <c r="U20" s="43"/>
    </row>
    <row r="21" spans="1:21" s="11" customFormat="1" x14ac:dyDescent="0.25">
      <c r="A21" s="54" t="s">
        <v>240</v>
      </c>
      <c r="B21" s="55">
        <v>3.31</v>
      </c>
      <c r="C21" s="55">
        <v>16.45</v>
      </c>
      <c r="D21" s="55">
        <v>10.78</v>
      </c>
      <c r="E21" s="55">
        <v>5.25</v>
      </c>
      <c r="F21" s="55">
        <v>6.45</v>
      </c>
      <c r="G21" s="55">
        <v>93.26</v>
      </c>
      <c r="H21" s="55">
        <v>27.6</v>
      </c>
      <c r="I21" s="55">
        <v>3.05</v>
      </c>
      <c r="J21" s="55">
        <v>1.39</v>
      </c>
      <c r="K21" s="55">
        <v>340.12</v>
      </c>
      <c r="L21" s="55">
        <v>30.5</v>
      </c>
      <c r="M21" s="55">
        <v>25.07</v>
      </c>
      <c r="N21" s="55">
        <v>779</v>
      </c>
      <c r="O21" s="55">
        <v>0</v>
      </c>
      <c r="P21" s="55">
        <v>0.57999999999999996</v>
      </c>
      <c r="Q21" s="55">
        <v>9.17</v>
      </c>
      <c r="R21" s="43"/>
      <c r="S21" s="43"/>
      <c r="T21" s="43"/>
      <c r="U21" s="43"/>
    </row>
    <row r="22" spans="1:21" s="11" customFormat="1" x14ac:dyDescent="0.25">
      <c r="A22" s="54" t="s">
        <v>241</v>
      </c>
      <c r="B22" s="55">
        <v>2.11</v>
      </c>
      <c r="C22" s="55">
        <v>16.170000000000002</v>
      </c>
      <c r="D22" s="55">
        <v>9.1</v>
      </c>
      <c r="E22" s="55">
        <v>5.34</v>
      </c>
      <c r="F22" s="55">
        <v>6.58</v>
      </c>
      <c r="G22" s="55">
        <v>93.26</v>
      </c>
      <c r="H22" s="55">
        <v>25.12</v>
      </c>
      <c r="I22" s="55">
        <v>2.71</v>
      </c>
      <c r="J22" s="55">
        <v>1.18</v>
      </c>
      <c r="K22" s="55">
        <v>339.7</v>
      </c>
      <c r="L22" s="55">
        <v>29.96</v>
      </c>
      <c r="M22" s="55">
        <v>27.37</v>
      </c>
      <c r="N22" s="55">
        <v>481.8</v>
      </c>
      <c r="O22" s="55">
        <v>0</v>
      </c>
      <c r="P22" s="55">
        <v>0.65</v>
      </c>
      <c r="Q22" s="55">
        <v>9.1300000000000008</v>
      </c>
      <c r="R22" s="43"/>
      <c r="S22" s="43"/>
      <c r="T22" s="43"/>
      <c r="U22" s="43"/>
    </row>
    <row r="23" spans="1:21" s="11" customFormat="1" x14ac:dyDescent="0.25">
      <c r="A23" s="54" t="s">
        <v>242</v>
      </c>
      <c r="B23" s="55">
        <v>3.35</v>
      </c>
      <c r="C23" s="55">
        <v>19.18</v>
      </c>
      <c r="D23" s="55">
        <v>11.89</v>
      </c>
      <c r="E23" s="55">
        <v>5.61</v>
      </c>
      <c r="F23" s="55">
        <v>12.8</v>
      </c>
      <c r="G23" s="55">
        <v>66.81</v>
      </c>
      <c r="H23" s="55">
        <v>20.350000000000001</v>
      </c>
      <c r="I23" s="55">
        <v>2.46</v>
      </c>
      <c r="J23" s="55">
        <v>1.07</v>
      </c>
      <c r="K23" s="55">
        <v>337.3</v>
      </c>
      <c r="L23" s="55">
        <v>28.32</v>
      </c>
      <c r="M23" s="55">
        <v>29.76</v>
      </c>
      <c r="N23" s="55">
        <v>142.1</v>
      </c>
      <c r="O23" s="55">
        <v>0</v>
      </c>
      <c r="P23" s="55">
        <v>0.6</v>
      </c>
      <c r="Q23" s="55">
        <v>9.1199999999999992</v>
      </c>
      <c r="R23" s="43"/>
      <c r="S23" s="43"/>
      <c r="T23" s="43"/>
      <c r="U23" s="43"/>
    </row>
    <row r="24" spans="1:21" s="11" customFormat="1" x14ac:dyDescent="0.25">
      <c r="A24" s="54" t="s">
        <v>243</v>
      </c>
      <c r="B24" s="55">
        <v>3.36</v>
      </c>
      <c r="C24" s="55">
        <v>17.39</v>
      </c>
      <c r="D24" s="55">
        <v>11.01</v>
      </c>
      <c r="E24" s="55">
        <v>5.38</v>
      </c>
      <c r="F24" s="55">
        <v>10.82</v>
      </c>
      <c r="G24" s="55">
        <v>66.81</v>
      </c>
      <c r="H24" s="55">
        <v>16.09</v>
      </c>
      <c r="I24" s="55">
        <v>2.44</v>
      </c>
      <c r="J24" s="55">
        <v>1.37</v>
      </c>
      <c r="K24" s="55">
        <v>342.25</v>
      </c>
      <c r="L24" s="55">
        <v>26.93</v>
      </c>
      <c r="M24" s="55">
        <v>28.19</v>
      </c>
      <c r="N24" s="55">
        <v>111</v>
      </c>
      <c r="O24" s="55">
        <v>0</v>
      </c>
      <c r="P24" s="55">
        <v>0.64</v>
      </c>
      <c r="Q24" s="55">
        <v>9.14</v>
      </c>
      <c r="R24" s="43"/>
      <c r="S24" s="43"/>
      <c r="T24" s="43"/>
      <c r="U24" s="43"/>
    </row>
    <row r="25" spans="1:21" s="11" customFormat="1" x14ac:dyDescent="0.25">
      <c r="A25" s="54" t="s">
        <v>244</v>
      </c>
      <c r="B25" s="55">
        <v>3.78</v>
      </c>
      <c r="C25" s="55">
        <v>17.420000000000002</v>
      </c>
      <c r="D25" s="55">
        <v>11.68</v>
      </c>
      <c r="E25" s="55">
        <v>4.6500000000000004</v>
      </c>
      <c r="F25" s="55">
        <v>7.91</v>
      </c>
      <c r="G25" s="55">
        <v>34.6</v>
      </c>
      <c r="H25" s="55">
        <v>15.38</v>
      </c>
      <c r="I25" s="55">
        <v>2.39</v>
      </c>
      <c r="J25" s="55">
        <v>0.96</v>
      </c>
      <c r="K25" s="55">
        <v>340.96</v>
      </c>
      <c r="L25" s="55">
        <v>25.73</v>
      </c>
      <c r="M25" s="55">
        <v>33.72</v>
      </c>
      <c r="N25" s="55">
        <v>84.8</v>
      </c>
      <c r="O25" s="55">
        <v>0</v>
      </c>
      <c r="P25" s="55">
        <v>0.62</v>
      </c>
      <c r="Q25" s="55">
        <v>9.1300000000000008</v>
      </c>
      <c r="R25" s="43"/>
      <c r="S25" s="43"/>
      <c r="T25" s="43"/>
      <c r="U25" s="43"/>
    </row>
    <row r="26" spans="1:21" s="11" customFormat="1" x14ac:dyDescent="0.25">
      <c r="A26" s="54" t="s">
        <v>245</v>
      </c>
      <c r="B26" s="55">
        <v>11.14</v>
      </c>
      <c r="C26" s="55">
        <v>19.11</v>
      </c>
      <c r="D26" s="55">
        <v>16.72</v>
      </c>
      <c r="E26" s="55">
        <v>5.24</v>
      </c>
      <c r="F26" s="55">
        <v>6.75</v>
      </c>
      <c r="G26" s="55">
        <v>34.6</v>
      </c>
      <c r="H26" s="55">
        <v>13.39</v>
      </c>
      <c r="I26" s="55">
        <v>2.54</v>
      </c>
      <c r="J26" s="55">
        <v>0.76</v>
      </c>
      <c r="K26" s="55">
        <v>346.32</v>
      </c>
      <c r="L26" s="55">
        <v>24.13</v>
      </c>
      <c r="M26" s="55">
        <v>39.630000000000003</v>
      </c>
      <c r="N26" s="55">
        <v>52.3</v>
      </c>
      <c r="O26" s="55">
        <v>0</v>
      </c>
      <c r="P26" s="55">
        <v>0.82</v>
      </c>
      <c r="Q26" s="55">
        <v>9.1999999999999993</v>
      </c>
      <c r="R26" s="43"/>
      <c r="S26" s="43"/>
      <c r="T26" s="43"/>
      <c r="U26" s="43"/>
    </row>
    <row r="27" spans="1:21" s="11" customFormat="1" x14ac:dyDescent="0.25">
      <c r="A27" s="54" t="s">
        <v>246</v>
      </c>
      <c r="B27" s="55">
        <v>19.57</v>
      </c>
      <c r="C27" s="55">
        <v>25.29</v>
      </c>
      <c r="D27" s="55">
        <v>24.82</v>
      </c>
      <c r="E27" s="55">
        <v>9.2200000000000006</v>
      </c>
      <c r="F27" s="55">
        <v>4.5</v>
      </c>
      <c r="G27" s="55">
        <v>87.5</v>
      </c>
      <c r="H27" s="55">
        <v>18.73</v>
      </c>
      <c r="I27" s="55">
        <v>2.82</v>
      </c>
      <c r="J27" s="55">
        <v>0.43</v>
      </c>
      <c r="K27" s="55">
        <v>339.12</v>
      </c>
      <c r="L27" s="55">
        <v>22.65</v>
      </c>
      <c r="M27" s="55">
        <v>42.05</v>
      </c>
      <c r="N27" s="55">
        <v>47.6</v>
      </c>
      <c r="O27" s="55">
        <v>0</v>
      </c>
      <c r="P27" s="55">
        <v>1.3</v>
      </c>
      <c r="Q27" s="55">
        <v>9.35</v>
      </c>
      <c r="R27" s="43"/>
      <c r="S27" s="43"/>
      <c r="T27" s="43"/>
      <c r="U27" s="43"/>
    </row>
    <row r="28" spans="1:21" s="11" customFormat="1" x14ac:dyDescent="0.25">
      <c r="A28" s="54" t="s">
        <v>247</v>
      </c>
      <c r="B28" s="55">
        <v>24.7</v>
      </c>
      <c r="C28" s="55">
        <v>26.85</v>
      </c>
      <c r="D28" s="55">
        <v>31.07</v>
      </c>
      <c r="E28" s="55">
        <v>11.76</v>
      </c>
      <c r="F28" s="55">
        <v>5.94</v>
      </c>
      <c r="G28" s="55">
        <v>98.92</v>
      </c>
      <c r="H28" s="55">
        <v>27.13</v>
      </c>
      <c r="I28" s="55">
        <v>3.1</v>
      </c>
      <c r="J28" s="55">
        <v>0.1</v>
      </c>
      <c r="K28" s="55">
        <v>74.67</v>
      </c>
      <c r="L28" s="55">
        <v>21.17</v>
      </c>
      <c r="M28" s="55">
        <v>45.11</v>
      </c>
      <c r="N28" s="55">
        <v>47</v>
      </c>
      <c r="O28" s="55">
        <v>0</v>
      </c>
      <c r="P28" s="55">
        <v>1.49</v>
      </c>
      <c r="Q28" s="55">
        <v>9.4600000000000009</v>
      </c>
      <c r="R28" s="43"/>
      <c r="S28" s="43"/>
      <c r="T28" s="43"/>
      <c r="U28" s="43"/>
    </row>
    <row r="29" spans="1:21" s="11" customFormat="1" x14ac:dyDescent="0.25">
      <c r="A29" s="54" t="s">
        <v>248</v>
      </c>
      <c r="B29" s="55">
        <v>18.5</v>
      </c>
      <c r="C29" s="55">
        <v>21.38</v>
      </c>
      <c r="D29" s="55">
        <v>20.73</v>
      </c>
      <c r="E29" s="55">
        <v>6.67</v>
      </c>
      <c r="F29" s="55">
        <v>7.24</v>
      </c>
      <c r="G29" s="55">
        <v>98.92</v>
      </c>
      <c r="H29" s="55">
        <v>31.9</v>
      </c>
      <c r="I29" s="55">
        <v>3.37</v>
      </c>
      <c r="J29" s="55">
        <v>0.3</v>
      </c>
      <c r="K29" s="55">
        <v>323.63</v>
      </c>
      <c r="L29" s="55">
        <v>20.87</v>
      </c>
      <c r="M29" s="55">
        <v>50.17</v>
      </c>
      <c r="N29" s="55">
        <v>47</v>
      </c>
      <c r="O29" s="55">
        <v>0</v>
      </c>
      <c r="P29" s="55">
        <v>1.1399999999999999</v>
      </c>
      <c r="Q29" s="55">
        <v>9.48</v>
      </c>
      <c r="R29" s="43"/>
      <c r="S29" s="43"/>
      <c r="T29" s="43"/>
      <c r="U29" s="43"/>
    </row>
    <row r="30" spans="1:21" s="11" customFormat="1" x14ac:dyDescent="0.25">
      <c r="A30" s="54" t="s">
        <v>249</v>
      </c>
      <c r="B30" s="55">
        <v>21.96</v>
      </c>
      <c r="C30" s="55">
        <v>6.83</v>
      </c>
      <c r="D30" s="55">
        <v>20.07</v>
      </c>
      <c r="E30" s="55">
        <v>4.66</v>
      </c>
      <c r="F30" s="55">
        <v>3.19</v>
      </c>
      <c r="G30" s="55">
        <v>94.09</v>
      </c>
      <c r="H30" s="55">
        <v>33.130000000000003</v>
      </c>
      <c r="I30" s="55">
        <v>3.78</v>
      </c>
      <c r="J30" s="55">
        <v>0.75</v>
      </c>
      <c r="K30" s="55">
        <v>347.85</v>
      </c>
      <c r="L30" s="55">
        <v>19.96</v>
      </c>
      <c r="M30" s="55">
        <v>53.45</v>
      </c>
      <c r="N30" s="55">
        <v>47.5</v>
      </c>
      <c r="O30" s="55">
        <v>0</v>
      </c>
      <c r="P30" s="55">
        <v>1.1499999999999999</v>
      </c>
      <c r="Q30" s="55">
        <v>9.56</v>
      </c>
      <c r="R30" s="43"/>
      <c r="S30" s="43"/>
      <c r="T30" s="43"/>
      <c r="U30" s="43"/>
    </row>
    <row r="31" spans="1:21" s="11" customFormat="1" x14ac:dyDescent="0.25">
      <c r="A31" s="54" t="s">
        <v>250</v>
      </c>
      <c r="B31" s="55">
        <v>23.38</v>
      </c>
      <c r="C31" s="55">
        <v>6.25</v>
      </c>
      <c r="D31" s="55">
        <v>20.64</v>
      </c>
      <c r="E31" s="55">
        <v>4.6100000000000003</v>
      </c>
      <c r="F31" s="55">
        <v>3.32</v>
      </c>
      <c r="G31" s="55">
        <v>92.05</v>
      </c>
      <c r="H31" s="55">
        <v>37.39</v>
      </c>
      <c r="I31" s="55">
        <v>3.79</v>
      </c>
      <c r="J31" s="55">
        <v>1.21</v>
      </c>
      <c r="K31" s="55">
        <v>345.72</v>
      </c>
      <c r="L31" s="55">
        <v>19.7</v>
      </c>
      <c r="M31" s="55">
        <v>60.99</v>
      </c>
      <c r="N31" s="55">
        <v>47.1</v>
      </c>
      <c r="O31" s="55">
        <v>0</v>
      </c>
      <c r="P31" s="55">
        <v>1.19</v>
      </c>
      <c r="Q31" s="55">
        <v>9.6</v>
      </c>
      <c r="R31" s="43"/>
      <c r="S31" s="43"/>
      <c r="T31" s="43"/>
      <c r="U31" s="43"/>
    </row>
    <row r="32" spans="1:21" s="11" customFormat="1" x14ac:dyDescent="0.25">
      <c r="A32" s="54" t="s">
        <v>251</v>
      </c>
      <c r="B32" s="55">
        <v>19.29</v>
      </c>
      <c r="C32" s="55">
        <v>12.59</v>
      </c>
      <c r="D32" s="55">
        <v>19.32</v>
      </c>
      <c r="E32" s="55">
        <v>6.73</v>
      </c>
      <c r="F32" s="55">
        <v>5.01</v>
      </c>
      <c r="G32" s="55">
        <v>92.05</v>
      </c>
      <c r="H32" s="55">
        <v>37.39</v>
      </c>
      <c r="I32" s="55">
        <v>3.75</v>
      </c>
      <c r="J32" s="55">
        <v>0.93</v>
      </c>
      <c r="K32" s="55">
        <v>344.42</v>
      </c>
      <c r="L32" s="55">
        <v>19.510000000000002</v>
      </c>
      <c r="M32" s="55">
        <v>54.22</v>
      </c>
      <c r="N32" s="55">
        <v>47.2</v>
      </c>
      <c r="O32" s="55">
        <v>0</v>
      </c>
      <c r="P32" s="55">
        <v>1.1299999999999999</v>
      </c>
      <c r="Q32" s="55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2.11</v>
      </c>
      <c r="C34" s="28">
        <f t="shared" si="0"/>
        <v>0.01</v>
      </c>
      <c r="D34" s="28">
        <f t="shared" si="0"/>
        <v>9.1</v>
      </c>
      <c r="E34" s="28">
        <f t="shared" si="0"/>
        <v>4.6100000000000003</v>
      </c>
      <c r="F34" s="28">
        <f t="shared" si="0"/>
        <v>3.19</v>
      </c>
      <c r="G34" s="28">
        <f t="shared" si="0"/>
        <v>34.6</v>
      </c>
      <c r="H34" s="28">
        <f t="shared" si="0"/>
        <v>13.39</v>
      </c>
      <c r="I34" s="28">
        <f t="shared" si="0"/>
        <v>2.39</v>
      </c>
      <c r="J34" s="28">
        <f t="shared" si="0"/>
        <v>0.1</v>
      </c>
      <c r="K34" s="28">
        <f t="shared" si="0"/>
        <v>74.67</v>
      </c>
      <c r="L34" s="28">
        <f t="shared" si="0"/>
        <v>18.100000000000001</v>
      </c>
      <c r="M34" s="28">
        <f t="shared" si="0"/>
        <v>25.07</v>
      </c>
      <c r="N34" s="28">
        <f t="shared" si="0"/>
        <v>41.4</v>
      </c>
      <c r="O34" s="28">
        <f t="shared" si="0"/>
        <v>0</v>
      </c>
      <c r="P34" s="28">
        <f t="shared" si="0"/>
        <v>0.57999999999999996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55.11</v>
      </c>
      <c r="C35" s="29">
        <f t="shared" si="1"/>
        <v>26.85</v>
      </c>
      <c r="D35" s="29">
        <f t="shared" si="1"/>
        <v>37.81</v>
      </c>
      <c r="E35" s="29">
        <f t="shared" si="1"/>
        <v>11.76</v>
      </c>
      <c r="F35" s="29">
        <f t="shared" si="1"/>
        <v>12.8</v>
      </c>
      <c r="G35" s="29">
        <f t="shared" si="1"/>
        <v>259.27</v>
      </c>
      <c r="H35" s="29">
        <f t="shared" si="1"/>
        <v>52.92</v>
      </c>
      <c r="I35" s="29">
        <f t="shared" si="1"/>
        <v>4.93</v>
      </c>
      <c r="J35" s="29">
        <f t="shared" si="1"/>
        <v>2.02</v>
      </c>
      <c r="K35" s="29">
        <f t="shared" si="1"/>
        <v>357.16</v>
      </c>
      <c r="L35" s="29">
        <f t="shared" si="1"/>
        <v>30.69</v>
      </c>
      <c r="M35" s="29">
        <f t="shared" si="1"/>
        <v>91.23</v>
      </c>
      <c r="N35" s="29">
        <f t="shared" si="1"/>
        <v>816.6</v>
      </c>
      <c r="O35" s="29">
        <f t="shared" si="1"/>
        <v>0</v>
      </c>
      <c r="P35" s="29">
        <f t="shared" si="1"/>
        <v>1.63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19.216249999999999</v>
      </c>
      <c r="C36" s="28">
        <f t="shared" si="2"/>
        <v>11.691666666666665</v>
      </c>
      <c r="D36" s="28">
        <f t="shared" si="2"/>
        <v>19.475416666666664</v>
      </c>
      <c r="E36" s="28">
        <f t="shared" si="2"/>
        <v>6.1108333333333329</v>
      </c>
      <c r="F36" s="28">
        <f t="shared" si="2"/>
        <v>5.6870833333333328</v>
      </c>
      <c r="G36" s="28">
        <f t="shared" si="2"/>
        <v>120.12125000000003</v>
      </c>
      <c r="H36" s="28">
        <f t="shared" si="2"/>
        <v>36.281250000000007</v>
      </c>
      <c r="I36" s="28">
        <f t="shared" si="2"/>
        <v>3.6125000000000003</v>
      </c>
      <c r="J36" s="28">
        <f t="shared" si="2"/>
        <v>0.92708333333333348</v>
      </c>
      <c r="K36" s="28">
        <f t="shared" si="2"/>
        <v>332.82416666666666</v>
      </c>
      <c r="L36" s="28">
        <f t="shared" si="2"/>
        <v>23.63</v>
      </c>
      <c r="M36" s="28">
        <f t="shared" si="2"/>
        <v>52.799583333333338</v>
      </c>
      <c r="N36" s="28">
        <f t="shared" si="2"/>
        <v>230.38333333333335</v>
      </c>
      <c r="O36" s="28">
        <f t="shared" si="2"/>
        <v>0</v>
      </c>
      <c r="P36" s="28">
        <f t="shared" si="2"/>
        <v>0.95833333333333337</v>
      </c>
      <c r="Q36" s="28">
        <f t="shared" si="2"/>
        <v>9.4408333333333321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12.913690346665636</v>
      </c>
      <c r="C37" s="28">
        <f t="shared" ref="C37:Q37" si="3">STDEV(C9:C32)</f>
        <v>7.9484467537438714</v>
      </c>
      <c r="D37" s="28">
        <f t="shared" si="3"/>
        <v>7.0613134504090311</v>
      </c>
      <c r="E37" s="28">
        <f t="shared" si="3"/>
        <v>1.7361449465301926</v>
      </c>
      <c r="F37" s="28">
        <f t="shared" si="3"/>
        <v>2.5005712028614027</v>
      </c>
      <c r="G37" s="28">
        <f t="shared" si="3"/>
        <v>59.217798537153904</v>
      </c>
      <c r="H37" s="28">
        <f t="shared" si="3"/>
        <v>13.355923392783906</v>
      </c>
      <c r="I37" s="28">
        <f t="shared" si="3"/>
        <v>0.76477476081694207</v>
      </c>
      <c r="J37" s="28">
        <f t="shared" si="3"/>
        <v>0.49820093001385102</v>
      </c>
      <c r="K37" s="28">
        <f t="shared" si="3"/>
        <v>55.363505160197541</v>
      </c>
      <c r="L37" s="28">
        <f t="shared" si="3"/>
        <v>4.5559192266764406</v>
      </c>
      <c r="M37" s="28">
        <f t="shared" si="3"/>
        <v>22.23461177282854</v>
      </c>
      <c r="N37" s="28">
        <f t="shared" si="3"/>
        <v>287.20116214289919</v>
      </c>
      <c r="O37" s="28">
        <f t="shared" si="3"/>
        <v>0</v>
      </c>
      <c r="P37" s="28">
        <f t="shared" si="3"/>
        <v>0.28496630871288797</v>
      </c>
      <c r="Q37" s="28">
        <f t="shared" si="3"/>
        <v>0.19884266593742259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14" sqref="E14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252</v>
      </c>
      <c r="B9" s="55">
        <v>15.01</v>
      </c>
      <c r="C9" s="55">
        <v>13.69</v>
      </c>
      <c r="D9" s="55">
        <v>17.559999999999999</v>
      </c>
      <c r="E9" s="55">
        <v>8.2899999999999991</v>
      </c>
      <c r="F9" s="55">
        <v>4.25</v>
      </c>
      <c r="G9" s="55">
        <v>151.86000000000001</v>
      </c>
      <c r="H9" s="55">
        <v>35.090000000000003</v>
      </c>
      <c r="I9" s="55">
        <v>3.65</v>
      </c>
      <c r="J9" s="55">
        <v>0.83</v>
      </c>
      <c r="K9" s="55">
        <v>344.28</v>
      </c>
      <c r="L9" s="55">
        <v>18.760000000000002</v>
      </c>
      <c r="M9" s="55">
        <v>60.28</v>
      </c>
      <c r="N9" s="55">
        <v>47</v>
      </c>
      <c r="O9" s="55">
        <v>0</v>
      </c>
      <c r="P9" s="55">
        <v>1.23</v>
      </c>
      <c r="Q9" s="55">
        <v>9.48</v>
      </c>
      <c r="R9" s="43"/>
      <c r="S9" s="43"/>
      <c r="T9" s="43"/>
      <c r="U9" s="43"/>
    </row>
    <row r="10" spans="1:21" s="11" customFormat="1" x14ac:dyDescent="0.25">
      <c r="A10" s="54" t="s">
        <v>253</v>
      </c>
      <c r="B10" s="55">
        <v>12.99</v>
      </c>
      <c r="C10" s="55">
        <v>11.89</v>
      </c>
      <c r="D10" s="55">
        <v>15.47</v>
      </c>
      <c r="E10" s="55">
        <v>6.72</v>
      </c>
      <c r="F10" s="55">
        <v>3.76</v>
      </c>
      <c r="G10" s="55">
        <v>151.86000000000001</v>
      </c>
      <c r="H10" s="55">
        <v>36.47</v>
      </c>
      <c r="I10" s="55">
        <v>3.99</v>
      </c>
      <c r="J10" s="55">
        <v>1.04</v>
      </c>
      <c r="K10" s="55">
        <v>342.5</v>
      </c>
      <c r="L10" s="55">
        <v>18.329999999999998</v>
      </c>
      <c r="M10" s="55">
        <v>59.4</v>
      </c>
      <c r="N10" s="55">
        <v>47</v>
      </c>
      <c r="O10" s="55">
        <v>0</v>
      </c>
      <c r="P10" s="55">
        <v>0.95</v>
      </c>
      <c r="Q10" s="55">
        <v>9.41</v>
      </c>
      <c r="R10" s="43"/>
      <c r="S10" s="43"/>
      <c r="T10" s="43"/>
      <c r="U10" s="43"/>
    </row>
    <row r="11" spans="1:21" s="11" customFormat="1" x14ac:dyDescent="0.25">
      <c r="A11" s="54" t="s">
        <v>254</v>
      </c>
      <c r="B11" s="55">
        <v>8.34</v>
      </c>
      <c r="C11" s="55">
        <v>13.08</v>
      </c>
      <c r="D11" s="55">
        <v>12.72</v>
      </c>
      <c r="E11" s="55">
        <v>6</v>
      </c>
      <c r="F11" s="55">
        <v>3.57</v>
      </c>
      <c r="G11" s="55">
        <v>120.71</v>
      </c>
      <c r="H11" s="55">
        <v>36.85</v>
      </c>
      <c r="I11" s="55">
        <v>3.91</v>
      </c>
      <c r="J11" s="55">
        <v>0.7</v>
      </c>
      <c r="K11" s="55">
        <v>342.9</v>
      </c>
      <c r="L11" s="55">
        <v>17.559999999999999</v>
      </c>
      <c r="M11" s="55">
        <v>72.16</v>
      </c>
      <c r="N11" s="55">
        <v>47.5</v>
      </c>
      <c r="O11" s="55">
        <v>0</v>
      </c>
      <c r="P11" s="55">
        <v>0.78</v>
      </c>
      <c r="Q11" s="55">
        <v>9.26</v>
      </c>
      <c r="R11" s="43"/>
      <c r="S11" s="43"/>
      <c r="T11" s="43"/>
      <c r="U11" s="43"/>
    </row>
    <row r="12" spans="1:21" s="11" customFormat="1" x14ac:dyDescent="0.25">
      <c r="A12" s="54" t="s">
        <v>255</v>
      </c>
      <c r="B12" s="55">
        <v>8.0299999999999994</v>
      </c>
      <c r="C12" s="55">
        <v>12.61</v>
      </c>
      <c r="D12" s="55">
        <v>12.53</v>
      </c>
      <c r="E12" s="55">
        <v>5.73</v>
      </c>
      <c r="F12" s="55">
        <v>3.49</v>
      </c>
      <c r="G12" s="55">
        <v>135.96</v>
      </c>
      <c r="H12" s="55">
        <v>45.56</v>
      </c>
      <c r="I12" s="55">
        <v>3.85</v>
      </c>
      <c r="J12" s="55">
        <v>0.46</v>
      </c>
      <c r="K12" s="55">
        <v>342.94</v>
      </c>
      <c r="L12" s="55">
        <v>16.260000000000002</v>
      </c>
      <c r="M12" s="55">
        <v>76.819999999999993</v>
      </c>
      <c r="N12" s="55">
        <v>47.2</v>
      </c>
      <c r="O12" s="55">
        <v>0</v>
      </c>
      <c r="P12" s="55">
        <v>0.79</v>
      </c>
      <c r="Q12" s="55">
        <v>9.2799999999999994</v>
      </c>
      <c r="R12" s="43"/>
      <c r="S12" s="43"/>
      <c r="T12" s="43"/>
      <c r="U12" s="43"/>
    </row>
    <row r="13" spans="1:21" s="11" customFormat="1" x14ac:dyDescent="0.25">
      <c r="A13" s="54" t="s">
        <v>256</v>
      </c>
      <c r="B13" s="55">
        <v>9.42</v>
      </c>
      <c r="C13" s="55">
        <v>12.56</v>
      </c>
      <c r="D13" s="55">
        <v>13.44</v>
      </c>
      <c r="E13" s="55">
        <v>5.61</v>
      </c>
      <c r="F13" s="55">
        <v>4</v>
      </c>
      <c r="G13" s="55">
        <v>135.96</v>
      </c>
      <c r="H13" s="55">
        <v>51.09</v>
      </c>
      <c r="I13" s="55">
        <v>3.81</v>
      </c>
      <c r="J13" s="55">
        <v>0.42</v>
      </c>
      <c r="K13" s="55">
        <v>349.44</v>
      </c>
      <c r="L13" s="55">
        <v>15.94</v>
      </c>
      <c r="M13" s="55">
        <v>79.900000000000006</v>
      </c>
      <c r="N13" s="55">
        <v>47.1</v>
      </c>
      <c r="O13" s="55">
        <v>0</v>
      </c>
      <c r="P13" s="55">
        <v>0.84</v>
      </c>
      <c r="Q13" s="55">
        <v>9.34</v>
      </c>
      <c r="R13" s="43"/>
      <c r="S13" s="43"/>
      <c r="T13" s="43"/>
      <c r="U13" s="43"/>
    </row>
    <row r="14" spans="1:21" s="11" customFormat="1" x14ac:dyDescent="0.25">
      <c r="A14" s="54" t="s">
        <v>257</v>
      </c>
      <c r="B14" s="55">
        <v>12.13</v>
      </c>
      <c r="C14" s="55">
        <v>12.05</v>
      </c>
      <c r="D14" s="55">
        <v>15.17</v>
      </c>
      <c r="E14" s="55">
        <v>5.83</v>
      </c>
      <c r="F14" s="55">
        <v>3.79</v>
      </c>
      <c r="G14" s="55">
        <v>229.3</v>
      </c>
      <c r="H14" s="55">
        <v>60.9</v>
      </c>
      <c r="I14" s="55">
        <v>3.69</v>
      </c>
      <c r="J14" s="55">
        <v>0.49</v>
      </c>
      <c r="K14" s="55">
        <v>346.82</v>
      </c>
      <c r="L14" s="55">
        <v>15.23</v>
      </c>
      <c r="M14" s="55">
        <v>78.040000000000006</v>
      </c>
      <c r="N14" s="55">
        <v>47.5</v>
      </c>
      <c r="O14" s="55">
        <v>0</v>
      </c>
      <c r="P14" s="55">
        <v>0.85</v>
      </c>
      <c r="Q14" s="55">
        <v>9.3699999999999992</v>
      </c>
      <c r="R14" s="43"/>
      <c r="S14" s="43"/>
      <c r="T14" s="43"/>
      <c r="U14" s="43"/>
    </row>
    <row r="15" spans="1:21" s="11" customFormat="1" x14ac:dyDescent="0.25">
      <c r="A15" s="54" t="s">
        <v>258</v>
      </c>
      <c r="B15" s="55">
        <v>13.25</v>
      </c>
      <c r="C15" s="55">
        <v>13.09</v>
      </c>
      <c r="D15" s="55">
        <v>15.99</v>
      </c>
      <c r="E15" s="55">
        <v>5.63</v>
      </c>
      <c r="F15" s="55">
        <v>3.8</v>
      </c>
      <c r="G15" s="55">
        <v>229.3</v>
      </c>
      <c r="H15" s="55">
        <v>61.37</v>
      </c>
      <c r="I15" s="55">
        <v>3.55</v>
      </c>
      <c r="J15" s="55">
        <v>1.01</v>
      </c>
      <c r="K15" s="55">
        <v>342.13</v>
      </c>
      <c r="L15" s="55">
        <v>16.68</v>
      </c>
      <c r="M15" s="55">
        <v>67.489999999999995</v>
      </c>
      <c r="N15" s="55">
        <v>100.7</v>
      </c>
      <c r="O15" s="55">
        <v>0</v>
      </c>
      <c r="P15" s="55">
        <v>0.81</v>
      </c>
      <c r="Q15" s="55">
        <v>9.39</v>
      </c>
      <c r="R15" s="43"/>
      <c r="S15" s="43"/>
      <c r="T15" s="43"/>
      <c r="U15" s="43"/>
    </row>
    <row r="16" spans="1:21" s="11" customFormat="1" x14ac:dyDescent="0.25">
      <c r="A16" s="54" t="s">
        <v>259</v>
      </c>
      <c r="B16" s="55">
        <v>10.5</v>
      </c>
      <c r="C16" s="55">
        <v>13.54</v>
      </c>
      <c r="D16" s="55">
        <v>14.82</v>
      </c>
      <c r="E16" s="55">
        <v>6.16</v>
      </c>
      <c r="F16" s="55">
        <v>3.47</v>
      </c>
      <c r="G16" s="55">
        <v>162.6</v>
      </c>
      <c r="H16" s="55">
        <v>61.37</v>
      </c>
      <c r="I16" s="55">
        <v>3.7</v>
      </c>
      <c r="J16" s="55">
        <v>0.85</v>
      </c>
      <c r="K16" s="55">
        <v>344.07</v>
      </c>
      <c r="L16" s="55">
        <v>22.65</v>
      </c>
      <c r="M16" s="55">
        <v>57.78</v>
      </c>
      <c r="N16" s="55">
        <v>327.10000000000002</v>
      </c>
      <c r="O16" s="55">
        <v>0</v>
      </c>
      <c r="P16" s="55">
        <v>0.92</v>
      </c>
      <c r="Q16" s="55">
        <v>9.33</v>
      </c>
      <c r="R16" s="43"/>
      <c r="S16" s="43"/>
      <c r="T16" s="43"/>
      <c r="U16" s="43"/>
    </row>
    <row r="17" spans="1:21" s="11" customFormat="1" x14ac:dyDescent="0.25">
      <c r="A17" s="54" t="s">
        <v>260</v>
      </c>
      <c r="B17" s="55">
        <v>11.6</v>
      </c>
      <c r="C17" s="55">
        <v>18.309999999999999</v>
      </c>
      <c r="D17" s="55">
        <v>18.21</v>
      </c>
      <c r="E17" s="55">
        <v>9.09</v>
      </c>
      <c r="F17" s="55">
        <v>4.55</v>
      </c>
      <c r="G17" s="55">
        <v>135.72</v>
      </c>
      <c r="H17" s="55">
        <v>54.2</v>
      </c>
      <c r="I17" s="55">
        <v>3.94</v>
      </c>
      <c r="J17" s="55">
        <v>0.7</v>
      </c>
      <c r="K17" s="55">
        <v>342.8</v>
      </c>
      <c r="L17" s="55">
        <v>26.43</v>
      </c>
      <c r="M17" s="55">
        <v>35.619999999999997</v>
      </c>
      <c r="N17" s="55">
        <v>492.3</v>
      </c>
      <c r="O17" s="55">
        <v>0</v>
      </c>
      <c r="P17" s="55">
        <v>1.07</v>
      </c>
      <c r="Q17" s="55">
        <v>9.4</v>
      </c>
      <c r="R17" s="43"/>
      <c r="S17" s="43"/>
      <c r="T17" s="43"/>
      <c r="U17" s="43"/>
    </row>
    <row r="18" spans="1:21" s="11" customFormat="1" x14ac:dyDescent="0.25">
      <c r="A18" s="54" t="s">
        <v>261</v>
      </c>
      <c r="B18" s="55">
        <v>11.17</v>
      </c>
      <c r="C18" s="55">
        <v>17.95</v>
      </c>
      <c r="D18" s="55">
        <v>17.87</v>
      </c>
      <c r="E18" s="55">
        <v>7.76</v>
      </c>
      <c r="F18" s="55">
        <v>5.57</v>
      </c>
      <c r="G18" s="55">
        <v>133.26</v>
      </c>
      <c r="H18" s="55">
        <v>54.03</v>
      </c>
      <c r="I18" s="55">
        <v>4.09</v>
      </c>
      <c r="J18" s="55">
        <v>0.84</v>
      </c>
      <c r="K18" s="55">
        <v>358.11</v>
      </c>
      <c r="L18" s="55">
        <v>26.96</v>
      </c>
      <c r="M18" s="55">
        <v>31.48</v>
      </c>
      <c r="N18" s="55">
        <v>664</v>
      </c>
      <c r="O18" s="55">
        <v>0</v>
      </c>
      <c r="P18" s="55">
        <v>1.08</v>
      </c>
      <c r="Q18" s="55">
        <v>9.43</v>
      </c>
      <c r="R18" s="43"/>
      <c r="S18" s="43"/>
      <c r="T18" s="43"/>
      <c r="U18" s="43"/>
    </row>
    <row r="19" spans="1:21" s="11" customFormat="1" x14ac:dyDescent="0.25">
      <c r="A19" s="54" t="s">
        <v>262</v>
      </c>
      <c r="B19" s="55">
        <v>9.1999999999999993</v>
      </c>
      <c r="C19" s="55">
        <v>18.100000000000001</v>
      </c>
      <c r="D19" s="55">
        <v>15.25</v>
      </c>
      <c r="E19" s="55">
        <v>5.83</v>
      </c>
      <c r="F19" s="55">
        <v>4.26</v>
      </c>
      <c r="G19" s="55">
        <v>133.26</v>
      </c>
      <c r="H19" s="55">
        <v>49.23</v>
      </c>
      <c r="I19" s="55">
        <v>4.08</v>
      </c>
      <c r="J19" s="55">
        <v>0.74</v>
      </c>
      <c r="K19" s="55">
        <v>341.57</v>
      </c>
      <c r="L19" s="55">
        <v>27.83</v>
      </c>
      <c r="M19" s="55">
        <v>34.159999999999997</v>
      </c>
      <c r="N19" s="55">
        <v>754.1</v>
      </c>
      <c r="O19" s="55">
        <v>0</v>
      </c>
      <c r="P19" s="55">
        <v>1.01</v>
      </c>
      <c r="Q19" s="55">
        <v>9.36</v>
      </c>
      <c r="R19" s="43"/>
      <c r="S19" s="43"/>
      <c r="T19" s="43"/>
      <c r="U19" s="43"/>
    </row>
    <row r="20" spans="1:21" s="11" customFormat="1" x14ac:dyDescent="0.25">
      <c r="A20" s="54" t="s">
        <v>263</v>
      </c>
      <c r="B20" s="55">
        <v>4.71</v>
      </c>
      <c r="C20" s="55">
        <v>17.29</v>
      </c>
      <c r="D20" s="55">
        <v>12.35</v>
      </c>
      <c r="E20" s="55">
        <v>5.46</v>
      </c>
      <c r="F20" s="55">
        <v>3.89</v>
      </c>
      <c r="G20" s="55">
        <v>109.29</v>
      </c>
      <c r="H20" s="55">
        <v>47.5</v>
      </c>
      <c r="I20" s="55">
        <v>3.78</v>
      </c>
      <c r="J20" s="55">
        <v>0.71</v>
      </c>
      <c r="K20" s="55">
        <v>327.26</v>
      </c>
      <c r="L20" s="55">
        <v>28.11</v>
      </c>
      <c r="M20" s="55">
        <v>32.28</v>
      </c>
      <c r="N20" s="55">
        <v>776.4</v>
      </c>
      <c r="O20" s="55">
        <v>0</v>
      </c>
      <c r="P20" s="55">
        <v>0.89</v>
      </c>
      <c r="Q20" s="55">
        <v>9.23</v>
      </c>
      <c r="R20" s="43"/>
      <c r="S20" s="43"/>
      <c r="T20" s="43"/>
      <c r="U20" s="43"/>
    </row>
    <row r="21" spans="1:21" s="11" customFormat="1" x14ac:dyDescent="0.25">
      <c r="A21" s="54" t="s">
        <v>264</v>
      </c>
      <c r="B21" s="55">
        <v>2.0299999999999998</v>
      </c>
      <c r="C21" s="55">
        <v>20.149999999999999</v>
      </c>
      <c r="D21" s="55">
        <v>11.57</v>
      </c>
      <c r="E21" s="55">
        <v>8.2100000000000009</v>
      </c>
      <c r="F21" s="55">
        <v>10.62</v>
      </c>
      <c r="G21" s="55">
        <v>70.430000000000007</v>
      </c>
      <c r="H21" s="55">
        <v>36.24</v>
      </c>
      <c r="I21" s="55">
        <v>3.58</v>
      </c>
      <c r="J21" s="55">
        <v>0.93</v>
      </c>
      <c r="K21" s="55">
        <v>338.41</v>
      </c>
      <c r="L21" s="55">
        <v>28.95</v>
      </c>
      <c r="M21" s="55">
        <v>27.1</v>
      </c>
      <c r="N21" s="55">
        <v>700.9</v>
      </c>
      <c r="O21" s="55">
        <v>0</v>
      </c>
      <c r="P21" s="55">
        <v>0.9</v>
      </c>
      <c r="Q21" s="55">
        <v>9.16</v>
      </c>
      <c r="R21" s="43"/>
      <c r="S21" s="43"/>
      <c r="T21" s="43"/>
      <c r="U21" s="43"/>
    </row>
    <row r="22" spans="1:21" s="11" customFormat="1" x14ac:dyDescent="0.25">
      <c r="A22" s="54" t="s">
        <v>265</v>
      </c>
      <c r="B22" s="55">
        <v>1.3</v>
      </c>
      <c r="C22" s="55">
        <v>20.98</v>
      </c>
      <c r="D22" s="55">
        <v>11.37</v>
      </c>
      <c r="E22" s="55">
        <v>13.74</v>
      </c>
      <c r="F22" s="55">
        <v>15.6</v>
      </c>
      <c r="G22" s="55">
        <v>72.709999999999994</v>
      </c>
      <c r="H22" s="55">
        <v>33.97</v>
      </c>
      <c r="I22" s="55">
        <v>3.49</v>
      </c>
      <c r="J22" s="55">
        <v>0.63</v>
      </c>
      <c r="K22" s="55">
        <v>330.04</v>
      </c>
      <c r="L22" s="55">
        <v>27.97</v>
      </c>
      <c r="M22" s="55">
        <v>28.39</v>
      </c>
      <c r="N22" s="55">
        <v>477.7</v>
      </c>
      <c r="O22" s="55">
        <v>0</v>
      </c>
      <c r="P22" s="55">
        <v>0.8</v>
      </c>
      <c r="Q22" s="55">
        <v>9.17</v>
      </c>
      <c r="R22" s="43"/>
      <c r="S22" s="43"/>
      <c r="T22" s="43"/>
      <c r="U22" s="43"/>
    </row>
    <row r="23" spans="1:21" s="11" customFormat="1" x14ac:dyDescent="0.25">
      <c r="A23" s="54" t="s">
        <v>266</v>
      </c>
      <c r="B23" s="55">
        <v>0.89</v>
      </c>
      <c r="C23" s="55">
        <v>19.47</v>
      </c>
      <c r="D23" s="55">
        <v>10.42</v>
      </c>
      <c r="E23" s="55">
        <v>9.67</v>
      </c>
      <c r="F23" s="55">
        <v>10.35</v>
      </c>
      <c r="G23" s="55">
        <v>101.03</v>
      </c>
      <c r="H23" s="55">
        <v>32.33</v>
      </c>
      <c r="I23" s="55">
        <v>3.46</v>
      </c>
      <c r="J23" s="55">
        <v>1.2</v>
      </c>
      <c r="K23" s="55">
        <v>339.34</v>
      </c>
      <c r="L23" s="55">
        <v>26.97</v>
      </c>
      <c r="M23" s="55">
        <v>28.86</v>
      </c>
      <c r="N23" s="55">
        <v>159</v>
      </c>
      <c r="O23" s="55">
        <v>0</v>
      </c>
      <c r="P23" s="55">
        <v>0.75</v>
      </c>
      <c r="Q23" s="55">
        <v>9.15</v>
      </c>
      <c r="R23" s="43"/>
      <c r="S23" s="43"/>
      <c r="T23" s="43"/>
      <c r="U23" s="43"/>
    </row>
    <row r="24" spans="1:21" s="11" customFormat="1" x14ac:dyDescent="0.25">
      <c r="A24" s="54" t="s">
        <v>267</v>
      </c>
      <c r="B24" s="55">
        <v>2.04</v>
      </c>
      <c r="C24" s="55">
        <v>18.29</v>
      </c>
      <c r="D24" s="55">
        <v>9.93</v>
      </c>
      <c r="E24" s="55">
        <v>6.44</v>
      </c>
      <c r="F24" s="55">
        <v>5.98</v>
      </c>
      <c r="G24" s="55">
        <v>101.03</v>
      </c>
      <c r="H24" s="55">
        <v>31.1</v>
      </c>
      <c r="I24" s="55">
        <v>3.28</v>
      </c>
      <c r="J24" s="55">
        <v>1.27</v>
      </c>
      <c r="K24" s="55">
        <v>334.6</v>
      </c>
      <c r="L24" s="55">
        <v>25.64</v>
      </c>
      <c r="M24" s="55">
        <v>30.68</v>
      </c>
      <c r="N24" s="55">
        <v>114.5</v>
      </c>
      <c r="O24" s="55">
        <v>0</v>
      </c>
      <c r="P24" s="55">
        <v>0.61</v>
      </c>
      <c r="Q24" s="55">
        <v>9.11</v>
      </c>
      <c r="R24" s="43"/>
      <c r="S24" s="43"/>
      <c r="T24" s="43"/>
      <c r="U24" s="43"/>
    </row>
    <row r="25" spans="1:21" s="11" customFormat="1" x14ac:dyDescent="0.25">
      <c r="A25" s="54" t="s">
        <v>268</v>
      </c>
      <c r="B25" s="55">
        <v>1.83</v>
      </c>
      <c r="C25" s="55">
        <v>18.11</v>
      </c>
      <c r="D25" s="55">
        <v>10.1</v>
      </c>
      <c r="E25" s="55">
        <v>5.73</v>
      </c>
      <c r="F25" s="55">
        <v>5.36</v>
      </c>
      <c r="G25" s="55">
        <v>75.42</v>
      </c>
      <c r="H25" s="55">
        <v>28.56</v>
      </c>
      <c r="I25" s="55">
        <v>3.07</v>
      </c>
      <c r="J25" s="55">
        <v>1.1000000000000001</v>
      </c>
      <c r="K25" s="55">
        <v>335.92</v>
      </c>
      <c r="L25" s="55">
        <v>24.41</v>
      </c>
      <c r="M25" s="55">
        <v>35.08</v>
      </c>
      <c r="N25" s="55">
        <v>81.400000000000006</v>
      </c>
      <c r="O25" s="55">
        <v>0</v>
      </c>
      <c r="P25" s="55">
        <v>0.56999999999999995</v>
      </c>
      <c r="Q25" s="55">
        <v>9.1300000000000008</v>
      </c>
      <c r="R25" s="43"/>
      <c r="S25" s="43"/>
      <c r="T25" s="43"/>
      <c r="U25" s="43"/>
    </row>
    <row r="26" spans="1:21" s="11" customFormat="1" x14ac:dyDescent="0.25">
      <c r="A26" s="54" t="s">
        <v>269</v>
      </c>
      <c r="B26" s="55">
        <v>9.9600000000000009</v>
      </c>
      <c r="C26" s="55">
        <v>30.99</v>
      </c>
      <c r="D26" s="55">
        <v>23.72</v>
      </c>
      <c r="E26" s="55">
        <v>8.5500000000000007</v>
      </c>
      <c r="F26" s="55">
        <v>12.4</v>
      </c>
      <c r="G26" s="55">
        <v>64.3</v>
      </c>
      <c r="H26" s="55">
        <v>26.21</v>
      </c>
      <c r="I26" s="55">
        <v>3.07</v>
      </c>
      <c r="J26" s="55">
        <v>0.83</v>
      </c>
      <c r="K26" s="55">
        <v>347.38</v>
      </c>
      <c r="L26" s="55">
        <v>22.86</v>
      </c>
      <c r="M26" s="55">
        <v>42.98</v>
      </c>
      <c r="N26" s="55">
        <v>47.9</v>
      </c>
      <c r="O26" s="55">
        <v>0</v>
      </c>
      <c r="P26" s="55">
        <v>0.96</v>
      </c>
      <c r="Q26" s="55">
        <v>9.2200000000000006</v>
      </c>
      <c r="R26" s="43"/>
      <c r="S26" s="43"/>
      <c r="T26" s="43"/>
      <c r="U26" s="43"/>
    </row>
    <row r="27" spans="1:21" s="11" customFormat="1" x14ac:dyDescent="0.25">
      <c r="A27" s="54" t="s">
        <v>270</v>
      </c>
      <c r="B27" s="55">
        <v>8.6</v>
      </c>
      <c r="C27" s="55">
        <v>32.07</v>
      </c>
      <c r="D27" s="55">
        <v>21.5</v>
      </c>
      <c r="E27" s="55">
        <v>8.3699999999999992</v>
      </c>
      <c r="F27" s="55">
        <v>7.68</v>
      </c>
      <c r="G27" s="55">
        <v>77.09</v>
      </c>
      <c r="H27" s="55">
        <v>25.07</v>
      </c>
      <c r="I27" s="55">
        <v>3.45</v>
      </c>
      <c r="J27" s="55">
        <v>0.11</v>
      </c>
      <c r="K27" s="55">
        <v>215.35</v>
      </c>
      <c r="L27" s="55">
        <v>20.91</v>
      </c>
      <c r="M27" s="55">
        <v>51.48</v>
      </c>
      <c r="N27" s="55">
        <v>42.7</v>
      </c>
      <c r="O27" s="55">
        <v>0</v>
      </c>
      <c r="P27" s="55">
        <v>1.07</v>
      </c>
      <c r="Q27" s="55">
        <v>9.24</v>
      </c>
      <c r="R27" s="43"/>
      <c r="S27" s="43"/>
      <c r="T27" s="43"/>
      <c r="U27" s="43"/>
    </row>
    <row r="28" spans="1:21" s="11" customFormat="1" x14ac:dyDescent="0.25">
      <c r="A28" s="54" t="s">
        <v>271</v>
      </c>
      <c r="B28" s="55">
        <v>21.73</v>
      </c>
      <c r="C28" s="55">
        <v>15.24</v>
      </c>
      <c r="D28" s="55">
        <v>21.96</v>
      </c>
      <c r="E28" s="55">
        <v>5.72</v>
      </c>
      <c r="F28" s="55">
        <v>3.37</v>
      </c>
      <c r="G28" s="55">
        <v>128.66999999999999</v>
      </c>
      <c r="H28" s="55">
        <v>38.25</v>
      </c>
      <c r="I28" s="55">
        <v>3.73</v>
      </c>
      <c r="J28" s="55">
        <v>0.13</v>
      </c>
      <c r="K28" s="55">
        <v>341.95</v>
      </c>
      <c r="L28" s="55">
        <v>19.29</v>
      </c>
      <c r="M28" s="55">
        <v>68.459999999999994</v>
      </c>
      <c r="N28" s="55">
        <v>42.6</v>
      </c>
      <c r="O28" s="55">
        <v>0</v>
      </c>
      <c r="P28" s="55">
        <v>1.05</v>
      </c>
      <c r="Q28" s="55">
        <v>9.52</v>
      </c>
      <c r="R28" s="43"/>
      <c r="S28" s="43"/>
      <c r="T28" s="43"/>
      <c r="U28" s="43"/>
    </row>
    <row r="29" spans="1:21" s="11" customFormat="1" x14ac:dyDescent="0.25">
      <c r="A29" s="54" t="s">
        <v>272</v>
      </c>
      <c r="B29" s="55">
        <v>44.06</v>
      </c>
      <c r="C29" s="55">
        <v>8.5500000000000007</v>
      </c>
      <c r="D29" s="55">
        <v>34.950000000000003</v>
      </c>
      <c r="E29" s="55">
        <v>5.67</v>
      </c>
      <c r="F29" s="55">
        <v>3.31</v>
      </c>
      <c r="G29" s="55">
        <v>162.86000000000001</v>
      </c>
      <c r="H29" s="55">
        <v>48</v>
      </c>
      <c r="I29" s="55">
        <v>4.1500000000000004</v>
      </c>
      <c r="J29" s="55">
        <v>0.12</v>
      </c>
      <c r="K29" s="55">
        <v>327</v>
      </c>
      <c r="L29" s="55">
        <v>18.04</v>
      </c>
      <c r="M29" s="55">
        <v>83.59</v>
      </c>
      <c r="N29" s="55">
        <v>42.4</v>
      </c>
      <c r="O29" s="55">
        <v>0</v>
      </c>
      <c r="P29" s="55">
        <v>1.33</v>
      </c>
      <c r="Q29" s="55">
        <v>9.65</v>
      </c>
      <c r="R29" s="43"/>
      <c r="S29" s="43"/>
      <c r="T29" s="43"/>
      <c r="U29" s="43"/>
    </row>
    <row r="30" spans="1:21" s="11" customFormat="1" x14ac:dyDescent="0.25">
      <c r="A30" s="54" t="s">
        <v>273</v>
      </c>
      <c r="B30" s="55">
        <v>74.97</v>
      </c>
      <c r="C30" s="55">
        <v>1.77</v>
      </c>
      <c r="D30" s="55">
        <v>55.9</v>
      </c>
      <c r="E30" s="55">
        <v>6.18</v>
      </c>
      <c r="F30" s="55">
        <v>3.68</v>
      </c>
      <c r="G30" s="55">
        <v>162.86000000000001</v>
      </c>
      <c r="H30" s="55">
        <v>54.36</v>
      </c>
      <c r="I30" s="55">
        <v>5.19</v>
      </c>
      <c r="J30" s="55">
        <v>0.1</v>
      </c>
      <c r="K30" s="55">
        <v>324.19</v>
      </c>
      <c r="L30" s="55">
        <v>17.59</v>
      </c>
      <c r="M30" s="55">
        <v>85.79</v>
      </c>
      <c r="N30" s="55">
        <v>42.4</v>
      </c>
      <c r="O30" s="55">
        <v>0</v>
      </c>
      <c r="P30" s="55">
        <v>1.82</v>
      </c>
      <c r="Q30" s="55">
        <v>9.73</v>
      </c>
      <c r="R30" s="43"/>
      <c r="S30" s="43"/>
      <c r="T30" s="43"/>
      <c r="U30" s="43"/>
    </row>
    <row r="31" spans="1:21" s="11" customFormat="1" x14ac:dyDescent="0.25">
      <c r="A31" s="54" t="s">
        <v>274</v>
      </c>
      <c r="B31" s="55">
        <v>70.209999999999994</v>
      </c>
      <c r="C31" s="55">
        <v>0.37</v>
      </c>
      <c r="D31" s="55">
        <v>52.24</v>
      </c>
      <c r="E31" s="55">
        <v>6.28</v>
      </c>
      <c r="F31" s="55">
        <v>3.6</v>
      </c>
      <c r="G31" s="55">
        <v>149.62</v>
      </c>
      <c r="H31" s="55">
        <v>54.36</v>
      </c>
      <c r="I31" s="55">
        <v>5.78</v>
      </c>
      <c r="J31" s="55">
        <v>0.21</v>
      </c>
      <c r="K31" s="55">
        <v>340.29</v>
      </c>
      <c r="L31" s="55">
        <v>17.27</v>
      </c>
      <c r="M31" s="55">
        <v>84.79</v>
      </c>
      <c r="N31" s="55">
        <v>42.4</v>
      </c>
      <c r="O31" s="55">
        <v>0</v>
      </c>
      <c r="P31" s="55">
        <v>1.8</v>
      </c>
      <c r="Q31" s="55">
        <v>9.76</v>
      </c>
      <c r="R31" s="43"/>
      <c r="S31" s="43"/>
      <c r="T31" s="43"/>
      <c r="U31" s="43"/>
    </row>
    <row r="32" spans="1:21" s="11" customFormat="1" x14ac:dyDescent="0.25">
      <c r="A32" s="54" t="s">
        <v>275</v>
      </c>
      <c r="B32" s="55">
        <v>73.23</v>
      </c>
      <c r="C32" s="55">
        <v>0</v>
      </c>
      <c r="D32" s="55">
        <v>51.49</v>
      </c>
      <c r="E32" s="55">
        <v>6.22</v>
      </c>
      <c r="F32" s="55">
        <v>3.51</v>
      </c>
      <c r="G32" s="55">
        <v>147.44999999999999</v>
      </c>
      <c r="H32" s="55">
        <v>49.44</v>
      </c>
      <c r="I32" s="55">
        <v>5.91</v>
      </c>
      <c r="J32" s="55">
        <v>0.14000000000000001</v>
      </c>
      <c r="K32" s="55">
        <v>352.24</v>
      </c>
      <c r="L32" s="55">
        <v>16.37</v>
      </c>
      <c r="M32" s="55">
        <v>86.98</v>
      </c>
      <c r="N32" s="55">
        <v>42.4</v>
      </c>
      <c r="O32" s="55">
        <v>0</v>
      </c>
      <c r="P32" s="55">
        <v>1.81</v>
      </c>
      <c r="Q32" s="55">
        <v>9.75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0.89</v>
      </c>
      <c r="C34" s="28">
        <f t="shared" si="0"/>
        <v>0</v>
      </c>
      <c r="D34" s="28">
        <f t="shared" si="0"/>
        <v>9.93</v>
      </c>
      <c r="E34" s="28">
        <f t="shared" si="0"/>
        <v>5.46</v>
      </c>
      <c r="F34" s="28">
        <f t="shared" si="0"/>
        <v>3.31</v>
      </c>
      <c r="G34" s="28">
        <f t="shared" si="0"/>
        <v>64.3</v>
      </c>
      <c r="H34" s="28">
        <f t="shared" si="0"/>
        <v>25.07</v>
      </c>
      <c r="I34" s="28">
        <f t="shared" si="0"/>
        <v>3.07</v>
      </c>
      <c r="J34" s="28">
        <f t="shared" si="0"/>
        <v>0.1</v>
      </c>
      <c r="K34" s="28">
        <f t="shared" si="0"/>
        <v>215.35</v>
      </c>
      <c r="L34" s="28">
        <f t="shared" si="0"/>
        <v>15.23</v>
      </c>
      <c r="M34" s="28">
        <f t="shared" si="0"/>
        <v>27.1</v>
      </c>
      <c r="N34" s="28">
        <f t="shared" si="0"/>
        <v>42.4</v>
      </c>
      <c r="O34" s="28">
        <f t="shared" si="0"/>
        <v>0</v>
      </c>
      <c r="P34" s="28">
        <f t="shared" si="0"/>
        <v>0.56999999999999995</v>
      </c>
      <c r="Q34" s="28">
        <f t="shared" si="0"/>
        <v>9.11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74.97</v>
      </c>
      <c r="C35" s="29">
        <f t="shared" si="1"/>
        <v>32.07</v>
      </c>
      <c r="D35" s="29">
        <f t="shared" si="1"/>
        <v>55.9</v>
      </c>
      <c r="E35" s="29">
        <f t="shared" si="1"/>
        <v>13.74</v>
      </c>
      <c r="F35" s="29">
        <f t="shared" si="1"/>
        <v>15.6</v>
      </c>
      <c r="G35" s="29">
        <f t="shared" si="1"/>
        <v>229.3</v>
      </c>
      <c r="H35" s="29">
        <f t="shared" si="1"/>
        <v>61.37</v>
      </c>
      <c r="I35" s="29">
        <f t="shared" si="1"/>
        <v>5.91</v>
      </c>
      <c r="J35" s="29">
        <f t="shared" si="1"/>
        <v>1.27</v>
      </c>
      <c r="K35" s="29">
        <f t="shared" si="1"/>
        <v>358.11</v>
      </c>
      <c r="L35" s="29">
        <f t="shared" si="1"/>
        <v>28.95</v>
      </c>
      <c r="M35" s="29">
        <f t="shared" si="1"/>
        <v>86.98</v>
      </c>
      <c r="N35" s="29">
        <f t="shared" si="1"/>
        <v>776.4</v>
      </c>
      <c r="O35" s="29">
        <f t="shared" si="1"/>
        <v>0</v>
      </c>
      <c r="P35" s="29">
        <f t="shared" si="1"/>
        <v>1.82</v>
      </c>
      <c r="Q35" s="29">
        <f t="shared" si="1"/>
        <v>9.76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18.216666666666665</v>
      </c>
      <c r="C36" s="28">
        <f t="shared" si="2"/>
        <v>15.00625</v>
      </c>
      <c r="D36" s="28">
        <f t="shared" si="2"/>
        <v>20.688749999999999</v>
      </c>
      <c r="E36" s="28">
        <f t="shared" si="2"/>
        <v>7.0370833333333325</v>
      </c>
      <c r="F36" s="28">
        <f t="shared" si="2"/>
        <v>5.5774999999999997</v>
      </c>
      <c r="G36" s="28">
        <f t="shared" si="2"/>
        <v>130.93958333333336</v>
      </c>
      <c r="H36" s="28">
        <f t="shared" si="2"/>
        <v>43.814583333333339</v>
      </c>
      <c r="I36" s="28">
        <f t="shared" si="2"/>
        <v>3.9250000000000007</v>
      </c>
      <c r="J36" s="28">
        <f t="shared" si="2"/>
        <v>0.64833333333333332</v>
      </c>
      <c r="K36" s="28">
        <f t="shared" si="2"/>
        <v>335.48041666666671</v>
      </c>
      <c r="L36" s="28">
        <f t="shared" si="2"/>
        <v>21.542083333333338</v>
      </c>
      <c r="M36" s="28">
        <f t="shared" si="2"/>
        <v>55.816249999999997</v>
      </c>
      <c r="N36" s="28">
        <f t="shared" si="2"/>
        <v>218.09166666666658</v>
      </c>
      <c r="O36" s="28">
        <f t="shared" si="2"/>
        <v>0</v>
      </c>
      <c r="P36" s="28">
        <f t="shared" si="2"/>
        <v>1.0287500000000003</v>
      </c>
      <c r="Q36" s="28">
        <f t="shared" si="2"/>
        <v>9.3695833333333329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22.808196784921645</v>
      </c>
      <c r="C37" s="28">
        <f t="shared" ref="C37:Q37" si="3">STDEV(C9:C32)</f>
        <v>7.7495838948603106</v>
      </c>
      <c r="D37" s="28">
        <f t="shared" si="3"/>
        <v>13.70814271265203</v>
      </c>
      <c r="E37" s="28">
        <f t="shared" si="3"/>
        <v>1.9147606937925044</v>
      </c>
      <c r="F37" s="28">
        <f t="shared" si="3"/>
        <v>3.3232242724825838</v>
      </c>
      <c r="G37" s="28">
        <f t="shared" si="3"/>
        <v>43.645537097330859</v>
      </c>
      <c r="H37" s="28">
        <f t="shared" si="3"/>
        <v>11.501098238359885</v>
      </c>
      <c r="I37" s="28">
        <f t="shared" si="3"/>
        <v>0.72580390213047097</v>
      </c>
      <c r="J37" s="28">
        <f t="shared" si="3"/>
        <v>0.36837677624324061</v>
      </c>
      <c r="K37" s="28">
        <f t="shared" si="3"/>
        <v>26.801536373737118</v>
      </c>
      <c r="L37" s="28">
        <f t="shared" si="3"/>
        <v>4.7758331657979882</v>
      </c>
      <c r="M37" s="28">
        <f t="shared" si="3"/>
        <v>22.034927375794133</v>
      </c>
      <c r="N37" s="28">
        <f t="shared" si="3"/>
        <v>265.5015039942117</v>
      </c>
      <c r="O37" s="28">
        <f t="shared" si="3"/>
        <v>0</v>
      </c>
      <c r="P37" s="28">
        <f t="shared" si="3"/>
        <v>0.34754183357828444</v>
      </c>
      <c r="Q37" s="28">
        <f t="shared" si="3"/>
        <v>0.19616938480872056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3" sqref="H4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276</v>
      </c>
      <c r="B9" s="55">
        <v>70.75</v>
      </c>
      <c r="C9" s="55">
        <v>0</v>
      </c>
      <c r="D9" s="55">
        <v>49.7</v>
      </c>
      <c r="E9" s="55">
        <v>6.06</v>
      </c>
      <c r="F9" s="55">
        <v>3.54</v>
      </c>
      <c r="G9" s="55">
        <v>125.67</v>
      </c>
      <c r="H9" s="55">
        <v>51.61</v>
      </c>
      <c r="I9" s="55">
        <v>6.17</v>
      </c>
      <c r="J9" s="55">
        <v>0.11</v>
      </c>
      <c r="K9" s="55">
        <v>342.21</v>
      </c>
      <c r="L9" s="55">
        <v>15.69</v>
      </c>
      <c r="M9" s="55">
        <v>97.71</v>
      </c>
      <c r="N9" s="55">
        <v>42.3</v>
      </c>
      <c r="O9" s="55">
        <v>0</v>
      </c>
      <c r="P9" s="55">
        <v>1.72</v>
      </c>
      <c r="Q9" s="55">
        <v>9.75</v>
      </c>
      <c r="R9" s="43"/>
      <c r="S9" s="43"/>
      <c r="T9" s="43"/>
      <c r="U9" s="43"/>
    </row>
    <row r="10" spans="1:21" s="11" customFormat="1" x14ac:dyDescent="0.25">
      <c r="A10" s="54" t="s">
        <v>277</v>
      </c>
      <c r="B10" s="55">
        <v>60.67</v>
      </c>
      <c r="C10" s="55">
        <v>0</v>
      </c>
      <c r="D10" s="55">
        <v>42.9</v>
      </c>
      <c r="E10" s="55">
        <v>5.59</v>
      </c>
      <c r="F10" s="55">
        <v>3.37</v>
      </c>
      <c r="G10" s="55">
        <v>122.71</v>
      </c>
      <c r="H10" s="55">
        <v>51.61</v>
      </c>
      <c r="I10" s="55">
        <v>5.66</v>
      </c>
      <c r="J10" s="55">
        <v>0.12</v>
      </c>
      <c r="K10" s="55">
        <v>344.7</v>
      </c>
      <c r="L10" s="55">
        <v>15.18</v>
      </c>
      <c r="M10" s="55">
        <v>97.99</v>
      </c>
      <c r="N10" s="55">
        <v>42.2</v>
      </c>
      <c r="O10" s="55">
        <v>0</v>
      </c>
      <c r="P10" s="55">
        <v>1.41</v>
      </c>
      <c r="Q10" s="55">
        <v>9.74</v>
      </c>
      <c r="R10" s="43"/>
      <c r="S10" s="43"/>
      <c r="T10" s="43"/>
      <c r="U10" s="43"/>
    </row>
    <row r="11" spans="1:21" s="11" customFormat="1" x14ac:dyDescent="0.25">
      <c r="A11" s="54" t="s">
        <v>278</v>
      </c>
      <c r="B11" s="55">
        <v>49.48</v>
      </c>
      <c r="C11" s="55">
        <v>0</v>
      </c>
      <c r="D11" s="55">
        <v>36.049999999999997</v>
      </c>
      <c r="E11" s="55">
        <v>5.89</v>
      </c>
      <c r="F11" s="55">
        <v>3.53</v>
      </c>
      <c r="G11" s="55">
        <v>85.99</v>
      </c>
      <c r="H11" s="55">
        <v>44.23</v>
      </c>
      <c r="I11" s="55">
        <v>5.32</v>
      </c>
      <c r="J11" s="55">
        <v>0.09</v>
      </c>
      <c r="K11" s="55">
        <v>237.54</v>
      </c>
      <c r="L11" s="55">
        <v>14.87</v>
      </c>
      <c r="M11" s="55">
        <v>97.09</v>
      </c>
      <c r="N11" s="55">
        <v>42.2</v>
      </c>
      <c r="O11" s="55">
        <v>0</v>
      </c>
      <c r="P11" s="55">
        <v>1.38</v>
      </c>
      <c r="Q11" s="55">
        <v>9.6999999999999993</v>
      </c>
      <c r="R11" s="43"/>
      <c r="S11" s="43"/>
      <c r="T11" s="43"/>
      <c r="U11" s="43"/>
    </row>
    <row r="12" spans="1:21" s="11" customFormat="1" x14ac:dyDescent="0.25">
      <c r="A12" s="54" t="s">
        <v>279</v>
      </c>
      <c r="B12" s="55">
        <v>40.270000000000003</v>
      </c>
      <c r="C12" s="55">
        <v>0.01</v>
      </c>
      <c r="D12" s="55">
        <v>30.83</v>
      </c>
      <c r="E12" s="55">
        <v>5.76</v>
      </c>
      <c r="F12" s="55">
        <v>3.61</v>
      </c>
      <c r="G12" s="55">
        <v>80.39</v>
      </c>
      <c r="H12" s="55">
        <v>38.479999999999997</v>
      </c>
      <c r="I12" s="55">
        <v>5.05</v>
      </c>
      <c r="J12" s="55">
        <v>0.23</v>
      </c>
      <c r="K12" s="55">
        <v>343.04</v>
      </c>
      <c r="L12" s="55">
        <v>15.16</v>
      </c>
      <c r="M12" s="55">
        <v>91.79</v>
      </c>
      <c r="N12" s="55">
        <v>42.3</v>
      </c>
      <c r="O12" s="55">
        <v>0</v>
      </c>
      <c r="P12" s="55">
        <v>1.29</v>
      </c>
      <c r="Q12" s="55">
        <v>9.67</v>
      </c>
      <c r="R12" s="43"/>
      <c r="S12" s="43"/>
      <c r="T12" s="43"/>
      <c r="U12" s="43"/>
    </row>
    <row r="13" spans="1:21" s="11" customFormat="1" x14ac:dyDescent="0.25">
      <c r="A13" s="54" t="s">
        <v>280</v>
      </c>
      <c r="B13" s="55">
        <v>34.01</v>
      </c>
      <c r="C13" s="55">
        <v>1.64</v>
      </c>
      <c r="D13" s="55">
        <v>27.04</v>
      </c>
      <c r="E13" s="55">
        <v>5.79</v>
      </c>
      <c r="F13" s="55">
        <v>3.82</v>
      </c>
      <c r="G13" s="55">
        <v>183.89</v>
      </c>
      <c r="H13" s="55">
        <v>56.26</v>
      </c>
      <c r="I13" s="55">
        <v>4.83</v>
      </c>
      <c r="J13" s="55">
        <v>0.12</v>
      </c>
      <c r="K13" s="55">
        <v>293.08</v>
      </c>
      <c r="L13" s="55">
        <v>14.93</v>
      </c>
      <c r="M13" s="55">
        <v>92.71</v>
      </c>
      <c r="N13" s="55">
        <v>42.4</v>
      </c>
      <c r="O13" s="55">
        <v>0</v>
      </c>
      <c r="P13" s="55">
        <v>1.2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281</v>
      </c>
      <c r="B14" s="55">
        <v>31.14</v>
      </c>
      <c r="C14" s="55">
        <v>2.9</v>
      </c>
      <c r="D14" s="55">
        <v>25.54</v>
      </c>
      <c r="E14" s="55">
        <v>5.55</v>
      </c>
      <c r="F14" s="55">
        <v>3.45</v>
      </c>
      <c r="G14" s="55">
        <v>183.89</v>
      </c>
      <c r="H14" s="55">
        <v>60.58</v>
      </c>
      <c r="I14" s="55">
        <v>4.99</v>
      </c>
      <c r="J14" s="55">
        <v>0.1</v>
      </c>
      <c r="K14" s="55">
        <v>284.79000000000002</v>
      </c>
      <c r="L14" s="55">
        <v>14.54</v>
      </c>
      <c r="M14" s="55">
        <v>92.2</v>
      </c>
      <c r="N14" s="55">
        <v>43</v>
      </c>
      <c r="O14" s="55">
        <v>0</v>
      </c>
      <c r="P14" s="55">
        <v>1.22</v>
      </c>
      <c r="Q14" s="55">
        <v>9.68</v>
      </c>
      <c r="R14" s="43"/>
      <c r="S14" s="43"/>
      <c r="T14" s="43"/>
      <c r="U14" s="43"/>
    </row>
    <row r="15" spans="1:21" s="11" customFormat="1" x14ac:dyDescent="0.25">
      <c r="A15" s="54" t="s">
        <v>282</v>
      </c>
      <c r="B15" s="55">
        <v>29.06</v>
      </c>
      <c r="C15" s="55">
        <v>3.52</v>
      </c>
      <c r="D15" s="55">
        <v>24.61</v>
      </c>
      <c r="E15" s="55">
        <v>5.56</v>
      </c>
      <c r="F15" s="55">
        <v>3.81</v>
      </c>
      <c r="G15" s="55">
        <v>160.41999999999999</v>
      </c>
      <c r="H15" s="55">
        <v>60.58</v>
      </c>
      <c r="I15" s="55">
        <v>5.68</v>
      </c>
      <c r="J15" s="55">
        <v>0.11</v>
      </c>
      <c r="K15" s="55">
        <v>235.64</v>
      </c>
      <c r="L15" s="55">
        <v>15.67</v>
      </c>
      <c r="M15" s="55">
        <v>91.07</v>
      </c>
      <c r="N15" s="55">
        <v>93</v>
      </c>
      <c r="O15" s="55">
        <v>0</v>
      </c>
      <c r="P15" s="55">
        <v>1.36</v>
      </c>
      <c r="Q15" s="55">
        <v>9.66</v>
      </c>
      <c r="R15" s="43"/>
      <c r="S15" s="43"/>
      <c r="T15" s="43"/>
      <c r="U15" s="43"/>
    </row>
    <row r="16" spans="1:21" s="11" customFormat="1" x14ac:dyDescent="0.25">
      <c r="A16" s="54" t="s">
        <v>283</v>
      </c>
      <c r="B16" s="55">
        <v>30.66</v>
      </c>
      <c r="C16" s="55">
        <v>3.97</v>
      </c>
      <c r="D16" s="55">
        <v>26.2</v>
      </c>
      <c r="E16" s="55">
        <v>6.83</v>
      </c>
      <c r="F16" s="55">
        <v>3.74</v>
      </c>
      <c r="G16" s="55">
        <v>213.49</v>
      </c>
      <c r="H16" s="55">
        <v>68.819999999999993</v>
      </c>
      <c r="I16" s="55">
        <v>5.78</v>
      </c>
      <c r="J16" s="55">
        <v>0.41</v>
      </c>
      <c r="K16" s="55">
        <v>339.52</v>
      </c>
      <c r="L16" s="55">
        <v>22.56</v>
      </c>
      <c r="M16" s="55">
        <v>79.13</v>
      </c>
      <c r="N16" s="55">
        <v>311.39999999999998</v>
      </c>
      <c r="O16" s="55">
        <v>0</v>
      </c>
      <c r="P16" s="55">
        <v>1.52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284</v>
      </c>
      <c r="B17" s="55">
        <v>30.6</v>
      </c>
      <c r="C17" s="55">
        <v>6.37</v>
      </c>
      <c r="D17" s="55">
        <v>25.95</v>
      </c>
      <c r="E17" s="55">
        <v>6.62</v>
      </c>
      <c r="F17" s="55">
        <v>3.8</v>
      </c>
      <c r="G17" s="55">
        <v>213.49</v>
      </c>
      <c r="H17" s="55">
        <v>69.44</v>
      </c>
      <c r="I17" s="55">
        <v>5.75</v>
      </c>
      <c r="J17" s="55">
        <v>0.79</v>
      </c>
      <c r="K17" s="55">
        <v>345.56</v>
      </c>
      <c r="L17" s="55">
        <v>27.01</v>
      </c>
      <c r="M17" s="55">
        <v>41.44</v>
      </c>
      <c r="N17" s="55">
        <v>510.6</v>
      </c>
      <c r="O17" s="55">
        <v>0</v>
      </c>
      <c r="P17" s="55">
        <v>1.56</v>
      </c>
      <c r="Q17" s="55">
        <v>9.66</v>
      </c>
      <c r="R17" s="43"/>
      <c r="S17" s="43"/>
      <c r="T17" s="43"/>
      <c r="U17" s="43"/>
    </row>
    <row r="18" spans="1:21" s="11" customFormat="1" x14ac:dyDescent="0.25">
      <c r="A18" s="54" t="s">
        <v>285</v>
      </c>
      <c r="B18" s="55">
        <v>26.57</v>
      </c>
      <c r="C18" s="55">
        <v>26.49</v>
      </c>
      <c r="D18" s="55">
        <v>24.83</v>
      </c>
      <c r="E18" s="55">
        <v>6.8</v>
      </c>
      <c r="F18" s="55">
        <v>8.26</v>
      </c>
      <c r="G18" s="55">
        <v>190.2</v>
      </c>
      <c r="H18" s="55">
        <v>69.44</v>
      </c>
      <c r="I18" s="55">
        <v>5.39</v>
      </c>
      <c r="J18" s="55">
        <v>0.87</v>
      </c>
      <c r="K18" s="55">
        <v>128.12</v>
      </c>
      <c r="L18" s="55">
        <v>26.06</v>
      </c>
      <c r="M18" s="55">
        <v>36.82</v>
      </c>
      <c r="N18" s="55">
        <v>677.4</v>
      </c>
      <c r="O18" s="55">
        <v>0</v>
      </c>
      <c r="P18" s="55">
        <v>1.52</v>
      </c>
      <c r="Q18" s="55">
        <v>9.65</v>
      </c>
      <c r="R18" s="43"/>
      <c r="S18" s="43"/>
      <c r="T18" s="43"/>
      <c r="U18" s="43"/>
    </row>
    <row r="19" spans="1:21" s="11" customFormat="1" x14ac:dyDescent="0.25">
      <c r="A19" s="54" t="s">
        <v>286</v>
      </c>
      <c r="B19" s="55">
        <v>1.02</v>
      </c>
      <c r="C19" s="55">
        <v>29.12</v>
      </c>
      <c r="D19" s="55">
        <v>15.57</v>
      </c>
      <c r="E19" s="55">
        <v>6.83</v>
      </c>
      <c r="F19" s="55">
        <v>7.75</v>
      </c>
      <c r="G19" s="18" t="s">
        <v>12</v>
      </c>
      <c r="H19" s="18" t="s">
        <v>12</v>
      </c>
      <c r="I19" s="55">
        <v>4.5999999999999996</v>
      </c>
      <c r="J19" s="55">
        <v>1.24</v>
      </c>
      <c r="K19" s="55">
        <v>132.53</v>
      </c>
      <c r="L19" s="55">
        <v>25.44</v>
      </c>
      <c r="M19" s="55">
        <v>34.81</v>
      </c>
      <c r="N19" s="55">
        <v>732.8</v>
      </c>
      <c r="O19" s="55">
        <v>0</v>
      </c>
      <c r="P19" s="55">
        <v>0.84</v>
      </c>
      <c r="Q19" s="55">
        <v>9.26</v>
      </c>
      <c r="R19" s="43"/>
      <c r="S19" s="43"/>
      <c r="T19" s="43"/>
      <c r="U19" s="43"/>
    </row>
    <row r="20" spans="1:21" s="11" customFormat="1" x14ac:dyDescent="0.25">
      <c r="A20" s="54" t="s">
        <v>287</v>
      </c>
      <c r="B20" s="55">
        <v>1.54</v>
      </c>
      <c r="C20" s="55">
        <v>23.05</v>
      </c>
      <c r="D20" s="55">
        <v>12.8</v>
      </c>
      <c r="E20" s="55">
        <v>7.62</v>
      </c>
      <c r="F20" s="55">
        <v>10.7</v>
      </c>
      <c r="G20" s="18" t="s">
        <v>12</v>
      </c>
      <c r="H20" s="18" t="s">
        <v>12</v>
      </c>
      <c r="I20" s="55">
        <v>3.44</v>
      </c>
      <c r="J20" s="55">
        <v>0.74</v>
      </c>
      <c r="K20" s="55">
        <v>343.16</v>
      </c>
      <c r="L20" s="55">
        <v>28.03</v>
      </c>
      <c r="M20" s="55">
        <v>32.659999999999997</v>
      </c>
      <c r="N20" s="55">
        <v>725.3</v>
      </c>
      <c r="O20" s="55">
        <v>0</v>
      </c>
      <c r="P20" s="55">
        <v>0.76</v>
      </c>
      <c r="Q20" s="55">
        <v>9.24</v>
      </c>
      <c r="R20" s="43"/>
      <c r="S20" s="43"/>
      <c r="T20" s="43"/>
      <c r="U20" s="43"/>
    </row>
    <row r="21" spans="1:21" s="11" customFormat="1" x14ac:dyDescent="0.25">
      <c r="A21" s="54" t="s">
        <v>288</v>
      </c>
      <c r="B21" s="55">
        <v>1.81</v>
      </c>
      <c r="C21" s="55">
        <v>25.33</v>
      </c>
      <c r="D21" s="55">
        <v>14.22</v>
      </c>
      <c r="E21" s="55">
        <v>7.9</v>
      </c>
      <c r="F21" s="55">
        <v>11.92</v>
      </c>
      <c r="G21" s="55">
        <v>70.41</v>
      </c>
      <c r="H21" s="55">
        <v>21.06</v>
      </c>
      <c r="I21" s="55">
        <v>3.43</v>
      </c>
      <c r="J21" s="55">
        <v>0.77</v>
      </c>
      <c r="K21" s="55">
        <v>340.72</v>
      </c>
      <c r="L21" s="55">
        <v>29.69</v>
      </c>
      <c r="M21" s="55">
        <v>26.26</v>
      </c>
      <c r="N21" s="55">
        <v>690</v>
      </c>
      <c r="O21" s="55">
        <v>0</v>
      </c>
      <c r="P21" s="55">
        <v>0.7</v>
      </c>
      <c r="Q21" s="55">
        <v>9.24</v>
      </c>
      <c r="R21" s="43"/>
      <c r="S21" s="43"/>
      <c r="T21" s="43"/>
      <c r="U21" s="43"/>
    </row>
    <row r="22" spans="1:21" s="11" customFormat="1" x14ac:dyDescent="0.25">
      <c r="A22" s="54" t="s">
        <v>289</v>
      </c>
      <c r="B22" s="55">
        <v>3.28</v>
      </c>
      <c r="C22" s="55">
        <v>27.85</v>
      </c>
      <c r="D22" s="55">
        <v>16.72</v>
      </c>
      <c r="E22" s="55">
        <v>13.38</v>
      </c>
      <c r="F22" s="55">
        <v>16.75</v>
      </c>
      <c r="G22" s="55">
        <v>70.41</v>
      </c>
      <c r="H22" s="55">
        <v>21.06</v>
      </c>
      <c r="I22" s="55">
        <v>3.06</v>
      </c>
      <c r="J22" s="55">
        <v>0.51</v>
      </c>
      <c r="K22" s="55">
        <v>343.14</v>
      </c>
      <c r="L22" s="55">
        <v>29.03</v>
      </c>
      <c r="M22" s="55">
        <v>26.95</v>
      </c>
      <c r="N22" s="55">
        <v>441.9</v>
      </c>
      <c r="O22" s="55">
        <v>0</v>
      </c>
      <c r="P22" s="55">
        <v>0.79</v>
      </c>
      <c r="Q22" s="55">
        <v>9.1999999999999993</v>
      </c>
      <c r="R22" s="43"/>
      <c r="S22" s="43"/>
      <c r="T22" s="43"/>
      <c r="U22" s="43"/>
    </row>
    <row r="23" spans="1:21" s="11" customFormat="1" x14ac:dyDescent="0.25">
      <c r="A23" s="54" t="s">
        <v>290</v>
      </c>
      <c r="B23" s="55">
        <v>4.2</v>
      </c>
      <c r="C23" s="55">
        <v>23.92</v>
      </c>
      <c r="D23" s="55">
        <v>15.21</v>
      </c>
      <c r="E23" s="55">
        <v>9.1199999999999992</v>
      </c>
      <c r="F23" s="55">
        <v>11.7</v>
      </c>
      <c r="G23" s="55">
        <v>80.150000000000006</v>
      </c>
      <c r="H23" s="55">
        <v>23.79</v>
      </c>
      <c r="I23" s="55">
        <v>2.91</v>
      </c>
      <c r="J23" s="55">
        <v>0.96</v>
      </c>
      <c r="K23" s="55">
        <v>330.79</v>
      </c>
      <c r="L23" s="55">
        <v>27.46</v>
      </c>
      <c r="M23" s="55">
        <v>27.21</v>
      </c>
      <c r="N23" s="55">
        <v>156.1</v>
      </c>
      <c r="O23" s="55">
        <v>0</v>
      </c>
      <c r="P23" s="55">
        <v>0.79</v>
      </c>
      <c r="Q23" s="55">
        <v>9.2100000000000009</v>
      </c>
      <c r="R23" s="43"/>
      <c r="S23" s="43"/>
      <c r="T23" s="43"/>
      <c r="U23" s="43"/>
    </row>
    <row r="24" spans="1:21" s="11" customFormat="1" x14ac:dyDescent="0.25">
      <c r="A24" s="54" t="s">
        <v>291</v>
      </c>
      <c r="B24" s="55">
        <v>4.91</v>
      </c>
      <c r="C24" s="55">
        <v>29.99</v>
      </c>
      <c r="D24" s="55">
        <v>18.739999999999998</v>
      </c>
      <c r="E24" s="55">
        <v>9.81</v>
      </c>
      <c r="F24" s="55">
        <v>20.58</v>
      </c>
      <c r="G24" s="55">
        <v>80.150000000000006</v>
      </c>
      <c r="H24" s="55">
        <v>24.39</v>
      </c>
      <c r="I24" s="55">
        <v>2.89</v>
      </c>
      <c r="J24" s="55">
        <v>0.99</v>
      </c>
      <c r="K24" s="55">
        <v>342.07</v>
      </c>
      <c r="L24" s="55">
        <v>26.5</v>
      </c>
      <c r="M24" s="55">
        <v>28.53</v>
      </c>
      <c r="N24" s="55">
        <v>112</v>
      </c>
      <c r="O24" s="55">
        <v>0</v>
      </c>
      <c r="P24" s="55">
        <v>0.79</v>
      </c>
      <c r="Q24" s="55">
        <v>9.26</v>
      </c>
      <c r="R24" s="43"/>
      <c r="S24" s="43"/>
      <c r="T24" s="43"/>
      <c r="U24" s="43"/>
    </row>
    <row r="25" spans="1:21" s="11" customFormat="1" x14ac:dyDescent="0.25">
      <c r="A25" s="54" t="s">
        <v>292</v>
      </c>
      <c r="B25" s="55">
        <v>6.82</v>
      </c>
      <c r="C25" s="55">
        <v>33.619999999999997</v>
      </c>
      <c r="D25" s="55">
        <v>22.58</v>
      </c>
      <c r="E25" s="55">
        <v>10.14</v>
      </c>
      <c r="F25" s="55">
        <v>18.84</v>
      </c>
      <c r="G25" s="55">
        <v>73.2</v>
      </c>
      <c r="H25" s="55">
        <v>24.39</v>
      </c>
      <c r="I25" s="55">
        <v>2.63</v>
      </c>
      <c r="J25" s="55">
        <v>0.94</v>
      </c>
      <c r="K25" s="55">
        <v>343.48</v>
      </c>
      <c r="L25" s="55">
        <v>25.13</v>
      </c>
      <c r="M25" s="55">
        <v>34.15</v>
      </c>
      <c r="N25" s="55">
        <v>79.2</v>
      </c>
      <c r="O25" s="55">
        <v>0</v>
      </c>
      <c r="P25" s="55">
        <v>0.85</v>
      </c>
      <c r="Q25" s="55">
        <v>9.2899999999999991</v>
      </c>
      <c r="R25" s="43"/>
      <c r="S25" s="43"/>
      <c r="T25" s="43"/>
      <c r="U25" s="43"/>
    </row>
    <row r="26" spans="1:21" s="11" customFormat="1" x14ac:dyDescent="0.25">
      <c r="A26" s="54" t="s">
        <v>293</v>
      </c>
      <c r="B26" s="55">
        <v>10.87</v>
      </c>
      <c r="C26" s="55">
        <v>31.61</v>
      </c>
      <c r="D26" s="55">
        <v>23.16</v>
      </c>
      <c r="E26" s="55">
        <v>6.1</v>
      </c>
      <c r="F26" s="55">
        <v>7.12</v>
      </c>
      <c r="G26" s="55">
        <v>66.47</v>
      </c>
      <c r="H26" s="55">
        <v>20.51</v>
      </c>
      <c r="I26" s="55">
        <v>2.82</v>
      </c>
      <c r="J26" s="55">
        <v>0.61</v>
      </c>
      <c r="K26" s="55">
        <v>344.83</v>
      </c>
      <c r="L26" s="55">
        <v>23.28</v>
      </c>
      <c r="M26" s="55">
        <v>41.29</v>
      </c>
      <c r="N26" s="55">
        <v>45.9</v>
      </c>
      <c r="O26" s="55">
        <v>0</v>
      </c>
      <c r="P26" s="55">
        <v>1.03</v>
      </c>
      <c r="Q26" s="55">
        <v>9.35</v>
      </c>
      <c r="R26" s="43"/>
      <c r="S26" s="43"/>
      <c r="T26" s="43"/>
      <c r="U26" s="43"/>
    </row>
    <row r="27" spans="1:21" s="11" customFormat="1" x14ac:dyDescent="0.25">
      <c r="A27" s="54" t="s">
        <v>294</v>
      </c>
      <c r="B27" s="55">
        <v>17.440000000000001</v>
      </c>
      <c r="C27" s="55">
        <v>26.96</v>
      </c>
      <c r="D27" s="55">
        <v>26.7</v>
      </c>
      <c r="E27" s="55">
        <v>5.04</v>
      </c>
      <c r="F27" s="55">
        <v>4.29</v>
      </c>
      <c r="G27" s="55">
        <v>81.91</v>
      </c>
      <c r="H27" s="55">
        <v>25.66</v>
      </c>
      <c r="I27" s="55">
        <v>3.08</v>
      </c>
      <c r="J27" s="55">
        <v>0.11</v>
      </c>
      <c r="K27" s="55">
        <v>357.58</v>
      </c>
      <c r="L27" s="55">
        <v>21.38</v>
      </c>
      <c r="M27" s="55">
        <v>60.11</v>
      </c>
      <c r="N27" s="55">
        <v>41.5</v>
      </c>
      <c r="O27" s="55">
        <v>0</v>
      </c>
      <c r="P27" s="55">
        <v>1.1399999999999999</v>
      </c>
      <c r="Q27" s="55">
        <v>9.4700000000000006</v>
      </c>
      <c r="R27" s="43"/>
      <c r="S27" s="43"/>
      <c r="T27" s="43"/>
      <c r="U27" s="43"/>
    </row>
    <row r="28" spans="1:21" s="11" customFormat="1" x14ac:dyDescent="0.25">
      <c r="A28" s="54" t="s">
        <v>295</v>
      </c>
      <c r="B28" s="55">
        <v>69.62</v>
      </c>
      <c r="C28" s="55">
        <v>16.45</v>
      </c>
      <c r="D28" s="55">
        <v>58.45</v>
      </c>
      <c r="E28" s="55">
        <v>5.96</v>
      </c>
      <c r="F28" s="55">
        <v>3.77</v>
      </c>
      <c r="G28" s="55">
        <v>105.52</v>
      </c>
      <c r="H28" s="55">
        <v>35.909999999999997</v>
      </c>
      <c r="I28" s="55">
        <v>3.82</v>
      </c>
      <c r="J28" s="55">
        <v>0.15</v>
      </c>
      <c r="K28" s="55">
        <v>307.51</v>
      </c>
      <c r="L28" s="55">
        <v>19.23</v>
      </c>
      <c r="M28" s="55">
        <v>76.16</v>
      </c>
      <c r="N28" s="55">
        <v>41.2</v>
      </c>
      <c r="O28" s="55">
        <v>0</v>
      </c>
      <c r="P28" s="55">
        <v>1.89</v>
      </c>
      <c r="Q28" s="55">
        <v>9.66</v>
      </c>
      <c r="R28" s="43"/>
      <c r="S28" s="43"/>
      <c r="T28" s="43"/>
      <c r="U28" s="43"/>
    </row>
    <row r="29" spans="1:21" s="11" customFormat="1" x14ac:dyDescent="0.25">
      <c r="A29" s="54" t="s">
        <v>296</v>
      </c>
      <c r="B29" s="55">
        <v>83.22</v>
      </c>
      <c r="C29" s="55">
        <v>2.75</v>
      </c>
      <c r="D29" s="55">
        <v>65.959999999999994</v>
      </c>
      <c r="E29" s="55">
        <v>5.9</v>
      </c>
      <c r="F29" s="55">
        <v>4.07</v>
      </c>
      <c r="G29" s="55">
        <v>126.38</v>
      </c>
      <c r="H29" s="55">
        <v>40.5</v>
      </c>
      <c r="I29" s="55">
        <v>4.6399999999999997</v>
      </c>
      <c r="J29" s="55">
        <v>0.16</v>
      </c>
      <c r="K29" s="55">
        <v>303.95999999999998</v>
      </c>
      <c r="L29" s="55">
        <v>18.170000000000002</v>
      </c>
      <c r="M29" s="55">
        <v>82.81</v>
      </c>
      <c r="N29" s="55">
        <v>41.1</v>
      </c>
      <c r="O29" s="55">
        <v>0</v>
      </c>
      <c r="P29" s="55">
        <v>2.14</v>
      </c>
      <c r="Q29" s="55">
        <v>9.7200000000000006</v>
      </c>
      <c r="R29" s="43"/>
      <c r="S29" s="43"/>
      <c r="T29" s="43"/>
      <c r="U29" s="43"/>
    </row>
    <row r="30" spans="1:21" s="11" customFormat="1" x14ac:dyDescent="0.25">
      <c r="A30" s="54" t="s">
        <v>297</v>
      </c>
      <c r="B30" s="55">
        <v>85.47</v>
      </c>
      <c r="C30" s="55">
        <v>0.11</v>
      </c>
      <c r="D30" s="55">
        <v>60.65</v>
      </c>
      <c r="E30" s="55">
        <v>5.49</v>
      </c>
      <c r="F30" s="55">
        <v>3.81</v>
      </c>
      <c r="G30" s="55">
        <v>146.75</v>
      </c>
      <c r="H30" s="55">
        <v>44.95</v>
      </c>
      <c r="I30" s="55">
        <v>5.84</v>
      </c>
      <c r="J30" s="55">
        <v>0.15</v>
      </c>
      <c r="K30" s="55">
        <v>339.04</v>
      </c>
      <c r="L30" s="55">
        <v>17.75</v>
      </c>
      <c r="M30" s="55">
        <v>87.73</v>
      </c>
      <c r="N30" s="55">
        <v>41.2</v>
      </c>
      <c r="O30" s="55">
        <v>0</v>
      </c>
      <c r="P30" s="55">
        <v>2.09</v>
      </c>
      <c r="Q30" s="55">
        <v>9.75</v>
      </c>
      <c r="R30" s="43"/>
      <c r="S30" s="43"/>
      <c r="T30" s="43"/>
      <c r="U30" s="43"/>
    </row>
    <row r="31" spans="1:21" s="11" customFormat="1" x14ac:dyDescent="0.25">
      <c r="A31" s="54" t="s">
        <v>298</v>
      </c>
      <c r="B31" s="55">
        <v>109.15</v>
      </c>
      <c r="C31" s="55">
        <v>0</v>
      </c>
      <c r="D31" s="55">
        <v>74.22</v>
      </c>
      <c r="E31" s="55">
        <v>5.49</v>
      </c>
      <c r="F31" s="55">
        <v>3.4</v>
      </c>
      <c r="G31" s="55">
        <v>163.61000000000001</v>
      </c>
      <c r="H31" s="55">
        <v>55.61</v>
      </c>
      <c r="I31" s="55">
        <v>6.92</v>
      </c>
      <c r="J31" s="55">
        <v>0.13</v>
      </c>
      <c r="K31" s="55">
        <v>349.25</v>
      </c>
      <c r="L31" s="55">
        <v>17.07</v>
      </c>
      <c r="M31" s="55">
        <v>91.41</v>
      </c>
      <c r="N31" s="55">
        <v>41</v>
      </c>
      <c r="O31" s="55">
        <v>0</v>
      </c>
      <c r="P31" s="55">
        <v>2.39</v>
      </c>
      <c r="Q31" s="55">
        <v>9.8000000000000007</v>
      </c>
      <c r="R31" s="43"/>
      <c r="S31" s="43"/>
      <c r="T31" s="43"/>
      <c r="U31" s="43"/>
    </row>
    <row r="32" spans="1:21" s="11" customFormat="1" x14ac:dyDescent="0.25">
      <c r="A32" s="54" t="s">
        <v>299</v>
      </c>
      <c r="B32" s="55">
        <v>115.51</v>
      </c>
      <c r="C32" s="55">
        <v>0</v>
      </c>
      <c r="D32" s="55">
        <v>78.2</v>
      </c>
      <c r="E32" s="55">
        <v>5.81</v>
      </c>
      <c r="F32" s="55">
        <v>3.79</v>
      </c>
      <c r="G32" s="55">
        <v>163.61000000000001</v>
      </c>
      <c r="H32" s="55">
        <v>55.72</v>
      </c>
      <c r="I32" s="55">
        <v>7.34</v>
      </c>
      <c r="J32" s="55">
        <v>0.37</v>
      </c>
      <c r="K32" s="55">
        <v>330.57</v>
      </c>
      <c r="L32" s="55">
        <v>16.61</v>
      </c>
      <c r="M32" s="55">
        <v>94.85</v>
      </c>
      <c r="N32" s="55">
        <v>41.1</v>
      </c>
      <c r="O32" s="55">
        <v>0</v>
      </c>
      <c r="P32" s="55">
        <v>2.48</v>
      </c>
      <c r="Q32" s="55">
        <v>9.85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1.02</v>
      </c>
      <c r="C34" s="28">
        <f t="shared" si="0"/>
        <v>0</v>
      </c>
      <c r="D34" s="28">
        <f t="shared" si="0"/>
        <v>12.8</v>
      </c>
      <c r="E34" s="28">
        <f t="shared" si="0"/>
        <v>5.04</v>
      </c>
      <c r="F34" s="28">
        <f t="shared" si="0"/>
        <v>3.37</v>
      </c>
      <c r="G34" s="28">
        <f t="shared" si="0"/>
        <v>66.47</v>
      </c>
      <c r="H34" s="28">
        <f t="shared" si="0"/>
        <v>20.51</v>
      </c>
      <c r="I34" s="28">
        <f t="shared" si="0"/>
        <v>2.63</v>
      </c>
      <c r="J34" s="28">
        <f t="shared" si="0"/>
        <v>0.09</v>
      </c>
      <c r="K34" s="28">
        <f t="shared" si="0"/>
        <v>128.12</v>
      </c>
      <c r="L34" s="28">
        <f t="shared" si="0"/>
        <v>14.54</v>
      </c>
      <c r="M34" s="28">
        <f t="shared" si="0"/>
        <v>26.26</v>
      </c>
      <c r="N34" s="28">
        <f t="shared" si="0"/>
        <v>41</v>
      </c>
      <c r="O34" s="28">
        <f t="shared" si="0"/>
        <v>0</v>
      </c>
      <c r="P34" s="28">
        <f t="shared" si="0"/>
        <v>0.7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115.51</v>
      </c>
      <c r="C35" s="29">
        <f t="shared" si="1"/>
        <v>33.619999999999997</v>
      </c>
      <c r="D35" s="29">
        <f t="shared" si="1"/>
        <v>78.2</v>
      </c>
      <c r="E35" s="29">
        <f t="shared" si="1"/>
        <v>13.38</v>
      </c>
      <c r="F35" s="29">
        <f t="shared" si="1"/>
        <v>20.58</v>
      </c>
      <c r="G35" s="29">
        <f t="shared" si="1"/>
        <v>213.49</v>
      </c>
      <c r="H35" s="29">
        <f t="shared" si="1"/>
        <v>69.44</v>
      </c>
      <c r="I35" s="29">
        <f t="shared" si="1"/>
        <v>7.34</v>
      </c>
      <c r="J35" s="29">
        <f t="shared" si="1"/>
        <v>1.24</v>
      </c>
      <c r="K35" s="29">
        <f t="shared" si="1"/>
        <v>357.58</v>
      </c>
      <c r="L35" s="29">
        <f t="shared" si="1"/>
        <v>29.69</v>
      </c>
      <c r="M35" s="29">
        <f t="shared" si="1"/>
        <v>97.99</v>
      </c>
      <c r="N35" s="29">
        <f t="shared" si="1"/>
        <v>732.8</v>
      </c>
      <c r="O35" s="29">
        <f t="shared" si="1"/>
        <v>0</v>
      </c>
      <c r="P35" s="29">
        <f t="shared" si="1"/>
        <v>2.48</v>
      </c>
      <c r="Q35" s="29">
        <f t="shared" si="1"/>
        <v>9.85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38.252916666666671</v>
      </c>
      <c r="C36" s="28">
        <f t="shared" si="2"/>
        <v>13.152500000000002</v>
      </c>
      <c r="D36" s="28">
        <f t="shared" si="2"/>
        <v>34.034583333333337</v>
      </c>
      <c r="E36" s="28">
        <f t="shared" si="2"/>
        <v>6.8766666666666678</v>
      </c>
      <c r="F36" s="28">
        <f t="shared" si="2"/>
        <v>7.0591666666666661</v>
      </c>
      <c r="G36" s="28">
        <f t="shared" si="2"/>
        <v>126.75954545454547</v>
      </c>
      <c r="H36" s="28">
        <f t="shared" si="2"/>
        <v>43.845454545454537</v>
      </c>
      <c r="I36" s="28">
        <f t="shared" si="2"/>
        <v>4.668333333333333</v>
      </c>
      <c r="J36" s="28">
        <f t="shared" si="2"/>
        <v>0.44916666666666666</v>
      </c>
      <c r="K36" s="28">
        <f t="shared" si="2"/>
        <v>308.45125000000002</v>
      </c>
      <c r="L36" s="28">
        <f t="shared" si="2"/>
        <v>21.10166666666667</v>
      </c>
      <c r="M36" s="28">
        <f t="shared" si="2"/>
        <v>65.11999999999999</v>
      </c>
      <c r="N36" s="28">
        <f t="shared" si="2"/>
        <v>211.54583333333335</v>
      </c>
      <c r="O36" s="28">
        <f t="shared" si="2"/>
        <v>0</v>
      </c>
      <c r="P36" s="28">
        <f t="shared" si="2"/>
        <v>1.3691666666666666</v>
      </c>
      <c r="Q36" s="28">
        <f t="shared" si="2"/>
        <v>9.5474999999999994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34.923927947713757</v>
      </c>
      <c r="C37" s="28">
        <f t="shared" ref="C37:Q37" si="3">STDEV(C9:C32)</f>
        <v>13.240944157193361</v>
      </c>
      <c r="D37" s="28">
        <f t="shared" si="3"/>
        <v>19.808528900707003</v>
      </c>
      <c r="E37" s="28">
        <f t="shared" si="3"/>
        <v>1.9585612879970258</v>
      </c>
      <c r="F37" s="28">
        <f t="shared" si="3"/>
        <v>5.2913940931738743</v>
      </c>
      <c r="G37" s="28">
        <f t="shared" si="3"/>
        <v>50.396941373297096</v>
      </c>
      <c r="H37" s="28">
        <f t="shared" si="3"/>
        <v>17.217466692500384</v>
      </c>
      <c r="I37" s="28">
        <f t="shared" si="3"/>
        <v>1.385818441796469</v>
      </c>
      <c r="J37" s="28">
        <f t="shared" si="3"/>
        <v>0.37084998334222358</v>
      </c>
      <c r="K37" s="28">
        <f t="shared" si="3"/>
        <v>63.840520954648234</v>
      </c>
      <c r="L37" s="28">
        <f t="shared" si="3"/>
        <v>5.3753856619309373</v>
      </c>
      <c r="M37" s="28">
        <f t="shared" si="3"/>
        <v>29.035460628566675</v>
      </c>
      <c r="N37" s="28">
        <f t="shared" si="3"/>
        <v>259.75310180039719</v>
      </c>
      <c r="O37" s="28">
        <f t="shared" si="3"/>
        <v>0</v>
      </c>
      <c r="P37" s="28">
        <f t="shared" si="3"/>
        <v>0.53027406094409757</v>
      </c>
      <c r="Q37" s="28">
        <f t="shared" si="3"/>
        <v>0.2222855586069806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16" sqref="G16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300</v>
      </c>
      <c r="B9" s="55">
        <v>106.93</v>
      </c>
      <c r="C9" s="55">
        <v>0.05</v>
      </c>
      <c r="D9" s="55">
        <v>73</v>
      </c>
      <c r="E9" s="55">
        <v>6.27</v>
      </c>
      <c r="F9" s="55">
        <v>3.4</v>
      </c>
      <c r="G9" s="55">
        <v>146.11000000000001</v>
      </c>
      <c r="H9" s="55">
        <v>55.72</v>
      </c>
      <c r="I9" s="55">
        <v>7.42</v>
      </c>
      <c r="J9" s="55">
        <v>0.25</v>
      </c>
      <c r="K9" s="55">
        <v>342.86</v>
      </c>
      <c r="L9" s="55">
        <v>16.32</v>
      </c>
      <c r="M9" s="55">
        <v>92.68</v>
      </c>
      <c r="N9" s="55">
        <v>41.1</v>
      </c>
      <c r="O9" s="55">
        <v>0</v>
      </c>
      <c r="P9" s="55">
        <v>2.4700000000000002</v>
      </c>
      <c r="Q9" s="55">
        <v>9.85</v>
      </c>
      <c r="R9" s="43"/>
      <c r="S9" s="43"/>
      <c r="T9" s="43"/>
      <c r="U9" s="43"/>
    </row>
    <row r="10" spans="1:21" s="11" customFormat="1" x14ac:dyDescent="0.25">
      <c r="A10" s="54" t="s">
        <v>301</v>
      </c>
      <c r="B10" s="55">
        <v>93.55</v>
      </c>
      <c r="C10" s="55">
        <v>0</v>
      </c>
      <c r="D10" s="55">
        <v>64.36</v>
      </c>
      <c r="E10" s="55">
        <v>6.08</v>
      </c>
      <c r="F10" s="55">
        <v>3.61</v>
      </c>
      <c r="G10" s="55">
        <v>116.02</v>
      </c>
      <c r="H10" s="55">
        <v>51.61</v>
      </c>
      <c r="I10" s="55">
        <v>7.25</v>
      </c>
      <c r="J10" s="55">
        <v>0.2</v>
      </c>
      <c r="K10" s="55">
        <v>341.31</v>
      </c>
      <c r="L10" s="55">
        <v>16</v>
      </c>
      <c r="M10" s="55">
        <v>88.51</v>
      </c>
      <c r="N10" s="55">
        <v>41</v>
      </c>
      <c r="O10" s="55">
        <v>0</v>
      </c>
      <c r="P10" s="55">
        <v>1.88</v>
      </c>
      <c r="Q10" s="55">
        <v>9.81</v>
      </c>
      <c r="R10" s="43"/>
      <c r="S10" s="43"/>
      <c r="T10" s="43"/>
      <c r="U10" s="43"/>
    </row>
    <row r="11" spans="1:21" s="11" customFormat="1" x14ac:dyDescent="0.25">
      <c r="A11" s="54" t="s">
        <v>302</v>
      </c>
      <c r="B11" s="55">
        <v>82.15</v>
      </c>
      <c r="C11" s="55">
        <v>0</v>
      </c>
      <c r="D11" s="55">
        <v>57.19</v>
      </c>
      <c r="E11" s="55">
        <v>6</v>
      </c>
      <c r="F11" s="55">
        <v>3.3</v>
      </c>
      <c r="G11" s="55">
        <v>157.19999999999999</v>
      </c>
      <c r="H11" s="55">
        <v>62.93</v>
      </c>
      <c r="I11" s="55">
        <v>6.88</v>
      </c>
      <c r="J11" s="55">
        <v>0.18</v>
      </c>
      <c r="K11" s="55">
        <v>325.97000000000003</v>
      </c>
      <c r="L11" s="55">
        <v>15.43</v>
      </c>
      <c r="M11" s="55">
        <v>98.14</v>
      </c>
      <c r="N11" s="55">
        <v>41.2</v>
      </c>
      <c r="O11" s="55">
        <v>0</v>
      </c>
      <c r="P11" s="55">
        <v>1.68</v>
      </c>
      <c r="Q11" s="55">
        <v>9.7799999999999994</v>
      </c>
      <c r="R11" s="43"/>
      <c r="S11" s="43"/>
      <c r="T11" s="43"/>
      <c r="U11" s="43"/>
    </row>
    <row r="12" spans="1:21" s="11" customFormat="1" x14ac:dyDescent="0.25">
      <c r="A12" s="54" t="s">
        <v>303</v>
      </c>
      <c r="B12" s="55">
        <v>70.11</v>
      </c>
      <c r="C12" s="55">
        <v>0</v>
      </c>
      <c r="D12" s="55">
        <v>49.57</v>
      </c>
      <c r="E12" s="55">
        <v>5.7</v>
      </c>
      <c r="F12" s="55">
        <v>3.33</v>
      </c>
      <c r="G12" s="55">
        <v>157.19999999999999</v>
      </c>
      <c r="H12" s="55">
        <v>63.51</v>
      </c>
      <c r="I12" s="55">
        <v>6.51</v>
      </c>
      <c r="J12" s="55">
        <v>0.1</v>
      </c>
      <c r="K12" s="55">
        <v>342.56</v>
      </c>
      <c r="L12" s="55">
        <v>14.44</v>
      </c>
      <c r="M12" s="55">
        <v>97.98</v>
      </c>
      <c r="N12" s="55">
        <v>41</v>
      </c>
      <c r="O12" s="55">
        <v>0</v>
      </c>
      <c r="P12" s="55">
        <v>1.5</v>
      </c>
      <c r="Q12" s="55">
        <v>9.77</v>
      </c>
      <c r="R12" s="43"/>
      <c r="S12" s="43"/>
      <c r="T12" s="43"/>
      <c r="U12" s="43"/>
    </row>
    <row r="13" spans="1:21" s="11" customFormat="1" x14ac:dyDescent="0.25">
      <c r="A13" s="54" t="s">
        <v>304</v>
      </c>
      <c r="B13" s="55">
        <v>60.22</v>
      </c>
      <c r="C13" s="55">
        <v>0</v>
      </c>
      <c r="D13" s="55">
        <v>43.5</v>
      </c>
      <c r="E13" s="55">
        <v>5.67</v>
      </c>
      <c r="F13" s="55">
        <v>3.63</v>
      </c>
      <c r="G13" s="55">
        <v>159.91999999999999</v>
      </c>
      <c r="H13" s="55">
        <v>63.51</v>
      </c>
      <c r="I13" s="55">
        <v>6.41</v>
      </c>
      <c r="J13" s="55">
        <v>0.8</v>
      </c>
      <c r="K13" s="55">
        <v>345.64</v>
      </c>
      <c r="L13" s="55">
        <v>15.2</v>
      </c>
      <c r="M13" s="55">
        <v>93.48</v>
      </c>
      <c r="N13" s="55">
        <v>41.3</v>
      </c>
      <c r="O13" s="55">
        <v>0</v>
      </c>
      <c r="P13" s="55">
        <v>1.45</v>
      </c>
      <c r="Q13" s="55">
        <v>9.73</v>
      </c>
      <c r="R13" s="43"/>
      <c r="S13" s="43"/>
      <c r="T13" s="43"/>
      <c r="U13" s="43"/>
    </row>
    <row r="14" spans="1:21" s="11" customFormat="1" x14ac:dyDescent="0.25">
      <c r="A14" s="54" t="s">
        <v>305</v>
      </c>
      <c r="B14" s="55">
        <v>52.21</v>
      </c>
      <c r="C14" s="55">
        <v>0</v>
      </c>
      <c r="D14" s="55">
        <v>39.200000000000003</v>
      </c>
      <c r="E14" s="55">
        <v>5.81</v>
      </c>
      <c r="F14" s="55">
        <v>3.7</v>
      </c>
      <c r="G14" s="55">
        <v>159.91999999999999</v>
      </c>
      <c r="H14" s="55">
        <v>65.099999999999994</v>
      </c>
      <c r="I14" s="55">
        <v>6.5</v>
      </c>
      <c r="J14" s="55">
        <v>0.12</v>
      </c>
      <c r="K14" s="55">
        <v>271.16000000000003</v>
      </c>
      <c r="L14" s="55">
        <v>14.72</v>
      </c>
      <c r="M14" s="55">
        <v>87.82</v>
      </c>
      <c r="N14" s="55">
        <v>41.9</v>
      </c>
      <c r="O14" s="55">
        <v>0</v>
      </c>
      <c r="P14" s="55">
        <v>1.44</v>
      </c>
      <c r="Q14" s="55">
        <v>9.6999999999999993</v>
      </c>
      <c r="R14" s="43"/>
      <c r="S14" s="43"/>
      <c r="T14" s="43"/>
      <c r="U14" s="43"/>
    </row>
    <row r="15" spans="1:21" s="11" customFormat="1" x14ac:dyDescent="0.25">
      <c r="A15" s="54" t="s">
        <v>306</v>
      </c>
      <c r="B15" s="55">
        <v>44.93</v>
      </c>
      <c r="C15" s="55">
        <v>0.01</v>
      </c>
      <c r="D15" s="55">
        <v>34.76</v>
      </c>
      <c r="E15" s="55">
        <v>5.75</v>
      </c>
      <c r="F15" s="55">
        <v>3.62</v>
      </c>
      <c r="G15" s="55">
        <v>153.46</v>
      </c>
      <c r="H15" s="55">
        <v>65.099999999999994</v>
      </c>
      <c r="I15" s="55">
        <v>6.35</v>
      </c>
      <c r="J15" s="55">
        <v>0.2</v>
      </c>
      <c r="K15" s="55">
        <v>147.66</v>
      </c>
      <c r="L15" s="55">
        <v>15.46</v>
      </c>
      <c r="M15" s="55">
        <v>86.88</v>
      </c>
      <c r="N15" s="55">
        <v>91</v>
      </c>
      <c r="O15" s="55">
        <v>0</v>
      </c>
      <c r="P15" s="55">
        <v>1.37</v>
      </c>
      <c r="Q15" s="55">
        <v>9.68</v>
      </c>
      <c r="R15" s="43"/>
      <c r="S15" s="43"/>
      <c r="T15" s="43"/>
      <c r="U15" s="43"/>
    </row>
    <row r="16" spans="1:21" s="11" customFormat="1" x14ac:dyDescent="0.25">
      <c r="A16" s="54" t="s">
        <v>307</v>
      </c>
      <c r="B16" s="55">
        <v>39.61</v>
      </c>
      <c r="C16" s="55">
        <v>1.71</v>
      </c>
      <c r="D16" s="55">
        <v>31.51</v>
      </c>
      <c r="E16" s="55">
        <v>5.67</v>
      </c>
      <c r="F16" s="55">
        <v>3.37</v>
      </c>
      <c r="G16" s="55">
        <v>149.66</v>
      </c>
      <c r="H16" s="55">
        <v>61.66</v>
      </c>
      <c r="I16" s="55">
        <v>5.95</v>
      </c>
      <c r="J16" s="55">
        <v>0.5</v>
      </c>
      <c r="K16" s="55">
        <v>343.32</v>
      </c>
      <c r="L16" s="55">
        <v>22.25</v>
      </c>
      <c r="M16" s="55">
        <v>73.790000000000006</v>
      </c>
      <c r="N16" s="55">
        <v>310.2</v>
      </c>
      <c r="O16" s="55">
        <v>0</v>
      </c>
      <c r="P16" s="55">
        <v>1.69</v>
      </c>
      <c r="Q16" s="55">
        <v>9.67</v>
      </c>
      <c r="R16" s="43"/>
      <c r="S16" s="43"/>
      <c r="T16" s="43"/>
      <c r="U16" s="43"/>
    </row>
    <row r="17" spans="1:21" s="11" customFormat="1" x14ac:dyDescent="0.25">
      <c r="A17" s="54" t="s">
        <v>308</v>
      </c>
      <c r="B17" s="55">
        <v>37.1</v>
      </c>
      <c r="C17" s="55">
        <v>6.6</v>
      </c>
      <c r="D17" s="55">
        <v>30.59</v>
      </c>
      <c r="E17" s="55">
        <v>5.82</v>
      </c>
      <c r="F17" s="55">
        <v>4.05</v>
      </c>
      <c r="G17" s="55">
        <v>146.1</v>
      </c>
      <c r="H17" s="55">
        <v>59.03</v>
      </c>
      <c r="I17" s="55">
        <v>5.86</v>
      </c>
      <c r="J17" s="55">
        <v>0.51</v>
      </c>
      <c r="K17" s="55">
        <v>339.12</v>
      </c>
      <c r="L17" s="55">
        <v>24.84</v>
      </c>
      <c r="M17" s="55">
        <v>40.57</v>
      </c>
      <c r="N17" s="55">
        <v>517.5</v>
      </c>
      <c r="O17" s="55">
        <v>0</v>
      </c>
      <c r="P17" s="55">
        <v>1.75</v>
      </c>
      <c r="Q17" s="55">
        <v>9.67</v>
      </c>
      <c r="R17" s="43"/>
      <c r="S17" s="43"/>
      <c r="T17" s="43"/>
      <c r="U17" s="43"/>
    </row>
    <row r="18" spans="1:21" s="11" customFormat="1" x14ac:dyDescent="0.25">
      <c r="A18" s="54" t="s">
        <v>309</v>
      </c>
      <c r="B18" s="55">
        <v>32.72</v>
      </c>
      <c r="C18" s="55">
        <v>12.18</v>
      </c>
      <c r="D18" s="55">
        <v>28.94</v>
      </c>
      <c r="E18" s="55">
        <v>5.65</v>
      </c>
      <c r="F18" s="55">
        <v>4.46</v>
      </c>
      <c r="G18" s="55">
        <v>146.1</v>
      </c>
      <c r="H18" s="55">
        <v>59.03</v>
      </c>
      <c r="I18" s="55">
        <v>6.1</v>
      </c>
      <c r="J18" s="55">
        <v>1.39</v>
      </c>
      <c r="K18" s="55">
        <v>338.6</v>
      </c>
      <c r="L18" s="55">
        <v>26.28</v>
      </c>
      <c r="M18" s="55">
        <v>35.4</v>
      </c>
      <c r="N18" s="55">
        <v>654.4</v>
      </c>
      <c r="O18" s="55">
        <v>0</v>
      </c>
      <c r="P18" s="55">
        <v>1.74</v>
      </c>
      <c r="Q18" s="55">
        <v>9.66</v>
      </c>
      <c r="R18" s="43"/>
      <c r="S18" s="43"/>
      <c r="T18" s="43"/>
      <c r="U18" s="43"/>
    </row>
    <row r="19" spans="1:21" s="11" customFormat="1" x14ac:dyDescent="0.25">
      <c r="A19" s="54" t="s">
        <v>310</v>
      </c>
      <c r="B19" s="55">
        <v>26.27</v>
      </c>
      <c r="C19" s="55">
        <v>14.42</v>
      </c>
      <c r="D19" s="55">
        <v>26.39</v>
      </c>
      <c r="E19" s="55">
        <v>5.48</v>
      </c>
      <c r="F19" s="55">
        <v>4.1399999999999997</v>
      </c>
      <c r="G19" s="55">
        <v>112.49</v>
      </c>
      <c r="H19" s="55">
        <v>47.17</v>
      </c>
      <c r="I19" s="55">
        <v>5.79</v>
      </c>
      <c r="J19" s="55">
        <v>1.36</v>
      </c>
      <c r="K19" s="55">
        <v>342.08</v>
      </c>
      <c r="L19" s="55">
        <v>28.78</v>
      </c>
      <c r="M19" s="55">
        <v>28.51</v>
      </c>
      <c r="N19" s="55">
        <v>750.1</v>
      </c>
      <c r="O19" s="55">
        <v>0</v>
      </c>
      <c r="P19" s="55">
        <v>1.56</v>
      </c>
      <c r="Q19" s="55">
        <v>9.66</v>
      </c>
      <c r="R19" s="43"/>
      <c r="S19" s="43"/>
      <c r="T19" s="43"/>
      <c r="U19" s="43"/>
    </row>
    <row r="20" spans="1:21" s="11" customFormat="1" x14ac:dyDescent="0.25">
      <c r="A20" s="54" t="s">
        <v>311</v>
      </c>
      <c r="B20" s="55">
        <v>17.79</v>
      </c>
      <c r="C20" s="55">
        <v>16.899999999999999</v>
      </c>
      <c r="D20" s="55">
        <v>22.21</v>
      </c>
      <c r="E20" s="55">
        <v>4.8600000000000003</v>
      </c>
      <c r="F20" s="55">
        <v>3.83</v>
      </c>
      <c r="G20" s="55">
        <v>83.49</v>
      </c>
      <c r="H20" s="55">
        <v>44.15</v>
      </c>
      <c r="I20" s="55">
        <v>5.15</v>
      </c>
      <c r="J20" s="55">
        <v>0.49</v>
      </c>
      <c r="K20" s="55">
        <v>334.01</v>
      </c>
      <c r="L20" s="55">
        <v>28.47</v>
      </c>
      <c r="M20" s="55">
        <v>29.42</v>
      </c>
      <c r="N20" s="55">
        <v>744</v>
      </c>
      <c r="O20" s="55">
        <v>0</v>
      </c>
      <c r="P20" s="55">
        <v>1.3</v>
      </c>
      <c r="Q20" s="55">
        <v>9.51</v>
      </c>
      <c r="R20" s="43"/>
      <c r="S20" s="43"/>
      <c r="T20" s="43"/>
      <c r="U20" s="43"/>
    </row>
    <row r="21" spans="1:21" s="11" customFormat="1" x14ac:dyDescent="0.25">
      <c r="A21" s="54" t="s">
        <v>312</v>
      </c>
      <c r="B21" s="55">
        <v>13.14</v>
      </c>
      <c r="C21" s="55">
        <v>19.850000000000001</v>
      </c>
      <c r="D21" s="55">
        <v>19.32</v>
      </c>
      <c r="E21" s="55">
        <v>5.89</v>
      </c>
      <c r="F21" s="55">
        <v>6.02</v>
      </c>
      <c r="G21" s="55">
        <v>72.81</v>
      </c>
      <c r="H21" s="55">
        <v>39.67</v>
      </c>
      <c r="I21" s="55">
        <v>4.82</v>
      </c>
      <c r="J21" s="55">
        <v>0.88</v>
      </c>
      <c r="K21" s="55">
        <v>359.97</v>
      </c>
      <c r="L21" s="55">
        <v>29.89</v>
      </c>
      <c r="M21" s="55">
        <v>26.66</v>
      </c>
      <c r="N21" s="55">
        <v>639.1</v>
      </c>
      <c r="O21" s="55">
        <v>0</v>
      </c>
      <c r="P21" s="55">
        <v>1.19</v>
      </c>
      <c r="Q21" s="55">
        <v>9.4</v>
      </c>
      <c r="R21" s="43"/>
      <c r="S21" s="43"/>
      <c r="T21" s="43"/>
      <c r="U21" s="43"/>
    </row>
    <row r="22" spans="1:21" s="11" customFormat="1" x14ac:dyDescent="0.25">
      <c r="A22" s="54" t="s">
        <v>313</v>
      </c>
      <c r="B22" s="55">
        <v>7.66</v>
      </c>
      <c r="C22" s="55">
        <v>21.99</v>
      </c>
      <c r="D22" s="55">
        <v>16.899999999999999</v>
      </c>
      <c r="E22" s="55">
        <v>6.32</v>
      </c>
      <c r="F22" s="55">
        <v>12.93</v>
      </c>
      <c r="G22" s="55">
        <v>74.12</v>
      </c>
      <c r="H22" s="55">
        <v>31.57</v>
      </c>
      <c r="I22" s="55">
        <v>4.51</v>
      </c>
      <c r="J22" s="55">
        <v>0.74</v>
      </c>
      <c r="K22" s="55">
        <v>329.76</v>
      </c>
      <c r="L22" s="55">
        <v>29.88</v>
      </c>
      <c r="M22" s="55">
        <v>21.3</v>
      </c>
      <c r="N22" s="55">
        <v>530</v>
      </c>
      <c r="O22" s="55">
        <v>0</v>
      </c>
      <c r="P22" s="55">
        <v>1.1100000000000001</v>
      </c>
      <c r="Q22" s="55">
        <v>9.33</v>
      </c>
      <c r="R22" s="43"/>
      <c r="S22" s="43"/>
      <c r="T22" s="43"/>
      <c r="U22" s="43"/>
    </row>
    <row r="23" spans="1:21" s="11" customFormat="1" x14ac:dyDescent="0.25">
      <c r="A23" s="54" t="s">
        <v>314</v>
      </c>
      <c r="B23" s="55">
        <v>7.63</v>
      </c>
      <c r="C23" s="55">
        <v>21.34</v>
      </c>
      <c r="D23" s="55">
        <v>16.809999999999999</v>
      </c>
      <c r="E23" s="55">
        <v>5.85</v>
      </c>
      <c r="F23" s="55">
        <v>10.7</v>
      </c>
      <c r="G23" s="55">
        <v>74.12</v>
      </c>
      <c r="H23" s="55">
        <v>28.16</v>
      </c>
      <c r="I23" s="55">
        <v>4.21</v>
      </c>
      <c r="J23" s="55">
        <v>0.95</v>
      </c>
      <c r="K23" s="55">
        <v>340.96</v>
      </c>
      <c r="L23" s="55">
        <v>26.97</v>
      </c>
      <c r="M23" s="55">
        <v>24.68</v>
      </c>
      <c r="N23" s="55">
        <v>152.19999999999999</v>
      </c>
      <c r="O23" s="55">
        <v>0</v>
      </c>
      <c r="P23" s="55">
        <v>0.99</v>
      </c>
      <c r="Q23" s="55">
        <v>9.2899999999999991</v>
      </c>
      <c r="R23" s="43"/>
      <c r="S23" s="43"/>
      <c r="T23" s="43"/>
      <c r="U23" s="43"/>
    </row>
    <row r="24" spans="1:21" s="11" customFormat="1" x14ac:dyDescent="0.25">
      <c r="A24" s="54" t="s">
        <v>315</v>
      </c>
      <c r="B24" s="55">
        <v>5.54</v>
      </c>
      <c r="C24" s="55">
        <v>26</v>
      </c>
      <c r="D24" s="55">
        <v>17.559999999999999</v>
      </c>
      <c r="E24" s="55">
        <v>6.11</v>
      </c>
      <c r="F24" s="55">
        <v>8.56</v>
      </c>
      <c r="G24" s="55">
        <v>45.92</v>
      </c>
      <c r="H24" s="55">
        <v>23.45</v>
      </c>
      <c r="I24" s="55">
        <v>3.87</v>
      </c>
      <c r="J24" s="55">
        <v>1.0900000000000001</v>
      </c>
      <c r="K24" s="55">
        <v>338.06</v>
      </c>
      <c r="L24" s="55">
        <v>25.95</v>
      </c>
      <c r="M24" s="55">
        <v>24.15</v>
      </c>
      <c r="N24" s="55">
        <v>97.8</v>
      </c>
      <c r="O24" s="55">
        <v>0</v>
      </c>
      <c r="P24" s="55">
        <v>0.9</v>
      </c>
      <c r="Q24" s="55">
        <v>9.2100000000000009</v>
      </c>
      <c r="R24" s="43"/>
      <c r="S24" s="43"/>
      <c r="T24" s="43"/>
      <c r="U24" s="43"/>
    </row>
    <row r="25" spans="1:21" s="11" customFormat="1" x14ac:dyDescent="0.25">
      <c r="A25" s="54" t="s">
        <v>316</v>
      </c>
      <c r="B25" s="55">
        <v>7.75</v>
      </c>
      <c r="C25" s="55">
        <v>22.75</v>
      </c>
      <c r="D25" s="55">
        <v>17.64</v>
      </c>
      <c r="E25" s="55">
        <v>5.77</v>
      </c>
      <c r="F25" s="55">
        <v>6.44</v>
      </c>
      <c r="G25" s="55">
        <v>45.92</v>
      </c>
      <c r="H25" s="55">
        <v>21</v>
      </c>
      <c r="I25" s="55">
        <v>3.46</v>
      </c>
      <c r="J25" s="55">
        <v>0.89</v>
      </c>
      <c r="K25" s="55">
        <v>339.89</v>
      </c>
      <c r="L25" s="55">
        <v>24.89</v>
      </c>
      <c r="M25" s="55">
        <v>29.33</v>
      </c>
      <c r="N25" s="55">
        <v>76.8</v>
      </c>
      <c r="O25" s="55">
        <v>0</v>
      </c>
      <c r="P25" s="55">
        <v>0.79</v>
      </c>
      <c r="Q25" s="55">
        <v>9.18</v>
      </c>
      <c r="R25" s="43"/>
      <c r="S25" s="43"/>
      <c r="T25" s="43"/>
      <c r="U25" s="43"/>
    </row>
    <row r="26" spans="1:21" s="11" customFormat="1" x14ac:dyDescent="0.25">
      <c r="A26" s="54" t="s">
        <v>317</v>
      </c>
      <c r="B26" s="55">
        <v>24.08</v>
      </c>
      <c r="C26" s="55">
        <v>36.659999999999997</v>
      </c>
      <c r="D26" s="55">
        <v>43.84</v>
      </c>
      <c r="E26" s="55">
        <v>7.32</v>
      </c>
      <c r="F26" s="55">
        <v>7.73</v>
      </c>
      <c r="G26" s="55">
        <v>52.77</v>
      </c>
      <c r="H26" s="55">
        <v>21.47</v>
      </c>
      <c r="I26" s="55">
        <v>3.37</v>
      </c>
      <c r="J26" s="55">
        <v>0.32</v>
      </c>
      <c r="K26" s="55">
        <v>333.63</v>
      </c>
      <c r="L26" s="55">
        <v>22.9</v>
      </c>
      <c r="M26" s="55">
        <v>39.479999999999997</v>
      </c>
      <c r="N26" s="55">
        <v>47.3</v>
      </c>
      <c r="O26" s="55">
        <v>0</v>
      </c>
      <c r="P26" s="55">
        <v>1</v>
      </c>
      <c r="Q26" s="55">
        <v>9.31</v>
      </c>
      <c r="R26" s="43"/>
      <c r="S26" s="43"/>
      <c r="T26" s="43"/>
      <c r="U26" s="43"/>
    </row>
    <row r="27" spans="1:21" s="11" customFormat="1" x14ac:dyDescent="0.25">
      <c r="A27" s="54" t="s">
        <v>318</v>
      </c>
      <c r="B27" s="55">
        <v>56.89</v>
      </c>
      <c r="C27" s="55">
        <v>29.42</v>
      </c>
      <c r="D27" s="55">
        <v>54.25</v>
      </c>
      <c r="E27" s="55">
        <v>6.45</v>
      </c>
      <c r="F27" s="55">
        <v>3.85</v>
      </c>
      <c r="G27" s="55">
        <v>68.709999999999994</v>
      </c>
      <c r="H27" s="55">
        <v>22.97</v>
      </c>
      <c r="I27" s="55">
        <v>3.55</v>
      </c>
      <c r="J27" s="55">
        <v>0.15</v>
      </c>
      <c r="K27" s="55">
        <v>314.52999999999997</v>
      </c>
      <c r="L27" s="55">
        <v>20.010000000000002</v>
      </c>
      <c r="M27" s="55">
        <v>62.9</v>
      </c>
      <c r="N27" s="55">
        <v>42.3</v>
      </c>
      <c r="O27" s="55">
        <v>0</v>
      </c>
      <c r="P27" s="55">
        <v>1.43</v>
      </c>
      <c r="Q27" s="55">
        <v>9.6300000000000008</v>
      </c>
      <c r="R27" s="43"/>
      <c r="S27" s="43"/>
      <c r="T27" s="43"/>
      <c r="U27" s="43"/>
    </row>
    <row r="28" spans="1:21" s="11" customFormat="1" x14ac:dyDescent="0.25">
      <c r="A28" s="54" t="s">
        <v>319</v>
      </c>
      <c r="B28" s="55">
        <v>44.57</v>
      </c>
      <c r="C28" s="55">
        <v>9.4700000000000006</v>
      </c>
      <c r="D28" s="55">
        <v>37.04</v>
      </c>
      <c r="E28" s="55">
        <v>5.66</v>
      </c>
      <c r="F28" s="55">
        <v>3.43</v>
      </c>
      <c r="G28" s="55">
        <v>166.99</v>
      </c>
      <c r="H28" s="55">
        <v>35.6</v>
      </c>
      <c r="I28" s="55">
        <v>3.86</v>
      </c>
      <c r="J28" s="55">
        <v>0.14000000000000001</v>
      </c>
      <c r="K28" s="55">
        <v>347.04</v>
      </c>
      <c r="L28" s="55">
        <v>18.670000000000002</v>
      </c>
      <c r="M28" s="55">
        <v>66.58</v>
      </c>
      <c r="N28" s="55">
        <v>42</v>
      </c>
      <c r="O28" s="55">
        <v>0</v>
      </c>
      <c r="P28" s="55">
        <v>1.2</v>
      </c>
      <c r="Q28" s="55">
        <v>9.66</v>
      </c>
      <c r="R28" s="43"/>
      <c r="S28" s="43"/>
      <c r="T28" s="43"/>
      <c r="U28" s="43"/>
    </row>
    <row r="29" spans="1:21" s="11" customFormat="1" x14ac:dyDescent="0.25">
      <c r="A29" s="54" t="s">
        <v>320</v>
      </c>
      <c r="B29" s="55">
        <v>67.34</v>
      </c>
      <c r="C29" s="55">
        <v>0.74</v>
      </c>
      <c r="D29" s="55">
        <v>50.11</v>
      </c>
      <c r="E29" s="55">
        <v>5.75</v>
      </c>
      <c r="F29" s="55">
        <v>3.4</v>
      </c>
      <c r="G29" s="55">
        <v>168.92</v>
      </c>
      <c r="H29" s="55">
        <v>46.14</v>
      </c>
      <c r="I29" s="55">
        <v>4.8499999999999996</v>
      </c>
      <c r="J29" s="55">
        <v>0.15</v>
      </c>
      <c r="K29" s="55">
        <v>348.97</v>
      </c>
      <c r="L29" s="55">
        <v>17.850000000000001</v>
      </c>
      <c r="M29" s="55">
        <v>80.8</v>
      </c>
      <c r="N29" s="55">
        <v>42</v>
      </c>
      <c r="O29" s="55">
        <v>0</v>
      </c>
      <c r="P29" s="55">
        <v>1.62</v>
      </c>
      <c r="Q29" s="55">
        <v>9.73</v>
      </c>
      <c r="R29" s="43"/>
      <c r="S29" s="43"/>
      <c r="T29" s="43"/>
      <c r="U29" s="43"/>
    </row>
    <row r="30" spans="1:21" s="11" customFormat="1" x14ac:dyDescent="0.25">
      <c r="A30" s="54" t="s">
        <v>321</v>
      </c>
      <c r="B30" s="55">
        <v>106.48</v>
      </c>
      <c r="C30" s="55">
        <v>0</v>
      </c>
      <c r="D30" s="55">
        <v>74.42</v>
      </c>
      <c r="E30" s="55">
        <v>6.22</v>
      </c>
      <c r="F30" s="55">
        <v>3.42</v>
      </c>
      <c r="G30" s="55">
        <v>172.92</v>
      </c>
      <c r="H30" s="55">
        <v>55.03</v>
      </c>
      <c r="I30" s="55">
        <v>5.82</v>
      </c>
      <c r="J30" s="55">
        <v>0.16</v>
      </c>
      <c r="K30" s="55">
        <v>331.05</v>
      </c>
      <c r="L30" s="55">
        <v>17.22</v>
      </c>
      <c r="M30" s="55">
        <v>82.62</v>
      </c>
      <c r="N30" s="55">
        <v>42</v>
      </c>
      <c r="O30" s="55">
        <v>0</v>
      </c>
      <c r="P30" s="55">
        <v>2.04</v>
      </c>
      <c r="Q30" s="55">
        <v>9.7899999999999991</v>
      </c>
      <c r="R30" s="43"/>
      <c r="S30" s="43"/>
      <c r="T30" s="43"/>
      <c r="U30" s="43"/>
    </row>
    <row r="31" spans="1:21" s="11" customFormat="1" x14ac:dyDescent="0.25">
      <c r="A31" s="54" t="s">
        <v>322</v>
      </c>
      <c r="B31" s="55">
        <v>112.17</v>
      </c>
      <c r="C31" s="55">
        <v>0</v>
      </c>
      <c r="D31" s="55">
        <v>77.05</v>
      </c>
      <c r="E31" s="55">
        <v>6.32</v>
      </c>
      <c r="F31" s="55">
        <v>3.75</v>
      </c>
      <c r="G31" s="55">
        <v>177.39</v>
      </c>
      <c r="H31" s="55">
        <v>61.5</v>
      </c>
      <c r="I31" s="55">
        <v>6.4</v>
      </c>
      <c r="J31" s="55">
        <v>0.53</v>
      </c>
      <c r="K31" s="55">
        <v>325.2</v>
      </c>
      <c r="L31" s="55">
        <v>16.41</v>
      </c>
      <c r="M31" s="55">
        <v>86.29</v>
      </c>
      <c r="N31" s="55">
        <v>42</v>
      </c>
      <c r="O31" s="55">
        <v>0</v>
      </c>
      <c r="P31" s="55">
        <v>2.19</v>
      </c>
      <c r="Q31" s="55">
        <v>9.84</v>
      </c>
      <c r="R31" s="43"/>
      <c r="S31" s="43"/>
      <c r="T31" s="43"/>
      <c r="U31" s="43"/>
    </row>
    <row r="32" spans="1:21" s="11" customFormat="1" x14ac:dyDescent="0.25">
      <c r="A32" s="54" t="s">
        <v>323</v>
      </c>
      <c r="B32" s="55">
        <v>103.88</v>
      </c>
      <c r="C32" s="55">
        <v>0</v>
      </c>
      <c r="D32" s="55">
        <v>71.69</v>
      </c>
      <c r="E32" s="55">
        <v>6.5</v>
      </c>
      <c r="F32" s="55">
        <v>3.53</v>
      </c>
      <c r="G32" s="55">
        <v>177.39</v>
      </c>
      <c r="H32" s="55">
        <v>61.5</v>
      </c>
      <c r="I32" s="55">
        <v>6.37</v>
      </c>
      <c r="J32" s="55">
        <v>0.24</v>
      </c>
      <c r="K32" s="55">
        <v>339.11</v>
      </c>
      <c r="L32" s="55">
        <v>16.22</v>
      </c>
      <c r="M32" s="55">
        <v>82.57</v>
      </c>
      <c r="N32" s="55">
        <v>42.1</v>
      </c>
      <c r="O32" s="55">
        <v>0</v>
      </c>
      <c r="P32" s="55">
        <v>2.1</v>
      </c>
      <c r="Q32" s="55">
        <v>9.83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5.54</v>
      </c>
      <c r="C34" s="28">
        <f t="shared" si="0"/>
        <v>0</v>
      </c>
      <c r="D34" s="28">
        <f t="shared" si="0"/>
        <v>16.809999999999999</v>
      </c>
      <c r="E34" s="28">
        <f t="shared" si="0"/>
        <v>4.8600000000000003</v>
      </c>
      <c r="F34" s="28">
        <f t="shared" si="0"/>
        <v>3.3</v>
      </c>
      <c r="G34" s="28">
        <f t="shared" si="0"/>
        <v>45.92</v>
      </c>
      <c r="H34" s="28">
        <f t="shared" si="0"/>
        <v>21</v>
      </c>
      <c r="I34" s="28">
        <f t="shared" si="0"/>
        <v>3.37</v>
      </c>
      <c r="J34" s="28">
        <f t="shared" si="0"/>
        <v>0.1</v>
      </c>
      <c r="K34" s="28">
        <f t="shared" si="0"/>
        <v>147.66</v>
      </c>
      <c r="L34" s="28">
        <f t="shared" si="0"/>
        <v>14.44</v>
      </c>
      <c r="M34" s="28">
        <f t="shared" si="0"/>
        <v>21.3</v>
      </c>
      <c r="N34" s="28">
        <f t="shared" si="0"/>
        <v>41</v>
      </c>
      <c r="O34" s="28">
        <f t="shared" si="0"/>
        <v>0</v>
      </c>
      <c r="P34" s="28">
        <f t="shared" si="0"/>
        <v>0.79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112.17</v>
      </c>
      <c r="C35" s="29">
        <f t="shared" si="1"/>
        <v>36.659999999999997</v>
      </c>
      <c r="D35" s="29">
        <f t="shared" si="1"/>
        <v>77.05</v>
      </c>
      <c r="E35" s="29">
        <f t="shared" si="1"/>
        <v>7.32</v>
      </c>
      <c r="F35" s="29">
        <f t="shared" si="1"/>
        <v>12.93</v>
      </c>
      <c r="G35" s="29">
        <f t="shared" si="1"/>
        <v>177.39</v>
      </c>
      <c r="H35" s="29">
        <f t="shared" si="1"/>
        <v>65.099999999999994</v>
      </c>
      <c r="I35" s="29">
        <f t="shared" si="1"/>
        <v>7.42</v>
      </c>
      <c r="J35" s="29">
        <f t="shared" si="1"/>
        <v>1.39</v>
      </c>
      <c r="K35" s="29">
        <f t="shared" si="1"/>
        <v>359.97</v>
      </c>
      <c r="L35" s="29">
        <f t="shared" si="1"/>
        <v>29.89</v>
      </c>
      <c r="M35" s="29">
        <f t="shared" si="1"/>
        <v>98.14</v>
      </c>
      <c r="N35" s="29">
        <f t="shared" si="1"/>
        <v>750.1</v>
      </c>
      <c r="O35" s="29">
        <f t="shared" si="1"/>
        <v>0</v>
      </c>
      <c r="P35" s="29">
        <f t="shared" si="1"/>
        <v>2.4700000000000002</v>
      </c>
      <c r="Q35" s="29">
        <f t="shared" si="1"/>
        <v>9.85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50.863333333333344</v>
      </c>
      <c r="C36" s="28">
        <f t="shared" si="2"/>
        <v>10.00375</v>
      </c>
      <c r="D36" s="28">
        <f t="shared" si="2"/>
        <v>41.57708333333332</v>
      </c>
      <c r="E36" s="28">
        <f t="shared" si="2"/>
        <v>5.9549999999999992</v>
      </c>
      <c r="F36" s="28">
        <f t="shared" si="2"/>
        <v>4.9249999999999998</v>
      </c>
      <c r="G36" s="28">
        <f t="shared" si="2"/>
        <v>124.40208333333332</v>
      </c>
      <c r="H36" s="28">
        <f t="shared" si="2"/>
        <v>47.774166666666666</v>
      </c>
      <c r="I36" s="28">
        <f t="shared" si="2"/>
        <v>5.4691666666666672</v>
      </c>
      <c r="J36" s="28">
        <f t="shared" si="2"/>
        <v>0.51416666666666677</v>
      </c>
      <c r="K36" s="28">
        <f t="shared" si="2"/>
        <v>327.60250000000002</v>
      </c>
      <c r="L36" s="28">
        <f t="shared" si="2"/>
        <v>21.043749999999999</v>
      </c>
      <c r="M36" s="28">
        <f t="shared" si="2"/>
        <v>61.689166666666658</v>
      </c>
      <c r="N36" s="28">
        <f t="shared" si="2"/>
        <v>212.92916666666667</v>
      </c>
      <c r="O36" s="28">
        <f t="shared" si="2"/>
        <v>0</v>
      </c>
      <c r="P36" s="28">
        <f t="shared" si="2"/>
        <v>1.5162499999999997</v>
      </c>
      <c r="Q36" s="28">
        <f t="shared" si="2"/>
        <v>9.6120833333333326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35.252078281831913</v>
      </c>
      <c r="C37" s="28">
        <f t="shared" ref="C37:Q37" si="3">STDEV(C9:C32)</f>
        <v>11.633621370650333</v>
      </c>
      <c r="D37" s="28">
        <f t="shared" si="3"/>
        <v>20.030261992071285</v>
      </c>
      <c r="E37" s="28">
        <f t="shared" si="3"/>
        <v>0.4609913702861051</v>
      </c>
      <c r="F37" s="28">
        <f t="shared" si="3"/>
        <v>2.5762240653294524</v>
      </c>
      <c r="G37" s="28">
        <f t="shared" si="3"/>
        <v>46.387087969106503</v>
      </c>
      <c r="H37" s="28">
        <f t="shared" si="3"/>
        <v>15.84136657386402</v>
      </c>
      <c r="I37" s="28">
        <f t="shared" si="3"/>
        <v>1.2536170855175182</v>
      </c>
      <c r="J37" s="28">
        <f t="shared" si="3"/>
        <v>0.40444182326485117</v>
      </c>
      <c r="K37" s="28">
        <f t="shared" si="3"/>
        <v>41.68804585719122</v>
      </c>
      <c r="L37" s="28">
        <f t="shared" si="3"/>
        <v>5.5029998242065652</v>
      </c>
      <c r="M37" s="28">
        <f t="shared" si="3"/>
        <v>28.837427358671736</v>
      </c>
      <c r="N37" s="28">
        <f t="shared" si="3"/>
        <v>262.06922497221268</v>
      </c>
      <c r="O37" s="28">
        <f t="shared" si="3"/>
        <v>0</v>
      </c>
      <c r="P37" s="28">
        <f t="shared" si="3"/>
        <v>0.42699977089903335</v>
      </c>
      <c r="Q37" s="28">
        <f t="shared" si="3"/>
        <v>0.20980278869673655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324</v>
      </c>
      <c r="B9" s="55">
        <v>95.46</v>
      </c>
      <c r="C9" s="5" t="s">
        <v>14</v>
      </c>
      <c r="D9" s="55">
        <v>66.12</v>
      </c>
      <c r="E9" s="55">
        <v>5.7</v>
      </c>
      <c r="F9" s="55">
        <v>3.37</v>
      </c>
      <c r="G9" s="55">
        <v>64.83</v>
      </c>
      <c r="H9" s="55">
        <v>32.049999999999997</v>
      </c>
      <c r="I9" s="55">
        <v>6.05</v>
      </c>
      <c r="J9" s="55">
        <v>0.64</v>
      </c>
      <c r="K9" s="55">
        <v>335.52</v>
      </c>
      <c r="L9" s="55">
        <v>16.079999999999998</v>
      </c>
      <c r="M9" s="55">
        <v>76.819999999999993</v>
      </c>
      <c r="N9" s="55">
        <v>42.2</v>
      </c>
      <c r="O9" s="55">
        <v>0</v>
      </c>
      <c r="P9" s="55">
        <v>1.86</v>
      </c>
      <c r="Q9" s="55">
        <v>9.81</v>
      </c>
      <c r="R9" s="43"/>
      <c r="S9" s="43"/>
      <c r="T9" s="43"/>
      <c r="U9" s="43"/>
    </row>
    <row r="10" spans="1:21" s="11" customFormat="1" x14ac:dyDescent="0.25">
      <c r="A10" s="54" t="s">
        <v>325</v>
      </c>
      <c r="B10" s="55">
        <v>80.38</v>
      </c>
      <c r="C10" s="5" t="s">
        <v>14</v>
      </c>
      <c r="D10" s="55">
        <v>56.93</v>
      </c>
      <c r="E10" s="55">
        <v>5.6</v>
      </c>
      <c r="F10" s="55">
        <v>3.43</v>
      </c>
      <c r="G10" s="55">
        <v>117.53</v>
      </c>
      <c r="H10" s="55">
        <v>37.99</v>
      </c>
      <c r="I10" s="55">
        <v>5.92</v>
      </c>
      <c r="J10" s="55">
        <v>0.15</v>
      </c>
      <c r="K10" s="55">
        <v>340.75</v>
      </c>
      <c r="L10" s="55">
        <v>15.54</v>
      </c>
      <c r="M10" s="55">
        <v>92.45</v>
      </c>
      <c r="N10" s="55">
        <v>42.2</v>
      </c>
      <c r="O10" s="55">
        <v>0</v>
      </c>
      <c r="P10" s="55">
        <v>1.64</v>
      </c>
      <c r="Q10" s="55">
        <v>9.77</v>
      </c>
      <c r="R10" s="43"/>
      <c r="S10" s="43"/>
      <c r="T10" s="43"/>
      <c r="U10" s="43"/>
    </row>
    <row r="11" spans="1:21" s="11" customFormat="1" x14ac:dyDescent="0.25">
      <c r="A11" s="54" t="s">
        <v>326</v>
      </c>
      <c r="B11" s="55">
        <v>69.02</v>
      </c>
      <c r="C11" s="5" t="s">
        <v>14</v>
      </c>
      <c r="D11" s="55">
        <v>49.65</v>
      </c>
      <c r="E11" s="55">
        <v>5.39</v>
      </c>
      <c r="F11" s="55">
        <v>3.97</v>
      </c>
      <c r="G11" s="55">
        <v>118.48</v>
      </c>
      <c r="H11" s="55">
        <v>38.72</v>
      </c>
      <c r="I11" s="55">
        <v>6.44</v>
      </c>
      <c r="J11" s="55">
        <v>0.11</v>
      </c>
      <c r="K11" s="55">
        <v>325.69</v>
      </c>
      <c r="L11" s="55">
        <v>14.37</v>
      </c>
      <c r="M11" s="55">
        <v>97.82</v>
      </c>
      <c r="N11" s="55">
        <v>42.1</v>
      </c>
      <c r="O11" s="55">
        <v>0</v>
      </c>
      <c r="P11" s="55">
        <v>1.69</v>
      </c>
      <c r="Q11" s="55">
        <v>9.75</v>
      </c>
      <c r="R11" s="43"/>
      <c r="S11" s="43"/>
      <c r="T11" s="43"/>
      <c r="U11" s="43"/>
    </row>
    <row r="12" spans="1:21" s="11" customFormat="1" x14ac:dyDescent="0.25">
      <c r="A12" s="54" t="s">
        <v>327</v>
      </c>
      <c r="B12" s="55">
        <v>60.71</v>
      </c>
      <c r="C12" s="5" t="s">
        <v>14</v>
      </c>
      <c r="D12" s="55">
        <v>44.71</v>
      </c>
      <c r="E12" s="55">
        <v>5.44</v>
      </c>
      <c r="F12" s="55">
        <v>3.7</v>
      </c>
      <c r="G12" s="55">
        <v>118.48</v>
      </c>
      <c r="H12" s="55">
        <v>41.35</v>
      </c>
      <c r="I12" s="55">
        <v>6.31</v>
      </c>
      <c r="J12" s="55">
        <v>0.08</v>
      </c>
      <c r="K12" s="55">
        <v>314.89</v>
      </c>
      <c r="L12" s="55">
        <v>13.88</v>
      </c>
      <c r="M12" s="55">
        <v>97.87</v>
      </c>
      <c r="N12" s="55">
        <v>42</v>
      </c>
      <c r="O12" s="55">
        <v>0</v>
      </c>
      <c r="P12" s="55">
        <v>1.67</v>
      </c>
      <c r="Q12" s="55">
        <v>9.7200000000000006</v>
      </c>
      <c r="R12" s="43"/>
      <c r="S12" s="43"/>
      <c r="T12" s="43"/>
      <c r="U12" s="43"/>
    </row>
    <row r="13" spans="1:21" s="11" customFormat="1" x14ac:dyDescent="0.25">
      <c r="A13" s="54" t="s">
        <v>328</v>
      </c>
      <c r="B13" s="55">
        <v>52.02</v>
      </c>
      <c r="C13" s="5" t="s">
        <v>14</v>
      </c>
      <c r="D13" s="55">
        <v>39.299999999999997</v>
      </c>
      <c r="E13" s="55">
        <v>5.39</v>
      </c>
      <c r="F13" s="55">
        <v>3.56</v>
      </c>
      <c r="G13" s="55">
        <v>98.03</v>
      </c>
      <c r="H13" s="55">
        <v>41.35</v>
      </c>
      <c r="I13" s="55">
        <v>5.87</v>
      </c>
      <c r="J13" s="55">
        <v>0.11</v>
      </c>
      <c r="K13" s="55">
        <v>288.18</v>
      </c>
      <c r="L13" s="55">
        <v>13.75</v>
      </c>
      <c r="M13" s="55">
        <v>89.21</v>
      </c>
      <c r="N13" s="55">
        <v>42</v>
      </c>
      <c r="O13" s="55">
        <v>0</v>
      </c>
      <c r="P13" s="55">
        <v>1.56</v>
      </c>
      <c r="Q13" s="55">
        <v>9.7100000000000009</v>
      </c>
      <c r="R13" s="43"/>
      <c r="S13" s="43"/>
      <c r="T13" s="43"/>
      <c r="U13" s="43"/>
    </row>
    <row r="14" spans="1:21" s="11" customFormat="1" x14ac:dyDescent="0.25">
      <c r="A14" s="54" t="s">
        <v>329</v>
      </c>
      <c r="B14" s="55">
        <v>45.41</v>
      </c>
      <c r="C14" s="5" t="s">
        <v>14</v>
      </c>
      <c r="D14" s="55">
        <v>35.28</v>
      </c>
      <c r="E14" s="55">
        <v>5.0599999999999996</v>
      </c>
      <c r="F14" s="55">
        <v>3.3</v>
      </c>
      <c r="G14" s="55">
        <v>73.84</v>
      </c>
      <c r="H14" s="55">
        <v>37.49</v>
      </c>
      <c r="I14" s="55">
        <v>5.53</v>
      </c>
      <c r="J14" s="55">
        <v>0.13</v>
      </c>
      <c r="K14" s="55">
        <v>321.74</v>
      </c>
      <c r="L14" s="55">
        <v>13.45</v>
      </c>
      <c r="M14" s="55">
        <v>98.02</v>
      </c>
      <c r="N14" s="55">
        <v>42.8</v>
      </c>
      <c r="O14" s="55">
        <v>0</v>
      </c>
      <c r="P14" s="55">
        <v>1.34</v>
      </c>
      <c r="Q14" s="55">
        <v>9.6999999999999993</v>
      </c>
      <c r="R14" s="43"/>
      <c r="S14" s="43"/>
      <c r="T14" s="43"/>
      <c r="U14" s="43"/>
    </row>
    <row r="15" spans="1:21" s="11" customFormat="1" x14ac:dyDescent="0.25">
      <c r="A15" s="54" t="s">
        <v>330</v>
      </c>
      <c r="B15" s="55">
        <v>45.06</v>
      </c>
      <c r="C15" s="5" t="s">
        <v>14</v>
      </c>
      <c r="D15" s="55">
        <v>34.869999999999997</v>
      </c>
      <c r="E15" s="55">
        <v>5.16</v>
      </c>
      <c r="F15" s="55">
        <v>3.04</v>
      </c>
      <c r="G15" s="55">
        <v>76.489999999999995</v>
      </c>
      <c r="H15" s="55">
        <v>33.76</v>
      </c>
      <c r="I15" s="55">
        <v>5.26</v>
      </c>
      <c r="J15" s="55">
        <v>0.14000000000000001</v>
      </c>
      <c r="K15" s="55">
        <v>334.11</v>
      </c>
      <c r="L15" s="55">
        <v>13.68</v>
      </c>
      <c r="M15" s="55">
        <v>98.03</v>
      </c>
      <c r="N15" s="55">
        <v>90.7</v>
      </c>
      <c r="O15" s="55">
        <v>0</v>
      </c>
      <c r="P15" s="55">
        <v>1.19</v>
      </c>
      <c r="Q15" s="55">
        <v>9.69</v>
      </c>
      <c r="R15" s="43"/>
      <c r="S15" s="43"/>
      <c r="T15" s="43"/>
      <c r="U15" s="43"/>
    </row>
    <row r="16" spans="1:21" s="11" customFormat="1" x14ac:dyDescent="0.25">
      <c r="A16" s="54" t="s">
        <v>331</v>
      </c>
      <c r="B16" s="55">
        <v>46.6</v>
      </c>
      <c r="C16" s="5" t="s">
        <v>14</v>
      </c>
      <c r="D16" s="55">
        <v>35.81</v>
      </c>
      <c r="E16" s="55">
        <v>5.34</v>
      </c>
      <c r="F16" s="55">
        <v>3.38</v>
      </c>
      <c r="G16" s="55">
        <v>76.489999999999995</v>
      </c>
      <c r="H16" s="55">
        <v>32.08</v>
      </c>
      <c r="I16" s="55">
        <v>5.1100000000000003</v>
      </c>
      <c r="J16" s="55">
        <v>0.54</v>
      </c>
      <c r="K16" s="55">
        <v>136.15</v>
      </c>
      <c r="L16" s="55">
        <v>19.149999999999999</v>
      </c>
      <c r="M16" s="55">
        <v>96.85</v>
      </c>
      <c r="N16" s="55">
        <v>330.4</v>
      </c>
      <c r="O16" s="55">
        <v>0</v>
      </c>
      <c r="P16" s="55">
        <v>1.22</v>
      </c>
      <c r="Q16" s="55">
        <v>9.69</v>
      </c>
      <c r="R16" s="43"/>
      <c r="S16" s="43"/>
      <c r="T16" s="43"/>
      <c r="U16" s="43"/>
    </row>
    <row r="17" spans="1:21" s="11" customFormat="1" x14ac:dyDescent="0.25">
      <c r="A17" s="54" t="s">
        <v>332</v>
      </c>
      <c r="B17" s="55">
        <v>43.05</v>
      </c>
      <c r="C17" s="55">
        <v>2.58</v>
      </c>
      <c r="D17" s="55">
        <v>34.28</v>
      </c>
      <c r="E17" s="55">
        <v>5.82</v>
      </c>
      <c r="F17" s="55">
        <v>3.58</v>
      </c>
      <c r="G17" s="55">
        <v>100.29</v>
      </c>
      <c r="H17" s="55">
        <v>29.99</v>
      </c>
      <c r="I17" s="55">
        <v>5.1100000000000003</v>
      </c>
      <c r="J17" s="55">
        <v>0.62</v>
      </c>
      <c r="K17" s="55">
        <v>342.93</v>
      </c>
      <c r="L17" s="55">
        <v>26.06</v>
      </c>
      <c r="M17" s="55">
        <v>46.94</v>
      </c>
      <c r="N17" s="55">
        <v>510.6</v>
      </c>
      <c r="O17" s="55">
        <v>0</v>
      </c>
      <c r="P17" s="55">
        <v>1.19</v>
      </c>
      <c r="Q17" s="55">
        <v>9.69</v>
      </c>
      <c r="R17" s="43"/>
      <c r="S17" s="43"/>
      <c r="T17" s="43"/>
      <c r="U17" s="43"/>
    </row>
    <row r="18" spans="1:21" s="11" customFormat="1" x14ac:dyDescent="0.25">
      <c r="A18" s="54" t="s">
        <v>333</v>
      </c>
      <c r="B18" s="55">
        <v>39.69</v>
      </c>
      <c r="C18" s="55">
        <v>6.51</v>
      </c>
      <c r="D18" s="55">
        <v>33.46</v>
      </c>
      <c r="E18" s="55">
        <v>5.67</v>
      </c>
      <c r="F18" s="55">
        <v>3.81</v>
      </c>
      <c r="G18" s="55">
        <v>100.29</v>
      </c>
      <c r="H18" s="55">
        <v>29.99</v>
      </c>
      <c r="I18" s="55">
        <v>4.95</v>
      </c>
      <c r="J18" s="55">
        <v>0.93</v>
      </c>
      <c r="K18" s="55">
        <v>338.48</v>
      </c>
      <c r="L18" s="55">
        <v>27.31</v>
      </c>
      <c r="M18" s="55">
        <v>28.76</v>
      </c>
      <c r="N18" s="55">
        <v>665.4</v>
      </c>
      <c r="O18" s="55">
        <v>0</v>
      </c>
      <c r="P18" s="55">
        <v>1.17</v>
      </c>
      <c r="Q18" s="55">
        <v>9.68</v>
      </c>
      <c r="R18" s="43"/>
      <c r="S18" s="43"/>
      <c r="T18" s="43"/>
      <c r="U18" s="43"/>
    </row>
    <row r="19" spans="1:21" s="11" customFormat="1" x14ac:dyDescent="0.25">
      <c r="A19" s="54" t="s">
        <v>334</v>
      </c>
      <c r="B19" s="55">
        <v>33.39</v>
      </c>
      <c r="C19" s="55">
        <v>10.44</v>
      </c>
      <c r="D19" s="55">
        <v>30.13</v>
      </c>
      <c r="E19" s="55">
        <v>5.6</v>
      </c>
      <c r="F19" s="55">
        <v>3.4</v>
      </c>
      <c r="G19" s="55">
        <v>85.43</v>
      </c>
      <c r="H19" s="55">
        <v>29.8</v>
      </c>
      <c r="I19" s="55">
        <v>4.6399999999999997</v>
      </c>
      <c r="J19" s="55">
        <v>0.56999999999999995</v>
      </c>
      <c r="K19" s="55">
        <v>349.92</v>
      </c>
      <c r="L19" s="55">
        <v>27.98</v>
      </c>
      <c r="M19" s="55">
        <v>26.83</v>
      </c>
      <c r="N19" s="55">
        <v>742.8</v>
      </c>
      <c r="O19" s="55">
        <v>0</v>
      </c>
      <c r="P19" s="55">
        <v>1.06</v>
      </c>
      <c r="Q19" s="55">
        <v>9.67</v>
      </c>
      <c r="R19" s="43"/>
      <c r="S19" s="43"/>
      <c r="T19" s="43"/>
      <c r="U19" s="43"/>
    </row>
    <row r="20" spans="1:21" s="11" customFormat="1" x14ac:dyDescent="0.25">
      <c r="A20" s="54" t="s">
        <v>335</v>
      </c>
      <c r="B20" s="55">
        <v>25.14</v>
      </c>
      <c r="C20" s="55">
        <v>16.16</v>
      </c>
      <c r="D20" s="55">
        <v>25.78</v>
      </c>
      <c r="E20" s="55">
        <v>6.69</v>
      </c>
      <c r="F20" s="55">
        <v>5.4</v>
      </c>
      <c r="G20" s="55">
        <v>53.19</v>
      </c>
      <c r="H20" s="55">
        <v>24.74</v>
      </c>
      <c r="I20" s="55">
        <v>4.3099999999999996</v>
      </c>
      <c r="J20" s="55">
        <v>0.3</v>
      </c>
      <c r="K20" s="55">
        <v>99.26</v>
      </c>
      <c r="L20" s="55">
        <v>28.22</v>
      </c>
      <c r="M20" s="55">
        <v>23.74</v>
      </c>
      <c r="N20" s="55">
        <v>748.1</v>
      </c>
      <c r="O20" s="55">
        <v>0</v>
      </c>
      <c r="P20" s="55">
        <v>0.97</v>
      </c>
      <c r="Q20" s="55">
        <v>9.64</v>
      </c>
      <c r="R20" s="43"/>
      <c r="S20" s="43"/>
      <c r="T20" s="43"/>
      <c r="U20" s="43"/>
    </row>
    <row r="21" spans="1:21" s="11" customFormat="1" x14ac:dyDescent="0.25">
      <c r="A21" s="54" t="s">
        <v>336</v>
      </c>
      <c r="B21" s="55">
        <v>17.27</v>
      </c>
      <c r="C21" s="55">
        <v>20.97</v>
      </c>
      <c r="D21" s="55">
        <v>22.02</v>
      </c>
      <c r="E21" s="55">
        <v>10.01</v>
      </c>
      <c r="F21" s="55">
        <v>11.47</v>
      </c>
      <c r="G21" s="55">
        <v>45.29</v>
      </c>
      <c r="H21" s="55">
        <v>23.78</v>
      </c>
      <c r="I21" s="55">
        <v>4.6399999999999997</v>
      </c>
      <c r="J21" s="55">
        <v>0.7</v>
      </c>
      <c r="K21" s="55">
        <v>343.18</v>
      </c>
      <c r="L21" s="55">
        <v>27.53</v>
      </c>
      <c r="M21" s="55">
        <v>22.84</v>
      </c>
      <c r="N21" s="55">
        <v>670.4</v>
      </c>
      <c r="O21" s="55">
        <v>0</v>
      </c>
      <c r="P21" s="55">
        <v>0.91</v>
      </c>
      <c r="Q21" s="55">
        <v>9.6</v>
      </c>
      <c r="R21" s="43"/>
      <c r="S21" s="43"/>
      <c r="T21" s="43"/>
      <c r="U21" s="43"/>
    </row>
    <row r="22" spans="1:21" s="11" customFormat="1" x14ac:dyDescent="0.25">
      <c r="A22" s="54" t="s">
        <v>337</v>
      </c>
      <c r="B22" s="55">
        <v>12.91</v>
      </c>
      <c r="C22" s="55">
        <v>20.399999999999999</v>
      </c>
      <c r="D22" s="55">
        <v>20.07</v>
      </c>
      <c r="E22" s="55">
        <v>8.5500000000000007</v>
      </c>
      <c r="F22" s="55">
        <v>7.34</v>
      </c>
      <c r="G22" s="55">
        <v>45.27</v>
      </c>
      <c r="H22" s="55">
        <v>20.7</v>
      </c>
      <c r="I22" s="55">
        <v>4.41</v>
      </c>
      <c r="J22" s="55">
        <v>1.0900000000000001</v>
      </c>
      <c r="K22" s="55">
        <v>342.57</v>
      </c>
      <c r="L22" s="55">
        <v>26.9</v>
      </c>
      <c r="M22" s="55">
        <v>22.6</v>
      </c>
      <c r="N22" s="55">
        <v>484</v>
      </c>
      <c r="O22" s="55">
        <v>0</v>
      </c>
      <c r="P22" s="55">
        <v>0.85</v>
      </c>
      <c r="Q22" s="55">
        <v>9.43</v>
      </c>
      <c r="R22" s="43"/>
      <c r="S22" s="43"/>
      <c r="T22" s="43"/>
      <c r="U22" s="43"/>
    </row>
    <row r="23" spans="1:21" s="11" customFormat="1" x14ac:dyDescent="0.25">
      <c r="A23" s="54" t="s">
        <v>338</v>
      </c>
      <c r="B23" s="55">
        <v>9.15</v>
      </c>
      <c r="C23" s="55">
        <v>23.84</v>
      </c>
      <c r="D23" s="55">
        <v>17.61</v>
      </c>
      <c r="E23" s="55">
        <v>11.58</v>
      </c>
      <c r="F23" s="55">
        <v>11.25</v>
      </c>
      <c r="G23" s="55">
        <v>47.53</v>
      </c>
      <c r="H23" s="55">
        <v>18.45</v>
      </c>
      <c r="I23" s="55">
        <v>4.05</v>
      </c>
      <c r="J23" s="55">
        <v>0.45</v>
      </c>
      <c r="K23" s="55">
        <v>344.84</v>
      </c>
      <c r="L23" s="55">
        <v>26.81</v>
      </c>
      <c r="M23" s="55">
        <v>22.05</v>
      </c>
      <c r="N23" s="55">
        <v>151.6</v>
      </c>
      <c r="O23" s="55">
        <v>0</v>
      </c>
      <c r="P23" s="55">
        <v>0.81</v>
      </c>
      <c r="Q23" s="55">
        <v>9.33</v>
      </c>
      <c r="R23" s="43"/>
      <c r="S23" s="43"/>
      <c r="T23" s="43"/>
      <c r="U23" s="43"/>
    </row>
    <row r="24" spans="1:21" s="11" customFormat="1" x14ac:dyDescent="0.25">
      <c r="A24" s="54" t="s">
        <v>339</v>
      </c>
      <c r="B24" s="55">
        <v>11.49</v>
      </c>
      <c r="C24" s="55">
        <v>37.99</v>
      </c>
      <c r="D24" s="55">
        <v>28.6</v>
      </c>
      <c r="E24" s="55">
        <v>21.52</v>
      </c>
      <c r="F24" s="55">
        <v>26.96</v>
      </c>
      <c r="G24" s="55">
        <v>47.53</v>
      </c>
      <c r="H24" s="55">
        <v>18.45</v>
      </c>
      <c r="I24" s="55">
        <v>3.73</v>
      </c>
      <c r="J24" s="55">
        <v>0.63</v>
      </c>
      <c r="K24" s="55">
        <v>344.01</v>
      </c>
      <c r="L24" s="55">
        <v>25.61</v>
      </c>
      <c r="M24" s="55">
        <v>26.13</v>
      </c>
      <c r="N24" s="55">
        <v>108.9</v>
      </c>
      <c r="O24" s="55">
        <v>0</v>
      </c>
      <c r="P24" s="55">
        <v>0.83</v>
      </c>
      <c r="Q24" s="55">
        <v>9.27</v>
      </c>
      <c r="R24" s="43"/>
      <c r="S24" s="43"/>
      <c r="T24" s="43"/>
      <c r="U24" s="43"/>
    </row>
    <row r="25" spans="1:21" s="11" customFormat="1" x14ac:dyDescent="0.25">
      <c r="A25" s="54" t="s">
        <v>340</v>
      </c>
      <c r="B25" s="55">
        <v>9.9700000000000006</v>
      </c>
      <c r="C25" s="55">
        <v>30.42</v>
      </c>
      <c r="D25" s="55">
        <v>23.43</v>
      </c>
      <c r="E25" s="55">
        <v>19.04</v>
      </c>
      <c r="F25" s="55">
        <v>14.79</v>
      </c>
      <c r="G25" s="55">
        <v>43.12</v>
      </c>
      <c r="H25" s="55">
        <v>17.850000000000001</v>
      </c>
      <c r="I25" s="55">
        <v>3.74</v>
      </c>
      <c r="J25" s="55">
        <v>0.87</v>
      </c>
      <c r="K25" s="55">
        <v>342.92</v>
      </c>
      <c r="L25" s="55">
        <v>24.78</v>
      </c>
      <c r="M25" s="55">
        <v>29.08</v>
      </c>
      <c r="N25" s="55">
        <v>79</v>
      </c>
      <c r="O25" s="55">
        <v>0</v>
      </c>
      <c r="P25" s="55">
        <v>0.91</v>
      </c>
      <c r="Q25" s="55">
        <v>9.3000000000000007</v>
      </c>
      <c r="R25" s="43"/>
      <c r="S25" s="43"/>
      <c r="T25" s="43"/>
      <c r="U25" s="43"/>
    </row>
    <row r="26" spans="1:21" s="11" customFormat="1" x14ac:dyDescent="0.25">
      <c r="A26" s="54" t="s">
        <v>341</v>
      </c>
      <c r="B26" s="55">
        <v>13.21</v>
      </c>
      <c r="C26" s="55">
        <v>21.91</v>
      </c>
      <c r="D26" s="55">
        <v>21.58</v>
      </c>
      <c r="E26" s="55">
        <v>6.61</v>
      </c>
      <c r="F26" s="55">
        <v>5.1100000000000003</v>
      </c>
      <c r="G26" s="55">
        <v>48.75</v>
      </c>
      <c r="H26" s="55">
        <v>17.510000000000002</v>
      </c>
      <c r="I26" s="55">
        <v>4.13</v>
      </c>
      <c r="J26" s="55">
        <v>0.54</v>
      </c>
      <c r="K26" s="55">
        <v>340.47</v>
      </c>
      <c r="L26" s="55">
        <v>22.97</v>
      </c>
      <c r="M26" s="55">
        <v>40.729999999999997</v>
      </c>
      <c r="N26" s="55">
        <v>47.1</v>
      </c>
      <c r="O26" s="55">
        <v>0</v>
      </c>
      <c r="P26" s="55">
        <v>0.98</v>
      </c>
      <c r="Q26" s="55">
        <v>9.34</v>
      </c>
      <c r="R26" s="43"/>
      <c r="S26" s="43"/>
      <c r="T26" s="43"/>
      <c r="U26" s="43"/>
    </row>
    <row r="27" spans="1:21" s="11" customFormat="1" x14ac:dyDescent="0.25">
      <c r="A27" s="54" t="s">
        <v>342</v>
      </c>
      <c r="B27" s="55">
        <v>19.93</v>
      </c>
      <c r="C27" s="55">
        <v>18.64</v>
      </c>
      <c r="D27" s="55">
        <v>23.57</v>
      </c>
      <c r="E27" s="55">
        <v>5.69</v>
      </c>
      <c r="F27" s="55">
        <v>3.31</v>
      </c>
      <c r="G27" s="55">
        <v>107.59</v>
      </c>
      <c r="H27" s="55">
        <v>26.24</v>
      </c>
      <c r="I27" s="55">
        <v>5.21</v>
      </c>
      <c r="J27" s="55">
        <v>0.12</v>
      </c>
      <c r="K27" s="55">
        <v>328.07</v>
      </c>
      <c r="L27" s="55">
        <v>20.37</v>
      </c>
      <c r="M27" s="55">
        <v>55.41</v>
      </c>
      <c r="N27" s="55">
        <v>42.7</v>
      </c>
      <c r="O27" s="55">
        <v>0</v>
      </c>
      <c r="P27" s="55">
        <v>1.1200000000000001</v>
      </c>
      <c r="Q27" s="55">
        <v>9.51</v>
      </c>
      <c r="R27" s="43"/>
      <c r="S27" s="43"/>
      <c r="T27" s="43"/>
      <c r="U27" s="43"/>
    </row>
    <row r="28" spans="1:21" s="11" customFormat="1" x14ac:dyDescent="0.25">
      <c r="A28" s="54" t="s">
        <v>343</v>
      </c>
      <c r="B28" s="55">
        <v>75.08</v>
      </c>
      <c r="C28" s="55">
        <v>11.06</v>
      </c>
      <c r="D28" s="55">
        <v>59.5</v>
      </c>
      <c r="E28" s="55">
        <v>6.58</v>
      </c>
      <c r="F28" s="55">
        <v>4.17</v>
      </c>
      <c r="G28" s="55">
        <v>133.02000000000001</v>
      </c>
      <c r="H28" s="55">
        <v>35.49</v>
      </c>
      <c r="I28" s="55">
        <v>6.04</v>
      </c>
      <c r="J28" s="55">
        <v>0.1</v>
      </c>
      <c r="K28" s="55">
        <v>318.39999999999998</v>
      </c>
      <c r="L28" s="55">
        <v>18.59</v>
      </c>
      <c r="M28" s="55">
        <v>68.849999999999994</v>
      </c>
      <c r="N28" s="55">
        <v>42.5</v>
      </c>
      <c r="O28" s="55">
        <v>0</v>
      </c>
      <c r="P28" s="55">
        <v>1.97</v>
      </c>
      <c r="Q28" s="55">
        <v>9.66</v>
      </c>
      <c r="R28" s="43"/>
      <c r="S28" s="43"/>
      <c r="T28" s="43"/>
      <c r="U28" s="43"/>
    </row>
    <row r="29" spans="1:21" s="11" customFormat="1" x14ac:dyDescent="0.25">
      <c r="A29" s="54" t="s">
        <v>344</v>
      </c>
      <c r="B29" s="55">
        <v>108.4</v>
      </c>
      <c r="C29" s="55">
        <v>1.02</v>
      </c>
      <c r="D29" s="55">
        <v>79.3</v>
      </c>
      <c r="E29" s="55">
        <v>7.26</v>
      </c>
      <c r="F29" s="55">
        <v>4.43</v>
      </c>
      <c r="G29" s="55">
        <v>167.01</v>
      </c>
      <c r="H29" s="55">
        <v>46.44</v>
      </c>
      <c r="I29" s="55">
        <v>8.1999999999999993</v>
      </c>
      <c r="J29" s="55">
        <v>0.18</v>
      </c>
      <c r="K29" s="55">
        <v>307.72000000000003</v>
      </c>
      <c r="L29" s="55">
        <v>17.84</v>
      </c>
      <c r="M29" s="55">
        <v>83.46</v>
      </c>
      <c r="N29" s="55">
        <v>42.4</v>
      </c>
      <c r="O29" s="55">
        <v>0</v>
      </c>
      <c r="P29" s="55">
        <v>2.73</v>
      </c>
      <c r="Q29" s="55">
        <v>9.73</v>
      </c>
      <c r="R29" s="43"/>
      <c r="S29" s="43"/>
      <c r="T29" s="43"/>
      <c r="U29" s="43"/>
    </row>
    <row r="30" spans="1:21" s="11" customFormat="1" x14ac:dyDescent="0.25">
      <c r="A30" s="54" t="s">
        <v>345</v>
      </c>
      <c r="B30" s="55">
        <v>108.4</v>
      </c>
      <c r="C30" s="55">
        <v>0.06</v>
      </c>
      <c r="D30" s="55">
        <v>77.91</v>
      </c>
      <c r="E30" s="55">
        <v>7.23</v>
      </c>
      <c r="F30" s="55">
        <v>4.1100000000000003</v>
      </c>
      <c r="G30" s="55">
        <v>185.26</v>
      </c>
      <c r="H30" s="55">
        <v>58.62</v>
      </c>
      <c r="I30" s="55">
        <v>9.7100000000000009</v>
      </c>
      <c r="J30" s="55">
        <v>0.15</v>
      </c>
      <c r="K30" s="55">
        <v>324.92</v>
      </c>
      <c r="L30" s="55">
        <v>16.73</v>
      </c>
      <c r="M30" s="55">
        <v>88.12</v>
      </c>
      <c r="N30" s="55">
        <v>42.4</v>
      </c>
      <c r="O30" s="55">
        <v>0</v>
      </c>
      <c r="P30" s="55">
        <v>2.62</v>
      </c>
      <c r="Q30" s="55">
        <v>9.81</v>
      </c>
      <c r="R30" s="43"/>
      <c r="S30" s="43"/>
      <c r="T30" s="43"/>
      <c r="U30" s="43"/>
    </row>
    <row r="31" spans="1:21" s="11" customFormat="1" x14ac:dyDescent="0.25">
      <c r="A31" s="54" t="s">
        <v>346</v>
      </c>
      <c r="B31" s="55">
        <v>108.91</v>
      </c>
      <c r="C31" s="5" t="s">
        <v>14</v>
      </c>
      <c r="D31" s="55">
        <v>74.11</v>
      </c>
      <c r="E31" s="55">
        <v>6.63</v>
      </c>
      <c r="F31" s="55">
        <v>3.69</v>
      </c>
      <c r="G31" s="55">
        <v>185.26</v>
      </c>
      <c r="H31" s="55">
        <v>60.98</v>
      </c>
      <c r="I31" s="55">
        <v>10.24</v>
      </c>
      <c r="J31" s="55">
        <v>0.11</v>
      </c>
      <c r="K31" s="55">
        <v>314.33</v>
      </c>
      <c r="L31" s="55">
        <v>16.5</v>
      </c>
      <c r="M31" s="55">
        <v>86.22</v>
      </c>
      <c r="N31" s="55">
        <v>42.4</v>
      </c>
      <c r="O31" s="55">
        <v>0</v>
      </c>
      <c r="P31" s="55">
        <v>2.65</v>
      </c>
      <c r="Q31" s="55">
        <v>9.82</v>
      </c>
      <c r="R31" s="43"/>
      <c r="S31" s="43"/>
      <c r="T31" s="43"/>
      <c r="U31" s="43"/>
    </row>
    <row r="32" spans="1:21" s="11" customFormat="1" x14ac:dyDescent="0.25">
      <c r="A32" s="54" t="s">
        <v>347</v>
      </c>
      <c r="B32" s="55">
        <v>107.08</v>
      </c>
      <c r="C32" s="5" t="s">
        <v>14</v>
      </c>
      <c r="D32" s="55">
        <v>72.510000000000005</v>
      </c>
      <c r="E32" s="55">
        <v>6.46</v>
      </c>
      <c r="F32" s="55">
        <v>3.61</v>
      </c>
      <c r="G32" s="55">
        <v>151.61000000000001</v>
      </c>
      <c r="H32" s="55">
        <v>60.98</v>
      </c>
      <c r="I32" s="55">
        <v>9.5299999999999994</v>
      </c>
      <c r="J32" s="55">
        <v>0.13</v>
      </c>
      <c r="K32" s="55">
        <v>314.36</v>
      </c>
      <c r="L32" s="55">
        <v>15.52</v>
      </c>
      <c r="M32" s="55">
        <v>91.51</v>
      </c>
      <c r="N32" s="55">
        <v>42.3</v>
      </c>
      <c r="O32" s="55">
        <v>0</v>
      </c>
      <c r="P32" s="55">
        <v>2.57</v>
      </c>
      <c r="Q32" s="55">
        <v>9.84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9.15</v>
      </c>
      <c r="C34" s="28">
        <f t="shared" si="0"/>
        <v>0.06</v>
      </c>
      <c r="D34" s="28">
        <f t="shared" si="0"/>
        <v>17.61</v>
      </c>
      <c r="E34" s="28">
        <f t="shared" si="0"/>
        <v>5.0599999999999996</v>
      </c>
      <c r="F34" s="28">
        <f t="shared" si="0"/>
        <v>3.04</v>
      </c>
      <c r="G34" s="28">
        <f t="shared" si="0"/>
        <v>43.12</v>
      </c>
      <c r="H34" s="28">
        <f t="shared" si="0"/>
        <v>17.510000000000002</v>
      </c>
      <c r="I34" s="28">
        <f t="shared" si="0"/>
        <v>3.73</v>
      </c>
      <c r="J34" s="28">
        <f t="shared" si="0"/>
        <v>0.08</v>
      </c>
      <c r="K34" s="28">
        <f t="shared" si="0"/>
        <v>99.26</v>
      </c>
      <c r="L34" s="28">
        <f t="shared" si="0"/>
        <v>13.45</v>
      </c>
      <c r="M34" s="28">
        <f t="shared" si="0"/>
        <v>22.05</v>
      </c>
      <c r="N34" s="28">
        <f t="shared" si="0"/>
        <v>42</v>
      </c>
      <c r="O34" s="28">
        <f t="shared" si="0"/>
        <v>0</v>
      </c>
      <c r="P34" s="28">
        <f t="shared" si="0"/>
        <v>0.81</v>
      </c>
      <c r="Q34" s="28">
        <f t="shared" si="0"/>
        <v>9.27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108.91</v>
      </c>
      <c r="C35" s="29">
        <f t="shared" si="1"/>
        <v>37.99</v>
      </c>
      <c r="D35" s="29">
        <f t="shared" si="1"/>
        <v>79.3</v>
      </c>
      <c r="E35" s="29">
        <f t="shared" si="1"/>
        <v>21.52</v>
      </c>
      <c r="F35" s="29">
        <f t="shared" si="1"/>
        <v>26.96</v>
      </c>
      <c r="G35" s="29">
        <f t="shared" si="1"/>
        <v>185.26</v>
      </c>
      <c r="H35" s="29">
        <f t="shared" si="1"/>
        <v>60.98</v>
      </c>
      <c r="I35" s="29">
        <f t="shared" si="1"/>
        <v>10.24</v>
      </c>
      <c r="J35" s="29">
        <f t="shared" si="1"/>
        <v>1.0900000000000001</v>
      </c>
      <c r="K35" s="29">
        <f t="shared" si="1"/>
        <v>349.92</v>
      </c>
      <c r="L35" s="29">
        <f t="shared" si="1"/>
        <v>28.22</v>
      </c>
      <c r="M35" s="29">
        <f t="shared" si="1"/>
        <v>98.03</v>
      </c>
      <c r="N35" s="29">
        <f t="shared" si="1"/>
        <v>748.1</v>
      </c>
      <c r="O35" s="29">
        <f t="shared" si="1"/>
        <v>0</v>
      </c>
      <c r="P35" s="29">
        <f t="shared" si="1"/>
        <v>2.73</v>
      </c>
      <c r="Q35" s="29">
        <f t="shared" si="1"/>
        <v>9.84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51.572083333333325</v>
      </c>
      <c r="C36" s="28">
        <f t="shared" si="2"/>
        <v>15.857142857142859</v>
      </c>
      <c r="D36" s="28">
        <f t="shared" si="2"/>
        <v>41.938750000000006</v>
      </c>
      <c r="E36" s="28">
        <f t="shared" si="2"/>
        <v>7.6675000000000004</v>
      </c>
      <c r="F36" s="28">
        <f t="shared" si="2"/>
        <v>6.0075000000000012</v>
      </c>
      <c r="G36" s="28">
        <f t="shared" si="2"/>
        <v>95.442083333333343</v>
      </c>
      <c r="H36" s="28">
        <f t="shared" si="2"/>
        <v>33.950000000000003</v>
      </c>
      <c r="I36" s="28">
        <f t="shared" si="2"/>
        <v>5.7970833333333331</v>
      </c>
      <c r="J36" s="28">
        <f t="shared" si="2"/>
        <v>0.39125000000000004</v>
      </c>
      <c r="K36" s="28">
        <f t="shared" si="2"/>
        <v>312.22541666666666</v>
      </c>
      <c r="L36" s="28">
        <f t="shared" si="2"/>
        <v>20.400833333333335</v>
      </c>
      <c r="M36" s="28">
        <f t="shared" si="2"/>
        <v>62.930833333333339</v>
      </c>
      <c r="N36" s="28">
        <f t="shared" si="2"/>
        <v>214.04166666666663</v>
      </c>
      <c r="O36" s="28">
        <f t="shared" si="2"/>
        <v>0</v>
      </c>
      <c r="P36" s="28">
        <f t="shared" si="2"/>
        <v>1.4795833333333333</v>
      </c>
      <c r="Q36" s="28">
        <f t="shared" si="2"/>
        <v>9.6316666666666659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34.98679415202588</v>
      </c>
      <c r="C37" s="28">
        <f t="shared" ref="C37:Q37" si="3">STDEV(C9:C32)</f>
        <v>11.240785237128794</v>
      </c>
      <c r="D37" s="28">
        <f t="shared" si="3"/>
        <v>20.058172423684578</v>
      </c>
      <c r="E37" s="28">
        <f t="shared" si="3"/>
        <v>4.2041452111602569</v>
      </c>
      <c r="F37" s="28">
        <f t="shared" si="3"/>
        <v>5.4129492483504196</v>
      </c>
      <c r="G37" s="28">
        <f t="shared" si="3"/>
        <v>44.781113835417031</v>
      </c>
      <c r="H37" s="28">
        <f t="shared" si="3"/>
        <v>12.98547750708291</v>
      </c>
      <c r="I37" s="28">
        <f t="shared" si="3"/>
        <v>1.8544200527076011</v>
      </c>
      <c r="J37" s="28">
        <f t="shared" si="3"/>
        <v>0.31036181550206698</v>
      </c>
      <c r="K37" s="28">
        <f t="shared" si="3"/>
        <v>61.951798933712787</v>
      </c>
      <c r="L37" s="28">
        <f t="shared" si="3"/>
        <v>5.549085249070286</v>
      </c>
      <c r="M37" s="28">
        <f t="shared" si="3"/>
        <v>31.259074775128891</v>
      </c>
      <c r="N37" s="28">
        <f t="shared" si="3"/>
        <v>262.20079911772012</v>
      </c>
      <c r="O37" s="28">
        <f t="shared" si="3"/>
        <v>0</v>
      </c>
      <c r="P37" s="28">
        <f t="shared" si="3"/>
        <v>0.62559522381326682</v>
      </c>
      <c r="Q37" s="28">
        <f t="shared" si="3"/>
        <v>0.17347263076113309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COUNT(C9:C32)+10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348</v>
      </c>
      <c r="B9" s="55">
        <v>98.5</v>
      </c>
      <c r="C9" s="5" t="s">
        <v>14</v>
      </c>
      <c r="D9" s="55">
        <v>67.03</v>
      </c>
      <c r="E9" s="55">
        <v>6.49</v>
      </c>
      <c r="F9" s="55">
        <v>3.34</v>
      </c>
      <c r="G9" s="55">
        <v>110.2</v>
      </c>
      <c r="H9" s="55">
        <v>49.95</v>
      </c>
      <c r="I9" s="55">
        <v>9.0500000000000007</v>
      </c>
      <c r="J9" s="55">
        <v>0.21</v>
      </c>
      <c r="K9" s="55">
        <v>349.72</v>
      </c>
      <c r="L9" s="55">
        <v>15.07</v>
      </c>
      <c r="M9" s="55">
        <v>91.16</v>
      </c>
      <c r="N9" s="55">
        <v>42.2</v>
      </c>
      <c r="O9" s="55">
        <v>0</v>
      </c>
      <c r="P9" s="55">
        <v>2.38</v>
      </c>
      <c r="Q9" s="55">
        <v>9.8000000000000007</v>
      </c>
      <c r="R9" s="43"/>
      <c r="S9" s="43"/>
      <c r="T9" s="43"/>
      <c r="U9" s="43"/>
    </row>
    <row r="10" spans="1:21" s="11" customFormat="1" x14ac:dyDescent="0.25">
      <c r="A10" s="54" t="s">
        <v>349</v>
      </c>
      <c r="B10" s="55">
        <v>85.73</v>
      </c>
      <c r="C10" s="5" t="s">
        <v>14</v>
      </c>
      <c r="D10" s="55">
        <v>59.74</v>
      </c>
      <c r="E10" s="55">
        <v>6.22</v>
      </c>
      <c r="F10" s="55">
        <v>3.31</v>
      </c>
      <c r="G10" s="55">
        <v>83.61</v>
      </c>
      <c r="H10" s="55">
        <v>39.520000000000003</v>
      </c>
      <c r="I10" s="55">
        <v>8.6199999999999992</v>
      </c>
      <c r="J10" s="55">
        <v>7.0000000000000007E-2</v>
      </c>
      <c r="K10" s="55">
        <v>280.61</v>
      </c>
      <c r="L10" s="55">
        <v>15.21</v>
      </c>
      <c r="M10" s="55">
        <v>93.02</v>
      </c>
      <c r="N10" s="55">
        <v>42.3</v>
      </c>
      <c r="O10" s="55">
        <v>0</v>
      </c>
      <c r="P10" s="55">
        <v>1.91</v>
      </c>
      <c r="Q10" s="55">
        <v>9.77</v>
      </c>
      <c r="R10" s="43"/>
      <c r="S10" s="43"/>
      <c r="T10" s="43"/>
      <c r="U10" s="43"/>
    </row>
    <row r="11" spans="1:21" s="11" customFormat="1" x14ac:dyDescent="0.25">
      <c r="A11" s="54" t="s">
        <v>350</v>
      </c>
      <c r="B11" s="55">
        <v>72.39</v>
      </c>
      <c r="C11" s="5" t="s">
        <v>14</v>
      </c>
      <c r="D11" s="55">
        <v>51.9</v>
      </c>
      <c r="E11" s="55">
        <v>6.19</v>
      </c>
      <c r="F11" s="55">
        <v>3.43</v>
      </c>
      <c r="G11" s="55">
        <v>74.12</v>
      </c>
      <c r="H11" s="55">
        <v>35.15</v>
      </c>
      <c r="I11" s="55">
        <v>8.41</v>
      </c>
      <c r="J11" s="55">
        <v>0.09</v>
      </c>
      <c r="K11" s="55">
        <v>337.96</v>
      </c>
      <c r="L11" s="55">
        <v>14.65</v>
      </c>
      <c r="M11" s="55">
        <v>96.89</v>
      </c>
      <c r="N11" s="55">
        <v>42.3</v>
      </c>
      <c r="O11" s="55">
        <v>0</v>
      </c>
      <c r="P11" s="55">
        <v>1.77</v>
      </c>
      <c r="Q11" s="55">
        <v>9.75</v>
      </c>
      <c r="R11" s="43"/>
      <c r="S11" s="43"/>
      <c r="T11" s="43"/>
      <c r="U11" s="43"/>
    </row>
    <row r="12" spans="1:21" s="11" customFormat="1" x14ac:dyDescent="0.25">
      <c r="A12" s="54" t="s">
        <v>351</v>
      </c>
      <c r="B12" s="55">
        <v>61.81</v>
      </c>
      <c r="C12" s="5" t="s">
        <v>14</v>
      </c>
      <c r="D12" s="55">
        <v>45.45</v>
      </c>
      <c r="E12" s="55">
        <v>5.89</v>
      </c>
      <c r="F12" s="55">
        <v>3.3</v>
      </c>
      <c r="G12" s="55">
        <v>78.05</v>
      </c>
      <c r="H12" s="55">
        <v>36.1</v>
      </c>
      <c r="I12" s="55">
        <v>8.31</v>
      </c>
      <c r="J12" s="55">
        <v>0.09</v>
      </c>
      <c r="K12" s="55">
        <v>349.18</v>
      </c>
      <c r="L12" s="55">
        <v>14.49</v>
      </c>
      <c r="M12" s="55">
        <v>96.97</v>
      </c>
      <c r="N12" s="55">
        <v>42.4</v>
      </c>
      <c r="O12" s="55">
        <v>0</v>
      </c>
      <c r="P12" s="55">
        <v>1.56</v>
      </c>
      <c r="Q12" s="55">
        <v>9.7200000000000006</v>
      </c>
      <c r="R12" s="43"/>
      <c r="S12" s="43"/>
      <c r="T12" s="43"/>
      <c r="U12" s="43"/>
    </row>
    <row r="13" spans="1:21" s="11" customFormat="1" x14ac:dyDescent="0.25">
      <c r="A13" s="54" t="s">
        <v>352</v>
      </c>
      <c r="B13" s="55">
        <v>54.77</v>
      </c>
      <c r="C13" s="5" t="s">
        <v>14</v>
      </c>
      <c r="D13" s="55">
        <v>41.27</v>
      </c>
      <c r="E13" s="55">
        <v>5.83</v>
      </c>
      <c r="F13" s="55">
        <v>3.33</v>
      </c>
      <c r="G13" s="55">
        <v>98.07</v>
      </c>
      <c r="H13" s="55">
        <v>38.72</v>
      </c>
      <c r="I13" s="55">
        <v>8.02</v>
      </c>
      <c r="J13" s="55">
        <v>0.08</v>
      </c>
      <c r="K13" s="55">
        <v>327.2</v>
      </c>
      <c r="L13" s="55">
        <v>13.93</v>
      </c>
      <c r="M13" s="55">
        <v>97.13</v>
      </c>
      <c r="N13" s="55">
        <v>42.3</v>
      </c>
      <c r="O13" s="55">
        <v>0</v>
      </c>
      <c r="P13" s="55">
        <v>1.52</v>
      </c>
      <c r="Q13" s="55">
        <v>9.6999999999999993</v>
      </c>
      <c r="R13" s="43"/>
      <c r="S13" s="43"/>
      <c r="T13" s="43"/>
      <c r="U13" s="43"/>
    </row>
    <row r="14" spans="1:21" s="11" customFormat="1" x14ac:dyDescent="0.25">
      <c r="A14" s="54" t="s">
        <v>353</v>
      </c>
      <c r="B14" s="55">
        <v>56.45</v>
      </c>
      <c r="C14" s="5" t="s">
        <v>14</v>
      </c>
      <c r="D14" s="55">
        <v>42.42</v>
      </c>
      <c r="E14" s="55">
        <v>5.93</v>
      </c>
      <c r="F14" s="55">
        <v>3.51</v>
      </c>
      <c r="G14" s="55">
        <v>134.79</v>
      </c>
      <c r="H14" s="55">
        <v>43.93</v>
      </c>
      <c r="I14" s="55">
        <v>7.96</v>
      </c>
      <c r="J14" s="55">
        <v>0.1</v>
      </c>
      <c r="K14" s="55">
        <v>289.45999999999998</v>
      </c>
      <c r="L14" s="55">
        <v>13.96</v>
      </c>
      <c r="M14" s="55">
        <v>97.11</v>
      </c>
      <c r="N14" s="55">
        <v>42.7</v>
      </c>
      <c r="O14" s="55">
        <v>0</v>
      </c>
      <c r="P14" s="55">
        <v>1.61</v>
      </c>
      <c r="Q14" s="55">
        <v>9.7100000000000009</v>
      </c>
      <c r="R14" s="43"/>
      <c r="S14" s="43"/>
      <c r="T14" s="43"/>
      <c r="U14" s="43"/>
    </row>
    <row r="15" spans="1:21" s="11" customFormat="1" x14ac:dyDescent="0.25">
      <c r="A15" s="54" t="s">
        <v>354</v>
      </c>
      <c r="B15" s="55">
        <v>54.54</v>
      </c>
      <c r="C15" s="5" t="s">
        <v>14</v>
      </c>
      <c r="D15" s="55">
        <v>41.43</v>
      </c>
      <c r="E15" s="55">
        <v>6.04</v>
      </c>
      <c r="F15" s="55">
        <v>3.71</v>
      </c>
      <c r="G15" s="55">
        <v>143.18</v>
      </c>
      <c r="H15" s="55">
        <v>50.27</v>
      </c>
      <c r="I15" s="55">
        <v>7.97</v>
      </c>
      <c r="J15" s="55">
        <v>0.11</v>
      </c>
      <c r="K15" s="55">
        <v>321.20999999999998</v>
      </c>
      <c r="L15" s="55">
        <v>14.7</v>
      </c>
      <c r="M15" s="55">
        <v>90.54</v>
      </c>
      <c r="N15" s="55">
        <v>89.8</v>
      </c>
      <c r="O15" s="55">
        <v>0</v>
      </c>
      <c r="P15" s="55">
        <v>1.61</v>
      </c>
      <c r="Q15" s="55">
        <v>9.6999999999999993</v>
      </c>
      <c r="R15" s="43"/>
      <c r="S15" s="43"/>
      <c r="T15" s="43"/>
      <c r="U15" s="43"/>
    </row>
    <row r="16" spans="1:21" s="11" customFormat="1" x14ac:dyDescent="0.25">
      <c r="A16" s="54" t="s">
        <v>355</v>
      </c>
      <c r="B16" s="55">
        <v>52.13</v>
      </c>
      <c r="C16" s="5" t="s">
        <v>14</v>
      </c>
      <c r="D16" s="55">
        <v>40.03</v>
      </c>
      <c r="E16" s="55">
        <v>5.88</v>
      </c>
      <c r="F16" s="55">
        <v>3.54</v>
      </c>
      <c r="G16" s="55">
        <v>143.18</v>
      </c>
      <c r="H16" s="55">
        <v>51.02</v>
      </c>
      <c r="I16" s="55">
        <v>7.78</v>
      </c>
      <c r="J16" s="55">
        <v>0.16</v>
      </c>
      <c r="K16" s="55">
        <v>335.82</v>
      </c>
      <c r="L16" s="55">
        <v>20.95</v>
      </c>
      <c r="M16" s="55">
        <v>77.510000000000005</v>
      </c>
      <c r="N16" s="55">
        <v>296.5</v>
      </c>
      <c r="O16" s="55">
        <v>0</v>
      </c>
      <c r="P16" s="55">
        <v>1.58</v>
      </c>
      <c r="Q16" s="55">
        <v>9.6999999999999993</v>
      </c>
      <c r="R16" s="43"/>
      <c r="S16" s="43"/>
      <c r="T16" s="43"/>
      <c r="U16" s="43"/>
    </row>
    <row r="17" spans="1:21" s="11" customFormat="1" x14ac:dyDescent="0.25">
      <c r="A17" s="54" t="s">
        <v>356</v>
      </c>
      <c r="B17" s="55">
        <v>50.52</v>
      </c>
      <c r="C17" s="55">
        <v>3.08</v>
      </c>
      <c r="D17" s="55">
        <v>39.82</v>
      </c>
      <c r="E17" s="55">
        <v>5.55</v>
      </c>
      <c r="F17" s="55">
        <v>3.64</v>
      </c>
      <c r="G17" s="55">
        <v>129.25</v>
      </c>
      <c r="H17" s="55">
        <v>51.02</v>
      </c>
      <c r="I17" s="55">
        <v>7.36</v>
      </c>
      <c r="J17" s="55">
        <v>0.45</v>
      </c>
      <c r="K17" s="55">
        <v>338.43</v>
      </c>
      <c r="L17" s="55">
        <v>24.62</v>
      </c>
      <c r="M17" s="55">
        <v>43.49</v>
      </c>
      <c r="N17" s="55">
        <v>492.8</v>
      </c>
      <c r="O17" s="55">
        <v>0</v>
      </c>
      <c r="P17" s="55">
        <v>1.56</v>
      </c>
      <c r="Q17" s="55">
        <v>9.69</v>
      </c>
      <c r="R17" s="43"/>
      <c r="S17" s="43"/>
      <c r="T17" s="43"/>
      <c r="U17" s="43"/>
    </row>
    <row r="18" spans="1:21" s="11" customFormat="1" x14ac:dyDescent="0.25">
      <c r="A18" s="54" t="s">
        <v>357</v>
      </c>
      <c r="B18" s="55">
        <v>40.58</v>
      </c>
      <c r="C18" s="55">
        <v>29.68</v>
      </c>
      <c r="D18" s="55">
        <v>35.54</v>
      </c>
      <c r="E18" s="55">
        <v>7.35</v>
      </c>
      <c r="F18" s="55">
        <v>7.05</v>
      </c>
      <c r="G18" s="55">
        <v>121.78</v>
      </c>
      <c r="H18" s="55">
        <v>45.54</v>
      </c>
      <c r="I18" s="55">
        <v>6.82</v>
      </c>
      <c r="J18" s="55">
        <v>0.72</v>
      </c>
      <c r="K18" s="55">
        <v>340.52</v>
      </c>
      <c r="L18" s="55">
        <v>27.19</v>
      </c>
      <c r="M18" s="55">
        <v>31.66</v>
      </c>
      <c r="N18" s="55">
        <v>622.79999999999995</v>
      </c>
      <c r="O18" s="55">
        <v>0</v>
      </c>
      <c r="P18" s="55">
        <v>1.43</v>
      </c>
      <c r="Q18" s="55">
        <v>9.69</v>
      </c>
      <c r="R18" s="43"/>
      <c r="S18" s="43"/>
      <c r="T18" s="43"/>
      <c r="U18" s="43"/>
    </row>
    <row r="19" spans="1:21" s="11" customFormat="1" x14ac:dyDescent="0.25">
      <c r="A19" s="54" t="s">
        <v>358</v>
      </c>
      <c r="B19" s="55">
        <v>22.47</v>
      </c>
      <c r="C19" s="55">
        <v>40.9</v>
      </c>
      <c r="D19" s="55">
        <v>36.36</v>
      </c>
      <c r="E19" s="55">
        <v>9.17</v>
      </c>
      <c r="F19" s="55">
        <v>14.27</v>
      </c>
      <c r="G19" s="55">
        <v>81.38</v>
      </c>
      <c r="H19" s="55">
        <v>38.57</v>
      </c>
      <c r="I19" s="55">
        <v>6.08</v>
      </c>
      <c r="J19" s="55">
        <v>0.62</v>
      </c>
      <c r="K19" s="55">
        <v>350.91</v>
      </c>
      <c r="L19" s="55">
        <v>27.59</v>
      </c>
      <c r="M19" s="55">
        <v>31.18</v>
      </c>
      <c r="N19" s="55">
        <v>703.7</v>
      </c>
      <c r="O19" s="55">
        <v>0</v>
      </c>
      <c r="P19" s="55">
        <v>1.05</v>
      </c>
      <c r="Q19" s="55">
        <v>9.61</v>
      </c>
      <c r="R19" s="43"/>
      <c r="S19" s="43"/>
      <c r="T19" s="43"/>
      <c r="U19" s="43"/>
    </row>
    <row r="20" spans="1:21" s="11" customFormat="1" x14ac:dyDescent="0.25">
      <c r="A20" s="54" t="s">
        <v>359</v>
      </c>
      <c r="B20" s="55">
        <v>5.53</v>
      </c>
      <c r="C20" s="55">
        <v>35.619999999999997</v>
      </c>
      <c r="D20" s="55">
        <v>22.54</v>
      </c>
      <c r="E20" s="55">
        <v>6.85</v>
      </c>
      <c r="F20" s="55">
        <v>9.7799999999999994</v>
      </c>
      <c r="G20" s="55">
        <v>52.24</v>
      </c>
      <c r="H20" s="55">
        <v>27.28</v>
      </c>
      <c r="I20" s="55">
        <v>4.51</v>
      </c>
      <c r="J20" s="55">
        <v>0.75</v>
      </c>
      <c r="K20" s="55">
        <v>358.6</v>
      </c>
      <c r="L20" s="55">
        <v>28.2</v>
      </c>
      <c r="M20" s="55">
        <v>29.99</v>
      </c>
      <c r="N20" s="55">
        <v>716.6</v>
      </c>
      <c r="O20" s="55">
        <v>0</v>
      </c>
      <c r="P20" s="55">
        <v>0.93</v>
      </c>
      <c r="Q20" s="55">
        <v>9.39</v>
      </c>
      <c r="R20" s="43"/>
      <c r="S20" s="43"/>
      <c r="T20" s="43"/>
      <c r="U20" s="43"/>
    </row>
    <row r="21" spans="1:21" s="11" customFormat="1" x14ac:dyDescent="0.25">
      <c r="A21" s="54" t="s">
        <v>360</v>
      </c>
      <c r="B21" s="55">
        <v>5.0999999999999996</v>
      </c>
      <c r="C21" s="55">
        <v>31.31</v>
      </c>
      <c r="D21" s="55">
        <v>19.989999999999998</v>
      </c>
      <c r="E21" s="55">
        <v>12.88</v>
      </c>
      <c r="F21" s="55">
        <v>18.350000000000001</v>
      </c>
      <c r="G21" s="55">
        <v>68.31</v>
      </c>
      <c r="H21" s="55">
        <v>26.94</v>
      </c>
      <c r="I21" s="55">
        <v>3.98</v>
      </c>
      <c r="J21" s="55">
        <v>1.1000000000000001</v>
      </c>
      <c r="K21" s="55">
        <v>342.61</v>
      </c>
      <c r="L21" s="55">
        <v>29.27</v>
      </c>
      <c r="M21" s="55">
        <v>22.21</v>
      </c>
      <c r="N21" s="55">
        <v>668.4</v>
      </c>
      <c r="O21" s="55">
        <v>0</v>
      </c>
      <c r="P21" s="55">
        <v>0.7</v>
      </c>
      <c r="Q21" s="55">
        <v>9.3000000000000007</v>
      </c>
      <c r="R21" s="43"/>
      <c r="S21" s="43"/>
      <c r="T21" s="43"/>
      <c r="U21" s="43"/>
    </row>
    <row r="22" spans="1:21" s="11" customFormat="1" x14ac:dyDescent="0.25">
      <c r="A22" s="54" t="s">
        <v>361</v>
      </c>
      <c r="B22" s="55">
        <v>6.56</v>
      </c>
      <c r="C22" s="55">
        <v>31.01</v>
      </c>
      <c r="D22" s="55">
        <v>20.8</v>
      </c>
      <c r="E22" s="55">
        <v>20.87</v>
      </c>
      <c r="F22" s="55">
        <v>25.46</v>
      </c>
      <c r="G22" s="55">
        <v>68.31</v>
      </c>
      <c r="H22" s="55">
        <v>22.72</v>
      </c>
      <c r="I22" s="55">
        <v>3.06</v>
      </c>
      <c r="J22" s="55">
        <v>0.9</v>
      </c>
      <c r="K22" s="55">
        <v>342.13</v>
      </c>
      <c r="L22" s="55">
        <v>28.72</v>
      </c>
      <c r="M22" s="55">
        <v>21.13</v>
      </c>
      <c r="N22" s="55">
        <v>512.70000000000005</v>
      </c>
      <c r="O22" s="55">
        <v>0</v>
      </c>
      <c r="P22" s="55">
        <v>0.77</v>
      </c>
      <c r="Q22" s="55">
        <v>9.3000000000000007</v>
      </c>
      <c r="R22" s="43"/>
      <c r="S22" s="43"/>
      <c r="T22" s="43"/>
      <c r="U22" s="43"/>
    </row>
    <row r="23" spans="1:21" s="11" customFormat="1" x14ac:dyDescent="0.25">
      <c r="A23" s="54" t="s">
        <v>362</v>
      </c>
      <c r="B23" s="55">
        <v>7.05</v>
      </c>
      <c r="C23" s="55">
        <v>31.57</v>
      </c>
      <c r="D23" s="55">
        <v>21.69</v>
      </c>
      <c r="E23" s="55">
        <v>14.69</v>
      </c>
      <c r="F23" s="55">
        <v>19.059999999999999</v>
      </c>
      <c r="G23" s="55">
        <v>65.400000000000006</v>
      </c>
      <c r="H23" s="55">
        <v>20.63</v>
      </c>
      <c r="I23" s="55">
        <v>2.78</v>
      </c>
      <c r="J23" s="55">
        <v>0.31</v>
      </c>
      <c r="K23" s="55">
        <v>339.18</v>
      </c>
      <c r="L23" s="55">
        <v>26.54</v>
      </c>
      <c r="M23" s="55">
        <v>23.29</v>
      </c>
      <c r="N23" s="55">
        <v>146.30000000000001</v>
      </c>
      <c r="O23" s="55">
        <v>0</v>
      </c>
      <c r="P23" s="55">
        <v>0.71</v>
      </c>
      <c r="Q23" s="55">
        <v>9.3000000000000007</v>
      </c>
      <c r="R23" s="43"/>
      <c r="S23" s="43"/>
      <c r="T23" s="43"/>
      <c r="U23" s="43"/>
    </row>
    <row r="24" spans="1:21" s="11" customFormat="1" x14ac:dyDescent="0.25">
      <c r="A24" s="54" t="s">
        <v>363</v>
      </c>
      <c r="B24" s="55">
        <v>4.5</v>
      </c>
      <c r="C24" s="55">
        <v>28.1</v>
      </c>
      <c r="D24" s="55">
        <v>17.510000000000002</v>
      </c>
      <c r="E24" s="55">
        <v>12.46</v>
      </c>
      <c r="F24" s="55">
        <v>11.48</v>
      </c>
      <c r="G24" s="55">
        <v>65.400000000000006</v>
      </c>
      <c r="H24" s="55">
        <v>20.63</v>
      </c>
      <c r="I24" s="55">
        <v>2.81</v>
      </c>
      <c r="J24" s="55">
        <v>0.46</v>
      </c>
      <c r="K24" s="55">
        <v>129.71</v>
      </c>
      <c r="L24" s="55">
        <v>25.46</v>
      </c>
      <c r="M24" s="55">
        <v>22.23</v>
      </c>
      <c r="N24" s="55">
        <v>106</v>
      </c>
      <c r="O24" s="55">
        <v>0</v>
      </c>
      <c r="P24" s="55">
        <v>0.74</v>
      </c>
      <c r="Q24" s="55">
        <v>9.2899999999999991</v>
      </c>
      <c r="R24" s="43"/>
      <c r="S24" s="43"/>
      <c r="T24" s="43"/>
      <c r="U24" s="43"/>
    </row>
    <row r="25" spans="1:21" s="11" customFormat="1" x14ac:dyDescent="0.25">
      <c r="A25" s="54" t="s">
        <v>364</v>
      </c>
      <c r="B25" s="55">
        <v>12.35</v>
      </c>
      <c r="C25" s="55">
        <v>41.34</v>
      </c>
      <c r="D25" s="55">
        <v>30.86</v>
      </c>
      <c r="E25" s="55">
        <v>8.59</v>
      </c>
      <c r="F25" s="55">
        <v>12.8</v>
      </c>
      <c r="G25" s="55">
        <v>37.07</v>
      </c>
      <c r="H25" s="55">
        <v>16.899999999999999</v>
      </c>
      <c r="I25" s="55">
        <v>2.84</v>
      </c>
      <c r="J25" s="55">
        <v>0.33</v>
      </c>
      <c r="K25" s="55">
        <v>358.3</v>
      </c>
      <c r="L25" s="55">
        <v>24.5</v>
      </c>
      <c r="M25" s="55">
        <v>25.12</v>
      </c>
      <c r="N25" s="55">
        <v>76</v>
      </c>
      <c r="O25" s="55">
        <v>0</v>
      </c>
      <c r="P25" s="55">
        <v>0.88</v>
      </c>
      <c r="Q25" s="55">
        <v>9.2899999999999991</v>
      </c>
      <c r="R25" s="43"/>
      <c r="S25" s="43"/>
      <c r="T25" s="43"/>
      <c r="U25" s="43"/>
    </row>
    <row r="26" spans="1:21" s="11" customFormat="1" x14ac:dyDescent="0.25">
      <c r="A26" s="54" t="s">
        <v>365</v>
      </c>
      <c r="B26" s="55">
        <v>48.22</v>
      </c>
      <c r="C26" s="55">
        <v>41.45</v>
      </c>
      <c r="D26" s="55">
        <v>52.3</v>
      </c>
      <c r="E26" s="55">
        <v>8.0500000000000007</v>
      </c>
      <c r="F26" s="55">
        <v>7.26</v>
      </c>
      <c r="G26" s="55">
        <v>40.57</v>
      </c>
      <c r="H26" s="55">
        <v>18.38</v>
      </c>
      <c r="I26" s="55">
        <v>3.45</v>
      </c>
      <c r="J26" s="55">
        <v>0.15</v>
      </c>
      <c r="K26" s="55">
        <v>348.97</v>
      </c>
      <c r="L26" s="55">
        <v>22.63</v>
      </c>
      <c r="M26" s="55">
        <v>49.31</v>
      </c>
      <c r="N26" s="55">
        <v>47.3</v>
      </c>
      <c r="O26" s="55">
        <v>0</v>
      </c>
      <c r="P26" s="55">
        <v>1.67</v>
      </c>
      <c r="Q26" s="55">
        <v>9.61</v>
      </c>
      <c r="R26" s="43"/>
      <c r="S26" s="43"/>
      <c r="T26" s="43"/>
      <c r="U26" s="43"/>
    </row>
    <row r="27" spans="1:21" s="11" customFormat="1" x14ac:dyDescent="0.25">
      <c r="A27" s="54" t="s">
        <v>366</v>
      </c>
      <c r="B27" s="55">
        <v>50.95</v>
      </c>
      <c r="C27" s="55">
        <v>36.53</v>
      </c>
      <c r="D27" s="55">
        <v>53.46</v>
      </c>
      <c r="E27" s="55">
        <v>7.55</v>
      </c>
      <c r="F27" s="55">
        <v>4.7</v>
      </c>
      <c r="G27" s="55">
        <v>152.47999999999999</v>
      </c>
      <c r="H27" s="55">
        <v>30.69</v>
      </c>
      <c r="I27" s="55">
        <v>3.87</v>
      </c>
      <c r="J27" s="55">
        <v>0.09</v>
      </c>
      <c r="K27" s="55">
        <v>356.04</v>
      </c>
      <c r="L27" s="55">
        <v>19.29</v>
      </c>
      <c r="M27" s="55">
        <v>58.32</v>
      </c>
      <c r="N27" s="55">
        <v>43</v>
      </c>
      <c r="O27" s="55">
        <v>0</v>
      </c>
      <c r="P27" s="55">
        <v>2.16</v>
      </c>
      <c r="Q27" s="55">
        <v>9.65</v>
      </c>
      <c r="R27" s="43"/>
      <c r="S27" s="43"/>
      <c r="T27" s="43"/>
      <c r="U27" s="43"/>
    </row>
    <row r="28" spans="1:21" s="11" customFormat="1" x14ac:dyDescent="0.25">
      <c r="A28" s="54" t="s">
        <v>367</v>
      </c>
      <c r="B28" s="55">
        <v>64.150000000000006</v>
      </c>
      <c r="C28" s="55">
        <v>18.28</v>
      </c>
      <c r="D28" s="55">
        <v>60.52</v>
      </c>
      <c r="E28" s="55">
        <v>6.9</v>
      </c>
      <c r="F28" s="55">
        <v>4.04</v>
      </c>
      <c r="G28" s="55">
        <v>152.47999999999999</v>
      </c>
      <c r="H28" s="55">
        <v>37.53</v>
      </c>
      <c r="I28" s="55">
        <v>4.92</v>
      </c>
      <c r="J28" s="55">
        <v>0.16</v>
      </c>
      <c r="K28" s="55">
        <v>355.16</v>
      </c>
      <c r="L28" s="55">
        <v>18.2</v>
      </c>
      <c r="M28" s="55">
        <v>72.08</v>
      </c>
      <c r="N28" s="55">
        <v>43</v>
      </c>
      <c r="O28" s="55">
        <v>0</v>
      </c>
      <c r="P28" s="55">
        <v>1.9</v>
      </c>
      <c r="Q28" s="55">
        <v>9.68</v>
      </c>
      <c r="R28" s="43"/>
      <c r="S28" s="43"/>
      <c r="T28" s="43"/>
      <c r="U28" s="43"/>
    </row>
    <row r="29" spans="1:21" s="11" customFormat="1" x14ac:dyDescent="0.25">
      <c r="A29" s="54" t="s">
        <v>368</v>
      </c>
      <c r="B29" s="55">
        <v>73.58</v>
      </c>
      <c r="C29" s="55">
        <v>5.33</v>
      </c>
      <c r="D29" s="55">
        <v>56.74</v>
      </c>
      <c r="E29" s="55">
        <v>6.18</v>
      </c>
      <c r="F29" s="55">
        <v>3.22</v>
      </c>
      <c r="G29" s="55">
        <v>137.31</v>
      </c>
      <c r="H29" s="55">
        <v>42.86</v>
      </c>
      <c r="I29" s="55">
        <v>6.18</v>
      </c>
      <c r="J29" s="55">
        <v>0.2</v>
      </c>
      <c r="K29" s="55">
        <v>342.05</v>
      </c>
      <c r="L29" s="55">
        <v>17.5</v>
      </c>
      <c r="M29" s="55">
        <v>77.22</v>
      </c>
      <c r="N29" s="55">
        <v>42.8</v>
      </c>
      <c r="O29" s="55">
        <v>0</v>
      </c>
      <c r="P29" s="55">
        <v>2.09</v>
      </c>
      <c r="Q29" s="55">
        <v>9.74</v>
      </c>
      <c r="R29" s="43"/>
      <c r="S29" s="43"/>
      <c r="T29" s="43"/>
      <c r="U29" s="43"/>
    </row>
    <row r="30" spans="1:21" s="11" customFormat="1" x14ac:dyDescent="0.25">
      <c r="A30" s="54" t="s">
        <v>369</v>
      </c>
      <c r="B30" s="55">
        <v>97.57</v>
      </c>
      <c r="C30" s="5" t="s">
        <v>14</v>
      </c>
      <c r="D30" s="55">
        <v>70.319999999999993</v>
      </c>
      <c r="E30" s="55">
        <v>6.55</v>
      </c>
      <c r="F30" s="55">
        <v>3.34</v>
      </c>
      <c r="G30" s="55">
        <v>149.99</v>
      </c>
      <c r="H30" s="55">
        <v>48.74</v>
      </c>
      <c r="I30" s="55">
        <v>7.22</v>
      </c>
      <c r="J30" s="55">
        <v>0.1</v>
      </c>
      <c r="K30" s="55">
        <v>347.01</v>
      </c>
      <c r="L30" s="55">
        <v>16.59</v>
      </c>
      <c r="M30" s="55">
        <v>82.31</v>
      </c>
      <c r="N30" s="55">
        <v>42.7</v>
      </c>
      <c r="O30" s="55">
        <v>0</v>
      </c>
      <c r="P30" s="55">
        <v>2.52</v>
      </c>
      <c r="Q30" s="55">
        <v>9.7799999999999994</v>
      </c>
      <c r="R30" s="43"/>
      <c r="S30" s="43"/>
      <c r="T30" s="43"/>
      <c r="U30" s="43"/>
    </row>
    <row r="31" spans="1:21" s="11" customFormat="1" x14ac:dyDescent="0.25">
      <c r="A31" s="54" t="s">
        <v>370</v>
      </c>
      <c r="B31" s="55">
        <v>122.54</v>
      </c>
      <c r="C31" s="5" t="s">
        <v>14</v>
      </c>
      <c r="D31" s="55">
        <v>84.84</v>
      </c>
      <c r="E31" s="55">
        <v>6.5</v>
      </c>
      <c r="F31" s="55">
        <v>3.5</v>
      </c>
      <c r="G31" s="55">
        <v>149.99</v>
      </c>
      <c r="H31" s="55">
        <v>52.98</v>
      </c>
      <c r="I31" s="55">
        <v>8.0399999999999991</v>
      </c>
      <c r="J31" s="55">
        <v>0.15</v>
      </c>
      <c r="K31" s="55">
        <v>306.26</v>
      </c>
      <c r="L31" s="55">
        <v>16.07</v>
      </c>
      <c r="M31" s="55">
        <v>94.23</v>
      </c>
      <c r="N31" s="55">
        <v>42.7</v>
      </c>
      <c r="O31" s="55">
        <v>0</v>
      </c>
      <c r="P31" s="55">
        <v>2.93</v>
      </c>
      <c r="Q31" s="55">
        <v>9.86</v>
      </c>
      <c r="R31" s="43"/>
      <c r="S31" s="43"/>
      <c r="T31" s="43"/>
      <c r="U31" s="43"/>
    </row>
    <row r="32" spans="1:21" s="11" customFormat="1" x14ac:dyDescent="0.25">
      <c r="A32" s="54" t="s">
        <v>371</v>
      </c>
      <c r="B32" s="55">
        <v>129.29</v>
      </c>
      <c r="C32" s="5" t="s">
        <v>14</v>
      </c>
      <c r="D32" s="55">
        <v>88.49</v>
      </c>
      <c r="E32" s="55">
        <v>6.68</v>
      </c>
      <c r="F32" s="55">
        <v>3.51</v>
      </c>
      <c r="G32" s="55">
        <v>161.71</v>
      </c>
      <c r="H32" s="55">
        <v>55.71</v>
      </c>
      <c r="I32" s="55">
        <v>8.74</v>
      </c>
      <c r="J32" s="55">
        <v>0.13</v>
      </c>
      <c r="K32" s="55">
        <v>306.68</v>
      </c>
      <c r="L32" s="55">
        <v>15.16</v>
      </c>
      <c r="M32" s="55">
        <v>97.1</v>
      </c>
      <c r="N32" s="55">
        <v>42.7</v>
      </c>
      <c r="O32" s="55">
        <v>0</v>
      </c>
      <c r="P32" s="55">
        <v>3.01</v>
      </c>
      <c r="Q32" s="55">
        <v>9.8699999999999992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4.5</v>
      </c>
      <c r="C34" s="28">
        <f t="shared" si="0"/>
        <v>3.08</v>
      </c>
      <c r="D34" s="28">
        <f t="shared" si="0"/>
        <v>17.510000000000002</v>
      </c>
      <c r="E34" s="28">
        <f t="shared" si="0"/>
        <v>5.55</v>
      </c>
      <c r="F34" s="28">
        <f t="shared" si="0"/>
        <v>3.22</v>
      </c>
      <c r="G34" s="28">
        <f t="shared" si="0"/>
        <v>37.07</v>
      </c>
      <c r="H34" s="28">
        <f t="shared" si="0"/>
        <v>16.899999999999999</v>
      </c>
      <c r="I34" s="28">
        <f t="shared" si="0"/>
        <v>2.78</v>
      </c>
      <c r="J34" s="28">
        <f t="shared" si="0"/>
        <v>7.0000000000000007E-2</v>
      </c>
      <c r="K34" s="28">
        <f t="shared" si="0"/>
        <v>129.71</v>
      </c>
      <c r="L34" s="28">
        <f t="shared" si="0"/>
        <v>13.93</v>
      </c>
      <c r="M34" s="28">
        <f t="shared" si="0"/>
        <v>21.13</v>
      </c>
      <c r="N34" s="28">
        <f t="shared" si="0"/>
        <v>42.2</v>
      </c>
      <c r="O34" s="28">
        <f t="shared" si="0"/>
        <v>0</v>
      </c>
      <c r="P34" s="28">
        <f t="shared" si="0"/>
        <v>0.7</v>
      </c>
      <c r="Q34" s="28">
        <f t="shared" si="0"/>
        <v>9.2899999999999991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129.29</v>
      </c>
      <c r="C35" s="29">
        <f t="shared" si="1"/>
        <v>41.45</v>
      </c>
      <c r="D35" s="29">
        <f t="shared" si="1"/>
        <v>88.49</v>
      </c>
      <c r="E35" s="29">
        <f t="shared" si="1"/>
        <v>20.87</v>
      </c>
      <c r="F35" s="29">
        <f t="shared" si="1"/>
        <v>25.46</v>
      </c>
      <c r="G35" s="29">
        <f t="shared" si="1"/>
        <v>161.71</v>
      </c>
      <c r="H35" s="29">
        <f t="shared" si="1"/>
        <v>55.71</v>
      </c>
      <c r="I35" s="29">
        <f t="shared" si="1"/>
        <v>9.0500000000000007</v>
      </c>
      <c r="J35" s="29">
        <f t="shared" si="1"/>
        <v>1.1000000000000001</v>
      </c>
      <c r="K35" s="29">
        <f t="shared" si="1"/>
        <v>358.6</v>
      </c>
      <c r="L35" s="29">
        <f t="shared" si="1"/>
        <v>29.27</v>
      </c>
      <c r="M35" s="29">
        <f t="shared" si="1"/>
        <v>97.13</v>
      </c>
      <c r="N35" s="29">
        <f t="shared" si="1"/>
        <v>716.6</v>
      </c>
      <c r="O35" s="29">
        <f t="shared" si="1"/>
        <v>0</v>
      </c>
      <c r="P35" s="29">
        <f t="shared" si="1"/>
        <v>3.01</v>
      </c>
      <c r="Q35" s="29">
        <f t="shared" si="1"/>
        <v>9.8699999999999992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53.22</v>
      </c>
      <c r="C36" s="28">
        <f t="shared" si="2"/>
        <v>28.784615384615385</v>
      </c>
      <c r="D36" s="28">
        <f t="shared" si="2"/>
        <v>45.877083333333331</v>
      </c>
      <c r="E36" s="28">
        <f t="shared" si="2"/>
        <v>8.1370833333333348</v>
      </c>
      <c r="F36" s="28">
        <f t="shared" si="2"/>
        <v>7.4554166666666655</v>
      </c>
      <c r="G36" s="28">
        <f t="shared" si="2"/>
        <v>104.11958333333332</v>
      </c>
      <c r="H36" s="28">
        <f t="shared" si="2"/>
        <v>37.57416666666667</v>
      </c>
      <c r="I36" s="28">
        <f t="shared" si="2"/>
        <v>6.1991666666666667</v>
      </c>
      <c r="J36" s="28">
        <f t="shared" si="2"/>
        <v>0.31375000000000003</v>
      </c>
      <c r="K36" s="28">
        <f t="shared" si="2"/>
        <v>327.2383333333334</v>
      </c>
      <c r="L36" s="28">
        <f t="shared" si="2"/>
        <v>20.43708333333333</v>
      </c>
      <c r="M36" s="28">
        <f t="shared" si="2"/>
        <v>63.383333333333319</v>
      </c>
      <c r="N36" s="28">
        <f t="shared" si="2"/>
        <v>207.91666666666666</v>
      </c>
      <c r="O36" s="28">
        <f t="shared" si="2"/>
        <v>0</v>
      </c>
      <c r="P36" s="28">
        <f t="shared" si="2"/>
        <v>1.624583333333333</v>
      </c>
      <c r="Q36" s="28">
        <f t="shared" si="2"/>
        <v>9.6208333333333353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36.559963252764341</v>
      </c>
      <c r="C37" s="28">
        <f t="shared" ref="C37:Q37" si="3">STDEV(C9:C32)</f>
        <v>12.626353138960742</v>
      </c>
      <c r="D37" s="28">
        <f t="shared" si="3"/>
        <v>19.581249122825277</v>
      </c>
      <c r="E37" s="28">
        <f t="shared" si="3"/>
        <v>3.6382108349723357</v>
      </c>
      <c r="F37" s="28">
        <f t="shared" si="3"/>
        <v>6.2685148224846836</v>
      </c>
      <c r="G37" s="28">
        <f t="shared" si="3"/>
        <v>40.442710793671843</v>
      </c>
      <c r="H37" s="28">
        <f t="shared" si="3"/>
        <v>12.104480276064011</v>
      </c>
      <c r="I37" s="28">
        <f t="shared" si="3"/>
        <v>2.2334296431753784</v>
      </c>
      <c r="J37" s="28">
        <f t="shared" si="3"/>
        <v>0.29538202971450522</v>
      </c>
      <c r="K37" s="28">
        <f t="shared" si="3"/>
        <v>46.99498073723079</v>
      </c>
      <c r="L37" s="28">
        <f t="shared" si="3"/>
        <v>5.6108136890849725</v>
      </c>
      <c r="M37" s="28">
        <f t="shared" si="3"/>
        <v>30.823033406947477</v>
      </c>
      <c r="N37" s="28">
        <f t="shared" si="3"/>
        <v>252.80645228878274</v>
      </c>
      <c r="O37" s="28">
        <f t="shared" si="3"/>
        <v>0</v>
      </c>
      <c r="P37" s="28">
        <f t="shared" si="3"/>
        <v>0.66953571951774549</v>
      </c>
      <c r="Q37" s="28">
        <f t="shared" si="3"/>
        <v>0.19354623459921963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372</v>
      </c>
      <c r="B9" s="55">
        <v>124.75</v>
      </c>
      <c r="C9" s="5" t="s">
        <v>14</v>
      </c>
      <c r="D9" s="55">
        <v>85</v>
      </c>
      <c r="E9" s="55">
        <v>6.5</v>
      </c>
      <c r="F9" s="55">
        <v>3.45</v>
      </c>
      <c r="G9" s="55">
        <v>161.71</v>
      </c>
      <c r="H9" s="55">
        <v>55.71</v>
      </c>
      <c r="I9" s="55">
        <v>8.52</v>
      </c>
      <c r="J9" s="55">
        <v>0.24</v>
      </c>
      <c r="K9" s="55">
        <v>341.86</v>
      </c>
      <c r="L9" s="55">
        <v>15</v>
      </c>
      <c r="M9" s="55">
        <v>97.13</v>
      </c>
      <c r="N9" s="55">
        <v>42.5</v>
      </c>
      <c r="O9" s="55">
        <v>0</v>
      </c>
      <c r="P9" s="55">
        <v>2.91</v>
      </c>
      <c r="Q9" s="55">
        <v>9.8699999999999992</v>
      </c>
      <c r="R9" s="43"/>
      <c r="S9" s="43"/>
      <c r="T9" s="43"/>
      <c r="U9" s="43"/>
    </row>
    <row r="10" spans="1:21" s="11" customFormat="1" x14ac:dyDescent="0.25">
      <c r="A10" s="54" t="s">
        <v>373</v>
      </c>
      <c r="B10" s="55">
        <v>113.69</v>
      </c>
      <c r="C10" s="5" t="s">
        <v>14</v>
      </c>
      <c r="D10" s="55">
        <v>77.48</v>
      </c>
      <c r="E10" s="55">
        <v>6.31</v>
      </c>
      <c r="F10" s="55">
        <v>3.45</v>
      </c>
      <c r="G10" s="55">
        <v>118.06</v>
      </c>
      <c r="H10" s="55">
        <v>51.6</v>
      </c>
      <c r="I10" s="55">
        <v>8.9700000000000006</v>
      </c>
      <c r="J10" s="55">
        <v>0.09</v>
      </c>
      <c r="K10" s="55">
        <v>339.58</v>
      </c>
      <c r="L10" s="55">
        <v>14.77</v>
      </c>
      <c r="M10" s="55">
        <v>96.57</v>
      </c>
      <c r="N10" s="55">
        <v>42.9</v>
      </c>
      <c r="O10" s="55">
        <v>0</v>
      </c>
      <c r="P10" s="55">
        <v>2.4500000000000002</v>
      </c>
      <c r="Q10" s="55">
        <v>9.85</v>
      </c>
      <c r="R10" s="43"/>
      <c r="S10" s="43"/>
      <c r="T10" s="43"/>
      <c r="U10" s="43"/>
    </row>
    <row r="11" spans="1:21" s="11" customFormat="1" x14ac:dyDescent="0.25">
      <c r="A11" s="54" t="s">
        <v>374</v>
      </c>
      <c r="B11" s="55">
        <v>97.9</v>
      </c>
      <c r="C11" s="5" t="s">
        <v>14</v>
      </c>
      <c r="D11" s="55">
        <v>67.819999999999993</v>
      </c>
      <c r="E11" s="55">
        <v>6.13</v>
      </c>
      <c r="F11" s="55">
        <v>3.41</v>
      </c>
      <c r="G11" s="55">
        <v>118.06</v>
      </c>
      <c r="H11" s="55">
        <v>51.15</v>
      </c>
      <c r="I11" s="55">
        <v>8.4499999999999993</v>
      </c>
      <c r="J11" s="55">
        <v>0.12</v>
      </c>
      <c r="K11" s="55">
        <v>303.95</v>
      </c>
      <c r="L11" s="55">
        <v>14.09</v>
      </c>
      <c r="M11" s="55">
        <v>94.35</v>
      </c>
      <c r="N11" s="55">
        <v>42.8</v>
      </c>
      <c r="O11" s="55">
        <v>0</v>
      </c>
      <c r="P11" s="55">
        <v>2.3199999999999998</v>
      </c>
      <c r="Q11" s="55">
        <v>9.7899999999999991</v>
      </c>
      <c r="R11" s="43"/>
      <c r="S11" s="43"/>
      <c r="T11" s="43"/>
      <c r="U11" s="43"/>
    </row>
    <row r="12" spans="1:21" s="11" customFormat="1" x14ac:dyDescent="0.25">
      <c r="A12" s="54" t="s">
        <v>375</v>
      </c>
      <c r="B12" s="55">
        <v>83.2</v>
      </c>
      <c r="C12" s="5" t="s">
        <v>14</v>
      </c>
      <c r="D12" s="55">
        <v>59.05</v>
      </c>
      <c r="E12" s="55">
        <v>5.94</v>
      </c>
      <c r="F12" s="55">
        <v>3.61</v>
      </c>
      <c r="G12" s="55">
        <v>152.13</v>
      </c>
      <c r="H12" s="55">
        <v>56</v>
      </c>
      <c r="I12" s="55">
        <v>8.2899999999999991</v>
      </c>
      <c r="J12" s="55">
        <v>0.11</v>
      </c>
      <c r="K12" s="55">
        <v>346.16</v>
      </c>
      <c r="L12" s="55">
        <v>13.44</v>
      </c>
      <c r="M12" s="55">
        <v>97.13</v>
      </c>
      <c r="N12" s="55">
        <v>42.8</v>
      </c>
      <c r="O12" s="55">
        <v>0</v>
      </c>
      <c r="P12" s="55">
        <v>2.21</v>
      </c>
      <c r="Q12" s="55">
        <v>9.77</v>
      </c>
      <c r="R12" s="43"/>
      <c r="S12" s="43"/>
      <c r="T12" s="43"/>
      <c r="U12" s="43"/>
    </row>
    <row r="13" spans="1:21" s="11" customFormat="1" x14ac:dyDescent="0.25">
      <c r="A13" s="54" t="s">
        <v>376</v>
      </c>
      <c r="B13" s="55">
        <v>73.3</v>
      </c>
      <c r="C13" s="5" t="s">
        <v>14</v>
      </c>
      <c r="D13" s="55">
        <v>53.31</v>
      </c>
      <c r="E13" s="55">
        <v>6.27</v>
      </c>
      <c r="F13" s="55">
        <v>3.53</v>
      </c>
      <c r="G13" s="55">
        <v>152.13</v>
      </c>
      <c r="H13" s="55">
        <v>56</v>
      </c>
      <c r="I13" s="55">
        <v>8.59</v>
      </c>
      <c r="J13" s="55">
        <v>0.1</v>
      </c>
      <c r="K13" s="55">
        <v>283.10000000000002</v>
      </c>
      <c r="L13" s="55">
        <v>13.35</v>
      </c>
      <c r="M13" s="55">
        <v>97.13</v>
      </c>
      <c r="N13" s="55">
        <v>42.6</v>
      </c>
      <c r="O13" s="55">
        <v>0</v>
      </c>
      <c r="P13" s="55">
        <v>2.08</v>
      </c>
      <c r="Q13" s="55">
        <v>9.75</v>
      </c>
      <c r="R13" s="43"/>
      <c r="S13" s="43"/>
      <c r="T13" s="43"/>
      <c r="U13" s="43"/>
    </row>
    <row r="14" spans="1:21" s="11" customFormat="1" x14ac:dyDescent="0.25">
      <c r="A14" s="54" t="s">
        <v>377</v>
      </c>
      <c r="B14" s="55">
        <v>65.959999999999994</v>
      </c>
      <c r="C14" s="5" t="s">
        <v>14</v>
      </c>
      <c r="D14" s="55">
        <v>48.62</v>
      </c>
      <c r="E14" s="55">
        <v>5.65</v>
      </c>
      <c r="F14" s="55">
        <v>3.53</v>
      </c>
      <c r="G14" s="55">
        <v>136.6</v>
      </c>
      <c r="H14" s="55">
        <v>53.21</v>
      </c>
      <c r="I14" s="55">
        <v>7.75</v>
      </c>
      <c r="J14" s="55">
        <v>0.09</v>
      </c>
      <c r="K14" s="55">
        <v>318.63</v>
      </c>
      <c r="L14" s="55">
        <v>13.53</v>
      </c>
      <c r="M14" s="55">
        <v>87.68</v>
      </c>
      <c r="N14" s="55">
        <v>43.4</v>
      </c>
      <c r="O14" s="55">
        <v>0</v>
      </c>
      <c r="P14" s="55">
        <v>1.81</v>
      </c>
      <c r="Q14" s="55">
        <v>9.74</v>
      </c>
      <c r="R14" s="43"/>
      <c r="S14" s="43"/>
      <c r="T14" s="43"/>
      <c r="U14" s="43"/>
    </row>
    <row r="15" spans="1:21" s="11" customFormat="1" x14ac:dyDescent="0.25">
      <c r="A15" s="54" t="s">
        <v>378</v>
      </c>
      <c r="B15" s="55">
        <v>58.84</v>
      </c>
      <c r="C15" s="5" t="s">
        <v>14</v>
      </c>
      <c r="D15" s="55">
        <v>44.95</v>
      </c>
      <c r="E15" s="55">
        <v>5.74</v>
      </c>
      <c r="F15" s="55">
        <v>3.1</v>
      </c>
      <c r="G15" s="55">
        <v>114.28</v>
      </c>
      <c r="H15" s="55">
        <v>49.82</v>
      </c>
      <c r="I15" s="55">
        <v>7.26</v>
      </c>
      <c r="J15" s="55">
        <v>0.27</v>
      </c>
      <c r="K15" s="55">
        <v>357.57</v>
      </c>
      <c r="L15" s="55">
        <v>14.08</v>
      </c>
      <c r="M15" s="55">
        <v>89.78</v>
      </c>
      <c r="N15" s="55">
        <v>90</v>
      </c>
      <c r="O15" s="55">
        <v>0</v>
      </c>
      <c r="P15" s="55">
        <v>1.54</v>
      </c>
      <c r="Q15" s="55">
        <v>9.7100000000000009</v>
      </c>
      <c r="R15" s="43"/>
      <c r="S15" s="43"/>
      <c r="T15" s="43"/>
      <c r="U15" s="43"/>
    </row>
    <row r="16" spans="1:21" s="11" customFormat="1" x14ac:dyDescent="0.25">
      <c r="A16" s="54" t="s">
        <v>379</v>
      </c>
      <c r="B16" s="55">
        <v>59.12</v>
      </c>
      <c r="C16" s="55">
        <v>0.59</v>
      </c>
      <c r="D16" s="55">
        <v>45.02</v>
      </c>
      <c r="E16" s="55">
        <v>5.62</v>
      </c>
      <c r="F16" s="55">
        <v>3.29</v>
      </c>
      <c r="G16" s="55">
        <v>119.19</v>
      </c>
      <c r="H16" s="55">
        <v>44.85</v>
      </c>
      <c r="I16" s="55">
        <v>6.82</v>
      </c>
      <c r="J16" s="55">
        <v>0.48</v>
      </c>
      <c r="K16" s="55">
        <v>345.75</v>
      </c>
      <c r="L16" s="55">
        <v>20.36</v>
      </c>
      <c r="M16" s="55">
        <v>80.650000000000006</v>
      </c>
      <c r="N16" s="55">
        <v>307.3</v>
      </c>
      <c r="O16" s="55">
        <v>0</v>
      </c>
      <c r="P16" s="55">
        <v>1.71</v>
      </c>
      <c r="Q16" s="55">
        <v>9.7100000000000009</v>
      </c>
      <c r="R16" s="43"/>
      <c r="S16" s="43"/>
      <c r="T16" s="43"/>
      <c r="U16" s="43"/>
    </row>
    <row r="17" spans="1:21" s="11" customFormat="1" x14ac:dyDescent="0.25">
      <c r="A17" s="54" t="s">
        <v>380</v>
      </c>
      <c r="B17" s="55">
        <v>51.74</v>
      </c>
      <c r="C17" s="55">
        <v>4.16</v>
      </c>
      <c r="D17" s="55">
        <v>42.12</v>
      </c>
      <c r="E17" s="55">
        <v>7.13</v>
      </c>
      <c r="F17" s="55">
        <v>4.25</v>
      </c>
      <c r="G17" s="55">
        <v>119.29</v>
      </c>
      <c r="H17" s="55">
        <v>44.85</v>
      </c>
      <c r="I17" s="55">
        <v>6.67</v>
      </c>
      <c r="J17" s="55">
        <v>1.07</v>
      </c>
      <c r="K17" s="55">
        <v>344.51</v>
      </c>
      <c r="L17" s="55">
        <v>24.95</v>
      </c>
      <c r="M17" s="55">
        <v>40.229999999999997</v>
      </c>
      <c r="N17" s="55">
        <v>501.9</v>
      </c>
      <c r="O17" s="55">
        <v>0</v>
      </c>
      <c r="P17" s="55">
        <v>1.67</v>
      </c>
      <c r="Q17" s="55">
        <v>9.7100000000000009</v>
      </c>
      <c r="R17" s="43"/>
      <c r="S17" s="43"/>
      <c r="T17" s="43"/>
      <c r="U17" s="43"/>
    </row>
    <row r="18" spans="1:21" s="11" customFormat="1" x14ac:dyDescent="0.25">
      <c r="A18" s="54" t="s">
        <v>381</v>
      </c>
      <c r="B18" s="55">
        <v>44.64</v>
      </c>
      <c r="C18" s="55">
        <v>11.29</v>
      </c>
      <c r="D18" s="55">
        <v>38.619999999999997</v>
      </c>
      <c r="E18" s="55">
        <v>6.57</v>
      </c>
      <c r="F18" s="55">
        <v>3.62</v>
      </c>
      <c r="G18" s="55">
        <v>119.29</v>
      </c>
      <c r="H18" s="55">
        <v>43.83</v>
      </c>
      <c r="I18" s="55">
        <v>6.14</v>
      </c>
      <c r="J18" s="55">
        <v>0.95</v>
      </c>
      <c r="K18" s="55">
        <v>344.43</v>
      </c>
      <c r="L18" s="55">
        <v>26.82</v>
      </c>
      <c r="M18" s="55">
        <v>31.47</v>
      </c>
      <c r="N18" s="55">
        <v>642.29999999999995</v>
      </c>
      <c r="O18" s="55">
        <v>0</v>
      </c>
      <c r="P18" s="55">
        <v>1.47</v>
      </c>
      <c r="Q18" s="55">
        <v>9.6999999999999993</v>
      </c>
      <c r="R18" s="43"/>
      <c r="S18" s="43"/>
      <c r="T18" s="43"/>
      <c r="U18" s="43"/>
    </row>
    <row r="19" spans="1:21" s="11" customFormat="1" x14ac:dyDescent="0.25">
      <c r="A19" s="54" t="s">
        <v>382</v>
      </c>
      <c r="B19" s="55">
        <v>34.200000000000003</v>
      </c>
      <c r="C19" s="55">
        <v>18.05</v>
      </c>
      <c r="D19" s="55">
        <v>33.54</v>
      </c>
      <c r="E19" s="55">
        <v>6.53</v>
      </c>
      <c r="F19" s="55">
        <v>3.85</v>
      </c>
      <c r="G19" s="55">
        <v>94.96</v>
      </c>
      <c r="H19" s="55">
        <v>40.75</v>
      </c>
      <c r="I19" s="55">
        <v>5.4</v>
      </c>
      <c r="J19" s="55">
        <v>0.59</v>
      </c>
      <c r="K19" s="55">
        <v>344.6</v>
      </c>
      <c r="L19" s="55">
        <v>28.07</v>
      </c>
      <c r="M19" s="55">
        <v>30.79</v>
      </c>
      <c r="N19" s="55">
        <v>704.4</v>
      </c>
      <c r="O19" s="55">
        <v>0</v>
      </c>
      <c r="P19" s="55">
        <v>1.24</v>
      </c>
      <c r="Q19" s="55">
        <v>9.67</v>
      </c>
      <c r="R19" s="43"/>
      <c r="S19" s="43"/>
      <c r="T19" s="43"/>
      <c r="U19" s="43"/>
    </row>
    <row r="20" spans="1:21" s="11" customFormat="1" x14ac:dyDescent="0.25">
      <c r="A20" s="54" t="s">
        <v>383</v>
      </c>
      <c r="B20" s="55">
        <v>26.61</v>
      </c>
      <c r="C20" s="55">
        <v>20.440000000000001</v>
      </c>
      <c r="D20" s="55">
        <v>29.53</v>
      </c>
      <c r="E20" s="55">
        <v>11.16</v>
      </c>
      <c r="F20" s="55">
        <v>7.51</v>
      </c>
      <c r="G20" s="55">
        <v>75.12</v>
      </c>
      <c r="H20" s="55">
        <v>33.380000000000003</v>
      </c>
      <c r="I20" s="55">
        <v>4.83</v>
      </c>
      <c r="J20" s="55">
        <v>0.94</v>
      </c>
      <c r="K20" s="55">
        <v>338.25</v>
      </c>
      <c r="L20" s="55">
        <v>29.16</v>
      </c>
      <c r="M20" s="55">
        <v>27.08</v>
      </c>
      <c r="N20" s="55">
        <v>724.4</v>
      </c>
      <c r="O20" s="55">
        <v>0</v>
      </c>
      <c r="P20" s="55">
        <v>1.1000000000000001</v>
      </c>
      <c r="Q20" s="55">
        <v>9.65</v>
      </c>
      <c r="R20" s="43"/>
      <c r="S20" s="43"/>
      <c r="T20" s="43"/>
      <c r="U20" s="43"/>
    </row>
    <row r="21" spans="1:21" s="11" customFormat="1" x14ac:dyDescent="0.25">
      <c r="A21" s="54" t="s">
        <v>384</v>
      </c>
      <c r="B21" s="55">
        <v>17.100000000000001</v>
      </c>
      <c r="C21" s="55">
        <v>24.6</v>
      </c>
      <c r="D21" s="55">
        <v>25.21</v>
      </c>
      <c r="E21" s="55">
        <v>16.97</v>
      </c>
      <c r="F21" s="55">
        <v>11.49</v>
      </c>
      <c r="G21" s="55">
        <v>66.91</v>
      </c>
      <c r="H21" s="55">
        <v>32.299999999999997</v>
      </c>
      <c r="I21" s="55">
        <v>4.4800000000000004</v>
      </c>
      <c r="J21" s="55">
        <v>0.47</v>
      </c>
      <c r="K21" s="55">
        <v>342.89</v>
      </c>
      <c r="L21" s="55">
        <v>29.04</v>
      </c>
      <c r="M21" s="55">
        <v>22.08</v>
      </c>
      <c r="N21" s="55">
        <v>691.2</v>
      </c>
      <c r="O21" s="55">
        <v>0</v>
      </c>
      <c r="P21" s="55">
        <v>0.93</v>
      </c>
      <c r="Q21" s="55">
        <v>9.64</v>
      </c>
      <c r="R21" s="43"/>
      <c r="S21" s="43"/>
      <c r="T21" s="43"/>
      <c r="U21" s="43"/>
    </row>
    <row r="22" spans="1:21" s="11" customFormat="1" x14ac:dyDescent="0.25">
      <c r="A22" s="54" t="s">
        <v>385</v>
      </c>
      <c r="B22" s="55">
        <v>13.53</v>
      </c>
      <c r="C22" s="55">
        <v>27.95</v>
      </c>
      <c r="D22" s="55">
        <v>22.57</v>
      </c>
      <c r="E22" s="55">
        <v>23.66</v>
      </c>
      <c r="F22" s="55">
        <v>15.67</v>
      </c>
      <c r="G22" s="55">
        <v>56.63</v>
      </c>
      <c r="H22" s="55">
        <v>28.06</v>
      </c>
      <c r="I22" s="55">
        <v>4.12</v>
      </c>
      <c r="J22" s="55">
        <v>0.76</v>
      </c>
      <c r="K22" s="55">
        <v>347.52</v>
      </c>
      <c r="L22" s="55">
        <v>28.06</v>
      </c>
      <c r="M22" s="55">
        <v>22.2</v>
      </c>
      <c r="N22" s="55">
        <v>534.1</v>
      </c>
      <c r="O22" s="55">
        <v>0</v>
      </c>
      <c r="P22" s="55">
        <v>0.99</v>
      </c>
      <c r="Q22" s="55">
        <v>9.5399999999999991</v>
      </c>
      <c r="R22" s="43"/>
      <c r="S22" s="43"/>
      <c r="T22" s="43"/>
      <c r="U22" s="43"/>
    </row>
    <row r="23" spans="1:21" s="11" customFormat="1" x14ac:dyDescent="0.25">
      <c r="A23" s="54" t="s">
        <v>386</v>
      </c>
      <c r="B23" s="55">
        <v>10.34</v>
      </c>
      <c r="C23" s="55">
        <v>26.39</v>
      </c>
      <c r="D23" s="55">
        <v>21.37</v>
      </c>
      <c r="E23" s="55">
        <v>15.37</v>
      </c>
      <c r="F23" s="55">
        <v>8.58</v>
      </c>
      <c r="G23" s="55">
        <v>56.63</v>
      </c>
      <c r="H23" s="55">
        <v>26.48</v>
      </c>
      <c r="I23" s="55">
        <v>4.17</v>
      </c>
      <c r="J23" s="55">
        <v>0.47</v>
      </c>
      <c r="K23" s="55">
        <v>340.07</v>
      </c>
      <c r="L23" s="55">
        <v>26.61</v>
      </c>
      <c r="M23" s="55">
        <v>22.1</v>
      </c>
      <c r="N23" s="55">
        <v>145.4</v>
      </c>
      <c r="O23" s="55">
        <v>0</v>
      </c>
      <c r="P23" s="55">
        <v>0.84</v>
      </c>
      <c r="Q23" s="55">
        <v>9.43</v>
      </c>
      <c r="R23" s="43"/>
      <c r="S23" s="43"/>
      <c r="T23" s="43"/>
      <c r="U23" s="43"/>
    </row>
    <row r="24" spans="1:21" s="11" customFormat="1" x14ac:dyDescent="0.25">
      <c r="A24" s="54" t="s">
        <v>387</v>
      </c>
      <c r="B24" s="55">
        <v>10.41</v>
      </c>
      <c r="C24" s="55">
        <v>28.37</v>
      </c>
      <c r="D24" s="55">
        <v>22.49</v>
      </c>
      <c r="E24" s="55">
        <v>21.51</v>
      </c>
      <c r="F24" s="55">
        <v>19.989999999999998</v>
      </c>
      <c r="G24" s="55">
        <v>55.74</v>
      </c>
      <c r="H24" s="55">
        <v>24.04</v>
      </c>
      <c r="I24" s="55">
        <v>4.0199999999999996</v>
      </c>
      <c r="J24" s="55">
        <v>0.37</v>
      </c>
      <c r="K24" s="55">
        <v>343.88</v>
      </c>
      <c r="L24" s="55">
        <v>25.41</v>
      </c>
      <c r="M24" s="55">
        <v>23.2</v>
      </c>
      <c r="N24" s="55">
        <v>105.2</v>
      </c>
      <c r="O24" s="55">
        <v>0</v>
      </c>
      <c r="P24" s="55">
        <v>0.8</v>
      </c>
      <c r="Q24" s="55">
        <v>9.36</v>
      </c>
      <c r="R24" s="43"/>
      <c r="S24" s="43"/>
      <c r="T24" s="43"/>
      <c r="U24" s="43"/>
    </row>
    <row r="25" spans="1:21" s="11" customFormat="1" x14ac:dyDescent="0.25">
      <c r="A25" s="54" t="s">
        <v>388</v>
      </c>
      <c r="B25" s="55">
        <v>21.54</v>
      </c>
      <c r="C25" s="55">
        <v>42.61</v>
      </c>
      <c r="D25" s="55">
        <v>39.07</v>
      </c>
      <c r="E25" s="55">
        <v>24.3</v>
      </c>
      <c r="F25" s="55">
        <v>15.8</v>
      </c>
      <c r="G25" s="55">
        <v>50.96</v>
      </c>
      <c r="H25" s="55">
        <v>23.94</v>
      </c>
      <c r="I25" s="55">
        <v>3.77</v>
      </c>
      <c r="J25" s="55">
        <v>0.5</v>
      </c>
      <c r="K25" s="55">
        <v>355.07</v>
      </c>
      <c r="L25" s="55">
        <v>24.58</v>
      </c>
      <c r="M25" s="55">
        <v>29.1</v>
      </c>
      <c r="N25" s="55">
        <v>76.599999999999994</v>
      </c>
      <c r="O25" s="55">
        <v>0</v>
      </c>
      <c r="P25" s="55">
        <v>1.23</v>
      </c>
      <c r="Q25" s="55">
        <v>9.39</v>
      </c>
      <c r="R25" s="43"/>
      <c r="S25" s="43"/>
      <c r="T25" s="43"/>
      <c r="U25" s="43"/>
    </row>
    <row r="26" spans="1:21" s="11" customFormat="1" x14ac:dyDescent="0.25">
      <c r="A26" s="54" t="s">
        <v>389</v>
      </c>
      <c r="B26" s="55">
        <v>24.95</v>
      </c>
      <c r="C26" s="55">
        <v>41.21</v>
      </c>
      <c r="D26" s="55">
        <v>41.08</v>
      </c>
      <c r="E26" s="55">
        <v>18.54</v>
      </c>
      <c r="F26" s="55">
        <v>6.03</v>
      </c>
      <c r="G26" s="55">
        <v>65.75</v>
      </c>
      <c r="H26" s="55">
        <v>24.52</v>
      </c>
      <c r="I26" s="55">
        <v>4</v>
      </c>
      <c r="J26" s="55">
        <v>0.24</v>
      </c>
      <c r="K26" s="55">
        <v>345.51</v>
      </c>
      <c r="L26" s="55">
        <v>22.15</v>
      </c>
      <c r="M26" s="55">
        <v>35.78</v>
      </c>
      <c r="N26" s="55">
        <v>46.5</v>
      </c>
      <c r="O26" s="55">
        <v>0</v>
      </c>
      <c r="P26" s="55">
        <v>1.29</v>
      </c>
      <c r="Q26" s="55">
        <v>9.44</v>
      </c>
      <c r="R26" s="43"/>
      <c r="S26" s="43"/>
      <c r="T26" s="43"/>
      <c r="U26" s="43"/>
    </row>
    <row r="27" spans="1:21" s="11" customFormat="1" x14ac:dyDescent="0.25">
      <c r="A27" s="54" t="s">
        <v>390</v>
      </c>
      <c r="B27" s="55">
        <v>18.52</v>
      </c>
      <c r="C27" s="55">
        <v>26.42</v>
      </c>
      <c r="D27" s="55">
        <v>25.43</v>
      </c>
      <c r="E27" s="55">
        <v>7.33</v>
      </c>
      <c r="F27" s="55">
        <v>3.45</v>
      </c>
      <c r="G27" s="55">
        <v>88.48</v>
      </c>
      <c r="H27" s="55">
        <v>30.32</v>
      </c>
      <c r="I27" s="55">
        <v>4.05</v>
      </c>
      <c r="J27" s="55">
        <v>0.12</v>
      </c>
      <c r="K27" s="55">
        <v>343.47</v>
      </c>
      <c r="L27" s="55">
        <v>20.100000000000001</v>
      </c>
      <c r="M27" s="55">
        <v>54.58</v>
      </c>
      <c r="N27" s="55">
        <v>42.4</v>
      </c>
      <c r="O27" s="55">
        <v>0</v>
      </c>
      <c r="P27" s="55">
        <v>1.1499999999999999</v>
      </c>
      <c r="Q27" s="55">
        <v>9.5299999999999994</v>
      </c>
      <c r="R27" s="43"/>
      <c r="S27" s="43"/>
      <c r="T27" s="43"/>
      <c r="U27" s="43"/>
    </row>
    <row r="28" spans="1:21" s="11" customFormat="1" x14ac:dyDescent="0.25">
      <c r="A28" s="54" t="s">
        <v>391</v>
      </c>
      <c r="B28" s="55">
        <v>28.19</v>
      </c>
      <c r="C28" s="55">
        <v>18.45</v>
      </c>
      <c r="D28" s="55">
        <v>30.07</v>
      </c>
      <c r="E28" s="55">
        <v>6.62</v>
      </c>
      <c r="F28" s="55">
        <v>3.29</v>
      </c>
      <c r="G28" s="55">
        <v>104.03</v>
      </c>
      <c r="H28" s="55">
        <v>38.369999999999997</v>
      </c>
      <c r="I28" s="55">
        <v>4.72</v>
      </c>
      <c r="J28" s="55">
        <v>0.13</v>
      </c>
      <c r="K28" s="55">
        <v>313.74</v>
      </c>
      <c r="L28" s="55">
        <v>18.510000000000002</v>
      </c>
      <c r="M28" s="55">
        <v>61.11</v>
      </c>
      <c r="N28" s="55">
        <v>42.2</v>
      </c>
      <c r="O28" s="55">
        <v>0</v>
      </c>
      <c r="P28" s="55">
        <v>1.54</v>
      </c>
      <c r="Q28" s="55">
        <v>9.6300000000000008</v>
      </c>
      <c r="R28" s="43"/>
      <c r="S28" s="43"/>
      <c r="T28" s="43"/>
      <c r="U28" s="43"/>
    </row>
    <row r="29" spans="1:21" s="11" customFormat="1" x14ac:dyDescent="0.25">
      <c r="A29" s="54" t="s">
        <v>392</v>
      </c>
      <c r="B29" s="55">
        <v>55.85</v>
      </c>
      <c r="C29" s="55">
        <v>14.88</v>
      </c>
      <c r="D29" s="55">
        <v>49.05</v>
      </c>
      <c r="E29" s="55">
        <v>6.9</v>
      </c>
      <c r="F29" s="55">
        <v>3.59</v>
      </c>
      <c r="G29" s="55">
        <v>120.22</v>
      </c>
      <c r="H29" s="55">
        <v>42.49</v>
      </c>
      <c r="I29" s="55">
        <v>5.46</v>
      </c>
      <c r="J29" s="55">
        <v>0.14000000000000001</v>
      </c>
      <c r="K29" s="55">
        <v>343.64</v>
      </c>
      <c r="L29" s="55">
        <v>17.420000000000002</v>
      </c>
      <c r="M29" s="55">
        <v>65.739999999999995</v>
      </c>
      <c r="N29" s="55">
        <v>42.3</v>
      </c>
      <c r="O29" s="55">
        <v>0</v>
      </c>
      <c r="P29" s="55">
        <v>2.06</v>
      </c>
      <c r="Q29" s="55">
        <v>9.67</v>
      </c>
      <c r="R29" s="43"/>
      <c r="S29" s="43"/>
      <c r="T29" s="43"/>
      <c r="U29" s="43"/>
    </row>
    <row r="30" spans="1:21" s="11" customFormat="1" x14ac:dyDescent="0.25">
      <c r="A30" s="54" t="s">
        <v>393</v>
      </c>
      <c r="B30" s="55">
        <v>72.73</v>
      </c>
      <c r="C30" s="55">
        <v>6.06</v>
      </c>
      <c r="D30" s="55">
        <v>57.5</v>
      </c>
      <c r="E30" s="55">
        <v>7.11</v>
      </c>
      <c r="F30" s="55">
        <v>3.55</v>
      </c>
      <c r="G30" s="55">
        <v>127.66</v>
      </c>
      <c r="H30" s="55">
        <v>47.58</v>
      </c>
      <c r="I30" s="55">
        <v>5.92</v>
      </c>
      <c r="J30" s="55">
        <v>0.19</v>
      </c>
      <c r="K30" s="55">
        <v>331.96</v>
      </c>
      <c r="L30" s="55">
        <v>17.14</v>
      </c>
      <c r="M30" s="55">
        <v>88.55</v>
      </c>
      <c r="N30" s="55">
        <v>42.2</v>
      </c>
      <c r="O30" s="55">
        <v>0</v>
      </c>
      <c r="P30" s="55">
        <v>2.31</v>
      </c>
      <c r="Q30" s="55">
        <v>9.7100000000000009</v>
      </c>
      <c r="R30" s="43"/>
      <c r="S30" s="43"/>
      <c r="T30" s="43"/>
      <c r="U30" s="43"/>
    </row>
    <row r="31" spans="1:21" s="11" customFormat="1" x14ac:dyDescent="0.25">
      <c r="A31" s="54" t="s">
        <v>394</v>
      </c>
      <c r="B31" s="55">
        <v>82.28</v>
      </c>
      <c r="C31" s="5" t="s">
        <v>14</v>
      </c>
      <c r="D31" s="55">
        <v>61.38</v>
      </c>
      <c r="E31" s="55">
        <v>7.35</v>
      </c>
      <c r="F31" s="55">
        <v>3.46</v>
      </c>
      <c r="G31" s="55">
        <v>140.43</v>
      </c>
      <c r="H31" s="55">
        <v>50.86</v>
      </c>
      <c r="I31" s="55">
        <v>6.57</v>
      </c>
      <c r="J31" s="55">
        <v>0.17</v>
      </c>
      <c r="K31" s="55">
        <v>330.48</v>
      </c>
      <c r="L31" s="55">
        <v>16.649999999999999</v>
      </c>
      <c r="M31" s="55">
        <v>79.27</v>
      </c>
      <c r="N31" s="55">
        <v>42.1</v>
      </c>
      <c r="O31" s="55">
        <v>0</v>
      </c>
      <c r="P31" s="55">
        <v>2.38</v>
      </c>
      <c r="Q31" s="55">
        <v>9.76</v>
      </c>
      <c r="R31" s="43"/>
      <c r="S31" s="43"/>
      <c r="T31" s="43"/>
      <c r="U31" s="43"/>
    </row>
    <row r="32" spans="1:21" s="11" customFormat="1" x14ac:dyDescent="0.25">
      <c r="A32" s="54" t="s">
        <v>395</v>
      </c>
      <c r="B32" s="55">
        <v>81.33</v>
      </c>
      <c r="C32" s="5" t="s">
        <v>14</v>
      </c>
      <c r="D32" s="55">
        <v>60.67</v>
      </c>
      <c r="E32" s="55">
        <v>6.82</v>
      </c>
      <c r="F32" s="55">
        <v>3.28</v>
      </c>
      <c r="G32" s="55">
        <v>140.43</v>
      </c>
      <c r="H32" s="55">
        <v>50.86</v>
      </c>
      <c r="I32" s="55">
        <v>6.6</v>
      </c>
      <c r="J32" s="55">
        <v>0.18</v>
      </c>
      <c r="K32" s="55">
        <v>315.82</v>
      </c>
      <c r="L32" s="55">
        <v>17.07</v>
      </c>
      <c r="M32" s="55">
        <v>63.11</v>
      </c>
      <c r="N32" s="55">
        <v>42.2</v>
      </c>
      <c r="O32" s="55">
        <v>0</v>
      </c>
      <c r="P32" s="55">
        <v>2.3199999999999998</v>
      </c>
      <c r="Q32" s="55">
        <v>9.77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10.34</v>
      </c>
      <c r="C34" s="28">
        <f t="shared" si="0"/>
        <v>0.59</v>
      </c>
      <c r="D34" s="28">
        <f t="shared" si="0"/>
        <v>21.37</v>
      </c>
      <c r="E34" s="28">
        <f t="shared" si="0"/>
        <v>5.62</v>
      </c>
      <c r="F34" s="28">
        <f t="shared" si="0"/>
        <v>3.1</v>
      </c>
      <c r="G34" s="28">
        <f t="shared" si="0"/>
        <v>50.96</v>
      </c>
      <c r="H34" s="28">
        <f t="shared" si="0"/>
        <v>23.94</v>
      </c>
      <c r="I34" s="28">
        <f t="shared" si="0"/>
        <v>3.77</v>
      </c>
      <c r="J34" s="28">
        <f t="shared" si="0"/>
        <v>0.09</v>
      </c>
      <c r="K34" s="28">
        <f t="shared" si="0"/>
        <v>283.10000000000002</v>
      </c>
      <c r="L34" s="28">
        <f t="shared" si="0"/>
        <v>13.35</v>
      </c>
      <c r="M34" s="28">
        <f t="shared" si="0"/>
        <v>22.08</v>
      </c>
      <c r="N34" s="28">
        <f t="shared" si="0"/>
        <v>42.1</v>
      </c>
      <c r="O34" s="28">
        <f t="shared" si="0"/>
        <v>0</v>
      </c>
      <c r="P34" s="28">
        <f t="shared" si="0"/>
        <v>0.8</v>
      </c>
      <c r="Q34" s="28">
        <f t="shared" si="0"/>
        <v>9.36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124.75</v>
      </c>
      <c r="C35" s="29">
        <f t="shared" si="1"/>
        <v>42.61</v>
      </c>
      <c r="D35" s="29">
        <f t="shared" si="1"/>
        <v>85</v>
      </c>
      <c r="E35" s="29">
        <f t="shared" si="1"/>
        <v>24.3</v>
      </c>
      <c r="F35" s="29">
        <f t="shared" si="1"/>
        <v>19.989999999999998</v>
      </c>
      <c r="G35" s="29">
        <f t="shared" si="1"/>
        <v>161.71</v>
      </c>
      <c r="H35" s="29">
        <f t="shared" si="1"/>
        <v>56</v>
      </c>
      <c r="I35" s="29">
        <f t="shared" si="1"/>
        <v>8.9700000000000006</v>
      </c>
      <c r="J35" s="29">
        <f t="shared" si="1"/>
        <v>1.07</v>
      </c>
      <c r="K35" s="29">
        <f t="shared" si="1"/>
        <v>357.57</v>
      </c>
      <c r="L35" s="29">
        <f t="shared" si="1"/>
        <v>29.16</v>
      </c>
      <c r="M35" s="29">
        <f t="shared" si="1"/>
        <v>97.13</v>
      </c>
      <c r="N35" s="29">
        <f t="shared" si="1"/>
        <v>724.4</v>
      </c>
      <c r="O35" s="29">
        <f t="shared" si="1"/>
        <v>0</v>
      </c>
      <c r="P35" s="29">
        <f t="shared" si="1"/>
        <v>2.91</v>
      </c>
      <c r="Q35" s="29">
        <f t="shared" si="1"/>
        <v>9.8699999999999992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52.946666666666665</v>
      </c>
      <c r="C36" s="28">
        <f t="shared" si="2"/>
        <v>20.764666666666663</v>
      </c>
      <c r="D36" s="28">
        <f t="shared" si="2"/>
        <v>45.039583333333333</v>
      </c>
      <c r="E36" s="28">
        <f t="shared" si="2"/>
        <v>10.084583333333333</v>
      </c>
      <c r="F36" s="28">
        <f t="shared" si="2"/>
        <v>6.0325000000000015</v>
      </c>
      <c r="G36" s="28">
        <f t="shared" si="2"/>
        <v>106.44541666666667</v>
      </c>
      <c r="H36" s="28">
        <f t="shared" si="2"/>
        <v>41.707083333333337</v>
      </c>
      <c r="I36" s="28">
        <f t="shared" si="2"/>
        <v>6.0654166666666667</v>
      </c>
      <c r="J36" s="28">
        <f t="shared" si="2"/>
        <v>0.36625000000000002</v>
      </c>
      <c r="K36" s="28">
        <f t="shared" si="2"/>
        <v>335.935</v>
      </c>
      <c r="L36" s="28">
        <f t="shared" si="2"/>
        <v>20.431666666666665</v>
      </c>
      <c r="M36" s="28">
        <f t="shared" si="2"/>
        <v>59.867083333333333</v>
      </c>
      <c r="N36" s="28">
        <f t="shared" si="2"/>
        <v>211.65416666666667</v>
      </c>
      <c r="O36" s="28">
        <f t="shared" si="2"/>
        <v>0</v>
      </c>
      <c r="P36" s="28">
        <f t="shared" si="2"/>
        <v>1.6812500000000001</v>
      </c>
      <c r="Q36" s="28">
        <f t="shared" si="2"/>
        <v>9.6579166666666669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33.395521135087236</v>
      </c>
      <c r="C37" s="28">
        <f t="shared" ref="C37:Q37" si="3">STDEV(C9:C32)</f>
        <v>12.303390279957487</v>
      </c>
      <c r="D37" s="28">
        <f t="shared" si="3"/>
        <v>17.665534235308023</v>
      </c>
      <c r="E37" s="28">
        <f t="shared" si="3"/>
        <v>6.2145551305797024</v>
      </c>
      <c r="F37" s="28">
        <f t="shared" si="3"/>
        <v>4.8028924708925667</v>
      </c>
      <c r="G37" s="28">
        <f t="shared" si="3"/>
        <v>34.379392839210453</v>
      </c>
      <c r="H37" s="28">
        <f t="shared" si="3"/>
        <v>11.146454487635388</v>
      </c>
      <c r="I37" s="28">
        <f t="shared" si="3"/>
        <v>1.7327283817516028</v>
      </c>
      <c r="J37" s="28">
        <f t="shared" si="3"/>
        <v>0.3011256057441522</v>
      </c>
      <c r="K37" s="28">
        <f t="shared" si="3"/>
        <v>17.241373142127827</v>
      </c>
      <c r="L37" s="28">
        <f t="shared" si="3"/>
        <v>5.707604131992368</v>
      </c>
      <c r="M37" s="28">
        <f t="shared" si="3"/>
        <v>29.732495833927128</v>
      </c>
      <c r="N37" s="28">
        <f t="shared" si="3"/>
        <v>258.57049661748817</v>
      </c>
      <c r="O37" s="28">
        <f t="shared" si="3"/>
        <v>0</v>
      </c>
      <c r="P37" s="28">
        <f t="shared" si="3"/>
        <v>0.59645556341644945</v>
      </c>
      <c r="Q37" s="28">
        <f t="shared" si="3"/>
        <v>0.14055725018550325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COUNT(C9:C32)+9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3" sqref="F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396</v>
      </c>
      <c r="B9" s="55">
        <v>73.12</v>
      </c>
      <c r="C9" s="55">
        <v>0.2</v>
      </c>
      <c r="D9" s="55">
        <v>55.42</v>
      </c>
      <c r="E9" s="55">
        <v>5.75</v>
      </c>
      <c r="F9" s="55">
        <v>3.03</v>
      </c>
      <c r="G9" s="55">
        <v>125.8</v>
      </c>
      <c r="H9" s="55">
        <v>50.67</v>
      </c>
      <c r="I9" s="55">
        <v>6.31</v>
      </c>
      <c r="J9" s="55">
        <v>0.73</v>
      </c>
      <c r="K9" s="55">
        <v>344.13</v>
      </c>
      <c r="L9" s="55">
        <v>15.94</v>
      </c>
      <c r="M9" s="55">
        <v>73.69</v>
      </c>
      <c r="N9" s="55">
        <v>42.3</v>
      </c>
      <c r="O9" s="55">
        <v>0</v>
      </c>
      <c r="P9" s="55">
        <v>2.11</v>
      </c>
      <c r="Q9" s="55">
        <v>9.76</v>
      </c>
      <c r="R9" s="43"/>
      <c r="S9" s="43"/>
      <c r="T9" s="43"/>
      <c r="U9" s="43"/>
    </row>
    <row r="10" spans="1:21" s="11" customFormat="1" x14ac:dyDescent="0.25">
      <c r="A10" s="54" t="s">
        <v>397</v>
      </c>
      <c r="B10" s="55">
        <v>61.79</v>
      </c>
      <c r="C10" s="55">
        <v>0.81</v>
      </c>
      <c r="D10" s="55">
        <v>48.25</v>
      </c>
      <c r="E10" s="55">
        <v>5.94</v>
      </c>
      <c r="F10" s="55">
        <v>3.3</v>
      </c>
      <c r="G10" s="55">
        <v>86.16</v>
      </c>
      <c r="H10" s="55">
        <v>41.83</v>
      </c>
      <c r="I10" s="55">
        <v>6.13</v>
      </c>
      <c r="J10" s="55">
        <v>0.32</v>
      </c>
      <c r="K10" s="55">
        <v>331.52</v>
      </c>
      <c r="L10" s="55">
        <v>15.75</v>
      </c>
      <c r="M10" s="55">
        <v>70.010000000000005</v>
      </c>
      <c r="N10" s="55">
        <v>42.2</v>
      </c>
      <c r="O10" s="55">
        <v>0</v>
      </c>
      <c r="P10" s="55">
        <v>1.71</v>
      </c>
      <c r="Q10" s="55">
        <v>9.7200000000000006</v>
      </c>
      <c r="R10" s="43"/>
      <c r="S10" s="43"/>
      <c r="T10" s="43"/>
      <c r="U10" s="43"/>
    </row>
    <row r="11" spans="1:21" s="11" customFormat="1" x14ac:dyDescent="0.25">
      <c r="A11" s="54" t="s">
        <v>398</v>
      </c>
      <c r="B11" s="55">
        <v>52.98</v>
      </c>
      <c r="C11" s="55">
        <v>3.16</v>
      </c>
      <c r="D11" s="55">
        <v>42.76</v>
      </c>
      <c r="E11" s="55">
        <v>5.84</v>
      </c>
      <c r="F11" s="55">
        <v>3.51</v>
      </c>
      <c r="G11" s="55">
        <v>95.95</v>
      </c>
      <c r="H11" s="55">
        <v>41.8</v>
      </c>
      <c r="I11" s="55">
        <v>5.61</v>
      </c>
      <c r="J11" s="55">
        <v>0.13</v>
      </c>
      <c r="K11" s="55">
        <v>326.8</v>
      </c>
      <c r="L11" s="55">
        <v>15.13</v>
      </c>
      <c r="M11" s="55">
        <v>69.12</v>
      </c>
      <c r="N11" s="55">
        <v>42.2</v>
      </c>
      <c r="O11" s="55">
        <v>0</v>
      </c>
      <c r="P11" s="55">
        <v>1.62</v>
      </c>
      <c r="Q11" s="55">
        <v>9.7100000000000009</v>
      </c>
      <c r="R11" s="43"/>
      <c r="S11" s="43"/>
      <c r="T11" s="43"/>
      <c r="U11" s="43"/>
    </row>
    <row r="12" spans="1:21" s="11" customFormat="1" x14ac:dyDescent="0.25">
      <c r="A12" s="54" t="s">
        <v>399</v>
      </c>
      <c r="B12" s="55">
        <v>44.7</v>
      </c>
      <c r="C12" s="55">
        <v>5.92</v>
      </c>
      <c r="D12" s="55">
        <v>37.380000000000003</v>
      </c>
      <c r="E12" s="55">
        <v>5.8</v>
      </c>
      <c r="F12" s="55">
        <v>3.49</v>
      </c>
      <c r="G12" s="55">
        <v>95.95</v>
      </c>
      <c r="H12" s="55">
        <v>41.19</v>
      </c>
      <c r="I12" s="55">
        <v>5.32</v>
      </c>
      <c r="J12" s="55">
        <v>0.17</v>
      </c>
      <c r="K12" s="55">
        <v>325.93</v>
      </c>
      <c r="L12" s="55">
        <v>14.6</v>
      </c>
      <c r="M12" s="55">
        <v>74.55</v>
      </c>
      <c r="N12" s="55">
        <v>42.2</v>
      </c>
      <c r="O12" s="55">
        <v>0</v>
      </c>
      <c r="P12" s="55">
        <v>1.43</v>
      </c>
      <c r="Q12" s="55">
        <v>9.68</v>
      </c>
      <c r="R12" s="43"/>
      <c r="S12" s="43"/>
      <c r="T12" s="43"/>
      <c r="U12" s="43"/>
    </row>
    <row r="13" spans="1:21" s="11" customFormat="1" x14ac:dyDescent="0.25">
      <c r="A13" s="54" t="s">
        <v>400</v>
      </c>
      <c r="B13" s="55">
        <v>37.46</v>
      </c>
      <c r="C13" s="55">
        <v>8.64</v>
      </c>
      <c r="D13" s="55">
        <v>32.92</v>
      </c>
      <c r="E13" s="55">
        <v>5.42</v>
      </c>
      <c r="F13" s="55">
        <v>3.15</v>
      </c>
      <c r="G13" s="55">
        <v>98.95</v>
      </c>
      <c r="H13" s="55">
        <v>43.04</v>
      </c>
      <c r="I13" s="55">
        <v>5.37</v>
      </c>
      <c r="J13" s="55">
        <v>0.18</v>
      </c>
      <c r="K13" s="55">
        <v>329.15</v>
      </c>
      <c r="L13" s="55">
        <v>14.73</v>
      </c>
      <c r="M13" s="55">
        <v>69.11</v>
      </c>
      <c r="N13" s="55">
        <v>41.9</v>
      </c>
      <c r="O13" s="55">
        <v>0</v>
      </c>
      <c r="P13" s="55">
        <v>1.29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401</v>
      </c>
      <c r="B14" s="55">
        <v>30.61</v>
      </c>
      <c r="C14" s="55">
        <v>11.3</v>
      </c>
      <c r="D14" s="55">
        <v>28.95</v>
      </c>
      <c r="E14" s="55">
        <v>5.18</v>
      </c>
      <c r="F14" s="55">
        <v>3.36</v>
      </c>
      <c r="G14" s="55">
        <v>98.95</v>
      </c>
      <c r="H14" s="55">
        <v>43.04</v>
      </c>
      <c r="I14" s="55">
        <v>4.88</v>
      </c>
      <c r="J14" s="55">
        <v>0.22</v>
      </c>
      <c r="K14" s="55">
        <v>330.11</v>
      </c>
      <c r="L14" s="55">
        <v>14.36</v>
      </c>
      <c r="M14" s="55">
        <v>76.97</v>
      </c>
      <c r="N14" s="55">
        <v>42.6</v>
      </c>
      <c r="O14" s="55">
        <v>0</v>
      </c>
      <c r="P14" s="55">
        <v>1.19</v>
      </c>
      <c r="Q14" s="55">
        <v>9.66</v>
      </c>
      <c r="R14" s="43"/>
      <c r="S14" s="43"/>
      <c r="T14" s="43"/>
      <c r="U14" s="43"/>
    </row>
    <row r="15" spans="1:21" s="11" customFormat="1" x14ac:dyDescent="0.25">
      <c r="A15" s="54" t="s">
        <v>402</v>
      </c>
      <c r="B15" s="55">
        <v>25.93</v>
      </c>
      <c r="C15" s="55">
        <v>12.42</v>
      </c>
      <c r="D15" s="55">
        <v>26.8</v>
      </c>
      <c r="E15" s="55">
        <v>5.57</v>
      </c>
      <c r="F15" s="55">
        <v>3.4</v>
      </c>
      <c r="G15" s="55">
        <v>91.91</v>
      </c>
      <c r="H15" s="55">
        <v>39.450000000000003</v>
      </c>
      <c r="I15" s="55">
        <v>4.62</v>
      </c>
      <c r="J15" s="55">
        <v>0.43</v>
      </c>
      <c r="K15" s="55">
        <v>348.41</v>
      </c>
      <c r="L15" s="55">
        <v>14.27</v>
      </c>
      <c r="M15" s="55">
        <v>85</v>
      </c>
      <c r="N15" s="55">
        <v>87.2</v>
      </c>
      <c r="O15" s="55">
        <v>0</v>
      </c>
      <c r="P15" s="55">
        <v>1.26</v>
      </c>
      <c r="Q15" s="55">
        <v>9.65</v>
      </c>
      <c r="R15" s="43"/>
      <c r="S15" s="43"/>
      <c r="T15" s="43"/>
      <c r="U15" s="43"/>
    </row>
    <row r="16" spans="1:21" s="11" customFormat="1" x14ac:dyDescent="0.25">
      <c r="A16" s="54" t="s">
        <v>403</v>
      </c>
      <c r="B16" s="55">
        <v>27.69</v>
      </c>
      <c r="C16" s="55">
        <v>12.86</v>
      </c>
      <c r="D16" s="55">
        <v>27.92</v>
      </c>
      <c r="E16" s="55">
        <v>5.78</v>
      </c>
      <c r="F16" s="55">
        <v>3.32</v>
      </c>
      <c r="G16" s="55">
        <v>109.51</v>
      </c>
      <c r="H16" s="55">
        <v>42.5</v>
      </c>
      <c r="I16" s="55">
        <v>4.75</v>
      </c>
      <c r="J16" s="55">
        <v>0.53</v>
      </c>
      <c r="K16" s="55">
        <v>345.2</v>
      </c>
      <c r="L16" s="55">
        <v>20.21</v>
      </c>
      <c r="M16" s="55">
        <v>74.680000000000007</v>
      </c>
      <c r="N16" s="55">
        <v>316.60000000000002</v>
      </c>
      <c r="O16" s="55">
        <v>0</v>
      </c>
      <c r="P16" s="55">
        <v>1.25</v>
      </c>
      <c r="Q16" s="55">
        <v>9.64</v>
      </c>
      <c r="R16" s="43"/>
      <c r="S16" s="43"/>
      <c r="T16" s="43"/>
      <c r="U16" s="43"/>
    </row>
    <row r="17" spans="1:21" s="11" customFormat="1" x14ac:dyDescent="0.25">
      <c r="A17" s="54" t="s">
        <v>404</v>
      </c>
      <c r="B17" s="55">
        <v>25.84</v>
      </c>
      <c r="C17" s="55">
        <v>15.55</v>
      </c>
      <c r="D17" s="55">
        <v>27.4</v>
      </c>
      <c r="E17" s="55">
        <v>5.84</v>
      </c>
      <c r="F17" s="55">
        <v>3.17</v>
      </c>
      <c r="G17" s="55">
        <v>109.51</v>
      </c>
      <c r="H17" s="55">
        <v>42.5</v>
      </c>
      <c r="I17" s="55">
        <v>4.71</v>
      </c>
      <c r="J17" s="55">
        <v>0.54</v>
      </c>
      <c r="K17" s="55">
        <v>352.21</v>
      </c>
      <c r="L17" s="55">
        <v>22.75</v>
      </c>
      <c r="M17" s="55">
        <v>41.42</v>
      </c>
      <c r="N17" s="55">
        <v>498.7</v>
      </c>
      <c r="O17" s="55">
        <v>0</v>
      </c>
      <c r="P17" s="55">
        <v>1.1399999999999999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405</v>
      </c>
      <c r="B18" s="55">
        <v>22.81</v>
      </c>
      <c r="C18" s="55">
        <v>18.329999999999998</v>
      </c>
      <c r="D18" s="55">
        <v>26.12</v>
      </c>
      <c r="E18" s="55">
        <v>6.58</v>
      </c>
      <c r="F18" s="55">
        <v>4.29</v>
      </c>
      <c r="G18" s="55">
        <v>103.5</v>
      </c>
      <c r="H18" s="55">
        <v>40.28</v>
      </c>
      <c r="I18" s="55">
        <v>4.5599999999999996</v>
      </c>
      <c r="J18" s="55">
        <v>0.45</v>
      </c>
      <c r="K18" s="55">
        <v>354.22</v>
      </c>
      <c r="L18" s="55">
        <v>24.61</v>
      </c>
      <c r="M18" s="55">
        <v>39.58</v>
      </c>
      <c r="N18" s="55">
        <v>631.70000000000005</v>
      </c>
      <c r="O18" s="55">
        <v>0</v>
      </c>
      <c r="P18" s="55">
        <v>1.06</v>
      </c>
      <c r="Q18" s="55">
        <v>9.6300000000000008</v>
      </c>
      <c r="R18" s="43"/>
      <c r="S18" s="43"/>
      <c r="T18" s="43"/>
      <c r="U18" s="43"/>
    </row>
    <row r="19" spans="1:21" s="11" customFormat="1" x14ac:dyDescent="0.25">
      <c r="A19" s="54" t="s">
        <v>406</v>
      </c>
      <c r="B19" s="55">
        <v>19.309999999999999</v>
      </c>
      <c r="C19" s="55">
        <v>21.26</v>
      </c>
      <c r="D19" s="55">
        <v>25.77</v>
      </c>
      <c r="E19" s="55">
        <v>9.76</v>
      </c>
      <c r="F19" s="55">
        <v>4.62</v>
      </c>
      <c r="G19" s="55">
        <v>89.22</v>
      </c>
      <c r="H19" s="55">
        <v>33.51</v>
      </c>
      <c r="I19" s="55">
        <v>4.3899999999999997</v>
      </c>
      <c r="J19" s="55">
        <v>0.65</v>
      </c>
      <c r="K19" s="55">
        <v>347.55</v>
      </c>
      <c r="L19" s="55">
        <v>27.98</v>
      </c>
      <c r="M19" s="55">
        <v>32.270000000000003</v>
      </c>
      <c r="N19" s="55">
        <v>686.9</v>
      </c>
      <c r="O19" s="55">
        <v>0</v>
      </c>
      <c r="P19" s="55">
        <v>1.03</v>
      </c>
      <c r="Q19" s="55">
        <v>9.61</v>
      </c>
      <c r="R19" s="43"/>
      <c r="S19" s="43"/>
      <c r="T19" s="43"/>
      <c r="U19" s="43"/>
    </row>
    <row r="20" spans="1:21" s="11" customFormat="1" x14ac:dyDescent="0.25">
      <c r="A20" s="54" t="s">
        <v>407</v>
      </c>
      <c r="B20" s="55">
        <v>17.489999999999998</v>
      </c>
      <c r="C20" s="55">
        <v>22.15</v>
      </c>
      <c r="D20" s="55">
        <v>25.13</v>
      </c>
      <c r="E20" s="55">
        <v>11.33</v>
      </c>
      <c r="F20" s="55">
        <v>5.54</v>
      </c>
      <c r="G20" s="55">
        <v>77.92</v>
      </c>
      <c r="H20" s="55">
        <v>33.25</v>
      </c>
      <c r="I20" s="55">
        <v>4.25</v>
      </c>
      <c r="J20" s="55">
        <v>0.71</v>
      </c>
      <c r="K20" s="55">
        <v>356.79</v>
      </c>
      <c r="L20" s="55">
        <v>28.61</v>
      </c>
      <c r="M20" s="55">
        <v>27.13</v>
      </c>
      <c r="N20" s="55">
        <v>705.4</v>
      </c>
      <c r="O20" s="55">
        <v>0</v>
      </c>
      <c r="P20" s="55">
        <v>0.99</v>
      </c>
      <c r="Q20" s="55">
        <v>9.6</v>
      </c>
      <c r="R20" s="43"/>
      <c r="S20" s="43"/>
      <c r="T20" s="43"/>
      <c r="U20" s="43"/>
    </row>
    <row r="21" spans="1:21" s="11" customFormat="1" x14ac:dyDescent="0.25">
      <c r="A21" s="54" t="s">
        <v>408</v>
      </c>
      <c r="B21" s="55">
        <v>14.84</v>
      </c>
      <c r="C21" s="55">
        <v>25.05</v>
      </c>
      <c r="D21" s="55">
        <v>23.15</v>
      </c>
      <c r="E21" s="55">
        <v>8.4700000000000006</v>
      </c>
      <c r="F21" s="55">
        <v>5.21</v>
      </c>
      <c r="G21" s="55">
        <v>72.56</v>
      </c>
      <c r="H21" s="55">
        <v>31.96</v>
      </c>
      <c r="I21" s="55">
        <v>4.12</v>
      </c>
      <c r="J21" s="55">
        <v>0.54</v>
      </c>
      <c r="K21" s="55">
        <v>342.2</v>
      </c>
      <c r="L21" s="55">
        <v>28.5</v>
      </c>
      <c r="M21" s="55">
        <v>24.28</v>
      </c>
      <c r="N21" s="55">
        <v>650.29999999999995</v>
      </c>
      <c r="O21" s="55">
        <v>0</v>
      </c>
      <c r="P21" s="55">
        <v>0.84</v>
      </c>
      <c r="Q21" s="55">
        <v>9.52</v>
      </c>
      <c r="R21" s="43"/>
      <c r="S21" s="43"/>
      <c r="T21" s="43"/>
      <c r="U21" s="43"/>
    </row>
    <row r="22" spans="1:21" s="11" customFormat="1" x14ac:dyDescent="0.25">
      <c r="A22" s="54" t="s">
        <v>409</v>
      </c>
      <c r="B22" s="55">
        <v>11.48</v>
      </c>
      <c r="C22" s="55">
        <v>27.73</v>
      </c>
      <c r="D22" s="55">
        <v>22.75</v>
      </c>
      <c r="E22" s="55">
        <v>14.06</v>
      </c>
      <c r="F22" s="55">
        <v>9.19</v>
      </c>
      <c r="G22" s="55">
        <v>64.41</v>
      </c>
      <c r="H22" s="55">
        <v>26.22</v>
      </c>
      <c r="I22" s="55">
        <v>3.79</v>
      </c>
      <c r="J22" s="55">
        <v>0.78</v>
      </c>
      <c r="K22" s="55">
        <v>347.95</v>
      </c>
      <c r="L22" s="55">
        <v>27.74</v>
      </c>
      <c r="M22" s="55">
        <v>22.77</v>
      </c>
      <c r="N22" s="55">
        <v>534.20000000000005</v>
      </c>
      <c r="O22" s="55">
        <v>0</v>
      </c>
      <c r="P22" s="55">
        <v>0.85</v>
      </c>
      <c r="Q22" s="55">
        <v>9.44</v>
      </c>
      <c r="R22" s="43"/>
      <c r="S22" s="43"/>
      <c r="T22" s="43"/>
      <c r="U22" s="43"/>
    </row>
    <row r="23" spans="1:21" s="11" customFormat="1" x14ac:dyDescent="0.25">
      <c r="A23" s="54" t="s">
        <v>410</v>
      </c>
      <c r="B23" s="55">
        <v>12.83</v>
      </c>
      <c r="C23" s="55">
        <v>31.08</v>
      </c>
      <c r="D23" s="55">
        <v>26.07</v>
      </c>
      <c r="E23" s="55">
        <v>22.17</v>
      </c>
      <c r="F23" s="55">
        <v>17.13</v>
      </c>
      <c r="G23" s="55">
        <v>59.16</v>
      </c>
      <c r="H23" s="55">
        <v>23.02</v>
      </c>
      <c r="I23" s="55">
        <v>3.49</v>
      </c>
      <c r="J23" s="55">
        <v>0.93</v>
      </c>
      <c r="K23" s="55">
        <v>352.78</v>
      </c>
      <c r="L23" s="55">
        <v>27.1</v>
      </c>
      <c r="M23" s="55">
        <v>23.62</v>
      </c>
      <c r="N23" s="55">
        <v>150.30000000000001</v>
      </c>
      <c r="O23" s="55">
        <v>0</v>
      </c>
      <c r="P23" s="55">
        <v>0.8</v>
      </c>
      <c r="Q23" s="55">
        <v>9.39</v>
      </c>
      <c r="R23" s="43"/>
      <c r="S23" s="43"/>
      <c r="T23" s="43"/>
      <c r="U23" s="43"/>
    </row>
    <row r="24" spans="1:21" s="11" customFormat="1" x14ac:dyDescent="0.25">
      <c r="A24" s="54" t="s">
        <v>411</v>
      </c>
      <c r="B24" s="55">
        <v>10.46</v>
      </c>
      <c r="C24" s="55">
        <v>33.76</v>
      </c>
      <c r="D24" s="55">
        <v>25.57</v>
      </c>
      <c r="E24" s="55">
        <v>21.05</v>
      </c>
      <c r="F24" s="55">
        <v>16.37</v>
      </c>
      <c r="G24" s="55">
        <v>57.38</v>
      </c>
      <c r="H24" s="55">
        <v>21.72</v>
      </c>
      <c r="I24" s="55">
        <v>3.35</v>
      </c>
      <c r="J24" s="55">
        <v>1.06</v>
      </c>
      <c r="K24" s="55">
        <v>341.85</v>
      </c>
      <c r="L24" s="55">
        <v>25.79</v>
      </c>
      <c r="M24" s="55">
        <v>25.55</v>
      </c>
      <c r="N24" s="55">
        <v>110.6</v>
      </c>
      <c r="O24" s="55">
        <v>0</v>
      </c>
      <c r="P24" s="55">
        <v>0.83</v>
      </c>
      <c r="Q24" s="55">
        <v>9.3699999999999992</v>
      </c>
      <c r="R24" s="43"/>
      <c r="S24" s="43"/>
      <c r="T24" s="43"/>
      <c r="U24" s="43"/>
    </row>
    <row r="25" spans="1:21" s="11" customFormat="1" x14ac:dyDescent="0.25">
      <c r="A25" s="54" t="s">
        <v>412</v>
      </c>
      <c r="B25" s="55">
        <v>6.01</v>
      </c>
      <c r="C25" s="55">
        <v>34.85</v>
      </c>
      <c r="D25" s="55">
        <v>22.11</v>
      </c>
      <c r="E25" s="55">
        <v>17.27</v>
      </c>
      <c r="F25" s="55">
        <v>14.56</v>
      </c>
      <c r="G25" s="55">
        <v>54.02</v>
      </c>
      <c r="H25" s="55">
        <v>21.72</v>
      </c>
      <c r="I25" s="55">
        <v>3.23</v>
      </c>
      <c r="J25" s="55">
        <v>0.21</v>
      </c>
      <c r="K25" s="55">
        <v>348.2</v>
      </c>
      <c r="L25" s="55">
        <v>24.37</v>
      </c>
      <c r="M25" s="55">
        <v>29.14</v>
      </c>
      <c r="N25" s="55">
        <v>78.2</v>
      </c>
      <c r="O25" s="55">
        <v>0</v>
      </c>
      <c r="P25" s="55">
        <v>0.82</v>
      </c>
      <c r="Q25" s="55">
        <v>9.32</v>
      </c>
      <c r="R25" s="43"/>
      <c r="S25" s="43"/>
      <c r="T25" s="43"/>
      <c r="U25" s="43"/>
    </row>
    <row r="26" spans="1:21" s="11" customFormat="1" x14ac:dyDescent="0.25">
      <c r="A26" s="54" t="s">
        <v>413</v>
      </c>
      <c r="B26" s="55">
        <v>16.61</v>
      </c>
      <c r="C26" s="55">
        <v>31.57</v>
      </c>
      <c r="D26" s="55">
        <v>26.74</v>
      </c>
      <c r="E26" s="55">
        <v>13.14</v>
      </c>
      <c r="F26" s="55">
        <v>8.02</v>
      </c>
      <c r="G26" s="55">
        <v>53.06</v>
      </c>
      <c r="H26" s="55">
        <v>22.73</v>
      </c>
      <c r="I26" s="55">
        <v>3.2</v>
      </c>
      <c r="J26" s="55">
        <v>0.14000000000000001</v>
      </c>
      <c r="K26" s="55">
        <v>343.1</v>
      </c>
      <c r="L26" s="55">
        <v>22.68</v>
      </c>
      <c r="M26" s="55">
        <v>40.94</v>
      </c>
      <c r="N26" s="55">
        <v>46.4</v>
      </c>
      <c r="O26" s="55">
        <v>0</v>
      </c>
      <c r="P26" s="55">
        <v>0.96</v>
      </c>
      <c r="Q26" s="55">
        <v>9.3800000000000008</v>
      </c>
      <c r="R26" s="43"/>
      <c r="S26" s="43"/>
      <c r="T26" s="43"/>
      <c r="U26" s="43"/>
    </row>
    <row r="27" spans="1:21" s="11" customFormat="1" x14ac:dyDescent="0.25">
      <c r="A27" s="54" t="s">
        <v>414</v>
      </c>
      <c r="B27" s="55">
        <v>31.82</v>
      </c>
      <c r="C27" s="55">
        <v>31.27</v>
      </c>
      <c r="D27" s="55">
        <v>39.99</v>
      </c>
      <c r="E27" s="55">
        <v>11.08</v>
      </c>
      <c r="F27" s="55">
        <v>4.4400000000000004</v>
      </c>
      <c r="G27" s="55">
        <v>72.06</v>
      </c>
      <c r="H27" s="55">
        <v>29.77</v>
      </c>
      <c r="I27" s="55">
        <v>3.32</v>
      </c>
      <c r="J27" s="55">
        <v>0.16</v>
      </c>
      <c r="K27" s="55">
        <v>338.39</v>
      </c>
      <c r="L27" s="55">
        <v>20.02</v>
      </c>
      <c r="M27" s="55">
        <v>57.85</v>
      </c>
      <c r="N27" s="55">
        <v>42.8</v>
      </c>
      <c r="O27" s="55">
        <v>0</v>
      </c>
      <c r="P27" s="55">
        <v>1.77</v>
      </c>
      <c r="Q27" s="55">
        <v>9.6199999999999992</v>
      </c>
      <c r="R27" s="43"/>
      <c r="S27" s="43"/>
      <c r="T27" s="43"/>
      <c r="U27" s="43"/>
    </row>
    <row r="28" spans="1:21" s="11" customFormat="1" x14ac:dyDescent="0.25">
      <c r="A28" s="54" t="s">
        <v>415</v>
      </c>
      <c r="B28" s="55">
        <v>38.14</v>
      </c>
      <c r="C28" s="55">
        <v>34.36</v>
      </c>
      <c r="D28" s="55">
        <v>42.92</v>
      </c>
      <c r="E28" s="55">
        <v>11.81</v>
      </c>
      <c r="F28" s="55">
        <v>4.28</v>
      </c>
      <c r="G28" s="55">
        <v>93.5</v>
      </c>
      <c r="H28" s="55">
        <v>36.58</v>
      </c>
      <c r="I28" s="55">
        <v>4.45</v>
      </c>
      <c r="J28" s="55">
        <v>0.05</v>
      </c>
      <c r="K28" s="55">
        <v>104.94</v>
      </c>
      <c r="L28" s="55">
        <v>18.920000000000002</v>
      </c>
      <c r="M28" s="55">
        <v>59.6</v>
      </c>
      <c r="N28" s="55">
        <v>42.4</v>
      </c>
      <c r="O28" s="55">
        <v>0</v>
      </c>
      <c r="P28" s="55">
        <v>1.88</v>
      </c>
      <c r="Q28" s="55">
        <v>9.65</v>
      </c>
      <c r="R28" s="43"/>
      <c r="S28" s="43"/>
      <c r="T28" s="43"/>
      <c r="U28" s="43"/>
    </row>
    <row r="29" spans="1:21" s="11" customFormat="1" x14ac:dyDescent="0.25">
      <c r="A29" s="54" t="s">
        <v>416</v>
      </c>
      <c r="B29" s="55">
        <v>36.97</v>
      </c>
      <c r="C29" s="55">
        <v>15.76</v>
      </c>
      <c r="D29" s="55">
        <v>35.56</v>
      </c>
      <c r="E29" s="55">
        <v>6.95</v>
      </c>
      <c r="F29" s="55">
        <v>3.5</v>
      </c>
      <c r="G29" s="55">
        <v>99.99</v>
      </c>
      <c r="H29" s="55">
        <v>40.44</v>
      </c>
      <c r="I29" s="55">
        <v>5.12</v>
      </c>
      <c r="J29" s="55">
        <v>0.15</v>
      </c>
      <c r="K29" s="55">
        <v>344.11</v>
      </c>
      <c r="L29" s="55">
        <v>18.09</v>
      </c>
      <c r="M29" s="55">
        <v>72</v>
      </c>
      <c r="N29" s="55">
        <v>42.3</v>
      </c>
      <c r="O29" s="55">
        <v>0</v>
      </c>
      <c r="P29" s="55">
        <v>1.65</v>
      </c>
      <c r="Q29" s="55">
        <v>9.64</v>
      </c>
      <c r="R29" s="43"/>
      <c r="S29" s="43"/>
      <c r="T29" s="43"/>
      <c r="U29" s="43"/>
    </row>
    <row r="30" spans="1:21" s="11" customFormat="1" x14ac:dyDescent="0.25">
      <c r="A30" s="54" t="s">
        <v>417</v>
      </c>
      <c r="B30" s="55">
        <v>52.31</v>
      </c>
      <c r="C30" s="55">
        <v>10.84</v>
      </c>
      <c r="D30" s="55">
        <v>44.62</v>
      </c>
      <c r="E30" s="55">
        <v>6.45</v>
      </c>
      <c r="F30" s="55">
        <v>3.34</v>
      </c>
      <c r="G30" s="55">
        <v>110.03</v>
      </c>
      <c r="H30" s="55">
        <v>43.9</v>
      </c>
      <c r="I30" s="55">
        <v>5.67</v>
      </c>
      <c r="J30" s="55">
        <v>0.13</v>
      </c>
      <c r="K30" s="55">
        <v>319.51</v>
      </c>
      <c r="L30" s="55">
        <v>17.53</v>
      </c>
      <c r="M30" s="55">
        <v>75.2</v>
      </c>
      <c r="N30" s="55">
        <v>42.4</v>
      </c>
      <c r="O30" s="55">
        <v>0</v>
      </c>
      <c r="P30" s="55">
        <v>2.0499999999999998</v>
      </c>
      <c r="Q30" s="55">
        <v>9.69</v>
      </c>
      <c r="R30" s="43"/>
      <c r="S30" s="43"/>
      <c r="T30" s="43"/>
      <c r="U30" s="43"/>
    </row>
    <row r="31" spans="1:21" s="11" customFormat="1" x14ac:dyDescent="0.25">
      <c r="A31" s="54" t="s">
        <v>418</v>
      </c>
      <c r="B31" s="55">
        <v>63.68</v>
      </c>
      <c r="C31" s="55">
        <v>5.05</v>
      </c>
      <c r="D31" s="55">
        <v>50.98</v>
      </c>
      <c r="E31" s="55">
        <v>6.26</v>
      </c>
      <c r="F31" s="55">
        <v>3.34</v>
      </c>
      <c r="G31" s="55">
        <v>122.82</v>
      </c>
      <c r="H31" s="55">
        <v>46.87</v>
      </c>
      <c r="I31" s="55">
        <v>6.52</v>
      </c>
      <c r="J31" s="55">
        <v>0.14000000000000001</v>
      </c>
      <c r="K31" s="55">
        <v>325.20999999999998</v>
      </c>
      <c r="L31" s="55">
        <v>16.489999999999998</v>
      </c>
      <c r="M31" s="55">
        <v>89.4</v>
      </c>
      <c r="N31" s="55">
        <v>42.3</v>
      </c>
      <c r="O31" s="55">
        <v>0</v>
      </c>
      <c r="P31" s="55">
        <v>2.3199999999999998</v>
      </c>
      <c r="Q31" s="55">
        <v>9.73</v>
      </c>
      <c r="R31" s="43"/>
      <c r="S31" s="43"/>
      <c r="T31" s="43"/>
      <c r="U31" s="43"/>
    </row>
    <row r="32" spans="1:21" s="11" customFormat="1" x14ac:dyDescent="0.25">
      <c r="A32" s="54" t="s">
        <v>419</v>
      </c>
      <c r="B32" s="55">
        <v>70.64</v>
      </c>
      <c r="C32" s="55">
        <v>1.77</v>
      </c>
      <c r="D32" s="55">
        <v>56.2</v>
      </c>
      <c r="E32" s="55">
        <v>6.2</v>
      </c>
      <c r="F32" s="55">
        <v>3.56</v>
      </c>
      <c r="G32" s="55">
        <v>147.75</v>
      </c>
      <c r="H32" s="55">
        <v>54.17</v>
      </c>
      <c r="I32" s="55">
        <v>7.44</v>
      </c>
      <c r="J32" s="55">
        <v>0.13</v>
      </c>
      <c r="K32" s="55">
        <v>329.26</v>
      </c>
      <c r="L32" s="55">
        <v>15.74</v>
      </c>
      <c r="M32" s="55">
        <v>95.89</v>
      </c>
      <c r="N32" s="55">
        <v>42.3</v>
      </c>
      <c r="O32" s="55">
        <v>0</v>
      </c>
      <c r="P32" s="55">
        <v>2.5299999999999998</v>
      </c>
      <c r="Q32" s="55">
        <v>9.75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6.01</v>
      </c>
      <c r="C34" s="28">
        <f t="shared" si="0"/>
        <v>0.2</v>
      </c>
      <c r="D34" s="28">
        <f t="shared" si="0"/>
        <v>22.11</v>
      </c>
      <c r="E34" s="28">
        <f t="shared" si="0"/>
        <v>5.18</v>
      </c>
      <c r="F34" s="28">
        <f t="shared" si="0"/>
        <v>3.03</v>
      </c>
      <c r="G34" s="28">
        <f t="shared" si="0"/>
        <v>53.06</v>
      </c>
      <c r="H34" s="28">
        <f t="shared" si="0"/>
        <v>21.72</v>
      </c>
      <c r="I34" s="28">
        <f t="shared" si="0"/>
        <v>3.2</v>
      </c>
      <c r="J34" s="28">
        <f t="shared" si="0"/>
        <v>0.05</v>
      </c>
      <c r="K34" s="28">
        <f t="shared" si="0"/>
        <v>104.94</v>
      </c>
      <c r="L34" s="28">
        <f t="shared" si="0"/>
        <v>14.27</v>
      </c>
      <c r="M34" s="28">
        <f t="shared" si="0"/>
        <v>22.77</v>
      </c>
      <c r="N34" s="28">
        <f t="shared" si="0"/>
        <v>41.9</v>
      </c>
      <c r="O34" s="28">
        <f t="shared" si="0"/>
        <v>0</v>
      </c>
      <c r="P34" s="28">
        <f t="shared" si="0"/>
        <v>0.8</v>
      </c>
      <c r="Q34" s="28">
        <f t="shared" si="0"/>
        <v>9.32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73.12</v>
      </c>
      <c r="C35" s="29">
        <f t="shared" si="1"/>
        <v>34.85</v>
      </c>
      <c r="D35" s="29">
        <f t="shared" si="1"/>
        <v>56.2</v>
      </c>
      <c r="E35" s="29">
        <f t="shared" si="1"/>
        <v>22.17</v>
      </c>
      <c r="F35" s="29">
        <f t="shared" si="1"/>
        <v>17.13</v>
      </c>
      <c r="G35" s="29">
        <f t="shared" si="1"/>
        <v>147.75</v>
      </c>
      <c r="H35" s="29">
        <f t="shared" si="1"/>
        <v>54.17</v>
      </c>
      <c r="I35" s="29">
        <f t="shared" si="1"/>
        <v>7.44</v>
      </c>
      <c r="J35" s="29">
        <f t="shared" si="1"/>
        <v>1.06</v>
      </c>
      <c r="K35" s="29">
        <f t="shared" si="1"/>
        <v>356.79</v>
      </c>
      <c r="L35" s="29">
        <f t="shared" si="1"/>
        <v>28.61</v>
      </c>
      <c r="M35" s="29">
        <f t="shared" si="1"/>
        <v>95.89</v>
      </c>
      <c r="N35" s="29">
        <f t="shared" si="1"/>
        <v>705.4</v>
      </c>
      <c r="O35" s="29">
        <f t="shared" si="1"/>
        <v>0</v>
      </c>
      <c r="P35" s="29">
        <f t="shared" si="1"/>
        <v>2.5299999999999998</v>
      </c>
      <c r="Q35" s="29">
        <f t="shared" si="1"/>
        <v>9.76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33.563333333333333</v>
      </c>
      <c r="C36" s="28">
        <f t="shared" si="2"/>
        <v>17.320416666666663</v>
      </c>
      <c r="D36" s="28">
        <f t="shared" si="2"/>
        <v>34.228333333333332</v>
      </c>
      <c r="E36" s="28">
        <f t="shared" si="2"/>
        <v>9.3208333333333346</v>
      </c>
      <c r="F36" s="28">
        <f t="shared" si="2"/>
        <v>5.7133333333333338</v>
      </c>
      <c r="G36" s="28">
        <f t="shared" si="2"/>
        <v>91.25291666666665</v>
      </c>
      <c r="H36" s="28">
        <f t="shared" si="2"/>
        <v>37.173333333333332</v>
      </c>
      <c r="I36" s="28">
        <f t="shared" si="2"/>
        <v>4.7750000000000004</v>
      </c>
      <c r="J36" s="28">
        <f t="shared" si="2"/>
        <v>0.39500000000000024</v>
      </c>
      <c r="K36" s="28">
        <f t="shared" si="2"/>
        <v>330.3966666666667</v>
      </c>
      <c r="L36" s="28">
        <f t="shared" si="2"/>
        <v>20.496250000000003</v>
      </c>
      <c r="M36" s="28">
        <f t="shared" si="2"/>
        <v>56.240416666666675</v>
      </c>
      <c r="N36" s="28">
        <f t="shared" si="2"/>
        <v>208.51666666666665</v>
      </c>
      <c r="O36" s="28">
        <f t="shared" si="2"/>
        <v>0</v>
      </c>
      <c r="P36" s="28">
        <f t="shared" si="2"/>
        <v>1.3908333333333331</v>
      </c>
      <c r="Q36" s="28">
        <f t="shared" si="2"/>
        <v>9.6033333333333335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19.927220767990505</v>
      </c>
      <c r="C37" s="28">
        <f t="shared" ref="C37:Q37" si="3">STDEV(C9:C32)</f>
        <v>11.711141287407617</v>
      </c>
      <c r="D37" s="28">
        <f t="shared" si="3"/>
        <v>10.835666816690122</v>
      </c>
      <c r="E37" s="28">
        <f t="shared" si="3"/>
        <v>5.0104906612692783</v>
      </c>
      <c r="F37" s="28">
        <f t="shared" si="3"/>
        <v>4.2734627713332225</v>
      </c>
      <c r="G37" s="28">
        <f t="shared" si="3"/>
        <v>24.194895882713894</v>
      </c>
      <c r="H37" s="28">
        <f t="shared" si="3"/>
        <v>9.1800784626118404</v>
      </c>
      <c r="I37" s="28">
        <f t="shared" si="3"/>
        <v>1.1284695291681015</v>
      </c>
      <c r="J37" s="28">
        <f t="shared" si="3"/>
        <v>0.29192017967990425</v>
      </c>
      <c r="K37" s="28">
        <f t="shared" si="3"/>
        <v>49.162357787115958</v>
      </c>
      <c r="L37" s="28">
        <f t="shared" si="3"/>
        <v>5.2101646577502247</v>
      </c>
      <c r="M37" s="28">
        <f t="shared" si="3"/>
        <v>23.853283335964406</v>
      </c>
      <c r="N37" s="28">
        <f t="shared" si="3"/>
        <v>251.46127140077203</v>
      </c>
      <c r="O37" s="28">
        <f t="shared" si="3"/>
        <v>0</v>
      </c>
      <c r="P37" s="28">
        <f t="shared" si="3"/>
        <v>0.51247834878267295</v>
      </c>
      <c r="Q37" s="28">
        <f t="shared" si="3"/>
        <v>0.12889721778852795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0" sqref="D1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420</v>
      </c>
      <c r="B9" s="55">
        <v>68.91</v>
      </c>
      <c r="C9" s="55">
        <v>0</v>
      </c>
      <c r="D9" s="55">
        <v>53.34</v>
      </c>
      <c r="E9" s="55">
        <v>4.87</v>
      </c>
      <c r="F9" s="55">
        <v>3.57</v>
      </c>
      <c r="G9" s="55">
        <v>147.75</v>
      </c>
      <c r="H9" s="55">
        <v>54.17</v>
      </c>
      <c r="I9" s="55">
        <v>7.51</v>
      </c>
      <c r="J9" s="55">
        <v>0.11</v>
      </c>
      <c r="K9" s="55">
        <v>349.88</v>
      </c>
      <c r="L9" s="55">
        <v>15.71</v>
      </c>
      <c r="M9" s="55">
        <v>95.21</v>
      </c>
      <c r="N9" s="55">
        <v>42.4</v>
      </c>
      <c r="O9" s="55">
        <v>0</v>
      </c>
      <c r="P9" s="55">
        <v>2.5299999999999998</v>
      </c>
      <c r="Q9" s="55">
        <v>9.75</v>
      </c>
      <c r="R9" s="43"/>
      <c r="S9" s="43"/>
      <c r="T9" s="43"/>
      <c r="U9" s="43"/>
    </row>
    <row r="10" spans="1:21" s="11" customFormat="1" x14ac:dyDescent="0.25">
      <c r="A10" s="54" t="s">
        <v>421</v>
      </c>
      <c r="B10" s="55">
        <v>64.77</v>
      </c>
      <c r="C10" s="55">
        <v>0</v>
      </c>
      <c r="D10" s="55">
        <v>50.1</v>
      </c>
      <c r="E10" s="55">
        <v>4.8600000000000003</v>
      </c>
      <c r="F10" s="55">
        <v>3.4</v>
      </c>
      <c r="G10" s="55">
        <v>135.19</v>
      </c>
      <c r="H10" s="55">
        <v>54.38</v>
      </c>
      <c r="I10" s="55">
        <v>7.68</v>
      </c>
      <c r="J10" s="55">
        <v>0.2</v>
      </c>
      <c r="K10" s="55">
        <v>350.79</v>
      </c>
      <c r="L10" s="55">
        <v>14.71</v>
      </c>
      <c r="M10" s="55">
        <v>96.51</v>
      </c>
      <c r="N10" s="55">
        <v>42.3</v>
      </c>
      <c r="O10" s="55">
        <v>0</v>
      </c>
      <c r="P10" s="55">
        <v>2.19</v>
      </c>
      <c r="Q10" s="55">
        <v>9.73</v>
      </c>
      <c r="R10" s="43"/>
      <c r="S10" s="43"/>
      <c r="T10" s="43"/>
      <c r="U10" s="43"/>
    </row>
    <row r="11" spans="1:21" s="11" customFormat="1" x14ac:dyDescent="0.25">
      <c r="A11" s="54" t="s">
        <v>422</v>
      </c>
      <c r="B11" s="55">
        <v>58.07</v>
      </c>
      <c r="C11" s="55">
        <v>2.04</v>
      </c>
      <c r="D11" s="55">
        <v>45.84</v>
      </c>
      <c r="E11" s="55">
        <v>4.7</v>
      </c>
      <c r="F11" s="55">
        <v>3.29</v>
      </c>
      <c r="G11" s="55">
        <v>131.31</v>
      </c>
      <c r="H11" s="55">
        <v>55.28</v>
      </c>
      <c r="I11" s="55">
        <v>8.3000000000000007</v>
      </c>
      <c r="J11" s="55">
        <v>0.26</v>
      </c>
      <c r="K11" s="55">
        <v>337.86</v>
      </c>
      <c r="L11" s="55">
        <v>14.86</v>
      </c>
      <c r="M11" s="55">
        <v>78.930000000000007</v>
      </c>
      <c r="N11" s="55">
        <v>42.3</v>
      </c>
      <c r="O11" s="55">
        <v>0</v>
      </c>
      <c r="P11" s="55">
        <v>2.09</v>
      </c>
      <c r="Q11" s="55">
        <v>9.7100000000000009</v>
      </c>
      <c r="R11" s="43"/>
      <c r="S11" s="43"/>
      <c r="T11" s="43"/>
      <c r="U11" s="43"/>
    </row>
    <row r="12" spans="1:21" s="11" customFormat="1" x14ac:dyDescent="0.25">
      <c r="A12" s="54" t="s">
        <v>423</v>
      </c>
      <c r="B12" s="55">
        <v>49.18</v>
      </c>
      <c r="C12" s="55">
        <v>4.74</v>
      </c>
      <c r="D12" s="55">
        <v>40.29</v>
      </c>
      <c r="E12" s="55">
        <v>4.6900000000000004</v>
      </c>
      <c r="F12" s="55">
        <v>3.2</v>
      </c>
      <c r="G12" s="55">
        <v>135.93</v>
      </c>
      <c r="H12" s="55">
        <v>56.07</v>
      </c>
      <c r="I12" s="55">
        <v>7.77</v>
      </c>
      <c r="J12" s="55">
        <v>0.14000000000000001</v>
      </c>
      <c r="K12" s="55">
        <v>113.51</v>
      </c>
      <c r="L12" s="55">
        <v>14.58</v>
      </c>
      <c r="M12" s="55">
        <v>80.08</v>
      </c>
      <c r="N12" s="55">
        <v>42.2</v>
      </c>
      <c r="O12" s="55">
        <v>0</v>
      </c>
      <c r="P12" s="55">
        <v>1.87</v>
      </c>
      <c r="Q12" s="55">
        <v>9.7100000000000009</v>
      </c>
      <c r="R12" s="43"/>
      <c r="S12" s="43"/>
      <c r="T12" s="43"/>
      <c r="U12" s="43"/>
    </row>
    <row r="13" spans="1:21" s="11" customFormat="1" x14ac:dyDescent="0.25">
      <c r="A13" s="54" t="s">
        <v>424</v>
      </c>
      <c r="B13" s="55">
        <v>42.29</v>
      </c>
      <c r="C13" s="55">
        <v>7.6</v>
      </c>
      <c r="D13" s="55">
        <v>36.32</v>
      </c>
      <c r="E13" s="55">
        <v>4.5999999999999996</v>
      </c>
      <c r="F13" s="55">
        <v>3.47</v>
      </c>
      <c r="G13" s="55">
        <v>144.24</v>
      </c>
      <c r="H13" s="55">
        <v>57.29</v>
      </c>
      <c r="I13" s="55">
        <v>7.72</v>
      </c>
      <c r="J13" s="55">
        <v>0.33</v>
      </c>
      <c r="K13" s="55">
        <v>357.55</v>
      </c>
      <c r="L13" s="55">
        <v>14.3</v>
      </c>
      <c r="M13" s="55">
        <v>81.78</v>
      </c>
      <c r="N13" s="55">
        <v>42.4</v>
      </c>
      <c r="O13" s="55">
        <v>0</v>
      </c>
      <c r="P13" s="55">
        <v>1.85</v>
      </c>
      <c r="Q13" s="55">
        <v>9.69</v>
      </c>
      <c r="R13" s="43"/>
      <c r="S13" s="43"/>
      <c r="T13" s="43"/>
      <c r="U13" s="43"/>
    </row>
    <row r="14" spans="1:21" s="11" customFormat="1" x14ac:dyDescent="0.25">
      <c r="A14" s="54" t="s">
        <v>425</v>
      </c>
      <c r="B14" s="55">
        <v>36.049999999999997</v>
      </c>
      <c r="C14" s="55">
        <v>10.1</v>
      </c>
      <c r="D14" s="55">
        <v>32.479999999999997</v>
      </c>
      <c r="E14" s="55">
        <v>4.55</v>
      </c>
      <c r="F14" s="55">
        <v>3.37</v>
      </c>
      <c r="G14" s="55">
        <v>144.24</v>
      </c>
      <c r="H14" s="55">
        <v>57.29</v>
      </c>
      <c r="I14" s="55">
        <v>6.94</v>
      </c>
      <c r="J14" s="55">
        <v>0.24</v>
      </c>
      <c r="K14" s="55">
        <v>343.31</v>
      </c>
      <c r="L14" s="55">
        <v>14.09</v>
      </c>
      <c r="M14" s="55">
        <v>79.12</v>
      </c>
      <c r="N14" s="55">
        <v>42.5</v>
      </c>
      <c r="O14" s="55">
        <v>0</v>
      </c>
      <c r="P14" s="55">
        <v>1.72</v>
      </c>
      <c r="Q14" s="55">
        <v>9.68</v>
      </c>
      <c r="R14" s="43"/>
      <c r="S14" s="43"/>
      <c r="T14" s="43"/>
      <c r="U14" s="43"/>
    </row>
    <row r="15" spans="1:21" s="11" customFormat="1" x14ac:dyDescent="0.25">
      <c r="A15" s="54" t="s">
        <v>426</v>
      </c>
      <c r="B15" s="55">
        <v>29.36</v>
      </c>
      <c r="C15" s="55">
        <v>12.49</v>
      </c>
      <c r="D15" s="55">
        <v>28.77</v>
      </c>
      <c r="E15" s="55">
        <v>4.07</v>
      </c>
      <c r="F15" s="55">
        <v>3.19</v>
      </c>
      <c r="G15" s="55">
        <v>125.8</v>
      </c>
      <c r="H15" s="55">
        <v>53.41</v>
      </c>
      <c r="I15" s="55">
        <v>6.24</v>
      </c>
      <c r="J15" s="55">
        <v>0.28999999999999998</v>
      </c>
      <c r="K15" s="55">
        <v>349.49</v>
      </c>
      <c r="L15" s="55">
        <v>14.31</v>
      </c>
      <c r="M15" s="55">
        <v>81.849999999999994</v>
      </c>
      <c r="N15" s="55">
        <v>88.5</v>
      </c>
      <c r="O15" s="55">
        <v>0</v>
      </c>
      <c r="P15" s="55">
        <v>1.43</v>
      </c>
      <c r="Q15" s="55">
        <v>9.65</v>
      </c>
      <c r="R15" s="43"/>
      <c r="S15" s="43"/>
      <c r="T15" s="43"/>
      <c r="U15" s="43"/>
    </row>
    <row r="16" spans="1:21" s="11" customFormat="1" x14ac:dyDescent="0.25">
      <c r="A16" s="54" t="s">
        <v>427</v>
      </c>
      <c r="B16" s="55">
        <v>26.97</v>
      </c>
      <c r="C16" s="55">
        <v>14.25</v>
      </c>
      <c r="D16" s="55">
        <v>27.9</v>
      </c>
      <c r="E16" s="55">
        <v>5.0199999999999996</v>
      </c>
      <c r="F16" s="55">
        <v>3.15</v>
      </c>
      <c r="G16" s="55">
        <v>99.4</v>
      </c>
      <c r="H16" s="55">
        <v>46.3</v>
      </c>
      <c r="I16" s="55">
        <v>5.77</v>
      </c>
      <c r="J16" s="55">
        <v>0.66</v>
      </c>
      <c r="K16" s="55">
        <v>349.68</v>
      </c>
      <c r="L16" s="55">
        <v>20.73</v>
      </c>
      <c r="M16" s="55">
        <v>74.510000000000005</v>
      </c>
      <c r="N16" s="55">
        <v>295</v>
      </c>
      <c r="O16" s="55">
        <v>0</v>
      </c>
      <c r="P16" s="55">
        <v>1.43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428</v>
      </c>
      <c r="B17" s="55">
        <v>25.25</v>
      </c>
      <c r="C17" s="55">
        <v>18.07</v>
      </c>
      <c r="D17" s="55">
        <v>28.16</v>
      </c>
      <c r="E17" s="55">
        <v>6.07</v>
      </c>
      <c r="F17" s="55">
        <v>3.56</v>
      </c>
      <c r="G17" s="55">
        <v>95.05</v>
      </c>
      <c r="H17" s="55">
        <v>42.21</v>
      </c>
      <c r="I17" s="55">
        <v>5.4</v>
      </c>
      <c r="J17" s="55">
        <v>0.66</v>
      </c>
      <c r="K17" s="55">
        <v>341.42</v>
      </c>
      <c r="L17" s="55">
        <v>25.01</v>
      </c>
      <c r="M17" s="55">
        <v>42.09</v>
      </c>
      <c r="N17" s="55">
        <v>478.9</v>
      </c>
      <c r="O17" s="55">
        <v>0</v>
      </c>
      <c r="P17" s="55">
        <v>1.4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429</v>
      </c>
      <c r="B18" s="55">
        <v>23.49</v>
      </c>
      <c r="C18" s="55">
        <v>19.559999999999999</v>
      </c>
      <c r="D18" s="55">
        <v>27.47</v>
      </c>
      <c r="E18" s="55">
        <v>5.91</v>
      </c>
      <c r="F18" s="55">
        <v>3.63</v>
      </c>
      <c r="G18" s="55">
        <v>88.66</v>
      </c>
      <c r="H18" s="55">
        <v>39.42</v>
      </c>
      <c r="I18" s="55">
        <v>5.25</v>
      </c>
      <c r="J18" s="55">
        <v>0.67</v>
      </c>
      <c r="K18" s="55">
        <v>343.88</v>
      </c>
      <c r="L18" s="55">
        <v>26.3</v>
      </c>
      <c r="M18" s="55">
        <v>31.82</v>
      </c>
      <c r="N18" s="55">
        <v>623.4</v>
      </c>
      <c r="O18" s="55">
        <v>0</v>
      </c>
      <c r="P18" s="55">
        <v>1.32</v>
      </c>
      <c r="Q18" s="55">
        <v>9.65</v>
      </c>
      <c r="R18" s="43"/>
      <c r="S18" s="43"/>
      <c r="T18" s="43"/>
      <c r="U18" s="43"/>
    </row>
    <row r="19" spans="1:21" s="11" customFormat="1" x14ac:dyDescent="0.25">
      <c r="A19" s="54" t="s">
        <v>430</v>
      </c>
      <c r="B19" s="55">
        <v>20.059999999999999</v>
      </c>
      <c r="C19" s="55">
        <v>21.46</v>
      </c>
      <c r="D19" s="55">
        <v>26.21</v>
      </c>
      <c r="E19" s="55">
        <v>5.36</v>
      </c>
      <c r="F19" s="55">
        <v>3.82</v>
      </c>
      <c r="G19" s="55">
        <v>83.02</v>
      </c>
      <c r="H19" s="55">
        <v>33.869999999999997</v>
      </c>
      <c r="I19" s="55">
        <v>5.12</v>
      </c>
      <c r="J19" s="55">
        <v>0.64</v>
      </c>
      <c r="K19" s="55">
        <v>342.86</v>
      </c>
      <c r="L19" s="55">
        <v>27.41</v>
      </c>
      <c r="M19" s="55">
        <v>31.32</v>
      </c>
      <c r="N19" s="55">
        <v>673.8</v>
      </c>
      <c r="O19" s="55">
        <v>0</v>
      </c>
      <c r="P19" s="55">
        <v>1.1100000000000001</v>
      </c>
      <c r="Q19" s="55">
        <v>9.6300000000000008</v>
      </c>
      <c r="R19" s="43"/>
      <c r="S19" s="43"/>
      <c r="T19" s="43"/>
      <c r="U19" s="43"/>
    </row>
    <row r="20" spans="1:21" s="11" customFormat="1" x14ac:dyDescent="0.25">
      <c r="A20" s="54" t="s">
        <v>431</v>
      </c>
      <c r="B20" s="55">
        <v>16.309999999999999</v>
      </c>
      <c r="C20" s="55">
        <v>25.21</v>
      </c>
      <c r="D20" s="55">
        <v>24.34</v>
      </c>
      <c r="E20" s="55">
        <v>6.49</v>
      </c>
      <c r="F20" s="55">
        <v>6.2</v>
      </c>
      <c r="G20" s="55">
        <v>77.95</v>
      </c>
      <c r="H20" s="55">
        <v>31.46</v>
      </c>
      <c r="I20" s="55">
        <v>4.67</v>
      </c>
      <c r="J20" s="55">
        <v>1.19</v>
      </c>
      <c r="K20" s="55">
        <v>339.42</v>
      </c>
      <c r="L20" s="55">
        <v>28.75</v>
      </c>
      <c r="M20" s="55">
        <v>24.02</v>
      </c>
      <c r="N20" s="55">
        <v>675.2</v>
      </c>
      <c r="O20" s="55">
        <v>0</v>
      </c>
      <c r="P20" s="55">
        <v>1.01</v>
      </c>
      <c r="Q20" s="55">
        <v>9.56</v>
      </c>
      <c r="R20" s="43"/>
      <c r="S20" s="43"/>
      <c r="T20" s="43"/>
      <c r="U20" s="43"/>
    </row>
    <row r="21" spans="1:21" s="11" customFormat="1" x14ac:dyDescent="0.25">
      <c r="A21" s="54" t="s">
        <v>432</v>
      </c>
      <c r="B21" s="55">
        <v>11.23</v>
      </c>
      <c r="C21" s="55">
        <v>25.95</v>
      </c>
      <c r="D21" s="55">
        <v>22.03</v>
      </c>
      <c r="E21" s="55">
        <v>7.72</v>
      </c>
      <c r="F21" s="55">
        <v>10.130000000000001</v>
      </c>
      <c r="G21" s="55">
        <v>70.97</v>
      </c>
      <c r="H21" s="55">
        <v>29.48</v>
      </c>
      <c r="I21" s="55">
        <v>4.18</v>
      </c>
      <c r="J21" s="55">
        <v>0.85</v>
      </c>
      <c r="K21" s="55">
        <v>338.63</v>
      </c>
      <c r="L21" s="55">
        <v>28.84</v>
      </c>
      <c r="M21" s="55">
        <v>23.54</v>
      </c>
      <c r="N21" s="55">
        <v>661.6</v>
      </c>
      <c r="O21" s="55">
        <v>0</v>
      </c>
      <c r="P21" s="55">
        <v>0.86</v>
      </c>
      <c r="Q21" s="55">
        <v>9.52</v>
      </c>
      <c r="R21" s="43"/>
      <c r="S21" s="43"/>
      <c r="T21" s="43"/>
      <c r="U21" s="43"/>
    </row>
    <row r="22" spans="1:21" s="11" customFormat="1" x14ac:dyDescent="0.25">
      <c r="A22" s="54" t="s">
        <v>433</v>
      </c>
      <c r="B22" s="55">
        <v>7.75</v>
      </c>
      <c r="C22" s="55">
        <v>26.49</v>
      </c>
      <c r="D22" s="55">
        <v>19.36</v>
      </c>
      <c r="E22" s="55">
        <v>14.5</v>
      </c>
      <c r="F22" s="55">
        <v>17.420000000000002</v>
      </c>
      <c r="G22" s="55">
        <v>63.51</v>
      </c>
      <c r="H22" s="55">
        <v>21.79</v>
      </c>
      <c r="I22" s="55">
        <v>3.91</v>
      </c>
      <c r="J22" s="55">
        <v>1.23</v>
      </c>
      <c r="K22" s="55">
        <v>342.13</v>
      </c>
      <c r="L22" s="55">
        <v>27.48</v>
      </c>
      <c r="M22" s="55">
        <v>25.05</v>
      </c>
      <c r="N22" s="55">
        <v>513.79999999999995</v>
      </c>
      <c r="O22" s="55">
        <v>0</v>
      </c>
      <c r="P22" s="55">
        <v>0.83</v>
      </c>
      <c r="Q22" s="55">
        <v>9.4600000000000009</v>
      </c>
      <c r="R22" s="43"/>
      <c r="S22" s="43"/>
      <c r="T22" s="43"/>
      <c r="U22" s="43"/>
    </row>
    <row r="23" spans="1:21" s="11" customFormat="1" x14ac:dyDescent="0.25">
      <c r="A23" s="54" t="s">
        <v>434</v>
      </c>
      <c r="B23" s="55">
        <v>6.06</v>
      </c>
      <c r="C23" s="55">
        <v>26.57</v>
      </c>
      <c r="D23" s="55">
        <v>17.77</v>
      </c>
      <c r="E23" s="55">
        <v>9.64</v>
      </c>
      <c r="F23" s="55">
        <v>7.25</v>
      </c>
      <c r="G23" s="55">
        <v>51.37</v>
      </c>
      <c r="H23" s="55">
        <v>21.67</v>
      </c>
      <c r="I23" s="55">
        <v>3.65</v>
      </c>
      <c r="J23" s="55">
        <v>0.91</v>
      </c>
      <c r="K23" s="55">
        <v>343.61</v>
      </c>
      <c r="L23" s="55">
        <v>25.72</v>
      </c>
      <c r="M23" s="55">
        <v>26.38</v>
      </c>
      <c r="N23" s="55">
        <v>156.69999999999999</v>
      </c>
      <c r="O23" s="55">
        <v>0</v>
      </c>
      <c r="P23" s="55">
        <v>0.75</v>
      </c>
      <c r="Q23" s="55">
        <v>9.3699999999999992</v>
      </c>
      <c r="R23" s="43"/>
      <c r="S23" s="43"/>
      <c r="T23" s="43"/>
      <c r="U23" s="43"/>
    </row>
    <row r="24" spans="1:21" s="11" customFormat="1" x14ac:dyDescent="0.25">
      <c r="A24" s="54" t="s">
        <v>435</v>
      </c>
      <c r="B24" s="55">
        <v>5.54</v>
      </c>
      <c r="C24" s="55">
        <v>27.81</v>
      </c>
      <c r="D24" s="55">
        <v>18.36</v>
      </c>
      <c r="E24" s="55">
        <v>10.49</v>
      </c>
      <c r="F24" s="55">
        <v>7.73</v>
      </c>
      <c r="G24" s="55">
        <v>57.11</v>
      </c>
      <c r="H24" s="55">
        <v>21.67</v>
      </c>
      <c r="I24" s="55">
        <v>3.35</v>
      </c>
      <c r="J24" s="55">
        <v>0.71</v>
      </c>
      <c r="K24" s="55">
        <v>349.93</v>
      </c>
      <c r="L24" s="55">
        <v>25.11</v>
      </c>
      <c r="M24" s="55">
        <v>26.44</v>
      </c>
      <c r="N24" s="55">
        <v>108.7</v>
      </c>
      <c r="O24" s="55">
        <v>0</v>
      </c>
      <c r="P24" s="55">
        <v>0.74</v>
      </c>
      <c r="Q24" s="55">
        <v>9.32</v>
      </c>
      <c r="R24" s="43"/>
      <c r="S24" s="43"/>
      <c r="T24" s="43"/>
      <c r="U24" s="43"/>
    </row>
    <row r="25" spans="1:21" s="11" customFormat="1" x14ac:dyDescent="0.25">
      <c r="A25" s="54" t="s">
        <v>436</v>
      </c>
      <c r="B25" s="55">
        <v>11.81</v>
      </c>
      <c r="C25" s="55">
        <v>33.72</v>
      </c>
      <c r="D25" s="55">
        <v>26.63</v>
      </c>
      <c r="E25" s="55">
        <v>12.3</v>
      </c>
      <c r="F25" s="55">
        <v>11.7</v>
      </c>
      <c r="G25" s="55">
        <v>57.11</v>
      </c>
      <c r="H25" s="55">
        <v>21.2</v>
      </c>
      <c r="I25" s="55">
        <v>3.18</v>
      </c>
      <c r="J25" s="55">
        <v>1.02</v>
      </c>
      <c r="K25" s="55">
        <v>347.83</v>
      </c>
      <c r="L25" s="55">
        <v>23.97</v>
      </c>
      <c r="M25" s="55">
        <v>28.83</v>
      </c>
      <c r="N25" s="55">
        <v>76.900000000000006</v>
      </c>
      <c r="O25" s="55">
        <v>0</v>
      </c>
      <c r="P25" s="55">
        <v>0.84</v>
      </c>
      <c r="Q25" s="55">
        <v>9.34</v>
      </c>
      <c r="R25" s="43"/>
      <c r="S25" s="43"/>
      <c r="T25" s="43"/>
      <c r="U25" s="43"/>
    </row>
    <row r="26" spans="1:21" s="11" customFormat="1" x14ac:dyDescent="0.25">
      <c r="A26" s="54" t="s">
        <v>437</v>
      </c>
      <c r="B26" s="55">
        <v>17.670000000000002</v>
      </c>
      <c r="C26" s="55">
        <v>38.619999999999997</v>
      </c>
      <c r="D26" s="55">
        <v>31.35</v>
      </c>
      <c r="E26" s="55">
        <v>10.25</v>
      </c>
      <c r="F26" s="55">
        <v>7.24</v>
      </c>
      <c r="G26" s="55">
        <v>55.5</v>
      </c>
      <c r="H26" s="55">
        <v>18.899999999999999</v>
      </c>
      <c r="I26" s="55">
        <v>3.24</v>
      </c>
      <c r="J26" s="55">
        <v>0.2</v>
      </c>
      <c r="K26" s="55">
        <v>349.6</v>
      </c>
      <c r="L26" s="55">
        <v>21.83</v>
      </c>
      <c r="M26" s="55">
        <v>41.68</v>
      </c>
      <c r="N26" s="55">
        <v>46.5</v>
      </c>
      <c r="O26" s="55">
        <v>0</v>
      </c>
      <c r="P26" s="55">
        <v>1.17</v>
      </c>
      <c r="Q26" s="55">
        <v>9.42</v>
      </c>
      <c r="R26" s="43"/>
      <c r="S26" s="43"/>
      <c r="T26" s="43"/>
      <c r="U26" s="43"/>
    </row>
    <row r="27" spans="1:21" s="11" customFormat="1" x14ac:dyDescent="0.25">
      <c r="A27" s="54" t="s">
        <v>438</v>
      </c>
      <c r="B27" s="55">
        <v>14.31</v>
      </c>
      <c r="C27" s="55">
        <v>26.9</v>
      </c>
      <c r="D27" s="55">
        <v>22.85</v>
      </c>
      <c r="E27" s="55">
        <v>5.41</v>
      </c>
      <c r="F27" s="55">
        <v>4.6500000000000004</v>
      </c>
      <c r="G27" s="55">
        <v>68.97</v>
      </c>
      <c r="H27" s="55">
        <v>27.04</v>
      </c>
      <c r="I27" s="55">
        <v>3.32</v>
      </c>
      <c r="J27" s="55">
        <v>0.1</v>
      </c>
      <c r="K27" s="55">
        <v>351.55</v>
      </c>
      <c r="L27" s="55">
        <v>19.48</v>
      </c>
      <c r="M27" s="55">
        <v>49.6</v>
      </c>
      <c r="N27" s="55">
        <v>42.5</v>
      </c>
      <c r="O27" s="55">
        <v>0</v>
      </c>
      <c r="P27" s="55">
        <v>1.03</v>
      </c>
      <c r="Q27" s="55">
        <v>9.51</v>
      </c>
      <c r="R27" s="43"/>
      <c r="S27" s="43"/>
      <c r="T27" s="43"/>
      <c r="U27" s="43"/>
    </row>
    <row r="28" spans="1:21" s="11" customFormat="1" x14ac:dyDescent="0.25">
      <c r="A28" s="54" t="s">
        <v>439</v>
      </c>
      <c r="B28" s="55">
        <v>15.94</v>
      </c>
      <c r="C28" s="55">
        <v>23.54</v>
      </c>
      <c r="D28" s="55">
        <v>24.62</v>
      </c>
      <c r="E28" s="55">
        <v>4.25</v>
      </c>
      <c r="F28" s="55">
        <v>3.73</v>
      </c>
      <c r="G28" s="55">
        <v>84.31</v>
      </c>
      <c r="H28" s="55">
        <v>30.91</v>
      </c>
      <c r="I28" s="55">
        <v>4</v>
      </c>
      <c r="J28" s="55">
        <v>0.14000000000000001</v>
      </c>
      <c r="K28" s="55">
        <v>323.35000000000002</v>
      </c>
      <c r="L28" s="55">
        <v>19.190000000000001</v>
      </c>
      <c r="M28" s="55">
        <v>46.29</v>
      </c>
      <c r="N28" s="55">
        <v>42.7</v>
      </c>
      <c r="O28" s="55">
        <v>0</v>
      </c>
      <c r="P28" s="55">
        <v>1.1000000000000001</v>
      </c>
      <c r="Q28" s="55">
        <v>9.5399999999999991</v>
      </c>
      <c r="R28" s="43"/>
      <c r="S28" s="43"/>
      <c r="T28" s="43"/>
      <c r="U28" s="43"/>
    </row>
    <row r="29" spans="1:21" s="11" customFormat="1" x14ac:dyDescent="0.25">
      <c r="A29" s="54" t="s">
        <v>440</v>
      </c>
      <c r="B29" s="55">
        <v>30.18</v>
      </c>
      <c r="C29" s="55">
        <v>20.2</v>
      </c>
      <c r="D29" s="55">
        <v>31.78</v>
      </c>
      <c r="E29" s="55">
        <v>4.0199999999999996</v>
      </c>
      <c r="F29" s="55">
        <v>3.24</v>
      </c>
      <c r="G29" s="55">
        <v>84.31</v>
      </c>
      <c r="H29" s="55">
        <v>30.91</v>
      </c>
      <c r="I29" s="55">
        <v>3.95</v>
      </c>
      <c r="J29" s="55">
        <v>0.14000000000000001</v>
      </c>
      <c r="K29" s="55">
        <v>347.73</v>
      </c>
      <c r="L29" s="55">
        <v>17.23</v>
      </c>
      <c r="M29" s="55">
        <v>56.87</v>
      </c>
      <c r="N29" s="55">
        <v>42.7</v>
      </c>
      <c r="O29" s="55">
        <v>0</v>
      </c>
      <c r="P29" s="55">
        <v>1.35</v>
      </c>
      <c r="Q29" s="55">
        <v>9.64</v>
      </c>
      <c r="R29" s="43"/>
      <c r="S29" s="43"/>
      <c r="T29" s="43"/>
      <c r="U29" s="43"/>
    </row>
    <row r="30" spans="1:21" s="11" customFormat="1" x14ac:dyDescent="0.25">
      <c r="A30" s="54" t="s">
        <v>441</v>
      </c>
      <c r="B30" s="55">
        <v>28.91</v>
      </c>
      <c r="C30" s="55">
        <v>23.13</v>
      </c>
      <c r="D30" s="55">
        <v>32.65</v>
      </c>
      <c r="E30" s="55">
        <v>4.6500000000000004</v>
      </c>
      <c r="F30" s="55">
        <v>4.62</v>
      </c>
      <c r="G30" s="55">
        <v>85.34</v>
      </c>
      <c r="H30" s="55">
        <v>30.83</v>
      </c>
      <c r="I30" s="55">
        <v>4.29</v>
      </c>
      <c r="J30" s="55">
        <v>0.11</v>
      </c>
      <c r="K30" s="55">
        <v>67.7</v>
      </c>
      <c r="L30" s="55">
        <v>17.27</v>
      </c>
      <c r="M30" s="55">
        <v>49.12</v>
      </c>
      <c r="N30" s="55">
        <v>42.2</v>
      </c>
      <c r="O30" s="55">
        <v>0</v>
      </c>
      <c r="P30" s="55">
        <v>1.47</v>
      </c>
      <c r="Q30" s="55">
        <v>9.67</v>
      </c>
      <c r="R30" s="43"/>
      <c r="S30" s="43"/>
      <c r="T30" s="43"/>
      <c r="U30" s="43"/>
    </row>
    <row r="31" spans="1:21" s="11" customFormat="1" x14ac:dyDescent="0.25">
      <c r="A31" s="54" t="s">
        <v>442</v>
      </c>
      <c r="B31" s="55">
        <v>29.55</v>
      </c>
      <c r="C31" s="55">
        <v>16.399999999999999</v>
      </c>
      <c r="D31" s="55">
        <v>31.7</v>
      </c>
      <c r="E31" s="55">
        <v>4.0599999999999996</v>
      </c>
      <c r="F31" s="55">
        <v>3.42</v>
      </c>
      <c r="G31" s="55">
        <v>85.34</v>
      </c>
      <c r="H31" s="55">
        <v>30.83</v>
      </c>
      <c r="I31" s="55">
        <v>4.62</v>
      </c>
      <c r="J31" s="55">
        <v>0.12</v>
      </c>
      <c r="K31" s="55">
        <v>299.11</v>
      </c>
      <c r="L31" s="55">
        <v>16.75</v>
      </c>
      <c r="M31" s="55">
        <v>60.33</v>
      </c>
      <c r="N31" s="55">
        <v>42.6</v>
      </c>
      <c r="O31" s="55">
        <v>0</v>
      </c>
      <c r="P31" s="55">
        <v>1.48</v>
      </c>
      <c r="Q31" s="55">
        <v>9.68</v>
      </c>
      <c r="R31" s="43"/>
      <c r="S31" s="43"/>
      <c r="T31" s="43"/>
      <c r="U31" s="43"/>
    </row>
    <row r="32" spans="1:21" s="11" customFormat="1" x14ac:dyDescent="0.25">
      <c r="A32" s="54" t="s">
        <v>443</v>
      </c>
      <c r="B32" s="55">
        <v>29.24</v>
      </c>
      <c r="C32" s="55">
        <v>14.6</v>
      </c>
      <c r="D32" s="55">
        <v>30.37</v>
      </c>
      <c r="E32" s="55">
        <v>4.99</v>
      </c>
      <c r="F32" s="55">
        <v>3.2</v>
      </c>
      <c r="G32" s="55">
        <v>83.45</v>
      </c>
      <c r="H32" s="55">
        <v>34.25</v>
      </c>
      <c r="I32" s="55">
        <v>4.3499999999999996</v>
      </c>
      <c r="J32" s="55">
        <v>0.12</v>
      </c>
      <c r="K32" s="55">
        <v>117.63</v>
      </c>
      <c r="L32" s="55">
        <v>16.16</v>
      </c>
      <c r="M32" s="55">
        <v>51.45</v>
      </c>
      <c r="N32" s="55">
        <v>42.3</v>
      </c>
      <c r="O32" s="55">
        <v>0</v>
      </c>
      <c r="P32" s="55">
        <v>1.39</v>
      </c>
      <c r="Q32" s="55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5.54</v>
      </c>
      <c r="C34" s="28">
        <f t="shared" si="0"/>
        <v>0</v>
      </c>
      <c r="D34" s="28">
        <f t="shared" si="0"/>
        <v>17.77</v>
      </c>
      <c r="E34" s="28">
        <f t="shared" si="0"/>
        <v>4.0199999999999996</v>
      </c>
      <c r="F34" s="28">
        <f t="shared" si="0"/>
        <v>3.15</v>
      </c>
      <c r="G34" s="28">
        <f t="shared" si="0"/>
        <v>51.37</v>
      </c>
      <c r="H34" s="28">
        <f t="shared" si="0"/>
        <v>18.899999999999999</v>
      </c>
      <c r="I34" s="28">
        <f t="shared" si="0"/>
        <v>3.18</v>
      </c>
      <c r="J34" s="28">
        <f t="shared" si="0"/>
        <v>0.1</v>
      </c>
      <c r="K34" s="28">
        <f t="shared" si="0"/>
        <v>67.7</v>
      </c>
      <c r="L34" s="28">
        <f t="shared" si="0"/>
        <v>14.09</v>
      </c>
      <c r="M34" s="28">
        <f t="shared" si="0"/>
        <v>23.54</v>
      </c>
      <c r="N34" s="28">
        <f t="shared" si="0"/>
        <v>42.2</v>
      </c>
      <c r="O34" s="28">
        <f t="shared" si="0"/>
        <v>0</v>
      </c>
      <c r="P34" s="28">
        <f t="shared" si="0"/>
        <v>0.74</v>
      </c>
      <c r="Q34" s="28">
        <f t="shared" si="0"/>
        <v>9.32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68.91</v>
      </c>
      <c r="C35" s="29">
        <f t="shared" si="1"/>
        <v>38.619999999999997</v>
      </c>
      <c r="D35" s="29">
        <f t="shared" si="1"/>
        <v>53.34</v>
      </c>
      <c r="E35" s="29">
        <f t="shared" si="1"/>
        <v>14.5</v>
      </c>
      <c r="F35" s="29">
        <f t="shared" si="1"/>
        <v>17.420000000000002</v>
      </c>
      <c r="G35" s="29">
        <f t="shared" si="1"/>
        <v>147.75</v>
      </c>
      <c r="H35" s="29">
        <f t="shared" si="1"/>
        <v>57.29</v>
      </c>
      <c r="I35" s="29">
        <f t="shared" si="1"/>
        <v>8.3000000000000007</v>
      </c>
      <c r="J35" s="29">
        <f t="shared" si="1"/>
        <v>1.23</v>
      </c>
      <c r="K35" s="29">
        <f t="shared" si="1"/>
        <v>357.55</v>
      </c>
      <c r="L35" s="29">
        <f t="shared" si="1"/>
        <v>28.84</v>
      </c>
      <c r="M35" s="29">
        <f t="shared" si="1"/>
        <v>96.51</v>
      </c>
      <c r="N35" s="29">
        <f t="shared" si="1"/>
        <v>675.2</v>
      </c>
      <c r="O35" s="29">
        <f t="shared" si="1"/>
        <v>0</v>
      </c>
      <c r="P35" s="29">
        <f t="shared" si="1"/>
        <v>2.5299999999999998</v>
      </c>
      <c r="Q35" s="29">
        <f t="shared" si="1"/>
        <v>9.75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27.870833333333334</v>
      </c>
      <c r="C36" s="28">
        <f t="shared" si="2"/>
        <v>18.310416666666665</v>
      </c>
      <c r="D36" s="28">
        <f t="shared" si="2"/>
        <v>30.445416666666663</v>
      </c>
      <c r="E36" s="28">
        <f t="shared" si="2"/>
        <v>6.3945833333333342</v>
      </c>
      <c r="F36" s="28">
        <f t="shared" si="2"/>
        <v>5.3408333333333333</v>
      </c>
      <c r="G36" s="28">
        <f t="shared" si="2"/>
        <v>93.992916666666659</v>
      </c>
      <c r="H36" s="28">
        <f t="shared" si="2"/>
        <v>37.526249999999997</v>
      </c>
      <c r="I36" s="28">
        <f t="shared" si="2"/>
        <v>5.1837500000000007</v>
      </c>
      <c r="J36" s="28">
        <f t="shared" si="2"/>
        <v>0.45999999999999991</v>
      </c>
      <c r="K36" s="28">
        <f t="shared" si="2"/>
        <v>312.43541666666675</v>
      </c>
      <c r="L36" s="28">
        <f t="shared" si="2"/>
        <v>20.407916666666672</v>
      </c>
      <c r="M36" s="28">
        <f t="shared" si="2"/>
        <v>53.450833333333328</v>
      </c>
      <c r="N36" s="28">
        <f t="shared" si="2"/>
        <v>204.50416666666661</v>
      </c>
      <c r="O36" s="28">
        <f t="shared" si="2"/>
        <v>0</v>
      </c>
      <c r="P36" s="28">
        <f t="shared" si="2"/>
        <v>1.3733333333333331</v>
      </c>
      <c r="Q36" s="28">
        <f t="shared" si="2"/>
        <v>9.5920833333333331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17.773812176214829</v>
      </c>
      <c r="C37" s="28">
        <f t="shared" ref="C37:Q37" si="3">STDEV(C9:C32)</f>
        <v>10.404991059548074</v>
      </c>
      <c r="D37" s="28">
        <f t="shared" si="3"/>
        <v>9.2718667409707205</v>
      </c>
      <c r="E37" s="28">
        <f t="shared" si="3"/>
        <v>2.8889910668013434</v>
      </c>
      <c r="F37" s="28">
        <f t="shared" si="3"/>
        <v>3.4901749260592605</v>
      </c>
      <c r="G37" s="28">
        <f t="shared" si="3"/>
        <v>31.477427036883451</v>
      </c>
      <c r="H37" s="28">
        <f t="shared" si="3"/>
        <v>13.404940300371399</v>
      </c>
      <c r="I37" s="28">
        <f t="shared" si="3"/>
        <v>1.6640020184456781</v>
      </c>
      <c r="J37" s="28">
        <f t="shared" si="3"/>
        <v>0.37273373174775698</v>
      </c>
      <c r="K37" s="28">
        <f t="shared" si="3"/>
        <v>83.35854787702722</v>
      </c>
      <c r="L37" s="28">
        <f t="shared" si="3"/>
        <v>5.3086279068722604</v>
      </c>
      <c r="M37" s="28">
        <f t="shared" si="3"/>
        <v>24.385380851554533</v>
      </c>
      <c r="N37" s="28">
        <f t="shared" si="3"/>
        <v>245.54774171257395</v>
      </c>
      <c r="O37" s="28">
        <f t="shared" si="3"/>
        <v>0</v>
      </c>
      <c r="P37" s="28">
        <f t="shared" si="3"/>
        <v>0.47604043184757239</v>
      </c>
      <c r="Q37" s="28">
        <f t="shared" si="3"/>
        <v>0.12802782193103898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30" sqref="F3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444</v>
      </c>
      <c r="B9" s="55">
        <v>26.55</v>
      </c>
      <c r="C9" s="55">
        <v>15.24</v>
      </c>
      <c r="D9" s="55">
        <v>28.59</v>
      </c>
      <c r="E9" s="55">
        <v>5.83</v>
      </c>
      <c r="F9" s="55">
        <v>3.1</v>
      </c>
      <c r="G9" s="55">
        <v>81.819999999999993</v>
      </c>
      <c r="H9" s="55">
        <v>34.25</v>
      </c>
      <c r="I9" s="55">
        <v>4.26</v>
      </c>
      <c r="J9" s="55">
        <v>0.22</v>
      </c>
      <c r="K9" s="55">
        <v>352.22</v>
      </c>
      <c r="L9" s="55">
        <v>15.7</v>
      </c>
      <c r="M9" s="55">
        <v>61.84</v>
      </c>
      <c r="N9" s="55">
        <v>42.5</v>
      </c>
      <c r="O9" s="55">
        <v>0</v>
      </c>
      <c r="P9" s="55">
        <v>1.31</v>
      </c>
      <c r="Q9" s="55">
        <v>9.66</v>
      </c>
      <c r="R9" s="43"/>
      <c r="S9" s="43"/>
      <c r="T9" s="43"/>
      <c r="U9" s="43"/>
    </row>
    <row r="10" spans="1:21" s="11" customFormat="1" x14ac:dyDescent="0.25">
      <c r="A10" s="54" t="s">
        <v>445</v>
      </c>
      <c r="B10" s="55">
        <v>23.4</v>
      </c>
      <c r="C10" s="55">
        <v>16.760000000000002</v>
      </c>
      <c r="D10" s="55">
        <v>26.43</v>
      </c>
      <c r="E10" s="55">
        <v>5.8</v>
      </c>
      <c r="F10" s="55">
        <v>3.47</v>
      </c>
      <c r="G10" s="55">
        <v>78.42</v>
      </c>
      <c r="H10" s="55">
        <v>30.24</v>
      </c>
      <c r="I10" s="55">
        <v>4.1399999999999997</v>
      </c>
      <c r="J10" s="55">
        <v>0.54</v>
      </c>
      <c r="K10" s="55">
        <v>353.98</v>
      </c>
      <c r="L10" s="55">
        <v>15.38</v>
      </c>
      <c r="M10" s="55">
        <v>60.91</v>
      </c>
      <c r="N10" s="55">
        <v>42.3</v>
      </c>
      <c r="O10" s="55">
        <v>0</v>
      </c>
      <c r="P10" s="55">
        <v>1.27</v>
      </c>
      <c r="Q10" s="55">
        <v>9.65</v>
      </c>
      <c r="R10" s="43"/>
      <c r="S10" s="43"/>
      <c r="T10" s="43"/>
      <c r="U10" s="43"/>
    </row>
    <row r="11" spans="1:21" s="11" customFormat="1" x14ac:dyDescent="0.25">
      <c r="A11" s="54" t="s">
        <v>446</v>
      </c>
      <c r="B11" s="55">
        <v>19.59</v>
      </c>
      <c r="C11" s="55">
        <v>18.440000000000001</v>
      </c>
      <c r="D11" s="55">
        <v>24.16</v>
      </c>
      <c r="E11" s="55">
        <v>5.93</v>
      </c>
      <c r="F11" s="55">
        <v>3.42</v>
      </c>
      <c r="G11" s="55">
        <v>86.83</v>
      </c>
      <c r="H11" s="55">
        <v>32.46</v>
      </c>
      <c r="I11" s="55">
        <v>4.0999999999999996</v>
      </c>
      <c r="J11" s="55">
        <v>0.54</v>
      </c>
      <c r="K11" s="55">
        <v>350.29</v>
      </c>
      <c r="L11" s="55">
        <v>14.93</v>
      </c>
      <c r="M11" s="55">
        <v>65.040000000000006</v>
      </c>
      <c r="N11" s="55">
        <v>42.2</v>
      </c>
      <c r="O11" s="55">
        <v>0</v>
      </c>
      <c r="P11" s="55">
        <v>1.27</v>
      </c>
      <c r="Q11" s="55">
        <v>9.66</v>
      </c>
      <c r="R11" s="43"/>
      <c r="S11" s="43"/>
      <c r="T11" s="43"/>
      <c r="U11" s="43"/>
    </row>
    <row r="12" spans="1:21" s="11" customFormat="1" x14ac:dyDescent="0.25">
      <c r="A12" s="54" t="s">
        <v>447</v>
      </c>
      <c r="B12" s="55">
        <v>16.260000000000002</v>
      </c>
      <c r="C12" s="55">
        <v>18.87</v>
      </c>
      <c r="D12" s="55">
        <v>22.34</v>
      </c>
      <c r="E12" s="55">
        <v>6.15</v>
      </c>
      <c r="F12" s="55">
        <v>3.42</v>
      </c>
      <c r="G12" s="55">
        <v>89.45</v>
      </c>
      <c r="H12" s="55">
        <v>33.36</v>
      </c>
      <c r="I12" s="55">
        <v>3.96</v>
      </c>
      <c r="J12" s="55">
        <v>0.15</v>
      </c>
      <c r="K12" s="55">
        <v>339.16</v>
      </c>
      <c r="L12" s="55">
        <v>14.65</v>
      </c>
      <c r="M12" s="55">
        <v>67.73</v>
      </c>
      <c r="N12" s="55">
        <v>42.4</v>
      </c>
      <c r="O12" s="55">
        <v>0</v>
      </c>
      <c r="P12" s="55">
        <v>1.19</v>
      </c>
      <c r="Q12" s="55">
        <v>9.6199999999999992</v>
      </c>
      <c r="R12" s="43"/>
      <c r="S12" s="43"/>
      <c r="T12" s="43"/>
      <c r="U12" s="43"/>
    </row>
    <row r="13" spans="1:21" s="11" customFormat="1" x14ac:dyDescent="0.25">
      <c r="A13" s="54" t="s">
        <v>448</v>
      </c>
      <c r="B13" s="55">
        <v>13.58</v>
      </c>
      <c r="C13" s="55">
        <v>19.77</v>
      </c>
      <c r="D13" s="55">
        <v>20.43</v>
      </c>
      <c r="E13" s="55">
        <v>5.85</v>
      </c>
      <c r="F13" s="55">
        <v>3.28</v>
      </c>
      <c r="G13" s="55">
        <v>89.45</v>
      </c>
      <c r="H13" s="55">
        <v>33.36</v>
      </c>
      <c r="I13" s="55">
        <v>4.04</v>
      </c>
      <c r="J13" s="55">
        <v>0.27</v>
      </c>
      <c r="K13" s="55">
        <v>358.75</v>
      </c>
      <c r="L13" s="55">
        <v>13.85</v>
      </c>
      <c r="M13" s="55">
        <v>74.430000000000007</v>
      </c>
      <c r="N13" s="55">
        <v>42.3</v>
      </c>
      <c r="O13" s="55">
        <v>0</v>
      </c>
      <c r="P13" s="55">
        <v>1.08</v>
      </c>
      <c r="Q13" s="55">
        <v>9.57</v>
      </c>
      <c r="R13" s="43"/>
      <c r="S13" s="43"/>
      <c r="T13" s="43"/>
      <c r="U13" s="43"/>
    </row>
    <row r="14" spans="1:21" s="11" customFormat="1" x14ac:dyDescent="0.25">
      <c r="A14" s="54" t="s">
        <v>449</v>
      </c>
      <c r="B14" s="55">
        <v>12.17</v>
      </c>
      <c r="C14" s="55">
        <v>19.84</v>
      </c>
      <c r="D14" s="55">
        <v>19.63</v>
      </c>
      <c r="E14" s="55">
        <v>5.58</v>
      </c>
      <c r="F14" s="55">
        <v>3.07</v>
      </c>
      <c r="G14" s="55">
        <v>88.52</v>
      </c>
      <c r="H14" s="55">
        <v>32.729999999999997</v>
      </c>
      <c r="I14" s="55">
        <v>4.18</v>
      </c>
      <c r="J14" s="55">
        <v>0.35</v>
      </c>
      <c r="K14" s="55">
        <v>341.11</v>
      </c>
      <c r="L14" s="55">
        <v>13.3</v>
      </c>
      <c r="M14" s="55">
        <v>76.34</v>
      </c>
      <c r="N14" s="55">
        <v>42.5</v>
      </c>
      <c r="O14" s="55">
        <v>0</v>
      </c>
      <c r="P14" s="55">
        <v>1.1000000000000001</v>
      </c>
      <c r="Q14" s="55">
        <v>9.57</v>
      </c>
      <c r="R14" s="43"/>
      <c r="S14" s="43"/>
      <c r="T14" s="43"/>
      <c r="U14" s="43"/>
    </row>
    <row r="15" spans="1:21" s="11" customFormat="1" x14ac:dyDescent="0.25">
      <c r="A15" s="54" t="s">
        <v>450</v>
      </c>
      <c r="B15" s="55">
        <v>12.28</v>
      </c>
      <c r="C15" s="55">
        <v>20.47</v>
      </c>
      <c r="D15" s="55">
        <v>20.079999999999998</v>
      </c>
      <c r="E15" s="55">
        <v>5.67</v>
      </c>
      <c r="F15" s="55">
        <v>3.12</v>
      </c>
      <c r="G15" s="55">
        <v>84.92</v>
      </c>
      <c r="H15" s="55">
        <v>33.950000000000003</v>
      </c>
      <c r="I15" s="55">
        <v>3.94</v>
      </c>
      <c r="J15" s="55">
        <v>0.51</v>
      </c>
      <c r="K15" s="55">
        <v>346.72</v>
      </c>
      <c r="L15" s="55">
        <v>13.99</v>
      </c>
      <c r="M15" s="55">
        <v>73.66</v>
      </c>
      <c r="N15" s="55">
        <v>86.8</v>
      </c>
      <c r="O15" s="55">
        <v>0</v>
      </c>
      <c r="P15" s="55">
        <v>1.1000000000000001</v>
      </c>
      <c r="Q15" s="55">
        <v>9.6</v>
      </c>
      <c r="R15" s="43"/>
      <c r="S15" s="43"/>
      <c r="T15" s="43"/>
      <c r="U15" s="43"/>
    </row>
    <row r="16" spans="1:21" s="11" customFormat="1" x14ac:dyDescent="0.25">
      <c r="A16" s="54" t="s">
        <v>451</v>
      </c>
      <c r="B16" s="55">
        <v>14.49</v>
      </c>
      <c r="C16" s="55">
        <v>20.53</v>
      </c>
      <c r="D16" s="55">
        <v>21.76</v>
      </c>
      <c r="E16" s="55">
        <v>6.01</v>
      </c>
      <c r="F16" s="55">
        <v>3.53</v>
      </c>
      <c r="G16" s="55">
        <v>87.71</v>
      </c>
      <c r="H16" s="55">
        <v>33.950000000000003</v>
      </c>
      <c r="I16" s="55">
        <v>3.84</v>
      </c>
      <c r="J16" s="55">
        <v>0.85</v>
      </c>
      <c r="K16" s="55">
        <v>345.74</v>
      </c>
      <c r="L16" s="55">
        <v>19.48</v>
      </c>
      <c r="M16" s="55">
        <v>67.819999999999993</v>
      </c>
      <c r="N16" s="55">
        <v>287.39999999999998</v>
      </c>
      <c r="O16" s="55">
        <v>0</v>
      </c>
      <c r="P16" s="55">
        <v>1.06</v>
      </c>
      <c r="Q16" s="55">
        <v>9.64</v>
      </c>
      <c r="R16" s="43"/>
      <c r="S16" s="43"/>
      <c r="T16" s="43"/>
      <c r="U16" s="43"/>
    </row>
    <row r="17" spans="1:21" s="11" customFormat="1" x14ac:dyDescent="0.25">
      <c r="A17" s="54" t="s">
        <v>452</v>
      </c>
      <c r="B17" s="55">
        <v>15.24</v>
      </c>
      <c r="C17" s="55">
        <v>22.02</v>
      </c>
      <c r="D17" s="55">
        <v>23.2</v>
      </c>
      <c r="E17" s="55">
        <v>4.82</v>
      </c>
      <c r="F17" s="55">
        <v>3.49</v>
      </c>
      <c r="G17" s="55">
        <v>90.26</v>
      </c>
      <c r="H17" s="55">
        <v>33.299999999999997</v>
      </c>
      <c r="I17" s="55">
        <v>3.77</v>
      </c>
      <c r="J17" s="55">
        <v>1.07</v>
      </c>
      <c r="K17" s="55">
        <v>346.13</v>
      </c>
      <c r="L17" s="55">
        <v>23.67</v>
      </c>
      <c r="M17" s="55">
        <v>41.52</v>
      </c>
      <c r="N17" s="55">
        <v>469.5</v>
      </c>
      <c r="O17" s="55">
        <v>0</v>
      </c>
      <c r="P17" s="55">
        <v>1.02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453</v>
      </c>
      <c r="B18" s="55">
        <v>15.09</v>
      </c>
      <c r="C18" s="55">
        <v>22.73</v>
      </c>
      <c r="D18" s="55">
        <v>23.35</v>
      </c>
      <c r="E18" s="55">
        <v>4.97</v>
      </c>
      <c r="F18" s="55">
        <v>3.85</v>
      </c>
      <c r="G18" s="55">
        <v>90.26</v>
      </c>
      <c r="H18" s="55">
        <v>34.880000000000003</v>
      </c>
      <c r="I18" s="55">
        <v>3.74</v>
      </c>
      <c r="J18" s="55">
        <v>0.59</v>
      </c>
      <c r="K18" s="55">
        <v>349.29</v>
      </c>
      <c r="L18" s="55">
        <v>23.89</v>
      </c>
      <c r="M18" s="55">
        <v>36.299999999999997</v>
      </c>
      <c r="N18" s="55">
        <v>599.1</v>
      </c>
      <c r="O18" s="55">
        <v>0</v>
      </c>
      <c r="P18" s="55">
        <v>1.01</v>
      </c>
      <c r="Q18" s="55">
        <v>9.65</v>
      </c>
      <c r="R18" s="43"/>
      <c r="S18" s="43"/>
      <c r="T18" s="43"/>
      <c r="U18" s="43"/>
    </row>
    <row r="19" spans="1:21" s="11" customFormat="1" x14ac:dyDescent="0.25">
      <c r="A19" s="54" t="s">
        <v>454</v>
      </c>
      <c r="B19" s="55">
        <v>13.4</v>
      </c>
      <c r="C19" s="55">
        <v>28.83</v>
      </c>
      <c r="D19" s="55">
        <v>22.26</v>
      </c>
      <c r="E19" s="55">
        <v>6.02</v>
      </c>
      <c r="F19" s="55">
        <v>5.78</v>
      </c>
      <c r="G19" s="55">
        <v>89.84</v>
      </c>
      <c r="H19" s="55">
        <v>34.880000000000003</v>
      </c>
      <c r="I19" s="55">
        <v>3.62</v>
      </c>
      <c r="J19" s="55">
        <v>0.69</v>
      </c>
      <c r="K19" s="55">
        <v>130.97</v>
      </c>
      <c r="L19" s="55">
        <v>25.4</v>
      </c>
      <c r="M19" s="55">
        <v>35.25</v>
      </c>
      <c r="N19" s="55">
        <v>690.2</v>
      </c>
      <c r="O19" s="55">
        <v>0</v>
      </c>
      <c r="P19" s="55">
        <v>0.99</v>
      </c>
      <c r="Q19" s="55">
        <v>9.66</v>
      </c>
      <c r="R19" s="43"/>
      <c r="S19" s="43"/>
      <c r="T19" s="43"/>
      <c r="U19" s="43"/>
    </row>
    <row r="20" spans="1:21" s="11" customFormat="1" x14ac:dyDescent="0.25">
      <c r="A20" s="54" t="s">
        <v>455</v>
      </c>
      <c r="B20" s="55">
        <v>6.28</v>
      </c>
      <c r="C20" s="55">
        <v>30.8</v>
      </c>
      <c r="D20" s="55">
        <v>19.91</v>
      </c>
      <c r="E20" s="55">
        <v>8.98</v>
      </c>
      <c r="F20" s="55">
        <v>13.75</v>
      </c>
      <c r="G20" s="55">
        <v>82.47</v>
      </c>
      <c r="H20" s="55">
        <v>32.08</v>
      </c>
      <c r="I20" s="55">
        <v>3.48</v>
      </c>
      <c r="J20" s="55">
        <v>0.88</v>
      </c>
      <c r="K20" s="55">
        <v>207.09</v>
      </c>
      <c r="L20" s="55">
        <v>25.81</v>
      </c>
      <c r="M20" s="55">
        <v>30.14</v>
      </c>
      <c r="N20" s="55">
        <v>707.6</v>
      </c>
      <c r="O20" s="55">
        <v>0</v>
      </c>
      <c r="P20" s="55">
        <v>0.86</v>
      </c>
      <c r="Q20" s="55">
        <v>9.59</v>
      </c>
      <c r="R20" s="43"/>
      <c r="S20" s="43"/>
      <c r="T20" s="43"/>
      <c r="U20" s="43"/>
    </row>
    <row r="21" spans="1:21" s="11" customFormat="1" x14ac:dyDescent="0.25">
      <c r="A21" s="54" t="s">
        <v>456</v>
      </c>
      <c r="B21" s="55">
        <v>3.12</v>
      </c>
      <c r="C21" s="55">
        <v>27.53</v>
      </c>
      <c r="D21" s="55">
        <v>15.88</v>
      </c>
      <c r="E21" s="55">
        <v>5.85</v>
      </c>
      <c r="F21" s="55">
        <v>5.65</v>
      </c>
      <c r="G21" s="55">
        <v>70.14</v>
      </c>
      <c r="H21" s="55">
        <v>30.91</v>
      </c>
      <c r="I21" s="55">
        <v>2.4900000000000002</v>
      </c>
      <c r="J21" s="55">
        <v>0.52</v>
      </c>
      <c r="K21" s="55">
        <v>124.71</v>
      </c>
      <c r="L21" s="55">
        <v>26.71</v>
      </c>
      <c r="M21" s="55">
        <v>27.57</v>
      </c>
      <c r="N21" s="55">
        <v>666.3</v>
      </c>
      <c r="O21" s="55">
        <v>0</v>
      </c>
      <c r="P21" s="55">
        <v>0.64</v>
      </c>
      <c r="Q21" s="55">
        <v>9.4600000000000009</v>
      </c>
      <c r="R21" s="43"/>
      <c r="S21" s="43"/>
      <c r="T21" s="43"/>
      <c r="U21" s="43"/>
    </row>
    <row r="22" spans="1:21" s="11" customFormat="1" x14ac:dyDescent="0.25">
      <c r="A22" s="54" t="s">
        <v>457</v>
      </c>
      <c r="B22" s="55">
        <v>3.55</v>
      </c>
      <c r="C22" s="55">
        <v>25.91</v>
      </c>
      <c r="D22" s="55">
        <v>15.92</v>
      </c>
      <c r="E22" s="55">
        <v>7.62</v>
      </c>
      <c r="F22" s="55">
        <v>7.58</v>
      </c>
      <c r="G22" s="55">
        <v>53.35</v>
      </c>
      <c r="H22" s="55">
        <v>24.24</v>
      </c>
      <c r="I22" s="55">
        <v>2.4300000000000002</v>
      </c>
      <c r="J22" s="55">
        <v>0.66</v>
      </c>
      <c r="K22" s="55">
        <v>353.1</v>
      </c>
      <c r="L22" s="55">
        <v>27.68</v>
      </c>
      <c r="M22" s="55">
        <v>25.7</v>
      </c>
      <c r="N22" s="55">
        <v>549.70000000000005</v>
      </c>
      <c r="O22" s="55">
        <v>0</v>
      </c>
      <c r="P22" s="55">
        <v>0.72</v>
      </c>
      <c r="Q22" s="55">
        <v>9.43</v>
      </c>
      <c r="R22" s="43"/>
      <c r="S22" s="43"/>
      <c r="T22" s="43"/>
      <c r="U22" s="43"/>
    </row>
    <row r="23" spans="1:21" s="11" customFormat="1" x14ac:dyDescent="0.25">
      <c r="A23" s="54" t="s">
        <v>458</v>
      </c>
      <c r="B23" s="55">
        <v>5.05</v>
      </c>
      <c r="C23" s="55">
        <v>30.62</v>
      </c>
      <c r="D23" s="55">
        <v>19.579999999999998</v>
      </c>
      <c r="E23" s="55">
        <v>22.59</v>
      </c>
      <c r="F23" s="55">
        <v>23.25</v>
      </c>
      <c r="G23" s="55">
        <v>53.35</v>
      </c>
      <c r="H23" s="55">
        <v>24.24</v>
      </c>
      <c r="I23" s="55">
        <v>2.36</v>
      </c>
      <c r="J23" s="55">
        <v>0.73</v>
      </c>
      <c r="K23" s="55">
        <v>347.6</v>
      </c>
      <c r="L23" s="55">
        <v>26.42</v>
      </c>
      <c r="M23" s="55">
        <v>27.8</v>
      </c>
      <c r="N23" s="55">
        <v>148.30000000000001</v>
      </c>
      <c r="O23" s="55">
        <v>0</v>
      </c>
      <c r="P23" s="55">
        <v>0.75</v>
      </c>
      <c r="Q23" s="55">
        <v>9.43</v>
      </c>
      <c r="R23" s="43"/>
      <c r="S23" s="43"/>
      <c r="T23" s="43"/>
      <c r="U23" s="43"/>
    </row>
    <row r="24" spans="1:21" s="11" customFormat="1" x14ac:dyDescent="0.25">
      <c r="A24" s="54" t="s">
        <v>459</v>
      </c>
      <c r="B24" s="55">
        <v>4.1100000000000003</v>
      </c>
      <c r="C24" s="55">
        <v>28.32</v>
      </c>
      <c r="D24" s="55">
        <v>17.63</v>
      </c>
      <c r="E24" s="55">
        <v>23.69</v>
      </c>
      <c r="F24" s="55">
        <v>27.83</v>
      </c>
      <c r="G24" s="55">
        <v>51.01</v>
      </c>
      <c r="H24" s="55">
        <v>23.8</v>
      </c>
      <c r="I24" s="55">
        <v>2.39</v>
      </c>
      <c r="J24" s="55">
        <v>0.71</v>
      </c>
      <c r="K24" s="55">
        <v>123.2</v>
      </c>
      <c r="L24" s="55">
        <v>24.61</v>
      </c>
      <c r="M24" s="55">
        <v>28.1</v>
      </c>
      <c r="N24" s="55">
        <v>106</v>
      </c>
      <c r="O24" s="55">
        <v>0</v>
      </c>
      <c r="P24" s="55">
        <v>0.81</v>
      </c>
      <c r="Q24" s="55">
        <v>9.4499999999999993</v>
      </c>
      <c r="R24" s="43"/>
      <c r="S24" s="43"/>
      <c r="T24" s="43"/>
      <c r="U24" s="43"/>
    </row>
    <row r="25" spans="1:21" s="11" customFormat="1" x14ac:dyDescent="0.25">
      <c r="A25" s="54" t="s">
        <v>460</v>
      </c>
      <c r="B25" s="55">
        <v>6.36</v>
      </c>
      <c r="C25" s="55">
        <v>28.09</v>
      </c>
      <c r="D25" s="55">
        <v>19.32</v>
      </c>
      <c r="E25" s="55">
        <v>19.239999999999998</v>
      </c>
      <c r="F25" s="55">
        <v>13.59</v>
      </c>
      <c r="G25" s="55">
        <v>47.49</v>
      </c>
      <c r="H25" s="55">
        <v>23.8</v>
      </c>
      <c r="I25" s="55">
        <v>2.38</v>
      </c>
      <c r="J25" s="55">
        <v>0.68</v>
      </c>
      <c r="K25" s="55">
        <v>356.68</v>
      </c>
      <c r="L25" s="55">
        <v>23.51</v>
      </c>
      <c r="M25" s="55">
        <v>34.03</v>
      </c>
      <c r="N25" s="55">
        <v>76.8</v>
      </c>
      <c r="O25" s="55">
        <v>0</v>
      </c>
      <c r="P25" s="55">
        <v>0.79</v>
      </c>
      <c r="Q25" s="55">
        <v>9.43</v>
      </c>
      <c r="R25" s="43"/>
      <c r="S25" s="43"/>
      <c r="T25" s="43"/>
      <c r="U25" s="43"/>
    </row>
    <row r="26" spans="1:21" s="11" customFormat="1" x14ac:dyDescent="0.25">
      <c r="A26" s="54" t="s">
        <v>461</v>
      </c>
      <c r="B26" s="55">
        <v>12.58</v>
      </c>
      <c r="C26" s="55">
        <v>26</v>
      </c>
      <c r="D26" s="55">
        <v>22.59</v>
      </c>
      <c r="E26" s="55">
        <v>8.69</v>
      </c>
      <c r="F26" s="55">
        <v>4.0599999999999996</v>
      </c>
      <c r="G26" s="55">
        <v>54.25</v>
      </c>
      <c r="H26" s="55">
        <v>21.8</v>
      </c>
      <c r="I26" s="55">
        <v>2.58</v>
      </c>
      <c r="J26" s="55">
        <v>0.26</v>
      </c>
      <c r="K26" s="55">
        <v>341.93</v>
      </c>
      <c r="L26" s="55">
        <v>21.67</v>
      </c>
      <c r="M26" s="55">
        <v>53.45</v>
      </c>
      <c r="N26" s="55">
        <v>46.8</v>
      </c>
      <c r="O26" s="55">
        <v>0</v>
      </c>
      <c r="P26" s="55">
        <v>0.97</v>
      </c>
      <c r="Q26" s="55">
        <v>9.52</v>
      </c>
      <c r="R26" s="43"/>
      <c r="S26" s="43"/>
      <c r="T26" s="43"/>
      <c r="U26" s="43"/>
    </row>
    <row r="27" spans="1:21" s="11" customFormat="1" x14ac:dyDescent="0.25">
      <c r="A27" s="54" t="s">
        <v>462</v>
      </c>
      <c r="B27" s="55">
        <v>22.5</v>
      </c>
      <c r="C27" s="55">
        <v>34.28</v>
      </c>
      <c r="D27" s="55">
        <v>35.49</v>
      </c>
      <c r="E27" s="55">
        <v>14.26</v>
      </c>
      <c r="F27" s="55">
        <v>5.08</v>
      </c>
      <c r="G27" s="55">
        <v>77.45</v>
      </c>
      <c r="H27" s="55">
        <v>29.47</v>
      </c>
      <c r="I27" s="55">
        <v>3.12</v>
      </c>
      <c r="J27" s="55">
        <v>0.44</v>
      </c>
      <c r="K27" s="55">
        <v>357.07</v>
      </c>
      <c r="L27" s="55">
        <v>19.52</v>
      </c>
      <c r="M27" s="55">
        <v>53.35</v>
      </c>
      <c r="N27" s="55">
        <v>42.6</v>
      </c>
      <c r="O27" s="55">
        <v>0</v>
      </c>
      <c r="P27" s="55">
        <v>1.57</v>
      </c>
      <c r="Q27" s="55">
        <v>9.66</v>
      </c>
      <c r="R27" s="43"/>
      <c r="S27" s="43"/>
      <c r="T27" s="43"/>
      <c r="U27" s="43"/>
    </row>
    <row r="28" spans="1:21" s="11" customFormat="1" x14ac:dyDescent="0.25">
      <c r="A28" s="54" t="s">
        <v>463</v>
      </c>
      <c r="B28" s="55">
        <v>18.11</v>
      </c>
      <c r="C28" s="55">
        <v>35.76</v>
      </c>
      <c r="D28" s="55">
        <v>32.28</v>
      </c>
      <c r="E28" s="55">
        <v>20.56</v>
      </c>
      <c r="F28" s="55">
        <v>5.91</v>
      </c>
      <c r="G28" s="55">
        <v>97.58</v>
      </c>
      <c r="H28" s="55">
        <v>35.869999999999997</v>
      </c>
      <c r="I28" s="55">
        <v>3.8</v>
      </c>
      <c r="J28" s="55">
        <v>0.27</v>
      </c>
      <c r="K28" s="55">
        <v>93.83</v>
      </c>
      <c r="L28" s="55">
        <v>19.47</v>
      </c>
      <c r="M28" s="55">
        <v>51.33</v>
      </c>
      <c r="N28" s="55">
        <v>42.7</v>
      </c>
      <c r="O28" s="55">
        <v>0</v>
      </c>
      <c r="P28" s="55">
        <v>1.67</v>
      </c>
      <c r="Q28" s="55">
        <v>9.66</v>
      </c>
      <c r="R28" s="43"/>
      <c r="S28" s="43"/>
      <c r="T28" s="43"/>
      <c r="U28" s="43"/>
    </row>
    <row r="29" spans="1:21" s="11" customFormat="1" x14ac:dyDescent="0.25">
      <c r="A29" s="54" t="s">
        <v>464</v>
      </c>
      <c r="B29" s="55">
        <v>31.35</v>
      </c>
      <c r="C29" s="55">
        <v>28.48</v>
      </c>
      <c r="D29" s="55">
        <v>39.56</v>
      </c>
      <c r="E29" s="55">
        <v>14.09</v>
      </c>
      <c r="F29" s="55">
        <v>4.51</v>
      </c>
      <c r="G29" s="55">
        <v>120.15</v>
      </c>
      <c r="H29" s="55">
        <v>45.9</v>
      </c>
      <c r="I29" s="55">
        <v>4.1399999999999997</v>
      </c>
      <c r="J29" s="55">
        <v>0.23</v>
      </c>
      <c r="K29" s="55">
        <v>357.36</v>
      </c>
      <c r="L29" s="55">
        <v>18.690000000000001</v>
      </c>
      <c r="M29" s="55">
        <v>56.58</v>
      </c>
      <c r="N29" s="55">
        <v>42.8</v>
      </c>
      <c r="O29" s="55">
        <v>0</v>
      </c>
      <c r="P29" s="55">
        <v>1.87</v>
      </c>
      <c r="Q29" s="55">
        <v>9.66</v>
      </c>
      <c r="R29" s="43"/>
      <c r="S29" s="43"/>
      <c r="T29" s="43"/>
      <c r="U29" s="43"/>
    </row>
    <row r="30" spans="1:21" s="11" customFormat="1" x14ac:dyDescent="0.25">
      <c r="A30" s="54" t="s">
        <v>465</v>
      </c>
      <c r="B30" s="55">
        <v>22.83</v>
      </c>
      <c r="C30" s="55">
        <v>21.5</v>
      </c>
      <c r="D30" s="55">
        <v>28.57</v>
      </c>
      <c r="E30" s="55">
        <v>7.44</v>
      </c>
      <c r="F30" s="55">
        <v>3.51</v>
      </c>
      <c r="G30" s="55">
        <v>120.15</v>
      </c>
      <c r="H30" s="55">
        <v>47.98</v>
      </c>
      <c r="I30" s="55">
        <v>4.45</v>
      </c>
      <c r="J30" s="55">
        <v>0.26</v>
      </c>
      <c r="K30" s="55">
        <v>72.64</v>
      </c>
      <c r="L30" s="55">
        <v>18.46</v>
      </c>
      <c r="M30" s="55">
        <v>55.96</v>
      </c>
      <c r="N30" s="55">
        <v>42.7</v>
      </c>
      <c r="O30" s="55">
        <v>0</v>
      </c>
      <c r="P30" s="55">
        <v>1.55</v>
      </c>
      <c r="Q30" s="55">
        <v>9.67</v>
      </c>
      <c r="R30" s="43"/>
      <c r="S30" s="43"/>
      <c r="T30" s="43"/>
      <c r="U30" s="43"/>
    </row>
    <row r="31" spans="1:21" s="11" customFormat="1" x14ac:dyDescent="0.25">
      <c r="A31" s="54" t="s">
        <v>466</v>
      </c>
      <c r="B31" s="55">
        <v>22.47</v>
      </c>
      <c r="C31" s="55">
        <v>20.79</v>
      </c>
      <c r="D31" s="55">
        <v>27.95</v>
      </c>
      <c r="E31" s="55">
        <v>6.73</v>
      </c>
      <c r="F31" s="55">
        <v>3.29</v>
      </c>
      <c r="G31" s="55">
        <v>114.28</v>
      </c>
      <c r="H31" s="55">
        <v>47.98</v>
      </c>
      <c r="I31" s="55">
        <v>4.76</v>
      </c>
      <c r="J31" s="55">
        <v>0.16</v>
      </c>
      <c r="K31" s="55">
        <v>69.22</v>
      </c>
      <c r="L31" s="55">
        <v>17.920000000000002</v>
      </c>
      <c r="M31" s="55">
        <v>54.73</v>
      </c>
      <c r="N31" s="55">
        <v>42.5</v>
      </c>
      <c r="O31" s="55">
        <v>0</v>
      </c>
      <c r="P31" s="55">
        <v>1.55</v>
      </c>
      <c r="Q31" s="55">
        <v>9.67</v>
      </c>
      <c r="R31" s="43"/>
      <c r="S31" s="43"/>
      <c r="T31" s="43"/>
      <c r="U31" s="43"/>
    </row>
    <row r="32" spans="1:21" s="11" customFormat="1" x14ac:dyDescent="0.25">
      <c r="A32" s="54" t="s">
        <v>467</v>
      </c>
      <c r="B32" s="55">
        <v>20.03</v>
      </c>
      <c r="C32" s="55">
        <v>25.3</v>
      </c>
      <c r="D32" s="55">
        <v>26.79</v>
      </c>
      <c r="E32" s="55">
        <v>7.09</v>
      </c>
      <c r="F32" s="55">
        <v>4.24</v>
      </c>
      <c r="G32" s="55">
        <v>102</v>
      </c>
      <c r="H32" s="55">
        <v>42.6</v>
      </c>
      <c r="I32" s="55">
        <v>4.5999999999999996</v>
      </c>
      <c r="J32" s="55">
        <v>0.21</v>
      </c>
      <c r="K32" s="55">
        <v>221.85</v>
      </c>
      <c r="L32" s="55">
        <v>17.510000000000002</v>
      </c>
      <c r="M32" s="55">
        <v>65.989999999999995</v>
      </c>
      <c r="N32" s="55">
        <v>42.7</v>
      </c>
      <c r="O32" s="55">
        <v>0</v>
      </c>
      <c r="P32" s="55">
        <v>1.52</v>
      </c>
      <c r="Q32" s="55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3.12</v>
      </c>
      <c r="C34" s="28">
        <f t="shared" si="0"/>
        <v>15.24</v>
      </c>
      <c r="D34" s="28">
        <f t="shared" si="0"/>
        <v>15.88</v>
      </c>
      <c r="E34" s="28">
        <f t="shared" si="0"/>
        <v>4.82</v>
      </c>
      <c r="F34" s="28">
        <f t="shared" si="0"/>
        <v>3.07</v>
      </c>
      <c r="G34" s="28">
        <f t="shared" si="0"/>
        <v>47.49</v>
      </c>
      <c r="H34" s="28">
        <f t="shared" si="0"/>
        <v>21.8</v>
      </c>
      <c r="I34" s="28">
        <f t="shared" si="0"/>
        <v>2.36</v>
      </c>
      <c r="J34" s="28">
        <f t="shared" si="0"/>
        <v>0.15</v>
      </c>
      <c r="K34" s="28">
        <f t="shared" si="0"/>
        <v>69.22</v>
      </c>
      <c r="L34" s="28">
        <f t="shared" si="0"/>
        <v>13.3</v>
      </c>
      <c r="M34" s="28">
        <f t="shared" si="0"/>
        <v>25.7</v>
      </c>
      <c r="N34" s="28">
        <f t="shared" si="0"/>
        <v>42.2</v>
      </c>
      <c r="O34" s="28">
        <f t="shared" si="0"/>
        <v>0</v>
      </c>
      <c r="P34" s="28">
        <f t="shared" si="0"/>
        <v>0.64</v>
      </c>
      <c r="Q34" s="28">
        <f t="shared" si="0"/>
        <v>9.43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31.35</v>
      </c>
      <c r="C35" s="29">
        <f t="shared" si="1"/>
        <v>35.76</v>
      </c>
      <c r="D35" s="29">
        <f t="shared" si="1"/>
        <v>39.56</v>
      </c>
      <c r="E35" s="29">
        <f t="shared" si="1"/>
        <v>23.69</v>
      </c>
      <c r="F35" s="29">
        <f t="shared" si="1"/>
        <v>27.83</v>
      </c>
      <c r="G35" s="29">
        <f t="shared" si="1"/>
        <v>120.15</v>
      </c>
      <c r="H35" s="29">
        <f t="shared" si="1"/>
        <v>47.98</v>
      </c>
      <c r="I35" s="29">
        <f t="shared" si="1"/>
        <v>4.76</v>
      </c>
      <c r="J35" s="29">
        <f t="shared" si="1"/>
        <v>1.07</v>
      </c>
      <c r="K35" s="29">
        <f t="shared" si="1"/>
        <v>358.75</v>
      </c>
      <c r="L35" s="29">
        <f t="shared" si="1"/>
        <v>27.68</v>
      </c>
      <c r="M35" s="29">
        <f t="shared" si="1"/>
        <v>76.34</v>
      </c>
      <c r="N35" s="29">
        <f t="shared" si="1"/>
        <v>707.6</v>
      </c>
      <c r="O35" s="29">
        <f t="shared" si="1"/>
        <v>0</v>
      </c>
      <c r="P35" s="29">
        <f t="shared" si="1"/>
        <v>1.87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15.016250000000005</v>
      </c>
      <c r="C36" s="28">
        <f t="shared" si="2"/>
        <v>24.453333333333333</v>
      </c>
      <c r="D36" s="28">
        <f t="shared" si="2"/>
        <v>23.904166666666665</v>
      </c>
      <c r="E36" s="28">
        <f t="shared" si="2"/>
        <v>9.5608333333333331</v>
      </c>
      <c r="F36" s="28">
        <f t="shared" si="2"/>
        <v>6.7408333333333337</v>
      </c>
      <c r="G36" s="28">
        <f t="shared" si="2"/>
        <v>83.381250000000009</v>
      </c>
      <c r="H36" s="28">
        <f t="shared" si="2"/>
        <v>33.251250000000006</v>
      </c>
      <c r="I36" s="28">
        <f t="shared" si="2"/>
        <v>3.6070833333333332</v>
      </c>
      <c r="J36" s="28">
        <f t="shared" si="2"/>
        <v>0.49125000000000002</v>
      </c>
      <c r="K36" s="28">
        <f t="shared" si="2"/>
        <v>276.69333333333338</v>
      </c>
      <c r="L36" s="28">
        <f t="shared" si="2"/>
        <v>20.092499999999998</v>
      </c>
      <c r="M36" s="28">
        <f t="shared" si="2"/>
        <v>51.065416666666671</v>
      </c>
      <c r="N36" s="28">
        <f t="shared" si="2"/>
        <v>206.02916666666667</v>
      </c>
      <c r="O36" s="28">
        <f t="shared" si="2"/>
        <v>0</v>
      </c>
      <c r="P36" s="28">
        <f t="shared" si="2"/>
        <v>1.1529166666666668</v>
      </c>
      <c r="Q36" s="28">
        <f t="shared" si="2"/>
        <v>9.5924999999999994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7.7148996513522228</v>
      </c>
      <c r="C37" s="28">
        <f t="shared" ref="C37:Q37" si="3">STDEV(C9:C32)</f>
        <v>5.5083743886737633</v>
      </c>
      <c r="D37" s="28">
        <f t="shared" si="3"/>
        <v>5.9152198067627904</v>
      </c>
      <c r="E37" s="28">
        <f t="shared" si="3"/>
        <v>6.008103887154463</v>
      </c>
      <c r="F37" s="28">
        <f t="shared" si="3"/>
        <v>6.5081293089066126</v>
      </c>
      <c r="G37" s="28">
        <f t="shared" si="3"/>
        <v>20.539618622364266</v>
      </c>
      <c r="H37" s="28">
        <f t="shared" si="3"/>
        <v>7.2193305196654913</v>
      </c>
      <c r="I37" s="28">
        <f t="shared" si="3"/>
        <v>0.76991517978149737</v>
      </c>
      <c r="J37" s="28">
        <f t="shared" si="3"/>
        <v>0.25652040346004501</v>
      </c>
      <c r="K37" s="28">
        <f t="shared" si="3"/>
        <v>110.33496377796138</v>
      </c>
      <c r="L37" s="28">
        <f t="shared" si="3"/>
        <v>4.668516429463863</v>
      </c>
      <c r="M37" s="28">
        <f t="shared" si="3"/>
        <v>16.830261559662908</v>
      </c>
      <c r="N37" s="28">
        <f t="shared" si="3"/>
        <v>249.95138567184492</v>
      </c>
      <c r="O37" s="28">
        <f t="shared" si="3"/>
        <v>0</v>
      </c>
      <c r="P37" s="28">
        <f t="shared" si="3"/>
        <v>0.33131463000895511</v>
      </c>
      <c r="Q37" s="28">
        <f t="shared" si="3"/>
        <v>8.8526586524835305E-2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41" sqref="I4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468</v>
      </c>
      <c r="B9" s="55">
        <v>18.8</v>
      </c>
      <c r="C9" s="55">
        <v>20.73</v>
      </c>
      <c r="D9" s="55">
        <v>25.45</v>
      </c>
      <c r="E9" s="55">
        <v>5.63</v>
      </c>
      <c r="F9" s="55">
        <v>3.24</v>
      </c>
      <c r="G9" s="55">
        <v>95.46</v>
      </c>
      <c r="H9" s="55">
        <v>40.6</v>
      </c>
      <c r="I9" s="55">
        <v>4.49</v>
      </c>
      <c r="J9" s="55">
        <v>0.33</v>
      </c>
      <c r="K9" s="55">
        <v>336.52</v>
      </c>
      <c r="L9" s="55">
        <v>16.38</v>
      </c>
      <c r="M9" s="55">
        <v>83.54</v>
      </c>
      <c r="N9" s="55">
        <v>42.9</v>
      </c>
      <c r="O9" s="55">
        <v>0</v>
      </c>
      <c r="P9" s="55">
        <v>1.52</v>
      </c>
      <c r="Q9" s="55">
        <v>9.67</v>
      </c>
      <c r="R9" s="43"/>
      <c r="S9" s="43"/>
      <c r="T9" s="43"/>
      <c r="U9" s="43"/>
    </row>
    <row r="10" spans="1:21" s="11" customFormat="1" x14ac:dyDescent="0.25">
      <c r="A10" s="54" t="s">
        <v>469</v>
      </c>
      <c r="B10" s="55">
        <v>16.78</v>
      </c>
      <c r="C10" s="55">
        <v>20.079999999999998</v>
      </c>
      <c r="D10" s="55">
        <v>23.49</v>
      </c>
      <c r="E10" s="55">
        <v>5.57</v>
      </c>
      <c r="F10" s="55">
        <v>3.26</v>
      </c>
      <c r="G10" s="55">
        <v>91.27</v>
      </c>
      <c r="H10" s="55">
        <v>37.86</v>
      </c>
      <c r="I10" s="55">
        <v>4.24</v>
      </c>
      <c r="J10" s="55">
        <v>0.42</v>
      </c>
      <c r="K10" s="55">
        <v>318.31</v>
      </c>
      <c r="L10" s="55">
        <v>15.45</v>
      </c>
      <c r="M10" s="55">
        <v>86.56</v>
      </c>
      <c r="N10" s="55">
        <v>42.5</v>
      </c>
      <c r="O10" s="55">
        <v>0</v>
      </c>
      <c r="P10" s="55">
        <v>1.3</v>
      </c>
      <c r="Q10" s="55">
        <v>9.66</v>
      </c>
      <c r="R10" s="43"/>
      <c r="S10" s="43"/>
      <c r="T10" s="43"/>
      <c r="U10" s="43"/>
    </row>
    <row r="11" spans="1:21" s="11" customFormat="1" x14ac:dyDescent="0.25">
      <c r="A11" s="54" t="s">
        <v>470</v>
      </c>
      <c r="B11" s="55">
        <v>14.02</v>
      </c>
      <c r="C11" s="55">
        <v>20.39</v>
      </c>
      <c r="D11" s="55">
        <v>21.2</v>
      </c>
      <c r="E11" s="55">
        <v>5.17</v>
      </c>
      <c r="F11" s="55">
        <v>3.2</v>
      </c>
      <c r="G11" s="55">
        <v>88.81</v>
      </c>
      <c r="H11" s="55">
        <v>35.36</v>
      </c>
      <c r="I11" s="55">
        <v>4.17</v>
      </c>
      <c r="J11" s="55">
        <v>0.17</v>
      </c>
      <c r="K11" s="55">
        <v>346.42</v>
      </c>
      <c r="L11" s="55">
        <v>14.89</v>
      </c>
      <c r="M11" s="55">
        <v>86.61</v>
      </c>
      <c r="N11" s="55">
        <v>42.5</v>
      </c>
      <c r="O11" s="55">
        <v>0</v>
      </c>
      <c r="P11" s="55">
        <v>1.1599999999999999</v>
      </c>
      <c r="Q11" s="55">
        <v>9.6300000000000008</v>
      </c>
      <c r="R11" s="43"/>
      <c r="S11" s="43"/>
      <c r="T11" s="43"/>
      <c r="U11" s="43"/>
    </row>
    <row r="12" spans="1:21" s="11" customFormat="1" x14ac:dyDescent="0.25">
      <c r="A12" s="54" t="s">
        <v>471</v>
      </c>
      <c r="B12" s="55">
        <v>11.29</v>
      </c>
      <c r="C12" s="55">
        <v>20.86</v>
      </c>
      <c r="D12" s="55">
        <v>19.29</v>
      </c>
      <c r="E12" s="55">
        <v>5.0999999999999996</v>
      </c>
      <c r="F12" s="55">
        <v>3.31</v>
      </c>
      <c r="G12" s="55">
        <v>82.76</v>
      </c>
      <c r="H12" s="55">
        <v>33.92</v>
      </c>
      <c r="I12" s="55">
        <v>4.3099999999999996</v>
      </c>
      <c r="J12" s="55">
        <v>0.23</v>
      </c>
      <c r="K12" s="55">
        <v>92.48</v>
      </c>
      <c r="L12" s="55">
        <v>14.56</v>
      </c>
      <c r="M12" s="55">
        <v>85.98</v>
      </c>
      <c r="N12" s="55">
        <v>42.3</v>
      </c>
      <c r="O12" s="55">
        <v>0</v>
      </c>
      <c r="P12" s="55">
        <v>1.03</v>
      </c>
      <c r="Q12" s="55">
        <v>9.5500000000000007</v>
      </c>
      <c r="R12" s="43"/>
      <c r="S12" s="43"/>
      <c r="T12" s="43"/>
      <c r="U12" s="43"/>
    </row>
    <row r="13" spans="1:21" s="11" customFormat="1" x14ac:dyDescent="0.25">
      <c r="A13" s="54" t="s">
        <v>472</v>
      </c>
      <c r="B13" s="55">
        <v>9.34</v>
      </c>
      <c r="C13" s="55">
        <v>21.64</v>
      </c>
      <c r="D13" s="55">
        <v>18.13</v>
      </c>
      <c r="E13" s="55">
        <v>5.14</v>
      </c>
      <c r="F13" s="55">
        <v>3.13</v>
      </c>
      <c r="G13" s="55">
        <v>77.430000000000007</v>
      </c>
      <c r="H13" s="55">
        <v>33.92</v>
      </c>
      <c r="I13" s="55">
        <v>3.68</v>
      </c>
      <c r="J13" s="55">
        <v>0.23</v>
      </c>
      <c r="K13" s="55">
        <v>333.21</v>
      </c>
      <c r="L13" s="55">
        <v>14.45</v>
      </c>
      <c r="M13" s="55">
        <v>87.53</v>
      </c>
      <c r="N13" s="55">
        <v>42.5</v>
      </c>
      <c r="O13" s="55">
        <v>0</v>
      </c>
      <c r="P13" s="55">
        <v>1.04</v>
      </c>
      <c r="Q13" s="55">
        <v>9.5</v>
      </c>
      <c r="R13" s="43"/>
      <c r="S13" s="43"/>
      <c r="T13" s="43"/>
      <c r="U13" s="43"/>
    </row>
    <row r="14" spans="1:21" s="11" customFormat="1" x14ac:dyDescent="0.25">
      <c r="A14" s="54" t="s">
        <v>473</v>
      </c>
      <c r="B14" s="55">
        <v>8.83</v>
      </c>
      <c r="C14" s="55">
        <v>21.71</v>
      </c>
      <c r="D14" s="55">
        <v>17.95</v>
      </c>
      <c r="E14" s="55">
        <v>5.26</v>
      </c>
      <c r="F14" s="55">
        <v>3.39</v>
      </c>
      <c r="G14" s="55">
        <v>91.92</v>
      </c>
      <c r="H14" s="55">
        <v>37.08</v>
      </c>
      <c r="I14" s="55">
        <v>3.69</v>
      </c>
      <c r="J14" s="55">
        <v>0.21</v>
      </c>
      <c r="K14" s="55">
        <v>126.1</v>
      </c>
      <c r="L14" s="55">
        <v>13.95</v>
      </c>
      <c r="M14" s="55">
        <v>87.4</v>
      </c>
      <c r="N14" s="55">
        <v>42.9</v>
      </c>
      <c r="O14" s="55">
        <v>0</v>
      </c>
      <c r="P14" s="55">
        <v>1.04</v>
      </c>
      <c r="Q14" s="55">
        <v>9.49</v>
      </c>
      <c r="R14" s="43"/>
      <c r="S14" s="43"/>
      <c r="T14" s="43"/>
      <c r="U14" s="43"/>
    </row>
    <row r="15" spans="1:21" s="11" customFormat="1" x14ac:dyDescent="0.25">
      <c r="A15" s="54" t="s">
        <v>474</v>
      </c>
      <c r="B15" s="55">
        <v>11.19</v>
      </c>
      <c r="C15" s="55">
        <v>21.55</v>
      </c>
      <c r="D15" s="55">
        <v>19.579999999999998</v>
      </c>
      <c r="E15" s="55">
        <v>5.14</v>
      </c>
      <c r="F15" s="55">
        <v>3.43</v>
      </c>
      <c r="G15" s="55">
        <v>91.92</v>
      </c>
      <c r="H15" s="55">
        <v>37.08</v>
      </c>
      <c r="I15" s="55">
        <v>4.17</v>
      </c>
      <c r="J15" s="55">
        <v>0.25</v>
      </c>
      <c r="K15" s="55">
        <v>330.57</v>
      </c>
      <c r="L15" s="55">
        <v>14.15</v>
      </c>
      <c r="M15" s="55">
        <v>90.38</v>
      </c>
      <c r="N15" s="55">
        <v>83.9</v>
      </c>
      <c r="O15" s="55">
        <v>0</v>
      </c>
      <c r="P15" s="55">
        <v>0.96</v>
      </c>
      <c r="Q15" s="55">
        <v>9.48</v>
      </c>
      <c r="R15" s="43"/>
      <c r="S15" s="43"/>
      <c r="T15" s="43"/>
      <c r="U15" s="43"/>
    </row>
    <row r="16" spans="1:21" s="11" customFormat="1" x14ac:dyDescent="0.25">
      <c r="A16" s="54" t="s">
        <v>475</v>
      </c>
      <c r="B16" s="55">
        <v>15.68</v>
      </c>
      <c r="C16" s="55">
        <v>20.399999999999999</v>
      </c>
      <c r="D16" s="55">
        <v>22.54</v>
      </c>
      <c r="E16" s="55">
        <v>5.36</v>
      </c>
      <c r="F16" s="55">
        <v>3.34</v>
      </c>
      <c r="G16" s="55">
        <v>95.42</v>
      </c>
      <c r="H16" s="55">
        <v>42.37</v>
      </c>
      <c r="I16" s="55">
        <v>4.4800000000000004</v>
      </c>
      <c r="J16" s="55">
        <v>0.45</v>
      </c>
      <c r="K16" s="55">
        <v>120.43</v>
      </c>
      <c r="L16" s="55">
        <v>19.45</v>
      </c>
      <c r="M16" s="55">
        <v>81.66</v>
      </c>
      <c r="N16" s="55">
        <v>292.10000000000002</v>
      </c>
      <c r="O16" s="55">
        <v>0</v>
      </c>
      <c r="P16" s="55">
        <v>1.08</v>
      </c>
      <c r="Q16" s="55">
        <v>9.61</v>
      </c>
      <c r="R16" s="43"/>
      <c r="S16" s="43"/>
      <c r="T16" s="43"/>
      <c r="U16" s="43"/>
    </row>
    <row r="17" spans="1:21" s="11" customFormat="1" x14ac:dyDescent="0.25">
      <c r="A17" s="54" t="s">
        <v>476</v>
      </c>
      <c r="B17" s="55">
        <v>16.37</v>
      </c>
      <c r="C17" s="55">
        <v>22.33</v>
      </c>
      <c r="D17" s="55">
        <v>24</v>
      </c>
      <c r="E17" s="55">
        <v>6.09</v>
      </c>
      <c r="F17" s="55">
        <v>3.3</v>
      </c>
      <c r="G17" s="55">
        <v>95.42</v>
      </c>
      <c r="H17" s="55">
        <v>42.37</v>
      </c>
      <c r="I17" s="55">
        <v>4.6399999999999997</v>
      </c>
      <c r="J17" s="55">
        <v>0.88</v>
      </c>
      <c r="K17" s="55">
        <v>344.32</v>
      </c>
      <c r="L17" s="55">
        <v>25.15</v>
      </c>
      <c r="M17" s="55">
        <v>54.46</v>
      </c>
      <c r="N17" s="55">
        <v>470.9</v>
      </c>
      <c r="O17" s="55">
        <v>0</v>
      </c>
      <c r="P17" s="55">
        <v>1.2</v>
      </c>
      <c r="Q17" s="55">
        <v>9.6300000000000008</v>
      </c>
      <c r="R17" s="43"/>
      <c r="S17" s="43"/>
      <c r="T17" s="43"/>
      <c r="U17" s="43"/>
    </row>
    <row r="18" spans="1:21" s="11" customFormat="1" x14ac:dyDescent="0.25">
      <c r="A18" s="54" t="s">
        <v>477</v>
      </c>
      <c r="B18" s="55">
        <v>15.35</v>
      </c>
      <c r="C18" s="55">
        <v>26.79</v>
      </c>
      <c r="D18" s="55">
        <v>25.6</v>
      </c>
      <c r="E18" s="55">
        <v>7.68</v>
      </c>
      <c r="F18" s="55">
        <v>5.22</v>
      </c>
      <c r="G18" s="55">
        <v>92.44</v>
      </c>
      <c r="H18" s="55">
        <v>38.07</v>
      </c>
      <c r="I18" s="55">
        <v>4.63</v>
      </c>
      <c r="J18" s="55">
        <v>1.06</v>
      </c>
      <c r="K18" s="55">
        <v>340.59</v>
      </c>
      <c r="L18" s="55">
        <v>27.31</v>
      </c>
      <c r="M18" s="55">
        <v>35.26</v>
      </c>
      <c r="N18" s="55">
        <v>599</v>
      </c>
      <c r="O18" s="55">
        <v>0</v>
      </c>
      <c r="P18" s="55">
        <v>1.21</v>
      </c>
      <c r="Q18" s="55">
        <v>9.64</v>
      </c>
      <c r="R18" s="43"/>
      <c r="S18" s="43"/>
      <c r="T18" s="43"/>
      <c r="U18" s="43"/>
    </row>
    <row r="19" spans="1:21" s="11" customFormat="1" x14ac:dyDescent="0.25">
      <c r="A19" s="54" t="s">
        <v>478</v>
      </c>
      <c r="B19" s="55">
        <v>13.18</v>
      </c>
      <c r="C19" s="55">
        <v>30.7</v>
      </c>
      <c r="D19" s="55">
        <v>23.23</v>
      </c>
      <c r="E19" s="55">
        <v>6.91</v>
      </c>
      <c r="F19" s="55">
        <v>4.54</v>
      </c>
      <c r="G19" s="55">
        <v>89.01</v>
      </c>
      <c r="H19" s="55">
        <v>36.880000000000003</v>
      </c>
      <c r="I19" s="55">
        <v>4.5199999999999996</v>
      </c>
      <c r="J19" s="55">
        <v>0.57999999999999996</v>
      </c>
      <c r="K19" s="55">
        <v>349.03</v>
      </c>
      <c r="L19" s="55">
        <v>27.84</v>
      </c>
      <c r="M19" s="55">
        <v>35.520000000000003</v>
      </c>
      <c r="N19" s="55">
        <v>681.8</v>
      </c>
      <c r="O19" s="55">
        <v>0</v>
      </c>
      <c r="P19" s="55">
        <v>1.1299999999999999</v>
      </c>
      <c r="Q19" s="55">
        <v>9.61</v>
      </c>
      <c r="R19" s="43"/>
      <c r="S19" s="43"/>
      <c r="T19" s="43"/>
      <c r="U19" s="43"/>
    </row>
    <row r="20" spans="1:21" s="11" customFormat="1" x14ac:dyDescent="0.25">
      <c r="A20" s="54" t="s">
        <v>479</v>
      </c>
      <c r="B20" s="55">
        <v>5.76</v>
      </c>
      <c r="C20" s="55">
        <v>30.92</v>
      </c>
      <c r="D20" s="55">
        <v>20.309999999999999</v>
      </c>
      <c r="E20" s="55">
        <v>6.84</v>
      </c>
      <c r="F20" s="55">
        <v>6.61</v>
      </c>
      <c r="G20" s="18" t="s">
        <v>12</v>
      </c>
      <c r="H20" s="18" t="s">
        <v>12</v>
      </c>
      <c r="I20" s="55">
        <v>4.1399999999999997</v>
      </c>
      <c r="J20" s="55">
        <v>0.91</v>
      </c>
      <c r="K20" s="55">
        <v>334.62</v>
      </c>
      <c r="L20" s="55">
        <v>27.11</v>
      </c>
      <c r="M20" s="55">
        <v>30.76</v>
      </c>
      <c r="N20" s="55">
        <v>684.6</v>
      </c>
      <c r="O20" s="55">
        <v>0</v>
      </c>
      <c r="P20" s="55">
        <v>1</v>
      </c>
      <c r="Q20" s="55">
        <v>9.5</v>
      </c>
      <c r="R20" s="43"/>
      <c r="S20" s="43"/>
      <c r="T20" s="43"/>
      <c r="U20" s="43"/>
    </row>
    <row r="21" spans="1:21" s="11" customFormat="1" x14ac:dyDescent="0.25">
      <c r="A21" s="54" t="s">
        <v>480</v>
      </c>
      <c r="B21" s="55">
        <v>3.9</v>
      </c>
      <c r="C21" s="55">
        <v>29.03</v>
      </c>
      <c r="D21" s="55">
        <v>17.100000000000001</v>
      </c>
      <c r="E21" s="55">
        <v>12.49</v>
      </c>
      <c r="F21" s="55">
        <v>15.9</v>
      </c>
      <c r="G21" s="55">
        <v>31.83</v>
      </c>
      <c r="H21" s="55">
        <v>29.73</v>
      </c>
      <c r="I21" s="55">
        <v>3.57</v>
      </c>
      <c r="J21" s="55">
        <v>1.28</v>
      </c>
      <c r="K21" s="55">
        <v>337.18</v>
      </c>
      <c r="L21" s="55">
        <v>27.99</v>
      </c>
      <c r="M21" s="55">
        <v>29.46</v>
      </c>
      <c r="N21" s="55">
        <v>637.5</v>
      </c>
      <c r="O21" s="55">
        <v>0</v>
      </c>
      <c r="P21" s="55">
        <v>0.81</v>
      </c>
      <c r="Q21" s="55">
        <v>9.4</v>
      </c>
      <c r="R21" s="43"/>
      <c r="S21" s="43"/>
      <c r="T21" s="43"/>
      <c r="U21" s="43"/>
    </row>
    <row r="22" spans="1:21" s="11" customFormat="1" x14ac:dyDescent="0.25">
      <c r="A22" s="54" t="s">
        <v>481</v>
      </c>
      <c r="B22" s="55">
        <v>3.55</v>
      </c>
      <c r="C22" s="55">
        <v>29.96</v>
      </c>
      <c r="D22" s="55">
        <v>18.04</v>
      </c>
      <c r="E22" s="55">
        <v>10.81</v>
      </c>
      <c r="F22" s="55">
        <v>16.12</v>
      </c>
      <c r="G22" s="55">
        <v>44.98</v>
      </c>
      <c r="H22" s="55">
        <v>23.31</v>
      </c>
      <c r="I22" s="55">
        <v>3.08</v>
      </c>
      <c r="J22" s="55">
        <v>1.05</v>
      </c>
      <c r="K22" s="55">
        <v>336.97</v>
      </c>
      <c r="L22" s="55">
        <v>28.48</v>
      </c>
      <c r="M22" s="55">
        <v>30.88</v>
      </c>
      <c r="N22" s="55">
        <v>544.79999999999995</v>
      </c>
      <c r="O22" s="55">
        <v>0</v>
      </c>
      <c r="P22" s="55">
        <v>0.77</v>
      </c>
      <c r="Q22" s="55">
        <v>9.4</v>
      </c>
      <c r="R22" s="43"/>
      <c r="S22" s="43"/>
      <c r="T22" s="43"/>
      <c r="U22" s="43"/>
    </row>
    <row r="23" spans="1:21" s="11" customFormat="1" x14ac:dyDescent="0.25">
      <c r="A23" s="54" t="s">
        <v>482</v>
      </c>
      <c r="B23" s="55">
        <v>3.48</v>
      </c>
      <c r="C23" s="55">
        <v>28.17</v>
      </c>
      <c r="D23" s="55">
        <v>16.940000000000001</v>
      </c>
      <c r="E23" s="55">
        <v>17.440000000000001</v>
      </c>
      <c r="F23" s="55">
        <v>20.85</v>
      </c>
      <c r="G23" s="55">
        <v>33.299999999999997</v>
      </c>
      <c r="H23" s="55">
        <v>22.67</v>
      </c>
      <c r="I23" s="55">
        <v>2.96</v>
      </c>
      <c r="J23" s="55">
        <v>0.84</v>
      </c>
      <c r="K23" s="55">
        <v>359.7</v>
      </c>
      <c r="L23" s="55">
        <v>25.4</v>
      </c>
      <c r="M23" s="55">
        <v>30.67</v>
      </c>
      <c r="N23" s="55">
        <v>152.6</v>
      </c>
      <c r="O23" s="55">
        <v>0</v>
      </c>
      <c r="P23" s="55">
        <v>0.73</v>
      </c>
      <c r="Q23" s="55">
        <v>9.4</v>
      </c>
      <c r="R23" s="43"/>
      <c r="S23" s="43"/>
      <c r="T23" s="43"/>
      <c r="U23" s="43"/>
    </row>
    <row r="24" spans="1:21" s="11" customFormat="1" x14ac:dyDescent="0.25">
      <c r="A24" s="54" t="s">
        <v>483</v>
      </c>
      <c r="B24" s="55">
        <v>4.87</v>
      </c>
      <c r="C24" s="55">
        <v>32.090000000000003</v>
      </c>
      <c r="D24" s="55">
        <v>20.21</v>
      </c>
      <c r="E24" s="55">
        <v>15.03</v>
      </c>
      <c r="F24" s="55">
        <v>14.21</v>
      </c>
      <c r="G24" s="55">
        <v>56.31</v>
      </c>
      <c r="H24" s="55">
        <v>20.96</v>
      </c>
      <c r="I24" s="55">
        <v>3.04</v>
      </c>
      <c r="J24" s="55">
        <v>0.8</v>
      </c>
      <c r="K24" s="55">
        <v>346.65</v>
      </c>
      <c r="L24" s="55">
        <v>24.11</v>
      </c>
      <c r="M24" s="55">
        <v>32.090000000000003</v>
      </c>
      <c r="N24" s="55">
        <v>111.2</v>
      </c>
      <c r="O24" s="55">
        <v>0</v>
      </c>
      <c r="P24" s="55">
        <v>0.72</v>
      </c>
      <c r="Q24" s="55">
        <v>9.34</v>
      </c>
      <c r="R24" s="43"/>
      <c r="S24" s="43"/>
      <c r="T24" s="43"/>
      <c r="U24" s="43"/>
    </row>
    <row r="25" spans="1:21" s="11" customFormat="1" x14ac:dyDescent="0.25">
      <c r="A25" s="54" t="s">
        <v>484</v>
      </c>
      <c r="B25" s="55">
        <v>3.31</v>
      </c>
      <c r="C25" s="55">
        <v>29.54</v>
      </c>
      <c r="D25" s="55">
        <v>17.16</v>
      </c>
      <c r="E25" s="55">
        <v>18.47</v>
      </c>
      <c r="F25" s="55">
        <v>22.86</v>
      </c>
      <c r="G25" s="55">
        <v>56.27</v>
      </c>
      <c r="H25" s="55">
        <v>18.559999999999999</v>
      </c>
      <c r="I25" s="55">
        <v>2.96</v>
      </c>
      <c r="J25" s="55">
        <v>0.85</v>
      </c>
      <c r="K25" s="55">
        <v>123.18</v>
      </c>
      <c r="L25" s="55">
        <v>23.58</v>
      </c>
      <c r="M25" s="55">
        <v>35.75</v>
      </c>
      <c r="N25" s="55">
        <v>76.900000000000006</v>
      </c>
      <c r="O25" s="55">
        <v>0</v>
      </c>
      <c r="P25" s="55">
        <v>0.67</v>
      </c>
      <c r="Q25" s="55">
        <v>9.32</v>
      </c>
      <c r="R25" s="43"/>
      <c r="S25" s="43"/>
      <c r="T25" s="43"/>
      <c r="U25" s="43"/>
    </row>
    <row r="26" spans="1:21" s="11" customFormat="1" x14ac:dyDescent="0.25">
      <c r="A26" s="54" t="s">
        <v>485</v>
      </c>
      <c r="B26" s="55">
        <v>34.880000000000003</v>
      </c>
      <c r="C26" s="55">
        <v>38.76</v>
      </c>
      <c r="D26" s="55">
        <v>46.14</v>
      </c>
      <c r="E26" s="55">
        <v>16.53</v>
      </c>
      <c r="F26" s="55">
        <v>16.739999999999998</v>
      </c>
      <c r="G26" s="55">
        <v>56.01</v>
      </c>
      <c r="H26" s="55">
        <v>21.95</v>
      </c>
      <c r="I26" s="55">
        <v>3.22</v>
      </c>
      <c r="J26" s="55">
        <v>0.26</v>
      </c>
      <c r="K26" s="55">
        <v>358.67</v>
      </c>
      <c r="L26" s="55">
        <v>21.88</v>
      </c>
      <c r="M26" s="55">
        <v>59.88</v>
      </c>
      <c r="N26" s="55">
        <v>48.5</v>
      </c>
      <c r="O26" s="55">
        <v>0</v>
      </c>
      <c r="P26" s="55">
        <v>1.69</v>
      </c>
      <c r="Q26" s="55">
        <v>9.44</v>
      </c>
      <c r="R26" s="43"/>
      <c r="S26" s="43"/>
      <c r="T26" s="43"/>
      <c r="U26" s="43"/>
    </row>
    <row r="27" spans="1:21" s="11" customFormat="1" x14ac:dyDescent="0.25">
      <c r="A27" s="54" t="s">
        <v>486</v>
      </c>
      <c r="B27" s="55">
        <v>29.12</v>
      </c>
      <c r="C27" s="55">
        <v>32.29</v>
      </c>
      <c r="D27" s="55">
        <v>39.770000000000003</v>
      </c>
      <c r="E27" s="55">
        <v>8.23</v>
      </c>
      <c r="F27" s="55">
        <v>4.8</v>
      </c>
      <c r="G27" s="55">
        <v>126.08</v>
      </c>
      <c r="H27" s="55">
        <v>32.49</v>
      </c>
      <c r="I27" s="55">
        <v>3.86</v>
      </c>
      <c r="J27" s="55">
        <v>0.28000000000000003</v>
      </c>
      <c r="K27" s="55">
        <v>352.09</v>
      </c>
      <c r="L27" s="55">
        <v>19.2</v>
      </c>
      <c r="M27" s="55">
        <v>71.77</v>
      </c>
      <c r="N27" s="55">
        <v>44.7</v>
      </c>
      <c r="O27" s="55">
        <v>0</v>
      </c>
      <c r="P27" s="55">
        <v>1.66</v>
      </c>
      <c r="Q27" s="55">
        <v>9.64</v>
      </c>
      <c r="R27" s="43"/>
      <c r="S27" s="43"/>
      <c r="T27" s="43"/>
      <c r="U27" s="43"/>
    </row>
    <row r="28" spans="1:21" s="11" customFormat="1" x14ac:dyDescent="0.25">
      <c r="A28" s="54" t="s">
        <v>487</v>
      </c>
      <c r="B28" s="55">
        <v>29.89</v>
      </c>
      <c r="C28" s="55">
        <v>23.11</v>
      </c>
      <c r="D28" s="55">
        <v>34.840000000000003</v>
      </c>
      <c r="E28" s="55">
        <v>7.04</v>
      </c>
      <c r="F28" s="55">
        <v>3.73</v>
      </c>
      <c r="G28" s="55">
        <v>150.41999999999999</v>
      </c>
      <c r="H28" s="55">
        <v>40.9</v>
      </c>
      <c r="I28" s="55">
        <v>5.73</v>
      </c>
      <c r="J28" s="55">
        <v>0.25</v>
      </c>
      <c r="K28" s="55">
        <v>356.07</v>
      </c>
      <c r="L28" s="55">
        <v>19.09</v>
      </c>
      <c r="M28" s="55">
        <v>66.37</v>
      </c>
      <c r="N28" s="55">
        <v>44.6</v>
      </c>
      <c r="O28" s="55">
        <v>0</v>
      </c>
      <c r="P28" s="55">
        <v>1.65</v>
      </c>
      <c r="Q28" s="55">
        <v>9.67</v>
      </c>
      <c r="R28" s="43"/>
      <c r="S28" s="43"/>
      <c r="T28" s="43"/>
      <c r="U28" s="43"/>
    </row>
    <row r="29" spans="1:21" s="11" customFormat="1" x14ac:dyDescent="0.25">
      <c r="A29" s="54" t="s">
        <v>488</v>
      </c>
      <c r="B29" s="55">
        <v>33.119999999999997</v>
      </c>
      <c r="C29" s="55">
        <v>21.66</v>
      </c>
      <c r="D29" s="55">
        <v>35.17</v>
      </c>
      <c r="E29" s="55">
        <v>6.32</v>
      </c>
      <c r="F29" s="55">
        <v>3.55</v>
      </c>
      <c r="G29" s="55">
        <v>142.86000000000001</v>
      </c>
      <c r="H29" s="55">
        <v>43.15</v>
      </c>
      <c r="I29" s="55">
        <v>6.08</v>
      </c>
      <c r="J29" s="55">
        <v>0.19</v>
      </c>
      <c r="K29" s="55">
        <v>332.15</v>
      </c>
      <c r="L29" s="55">
        <v>18.82</v>
      </c>
      <c r="M29" s="55">
        <v>65.97</v>
      </c>
      <c r="N29" s="55">
        <v>44.9</v>
      </c>
      <c r="O29" s="55">
        <v>0</v>
      </c>
      <c r="P29" s="55">
        <v>1.84</v>
      </c>
      <c r="Q29" s="55">
        <v>9.67</v>
      </c>
      <c r="R29" s="43"/>
      <c r="S29" s="43"/>
      <c r="T29" s="43"/>
      <c r="U29" s="43"/>
    </row>
    <row r="30" spans="1:21" s="11" customFormat="1" x14ac:dyDescent="0.25">
      <c r="A30" s="54" t="s">
        <v>489</v>
      </c>
      <c r="B30" s="55">
        <v>51.59</v>
      </c>
      <c r="C30" s="55">
        <v>15.93</v>
      </c>
      <c r="D30" s="55">
        <v>46.98</v>
      </c>
      <c r="E30" s="55">
        <v>6.07</v>
      </c>
      <c r="F30" s="55">
        <v>3.33</v>
      </c>
      <c r="G30" s="55">
        <v>126.71</v>
      </c>
      <c r="H30" s="55">
        <v>49.23</v>
      </c>
      <c r="I30" s="55">
        <v>6.61</v>
      </c>
      <c r="J30" s="55">
        <v>0.24</v>
      </c>
      <c r="K30" s="55">
        <v>340.74</v>
      </c>
      <c r="L30" s="55">
        <v>17.48</v>
      </c>
      <c r="M30" s="55">
        <v>76.66</v>
      </c>
      <c r="N30" s="55">
        <v>44.7</v>
      </c>
      <c r="O30" s="55">
        <v>0</v>
      </c>
      <c r="P30" s="55">
        <v>2.2000000000000002</v>
      </c>
      <c r="Q30" s="55">
        <v>9.7100000000000009</v>
      </c>
      <c r="R30" s="43"/>
      <c r="S30" s="43"/>
      <c r="T30" s="43"/>
      <c r="U30" s="43"/>
    </row>
    <row r="31" spans="1:21" s="11" customFormat="1" x14ac:dyDescent="0.25">
      <c r="A31" s="54" t="s">
        <v>490</v>
      </c>
      <c r="B31" s="55">
        <v>53.34</v>
      </c>
      <c r="C31" s="55">
        <v>16.14</v>
      </c>
      <c r="D31" s="55">
        <v>47.49</v>
      </c>
      <c r="E31" s="55">
        <v>6.3</v>
      </c>
      <c r="F31" s="55">
        <v>3.95</v>
      </c>
      <c r="G31" s="55">
        <v>117.37</v>
      </c>
      <c r="H31" s="55">
        <v>49.18</v>
      </c>
      <c r="I31" s="55">
        <v>6.79</v>
      </c>
      <c r="J31" s="55">
        <v>0.23</v>
      </c>
      <c r="K31" s="55">
        <v>326</v>
      </c>
      <c r="L31" s="55">
        <v>16.87</v>
      </c>
      <c r="M31" s="55">
        <v>76.319999999999993</v>
      </c>
      <c r="N31" s="55">
        <v>44.4</v>
      </c>
      <c r="O31" s="55">
        <v>0</v>
      </c>
      <c r="P31" s="55">
        <v>2.2599999999999998</v>
      </c>
      <c r="Q31" s="55">
        <v>9.7200000000000006</v>
      </c>
      <c r="R31" s="43"/>
      <c r="S31" s="43"/>
      <c r="T31" s="43"/>
      <c r="U31" s="43"/>
    </row>
    <row r="32" spans="1:21" s="11" customFormat="1" x14ac:dyDescent="0.25">
      <c r="A32" s="54" t="s">
        <v>491</v>
      </c>
      <c r="B32" s="55">
        <v>52.55</v>
      </c>
      <c r="C32" s="55">
        <v>7.93</v>
      </c>
      <c r="D32" s="55">
        <v>45.64</v>
      </c>
      <c r="E32" s="55">
        <v>6.12</v>
      </c>
      <c r="F32" s="55">
        <v>3.64</v>
      </c>
      <c r="G32" s="55">
        <v>97.51</v>
      </c>
      <c r="H32" s="55">
        <v>43.5</v>
      </c>
      <c r="I32" s="55">
        <v>6.79</v>
      </c>
      <c r="J32" s="55">
        <v>0.24</v>
      </c>
      <c r="K32" s="55">
        <v>307.55</v>
      </c>
      <c r="L32" s="55">
        <v>16.690000000000001</v>
      </c>
      <c r="M32" s="55">
        <v>78.23</v>
      </c>
      <c r="N32" s="55">
        <v>44.7</v>
      </c>
      <c r="O32" s="55">
        <v>0</v>
      </c>
      <c r="P32" s="55">
        <v>2.23</v>
      </c>
      <c r="Q32" s="55">
        <v>9.7200000000000006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3.31</v>
      </c>
      <c r="C34" s="28">
        <f t="shared" si="0"/>
        <v>7.93</v>
      </c>
      <c r="D34" s="28">
        <f t="shared" si="0"/>
        <v>16.940000000000001</v>
      </c>
      <c r="E34" s="28">
        <f t="shared" si="0"/>
        <v>5.0999999999999996</v>
      </c>
      <c r="F34" s="28">
        <f t="shared" si="0"/>
        <v>3.13</v>
      </c>
      <c r="G34" s="28">
        <f t="shared" si="0"/>
        <v>31.83</v>
      </c>
      <c r="H34" s="28">
        <f t="shared" si="0"/>
        <v>18.559999999999999</v>
      </c>
      <c r="I34" s="28">
        <f t="shared" si="0"/>
        <v>2.96</v>
      </c>
      <c r="J34" s="28">
        <f t="shared" si="0"/>
        <v>0.17</v>
      </c>
      <c r="K34" s="28">
        <f t="shared" si="0"/>
        <v>92.48</v>
      </c>
      <c r="L34" s="28">
        <f t="shared" si="0"/>
        <v>13.95</v>
      </c>
      <c r="M34" s="28">
        <f t="shared" si="0"/>
        <v>29.46</v>
      </c>
      <c r="N34" s="28">
        <f t="shared" si="0"/>
        <v>42.3</v>
      </c>
      <c r="O34" s="28">
        <f t="shared" si="0"/>
        <v>0</v>
      </c>
      <c r="P34" s="28">
        <f t="shared" si="0"/>
        <v>0.67</v>
      </c>
      <c r="Q34" s="28">
        <f t="shared" si="0"/>
        <v>9.32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53.34</v>
      </c>
      <c r="C35" s="29">
        <f t="shared" si="1"/>
        <v>38.76</v>
      </c>
      <c r="D35" s="29">
        <f t="shared" si="1"/>
        <v>47.49</v>
      </c>
      <c r="E35" s="29">
        <f t="shared" si="1"/>
        <v>18.47</v>
      </c>
      <c r="F35" s="29">
        <f t="shared" si="1"/>
        <v>22.86</v>
      </c>
      <c r="G35" s="29">
        <f t="shared" si="1"/>
        <v>150.41999999999999</v>
      </c>
      <c r="H35" s="29">
        <f t="shared" si="1"/>
        <v>49.23</v>
      </c>
      <c r="I35" s="29">
        <f t="shared" si="1"/>
        <v>6.79</v>
      </c>
      <c r="J35" s="29">
        <f t="shared" si="1"/>
        <v>1.28</v>
      </c>
      <c r="K35" s="29">
        <f t="shared" si="1"/>
        <v>359.7</v>
      </c>
      <c r="L35" s="29">
        <f t="shared" si="1"/>
        <v>28.48</v>
      </c>
      <c r="M35" s="29">
        <f t="shared" si="1"/>
        <v>90.38</v>
      </c>
      <c r="N35" s="29">
        <f t="shared" si="1"/>
        <v>684.6</v>
      </c>
      <c r="O35" s="29">
        <f t="shared" si="1"/>
        <v>0</v>
      </c>
      <c r="P35" s="29">
        <f t="shared" si="1"/>
        <v>2.2599999999999998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19.174583333333334</v>
      </c>
      <c r="C36" s="28">
        <f t="shared" si="2"/>
        <v>24.279583333333331</v>
      </c>
      <c r="D36" s="28">
        <f t="shared" si="2"/>
        <v>26.927083333333332</v>
      </c>
      <c r="E36" s="28">
        <f t="shared" si="2"/>
        <v>8.3641666666666659</v>
      </c>
      <c r="F36" s="28">
        <f t="shared" si="2"/>
        <v>7.3187500000000014</v>
      </c>
      <c r="G36" s="28">
        <f t="shared" si="2"/>
        <v>88.326521739130413</v>
      </c>
      <c r="H36" s="28">
        <f t="shared" si="2"/>
        <v>35.266956521739132</v>
      </c>
      <c r="I36" s="28">
        <f t="shared" si="2"/>
        <v>4.4104166666666673</v>
      </c>
      <c r="J36" s="28">
        <f t="shared" si="2"/>
        <v>0.50958333333333339</v>
      </c>
      <c r="K36" s="28">
        <f t="shared" si="2"/>
        <v>302.0645833333333</v>
      </c>
      <c r="L36" s="28">
        <f t="shared" si="2"/>
        <v>20.428333333333331</v>
      </c>
      <c r="M36" s="28">
        <f t="shared" si="2"/>
        <v>62.487916666666678</v>
      </c>
      <c r="N36" s="28">
        <f t="shared" si="2"/>
        <v>204.47499999999994</v>
      </c>
      <c r="O36" s="28">
        <f t="shared" si="2"/>
        <v>0</v>
      </c>
      <c r="P36" s="28">
        <f t="shared" si="2"/>
        <v>1.2875000000000001</v>
      </c>
      <c r="Q36" s="28">
        <f t="shared" si="2"/>
        <v>9.5583333333333336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15.851993696903453</v>
      </c>
      <c r="C37" s="28">
        <f t="shared" ref="C37:Q37" si="3">STDEV(C9:C32)</f>
        <v>6.7002611754200041</v>
      </c>
      <c r="D37" s="28">
        <f t="shared" si="3"/>
        <v>10.753518121654588</v>
      </c>
      <c r="E37" s="28">
        <f t="shared" si="3"/>
        <v>4.2976089577372196</v>
      </c>
      <c r="F37" s="28">
        <f t="shared" si="3"/>
        <v>6.4100771971882695</v>
      </c>
      <c r="G37" s="28">
        <f t="shared" si="3"/>
        <v>31.769812802936062</v>
      </c>
      <c r="H37" s="28">
        <f t="shared" si="3"/>
        <v>8.8114395866358208</v>
      </c>
      <c r="I37" s="28">
        <f t="shared" si="3"/>
        <v>1.1864835848428079</v>
      </c>
      <c r="J37" s="28">
        <f t="shared" si="3"/>
        <v>0.34773152020621828</v>
      </c>
      <c r="K37" s="28">
        <f t="shared" si="3"/>
        <v>86.226412173652349</v>
      </c>
      <c r="L37" s="28">
        <f t="shared" si="3"/>
        <v>5.1378092664063519</v>
      </c>
      <c r="M37" s="28">
        <f t="shared" si="3"/>
        <v>23.397114087958101</v>
      </c>
      <c r="N37" s="28">
        <f t="shared" si="3"/>
        <v>244.32588937194373</v>
      </c>
      <c r="O37" s="28">
        <f t="shared" si="3"/>
        <v>0</v>
      </c>
      <c r="P37" s="28">
        <f t="shared" si="3"/>
        <v>0.48655175335790535</v>
      </c>
      <c r="Q37" s="28">
        <f t="shared" si="3"/>
        <v>0.12568652055521065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8" sqref="F1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492</v>
      </c>
      <c r="B9" s="55">
        <v>48.93</v>
      </c>
      <c r="C9" s="55">
        <v>9.7799999999999994</v>
      </c>
      <c r="D9" s="55">
        <v>43.11</v>
      </c>
      <c r="E9" s="55">
        <v>5.42</v>
      </c>
      <c r="F9" s="55">
        <v>3.33</v>
      </c>
      <c r="G9" s="55">
        <v>83.41</v>
      </c>
      <c r="H9" s="55">
        <v>36.65</v>
      </c>
      <c r="I9" s="55">
        <v>6.18</v>
      </c>
      <c r="J9" s="55">
        <v>0.25</v>
      </c>
      <c r="K9" s="55">
        <v>319.61</v>
      </c>
      <c r="L9" s="55">
        <v>15.84</v>
      </c>
      <c r="M9" s="55">
        <v>80.739999999999995</v>
      </c>
      <c r="N9" s="55">
        <v>44.7</v>
      </c>
      <c r="O9" s="55">
        <v>0</v>
      </c>
      <c r="P9" s="55">
        <v>2.0099999999999998</v>
      </c>
      <c r="Q9" s="55">
        <v>9.6999999999999993</v>
      </c>
      <c r="R9" s="43"/>
      <c r="S9" s="43"/>
      <c r="T9" s="43"/>
      <c r="U9" s="43"/>
    </row>
    <row r="10" spans="1:21" s="11" customFormat="1" x14ac:dyDescent="0.25">
      <c r="A10" s="54" t="s">
        <v>493</v>
      </c>
      <c r="B10" s="55">
        <v>42.19</v>
      </c>
      <c r="C10" s="55">
        <v>11.69</v>
      </c>
      <c r="D10" s="55">
        <v>38.799999999999997</v>
      </c>
      <c r="E10" s="55">
        <v>5.0999999999999996</v>
      </c>
      <c r="F10" s="55">
        <v>3.31</v>
      </c>
      <c r="G10" s="55">
        <v>78.040000000000006</v>
      </c>
      <c r="H10" s="55">
        <v>36.57</v>
      </c>
      <c r="I10" s="55">
        <v>5.99</v>
      </c>
      <c r="J10" s="55">
        <v>0.21</v>
      </c>
      <c r="K10" s="55">
        <v>322.93</v>
      </c>
      <c r="L10" s="55">
        <v>15.25</v>
      </c>
      <c r="M10" s="55">
        <v>93.5</v>
      </c>
      <c r="N10" s="55">
        <v>44.7</v>
      </c>
      <c r="O10" s="55">
        <v>0</v>
      </c>
      <c r="P10" s="55">
        <v>1.77</v>
      </c>
      <c r="Q10" s="55">
        <v>9.69</v>
      </c>
      <c r="R10" s="43"/>
      <c r="S10" s="43"/>
      <c r="T10" s="43"/>
      <c r="U10" s="43"/>
    </row>
    <row r="11" spans="1:21" s="11" customFormat="1" x14ac:dyDescent="0.25">
      <c r="A11" s="54" t="s">
        <v>494</v>
      </c>
      <c r="B11" s="55">
        <v>36.049999999999997</v>
      </c>
      <c r="C11" s="55">
        <v>12.07</v>
      </c>
      <c r="D11" s="55">
        <v>34.75</v>
      </c>
      <c r="E11" s="55">
        <v>5.33</v>
      </c>
      <c r="F11" s="55">
        <v>3.11</v>
      </c>
      <c r="G11" s="55">
        <v>89.53</v>
      </c>
      <c r="H11" s="55">
        <v>33.85</v>
      </c>
      <c r="I11" s="55">
        <v>5.64</v>
      </c>
      <c r="J11" s="55">
        <v>0.15</v>
      </c>
      <c r="K11" s="55">
        <v>314.05</v>
      </c>
      <c r="L11" s="55">
        <v>14.64</v>
      </c>
      <c r="M11" s="55">
        <v>96.56</v>
      </c>
      <c r="N11" s="55">
        <v>44.5</v>
      </c>
      <c r="O11" s="55">
        <v>0</v>
      </c>
      <c r="P11" s="55">
        <v>1.7</v>
      </c>
      <c r="Q11" s="55">
        <v>9.68</v>
      </c>
      <c r="R11" s="43"/>
      <c r="S11" s="43"/>
      <c r="T11" s="43"/>
      <c r="U11" s="43"/>
    </row>
    <row r="12" spans="1:21" s="11" customFormat="1" x14ac:dyDescent="0.25">
      <c r="A12" s="54" t="s">
        <v>495</v>
      </c>
      <c r="B12" s="55">
        <v>34.08</v>
      </c>
      <c r="C12" s="55">
        <v>11.66</v>
      </c>
      <c r="D12" s="55">
        <v>32.049999999999997</v>
      </c>
      <c r="E12" s="55">
        <v>5.4</v>
      </c>
      <c r="F12" s="55">
        <v>3.29</v>
      </c>
      <c r="G12" s="55">
        <v>106.05</v>
      </c>
      <c r="H12" s="55">
        <v>38.67</v>
      </c>
      <c r="I12" s="55">
        <v>5.74</v>
      </c>
      <c r="J12" s="55">
        <v>0.14000000000000001</v>
      </c>
      <c r="K12" s="55">
        <v>306.95999999999998</v>
      </c>
      <c r="L12" s="55">
        <v>13.93</v>
      </c>
      <c r="M12" s="55">
        <v>96.62</v>
      </c>
      <c r="N12" s="55">
        <v>44.4</v>
      </c>
      <c r="O12" s="55">
        <v>0</v>
      </c>
      <c r="P12" s="55">
        <v>1.64</v>
      </c>
      <c r="Q12" s="55">
        <v>9.68</v>
      </c>
      <c r="R12" s="43"/>
      <c r="S12" s="43"/>
      <c r="T12" s="43"/>
      <c r="U12" s="43"/>
    </row>
    <row r="13" spans="1:21" s="11" customFormat="1" x14ac:dyDescent="0.25">
      <c r="A13" s="54" t="s">
        <v>496</v>
      </c>
      <c r="B13" s="55">
        <v>36.36</v>
      </c>
      <c r="C13" s="55">
        <v>8.59</v>
      </c>
      <c r="D13" s="55">
        <v>32.700000000000003</v>
      </c>
      <c r="E13" s="55">
        <v>5.22</v>
      </c>
      <c r="F13" s="55">
        <v>3.5</v>
      </c>
      <c r="G13" s="55">
        <v>99.56</v>
      </c>
      <c r="H13" s="55">
        <v>40.08</v>
      </c>
      <c r="I13" s="55">
        <v>5.51</v>
      </c>
      <c r="J13" s="55">
        <v>0.31</v>
      </c>
      <c r="K13" s="55">
        <v>228.99</v>
      </c>
      <c r="L13" s="55">
        <v>13.89</v>
      </c>
      <c r="M13" s="55">
        <v>96.63</v>
      </c>
      <c r="N13" s="55">
        <v>44.3</v>
      </c>
      <c r="O13" s="55">
        <v>0</v>
      </c>
      <c r="P13" s="55">
        <v>1.49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497</v>
      </c>
      <c r="B14" s="55">
        <v>38.93</v>
      </c>
      <c r="C14" s="55">
        <v>7.18</v>
      </c>
      <c r="D14" s="55">
        <v>33.700000000000003</v>
      </c>
      <c r="E14" s="55">
        <v>4.9400000000000004</v>
      </c>
      <c r="F14" s="55">
        <v>3.42</v>
      </c>
      <c r="G14" s="55">
        <v>96.92</v>
      </c>
      <c r="H14" s="55">
        <v>38.96</v>
      </c>
      <c r="I14" s="55">
        <v>5.33</v>
      </c>
      <c r="J14" s="55">
        <v>0.16</v>
      </c>
      <c r="K14" s="55">
        <v>297.56</v>
      </c>
      <c r="L14" s="55">
        <v>13.22</v>
      </c>
      <c r="M14" s="55">
        <v>96.68</v>
      </c>
      <c r="N14" s="55">
        <v>44.7</v>
      </c>
      <c r="O14" s="55">
        <v>0</v>
      </c>
      <c r="P14" s="55">
        <v>1.39</v>
      </c>
      <c r="Q14" s="55">
        <v>9.68</v>
      </c>
      <c r="R14" s="43"/>
      <c r="S14" s="43"/>
      <c r="T14" s="43"/>
      <c r="U14" s="43"/>
    </row>
    <row r="15" spans="1:21" s="11" customFormat="1" x14ac:dyDescent="0.25">
      <c r="A15" s="54" t="s">
        <v>498</v>
      </c>
      <c r="B15" s="55">
        <v>46.71</v>
      </c>
      <c r="C15" s="55">
        <v>4.09</v>
      </c>
      <c r="D15" s="55">
        <v>38.520000000000003</v>
      </c>
      <c r="E15" s="55">
        <v>5.17</v>
      </c>
      <c r="F15" s="55">
        <v>3.29</v>
      </c>
      <c r="G15" s="55">
        <v>95.33</v>
      </c>
      <c r="H15" s="55">
        <v>39.770000000000003</v>
      </c>
      <c r="I15" s="55">
        <v>5.82</v>
      </c>
      <c r="J15" s="55">
        <v>0.19</v>
      </c>
      <c r="K15" s="55">
        <v>330.88</v>
      </c>
      <c r="L15" s="55">
        <v>14.2</v>
      </c>
      <c r="M15" s="55">
        <v>96.68</v>
      </c>
      <c r="N15" s="55">
        <v>84.7</v>
      </c>
      <c r="O15" s="55">
        <v>0</v>
      </c>
      <c r="P15" s="55">
        <v>1.49</v>
      </c>
      <c r="Q15" s="55">
        <v>9.6999999999999993</v>
      </c>
      <c r="R15" s="43"/>
      <c r="S15" s="43"/>
      <c r="T15" s="43"/>
      <c r="U15" s="43"/>
    </row>
    <row r="16" spans="1:21" s="11" customFormat="1" x14ac:dyDescent="0.25">
      <c r="A16" s="54" t="s">
        <v>499</v>
      </c>
      <c r="B16" s="55">
        <v>45.94</v>
      </c>
      <c r="C16" s="55">
        <v>6.08</v>
      </c>
      <c r="D16" s="55">
        <v>38.200000000000003</v>
      </c>
      <c r="E16" s="55">
        <v>5.7</v>
      </c>
      <c r="F16" s="55">
        <v>3.44</v>
      </c>
      <c r="G16" s="55">
        <v>109.2</v>
      </c>
      <c r="H16" s="55">
        <v>42.5</v>
      </c>
      <c r="I16" s="55">
        <v>5.92</v>
      </c>
      <c r="J16" s="55">
        <v>0.5</v>
      </c>
      <c r="K16" s="55">
        <v>139.28</v>
      </c>
      <c r="L16" s="55">
        <v>20.16</v>
      </c>
      <c r="M16" s="55">
        <v>93.13</v>
      </c>
      <c r="N16" s="55">
        <v>293.60000000000002</v>
      </c>
      <c r="O16" s="55">
        <v>0</v>
      </c>
      <c r="P16" s="55">
        <v>1.38</v>
      </c>
      <c r="Q16" s="55">
        <v>9.6999999999999993</v>
      </c>
      <c r="R16" s="43"/>
      <c r="S16" s="43"/>
      <c r="T16" s="43"/>
      <c r="U16" s="43"/>
    </row>
    <row r="17" spans="1:21" s="11" customFormat="1" x14ac:dyDescent="0.25">
      <c r="A17" s="54" t="s">
        <v>500</v>
      </c>
      <c r="B17" s="55">
        <v>42.2</v>
      </c>
      <c r="C17" s="55">
        <v>10.68</v>
      </c>
      <c r="D17" s="55">
        <v>36.880000000000003</v>
      </c>
      <c r="E17" s="55">
        <v>4.6100000000000003</v>
      </c>
      <c r="F17" s="55">
        <v>3.38</v>
      </c>
      <c r="G17" s="55">
        <v>103.49</v>
      </c>
      <c r="H17" s="55">
        <v>47.91</v>
      </c>
      <c r="I17" s="55">
        <v>5.54</v>
      </c>
      <c r="J17" s="55">
        <v>0.55000000000000004</v>
      </c>
      <c r="K17" s="55">
        <v>344.71</v>
      </c>
      <c r="L17" s="55">
        <v>25.44</v>
      </c>
      <c r="M17" s="55">
        <v>53.85</v>
      </c>
      <c r="N17" s="55">
        <v>444.9</v>
      </c>
      <c r="O17" s="55">
        <v>0</v>
      </c>
      <c r="P17" s="55">
        <v>1.34</v>
      </c>
      <c r="Q17" s="55">
        <v>9.69</v>
      </c>
      <c r="R17" s="43"/>
      <c r="S17" s="43"/>
      <c r="T17" s="43"/>
      <c r="U17" s="43"/>
    </row>
    <row r="18" spans="1:21" s="11" customFormat="1" x14ac:dyDescent="0.25">
      <c r="A18" s="54" t="s">
        <v>501</v>
      </c>
      <c r="B18" s="55">
        <v>35.630000000000003</v>
      </c>
      <c r="C18" s="55">
        <v>39.909999999999997</v>
      </c>
      <c r="D18" s="55">
        <v>34.4</v>
      </c>
      <c r="E18" s="55">
        <v>5.01</v>
      </c>
      <c r="F18" s="55">
        <v>6.8</v>
      </c>
      <c r="G18" s="55">
        <v>88.63</v>
      </c>
      <c r="H18" s="55">
        <v>40.67</v>
      </c>
      <c r="I18" s="55">
        <v>4.99</v>
      </c>
      <c r="J18" s="55">
        <v>0.49</v>
      </c>
      <c r="K18" s="55">
        <v>342.1</v>
      </c>
      <c r="L18" s="55">
        <v>27.3</v>
      </c>
      <c r="M18" s="55">
        <v>41.35</v>
      </c>
      <c r="N18" s="55">
        <v>572.29999999999995</v>
      </c>
      <c r="O18" s="55">
        <v>0</v>
      </c>
      <c r="P18" s="55">
        <v>1.22</v>
      </c>
      <c r="Q18" s="55">
        <v>9.67</v>
      </c>
      <c r="R18" s="43"/>
      <c r="S18" s="43"/>
      <c r="T18" s="43"/>
      <c r="U18" s="43"/>
    </row>
    <row r="19" spans="1:21" s="11" customFormat="1" x14ac:dyDescent="0.25">
      <c r="A19" s="54" t="s">
        <v>502</v>
      </c>
      <c r="B19" s="55">
        <v>5.0599999999999996</v>
      </c>
      <c r="C19" s="55">
        <v>42.32</v>
      </c>
      <c r="D19" s="55">
        <v>25.67</v>
      </c>
      <c r="E19" s="55">
        <v>5.48</v>
      </c>
      <c r="F19" s="55">
        <v>7.13</v>
      </c>
      <c r="G19" s="55">
        <v>66.05</v>
      </c>
      <c r="H19" s="55">
        <v>37.74</v>
      </c>
      <c r="I19" s="55">
        <v>4.66</v>
      </c>
      <c r="J19" s="55">
        <v>0.81</v>
      </c>
      <c r="K19" s="55">
        <v>342.89</v>
      </c>
      <c r="L19" s="55">
        <v>29.03</v>
      </c>
      <c r="M19" s="55">
        <v>34.9</v>
      </c>
      <c r="N19" s="55">
        <v>644</v>
      </c>
      <c r="O19" s="55">
        <v>0</v>
      </c>
      <c r="P19" s="55">
        <v>1.06</v>
      </c>
      <c r="Q19" s="55">
        <v>9.49</v>
      </c>
      <c r="R19" s="43"/>
      <c r="S19" s="43"/>
      <c r="T19" s="43"/>
      <c r="U19" s="43"/>
    </row>
    <row r="20" spans="1:21" s="11" customFormat="1" x14ac:dyDescent="0.25">
      <c r="A20" s="54" t="s">
        <v>503</v>
      </c>
      <c r="B20" s="55">
        <v>4.62</v>
      </c>
      <c r="C20" s="55">
        <v>34.33</v>
      </c>
      <c r="D20" s="55">
        <v>21.1</v>
      </c>
      <c r="E20" s="55">
        <v>8.36</v>
      </c>
      <c r="F20" s="55">
        <v>9.0299999999999994</v>
      </c>
      <c r="G20" s="55">
        <v>79.180000000000007</v>
      </c>
      <c r="H20" s="55">
        <v>35.99</v>
      </c>
      <c r="I20" s="55">
        <v>4.17</v>
      </c>
      <c r="J20" s="55">
        <v>0.56999999999999995</v>
      </c>
      <c r="K20" s="55">
        <v>119.54</v>
      </c>
      <c r="L20" s="55">
        <v>26.46</v>
      </c>
      <c r="M20" s="55">
        <v>37.54</v>
      </c>
      <c r="N20" s="55">
        <v>653.1</v>
      </c>
      <c r="O20" s="55">
        <v>0</v>
      </c>
      <c r="P20" s="55">
        <v>0.97</v>
      </c>
      <c r="Q20" s="55">
        <v>9.4700000000000006</v>
      </c>
      <c r="R20" s="43"/>
      <c r="S20" s="43"/>
      <c r="T20" s="43"/>
      <c r="U20" s="43"/>
    </row>
    <row r="21" spans="1:21" s="11" customFormat="1" x14ac:dyDescent="0.25">
      <c r="A21" s="54" t="s">
        <v>504</v>
      </c>
      <c r="B21" s="55">
        <v>4.6500000000000004</v>
      </c>
      <c r="C21" s="55">
        <v>31.64</v>
      </c>
      <c r="D21" s="55">
        <v>19.8</v>
      </c>
      <c r="E21" s="55">
        <v>7.35</v>
      </c>
      <c r="F21" s="55">
        <v>7.59</v>
      </c>
      <c r="G21" s="55">
        <v>59.24</v>
      </c>
      <c r="H21" s="55">
        <v>31.64</v>
      </c>
      <c r="I21" s="55">
        <v>3.61</v>
      </c>
      <c r="J21" s="55">
        <v>0.95</v>
      </c>
      <c r="K21" s="55">
        <v>343.75</v>
      </c>
      <c r="L21" s="55">
        <v>27.97</v>
      </c>
      <c r="M21" s="55">
        <v>36.159999999999997</v>
      </c>
      <c r="N21" s="55">
        <v>607.4</v>
      </c>
      <c r="O21" s="55">
        <v>0</v>
      </c>
      <c r="P21" s="55">
        <v>0.88</v>
      </c>
      <c r="Q21" s="55">
        <v>9.4499999999999993</v>
      </c>
      <c r="R21" s="43"/>
      <c r="S21" s="43"/>
      <c r="T21" s="43"/>
      <c r="U21" s="43"/>
    </row>
    <row r="22" spans="1:21" s="11" customFormat="1" x14ac:dyDescent="0.25">
      <c r="A22" s="54" t="s">
        <v>505</v>
      </c>
      <c r="B22" s="55">
        <v>3.93</v>
      </c>
      <c r="C22" s="55">
        <v>29.39</v>
      </c>
      <c r="D22" s="55">
        <v>17.41</v>
      </c>
      <c r="E22" s="55">
        <v>6.25</v>
      </c>
      <c r="F22" s="55">
        <v>15.44</v>
      </c>
      <c r="G22" s="55">
        <v>52.18</v>
      </c>
      <c r="H22" s="55">
        <v>26.5</v>
      </c>
      <c r="I22" s="55">
        <v>3.73</v>
      </c>
      <c r="J22" s="55">
        <v>0.8</v>
      </c>
      <c r="K22" s="55">
        <v>122.24</v>
      </c>
      <c r="L22" s="55">
        <v>26.99</v>
      </c>
      <c r="M22" s="55">
        <v>38.24</v>
      </c>
      <c r="N22" s="55">
        <v>521.9</v>
      </c>
      <c r="O22" s="55">
        <v>0</v>
      </c>
      <c r="P22" s="55">
        <v>0.83</v>
      </c>
      <c r="Q22" s="55">
        <v>9.3800000000000008</v>
      </c>
      <c r="R22" s="43"/>
      <c r="S22" s="43"/>
      <c r="T22" s="43"/>
      <c r="U22" s="43"/>
    </row>
    <row r="23" spans="1:21" s="11" customFormat="1" x14ac:dyDescent="0.25">
      <c r="A23" s="54" t="s">
        <v>506</v>
      </c>
      <c r="B23" s="55">
        <v>4.1399999999999997</v>
      </c>
      <c r="C23" s="55">
        <v>29.06</v>
      </c>
      <c r="D23" s="55">
        <v>18.05</v>
      </c>
      <c r="E23" s="55">
        <v>8.48</v>
      </c>
      <c r="F23" s="55">
        <v>13</v>
      </c>
      <c r="G23" s="55">
        <v>46.73</v>
      </c>
      <c r="H23" s="55">
        <v>20.18</v>
      </c>
      <c r="I23" s="55">
        <v>3.27</v>
      </c>
      <c r="J23" s="55">
        <v>0.7</v>
      </c>
      <c r="K23" s="55">
        <v>125.79</v>
      </c>
      <c r="L23" s="55">
        <v>24.93</v>
      </c>
      <c r="M23" s="55">
        <v>40.22</v>
      </c>
      <c r="N23" s="55">
        <v>156.30000000000001</v>
      </c>
      <c r="O23" s="55">
        <v>0</v>
      </c>
      <c r="P23" s="55">
        <v>0.72</v>
      </c>
      <c r="Q23" s="55">
        <v>9.32</v>
      </c>
      <c r="R23" s="43"/>
      <c r="S23" s="43"/>
      <c r="T23" s="43"/>
      <c r="U23" s="43"/>
    </row>
    <row r="24" spans="1:21" s="11" customFormat="1" x14ac:dyDescent="0.25">
      <c r="A24" s="54" t="s">
        <v>507</v>
      </c>
      <c r="B24" s="55">
        <v>3.19</v>
      </c>
      <c r="C24" s="55">
        <v>25.13</v>
      </c>
      <c r="D24" s="55">
        <v>15.23</v>
      </c>
      <c r="E24" s="55">
        <v>12.76</v>
      </c>
      <c r="F24" s="55">
        <v>25.08</v>
      </c>
      <c r="G24" s="55">
        <v>49.23</v>
      </c>
      <c r="H24" s="55">
        <v>21.13</v>
      </c>
      <c r="I24" s="55">
        <v>3.24</v>
      </c>
      <c r="J24" s="55">
        <v>1.01</v>
      </c>
      <c r="K24" s="55">
        <v>122.02</v>
      </c>
      <c r="L24" s="55">
        <v>24.42</v>
      </c>
      <c r="M24" s="55">
        <v>38.479999999999997</v>
      </c>
      <c r="N24" s="55">
        <v>112.2</v>
      </c>
      <c r="O24" s="55">
        <v>0</v>
      </c>
      <c r="P24" s="55">
        <v>0.67</v>
      </c>
      <c r="Q24" s="55">
        <v>9.32</v>
      </c>
      <c r="R24" s="43"/>
      <c r="S24" s="43"/>
      <c r="T24" s="43"/>
      <c r="U24" s="43"/>
    </row>
    <row r="25" spans="1:21" s="11" customFormat="1" x14ac:dyDescent="0.25">
      <c r="A25" s="54" t="s">
        <v>508</v>
      </c>
      <c r="B25" s="55">
        <v>2.44</v>
      </c>
      <c r="C25" s="55">
        <v>31.01</v>
      </c>
      <c r="D25" s="55">
        <v>17.54</v>
      </c>
      <c r="E25" s="55">
        <v>16.98</v>
      </c>
      <c r="F25" s="55">
        <v>28.94</v>
      </c>
      <c r="G25" s="55">
        <v>43.29</v>
      </c>
      <c r="H25" s="55">
        <v>21.02</v>
      </c>
      <c r="I25" s="55">
        <v>3.12</v>
      </c>
      <c r="J25" s="55">
        <v>0.78</v>
      </c>
      <c r="K25" s="55">
        <v>119.18</v>
      </c>
      <c r="L25" s="55">
        <v>23.89</v>
      </c>
      <c r="M25" s="55">
        <v>44.68</v>
      </c>
      <c r="N25" s="55">
        <v>78.099999999999994</v>
      </c>
      <c r="O25" s="55">
        <v>0</v>
      </c>
      <c r="P25" s="55">
        <v>0.69</v>
      </c>
      <c r="Q25" s="55">
        <v>9.3000000000000007</v>
      </c>
      <c r="R25" s="43"/>
      <c r="S25" s="43"/>
      <c r="T25" s="43"/>
      <c r="U25" s="43"/>
    </row>
    <row r="26" spans="1:21" s="11" customFormat="1" x14ac:dyDescent="0.25">
      <c r="A26" s="54" t="s">
        <v>509</v>
      </c>
      <c r="B26" s="55">
        <v>7.71</v>
      </c>
      <c r="C26" s="55">
        <v>39.409999999999997</v>
      </c>
      <c r="D26" s="55">
        <v>26.03</v>
      </c>
      <c r="E26" s="55">
        <v>9.77</v>
      </c>
      <c r="F26" s="55">
        <v>10.62</v>
      </c>
      <c r="G26" s="55">
        <v>33.619999999999997</v>
      </c>
      <c r="H26" s="55">
        <v>17.54</v>
      </c>
      <c r="I26" s="55">
        <v>2.94</v>
      </c>
      <c r="J26" s="55">
        <v>0.21</v>
      </c>
      <c r="K26" s="55">
        <v>69.52</v>
      </c>
      <c r="L26" s="55">
        <v>22.44</v>
      </c>
      <c r="M26" s="55">
        <v>57.55</v>
      </c>
      <c r="N26" s="55">
        <v>46.7</v>
      </c>
      <c r="O26" s="55">
        <v>0</v>
      </c>
      <c r="P26" s="55">
        <v>1.0900000000000001</v>
      </c>
      <c r="Q26" s="55">
        <v>9.32</v>
      </c>
      <c r="R26" s="43"/>
      <c r="S26" s="43"/>
      <c r="T26" s="43"/>
      <c r="U26" s="43"/>
    </row>
    <row r="27" spans="1:21" s="11" customFormat="1" x14ac:dyDescent="0.25">
      <c r="A27" s="54" t="s">
        <v>510</v>
      </c>
      <c r="B27" s="55">
        <v>13.65</v>
      </c>
      <c r="C27" s="55">
        <v>36.909999999999997</v>
      </c>
      <c r="D27" s="55">
        <v>25.86</v>
      </c>
      <c r="E27" s="55">
        <v>7.32</v>
      </c>
      <c r="F27" s="55">
        <v>5.12</v>
      </c>
      <c r="G27" s="55">
        <v>124.78</v>
      </c>
      <c r="H27" s="55">
        <v>29.16</v>
      </c>
      <c r="I27" s="55">
        <v>3.2</v>
      </c>
      <c r="J27" s="55">
        <v>0.19</v>
      </c>
      <c r="K27" s="55">
        <v>345</v>
      </c>
      <c r="L27" s="55">
        <v>20.82</v>
      </c>
      <c r="M27" s="55">
        <v>69.510000000000005</v>
      </c>
      <c r="N27" s="55">
        <v>43.5</v>
      </c>
      <c r="O27" s="55">
        <v>0</v>
      </c>
      <c r="P27" s="55">
        <v>1.1499999999999999</v>
      </c>
      <c r="Q27" s="55">
        <v>9.41</v>
      </c>
      <c r="R27" s="43"/>
      <c r="S27" s="43"/>
      <c r="T27" s="43"/>
      <c r="U27" s="43"/>
    </row>
    <row r="28" spans="1:21" s="11" customFormat="1" x14ac:dyDescent="0.25">
      <c r="A28" s="54" t="s">
        <v>511</v>
      </c>
      <c r="B28" s="55">
        <v>28.44</v>
      </c>
      <c r="C28" s="55">
        <v>34.44</v>
      </c>
      <c r="D28" s="55">
        <v>38.94</v>
      </c>
      <c r="E28" s="55">
        <v>8.19</v>
      </c>
      <c r="F28" s="55">
        <v>4.66</v>
      </c>
      <c r="G28" s="55">
        <v>110.55</v>
      </c>
      <c r="H28" s="55">
        <v>37.19</v>
      </c>
      <c r="I28" s="55">
        <v>4.7300000000000004</v>
      </c>
      <c r="J28" s="55">
        <v>0.18</v>
      </c>
      <c r="K28" s="55">
        <v>95.01</v>
      </c>
      <c r="L28" s="55">
        <v>19.579999999999998</v>
      </c>
      <c r="M28" s="55">
        <v>69.36</v>
      </c>
      <c r="N28" s="55">
        <v>43.2</v>
      </c>
      <c r="O28" s="55">
        <v>0</v>
      </c>
      <c r="P28" s="55">
        <v>1.83</v>
      </c>
      <c r="Q28" s="55">
        <v>9.59</v>
      </c>
      <c r="R28" s="43"/>
      <c r="S28" s="43"/>
      <c r="T28" s="43"/>
      <c r="U28" s="43"/>
    </row>
    <row r="29" spans="1:21" s="11" customFormat="1" x14ac:dyDescent="0.25">
      <c r="A29" s="54" t="s">
        <v>512</v>
      </c>
      <c r="B29" s="55">
        <v>34.69</v>
      </c>
      <c r="C29" s="55">
        <v>36.42</v>
      </c>
      <c r="D29" s="55">
        <v>37.86</v>
      </c>
      <c r="E29" s="55">
        <v>8.31</v>
      </c>
      <c r="F29" s="55">
        <v>4.5</v>
      </c>
      <c r="G29" s="55">
        <v>98.77</v>
      </c>
      <c r="H29" s="55">
        <v>35.880000000000003</v>
      </c>
      <c r="I29" s="55">
        <v>5.16</v>
      </c>
      <c r="J29" s="55">
        <v>0.18</v>
      </c>
      <c r="K29" s="55">
        <v>348.66</v>
      </c>
      <c r="L29" s="55">
        <v>19.350000000000001</v>
      </c>
      <c r="M29" s="55">
        <v>74.959999999999994</v>
      </c>
      <c r="N29" s="55">
        <v>43.3</v>
      </c>
      <c r="O29" s="55">
        <v>0</v>
      </c>
      <c r="P29" s="55">
        <v>1.85</v>
      </c>
      <c r="Q29" s="55">
        <v>9.6300000000000008</v>
      </c>
      <c r="R29" s="43"/>
      <c r="S29" s="43"/>
      <c r="T29" s="43"/>
      <c r="U29" s="43"/>
    </row>
    <row r="30" spans="1:21" s="11" customFormat="1" x14ac:dyDescent="0.25">
      <c r="A30" s="54" t="s">
        <v>513</v>
      </c>
      <c r="B30" s="55">
        <v>29.61</v>
      </c>
      <c r="C30" s="55">
        <v>19.8</v>
      </c>
      <c r="D30" s="55">
        <v>31.99</v>
      </c>
      <c r="E30" s="55">
        <v>5.91</v>
      </c>
      <c r="F30" s="55">
        <v>3.38</v>
      </c>
      <c r="G30" s="55">
        <v>95</v>
      </c>
      <c r="H30" s="55">
        <v>40.32</v>
      </c>
      <c r="I30" s="55">
        <v>5.53</v>
      </c>
      <c r="J30" s="55">
        <v>0.25</v>
      </c>
      <c r="K30" s="55">
        <v>321.76</v>
      </c>
      <c r="L30" s="55">
        <v>18.91</v>
      </c>
      <c r="M30" s="55">
        <v>77.44</v>
      </c>
      <c r="N30" s="55">
        <v>43.3</v>
      </c>
      <c r="O30" s="55">
        <v>0</v>
      </c>
      <c r="P30" s="55">
        <v>1.64</v>
      </c>
      <c r="Q30" s="55">
        <v>9.64</v>
      </c>
      <c r="R30" s="43"/>
      <c r="S30" s="43"/>
      <c r="T30" s="43"/>
      <c r="U30" s="43"/>
    </row>
    <row r="31" spans="1:21" s="11" customFormat="1" x14ac:dyDescent="0.25">
      <c r="A31" s="54" t="s">
        <v>514</v>
      </c>
      <c r="B31" s="55">
        <v>30.76</v>
      </c>
      <c r="C31" s="55">
        <v>16.27</v>
      </c>
      <c r="D31" s="55">
        <v>32.32</v>
      </c>
      <c r="E31" s="55">
        <v>5.45</v>
      </c>
      <c r="F31" s="55">
        <v>3.31</v>
      </c>
      <c r="G31" s="55">
        <v>85.74</v>
      </c>
      <c r="H31" s="55">
        <v>37.380000000000003</v>
      </c>
      <c r="I31" s="55">
        <v>5.61</v>
      </c>
      <c r="J31" s="55">
        <v>0.25</v>
      </c>
      <c r="K31" s="55">
        <v>336.29</v>
      </c>
      <c r="L31" s="55">
        <v>17.920000000000002</v>
      </c>
      <c r="M31" s="55">
        <v>80.17</v>
      </c>
      <c r="N31" s="55">
        <v>43</v>
      </c>
      <c r="O31" s="55">
        <v>0</v>
      </c>
      <c r="P31" s="55">
        <v>1.65</v>
      </c>
      <c r="Q31" s="55">
        <v>9.65</v>
      </c>
      <c r="R31" s="43"/>
      <c r="S31" s="43"/>
      <c r="T31" s="43"/>
      <c r="U31" s="43"/>
    </row>
    <row r="32" spans="1:21" s="11" customFormat="1" x14ac:dyDescent="0.25">
      <c r="A32" s="54" t="s">
        <v>515</v>
      </c>
      <c r="B32" s="55">
        <v>30.4</v>
      </c>
      <c r="C32" s="55">
        <v>16.03</v>
      </c>
      <c r="D32" s="55">
        <v>31.7</v>
      </c>
      <c r="E32" s="55">
        <v>5.12</v>
      </c>
      <c r="F32" s="55">
        <v>3.5</v>
      </c>
      <c r="G32" s="55">
        <v>69.819999999999993</v>
      </c>
      <c r="H32" s="55">
        <v>35.78</v>
      </c>
      <c r="I32" s="55">
        <v>5.56</v>
      </c>
      <c r="J32" s="55">
        <v>0.27</v>
      </c>
      <c r="K32" s="55">
        <v>322.06</v>
      </c>
      <c r="L32" s="55">
        <v>17.899999999999999</v>
      </c>
      <c r="M32" s="55">
        <v>81.650000000000006</v>
      </c>
      <c r="N32" s="55">
        <v>43.1</v>
      </c>
      <c r="O32" s="55">
        <v>0</v>
      </c>
      <c r="P32" s="55">
        <v>1.62</v>
      </c>
      <c r="Q32" s="55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2.44</v>
      </c>
      <c r="C34" s="28">
        <f t="shared" si="0"/>
        <v>4.09</v>
      </c>
      <c r="D34" s="28">
        <f t="shared" si="0"/>
        <v>15.23</v>
      </c>
      <c r="E34" s="28">
        <f t="shared" si="0"/>
        <v>4.6100000000000003</v>
      </c>
      <c r="F34" s="28">
        <f t="shared" si="0"/>
        <v>3.11</v>
      </c>
      <c r="G34" s="28">
        <f t="shared" si="0"/>
        <v>33.619999999999997</v>
      </c>
      <c r="H34" s="28">
        <f t="shared" si="0"/>
        <v>17.54</v>
      </c>
      <c r="I34" s="28">
        <f t="shared" si="0"/>
        <v>2.94</v>
      </c>
      <c r="J34" s="28">
        <f t="shared" si="0"/>
        <v>0.14000000000000001</v>
      </c>
      <c r="K34" s="28">
        <f t="shared" si="0"/>
        <v>69.52</v>
      </c>
      <c r="L34" s="28">
        <f t="shared" si="0"/>
        <v>13.22</v>
      </c>
      <c r="M34" s="28">
        <f t="shared" si="0"/>
        <v>34.9</v>
      </c>
      <c r="N34" s="28">
        <f t="shared" si="0"/>
        <v>43</v>
      </c>
      <c r="O34" s="28">
        <f t="shared" si="0"/>
        <v>0</v>
      </c>
      <c r="P34" s="28">
        <f t="shared" si="0"/>
        <v>0.67</v>
      </c>
      <c r="Q34" s="28">
        <f t="shared" si="0"/>
        <v>9.3000000000000007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48.93</v>
      </c>
      <c r="C35" s="29">
        <f t="shared" si="1"/>
        <v>42.32</v>
      </c>
      <c r="D35" s="29">
        <f t="shared" si="1"/>
        <v>43.11</v>
      </c>
      <c r="E35" s="29">
        <f t="shared" si="1"/>
        <v>16.98</v>
      </c>
      <c r="F35" s="29">
        <f t="shared" si="1"/>
        <v>28.94</v>
      </c>
      <c r="G35" s="29">
        <f t="shared" si="1"/>
        <v>124.78</v>
      </c>
      <c r="H35" s="29">
        <f t="shared" si="1"/>
        <v>47.91</v>
      </c>
      <c r="I35" s="29">
        <f t="shared" si="1"/>
        <v>6.18</v>
      </c>
      <c r="J35" s="29">
        <f t="shared" si="1"/>
        <v>1.01</v>
      </c>
      <c r="K35" s="29">
        <f t="shared" si="1"/>
        <v>348.66</v>
      </c>
      <c r="L35" s="29">
        <f t="shared" si="1"/>
        <v>29.03</v>
      </c>
      <c r="M35" s="29">
        <f t="shared" si="1"/>
        <v>96.68</v>
      </c>
      <c r="N35" s="29">
        <f t="shared" si="1"/>
        <v>653.1</v>
      </c>
      <c r="O35" s="29">
        <f t="shared" si="1"/>
        <v>0</v>
      </c>
      <c r="P35" s="29">
        <f t="shared" si="1"/>
        <v>2.0099999999999998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25.42958333333333</v>
      </c>
      <c r="C36" s="28">
        <f t="shared" si="2"/>
        <v>22.662083333333332</v>
      </c>
      <c r="D36" s="28">
        <f t="shared" si="2"/>
        <v>30.108750000000004</v>
      </c>
      <c r="E36" s="28">
        <f t="shared" si="2"/>
        <v>6.9845833333333331</v>
      </c>
      <c r="F36" s="28">
        <f t="shared" si="2"/>
        <v>7.423750000000001</v>
      </c>
      <c r="G36" s="28">
        <f t="shared" si="2"/>
        <v>81.847499999999997</v>
      </c>
      <c r="H36" s="28">
        <f t="shared" si="2"/>
        <v>34.294999999999995</v>
      </c>
      <c r="I36" s="28">
        <f t="shared" si="2"/>
        <v>4.7995833333333335</v>
      </c>
      <c r="J36" s="28">
        <f t="shared" si="2"/>
        <v>0.42083333333333334</v>
      </c>
      <c r="K36" s="28">
        <f t="shared" si="2"/>
        <v>253.3658333333334</v>
      </c>
      <c r="L36" s="28">
        <f t="shared" si="2"/>
        <v>20.603333333333335</v>
      </c>
      <c r="M36" s="28">
        <f t="shared" si="2"/>
        <v>67.775000000000006</v>
      </c>
      <c r="N36" s="28">
        <f t="shared" si="2"/>
        <v>197.57916666666668</v>
      </c>
      <c r="O36" s="28">
        <f t="shared" si="2"/>
        <v>0</v>
      </c>
      <c r="P36" s="28">
        <f t="shared" si="2"/>
        <v>1.3366666666666667</v>
      </c>
      <c r="Q36" s="28">
        <f t="shared" si="2"/>
        <v>9.5616666666666674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16.704426249966801</v>
      </c>
      <c r="C37" s="28">
        <f t="shared" ref="C37:Q37" si="3">STDEV(C9:C32)</f>
        <v>12.662721041176999</v>
      </c>
      <c r="D37" s="28">
        <f t="shared" si="3"/>
        <v>8.253716587089702</v>
      </c>
      <c r="E37" s="28">
        <f t="shared" si="3"/>
        <v>2.8848826050512963</v>
      </c>
      <c r="F37" s="28">
        <f t="shared" si="3"/>
        <v>6.927025092378023</v>
      </c>
      <c r="G37" s="28">
        <f t="shared" si="3"/>
        <v>24.397811600009661</v>
      </c>
      <c r="H37" s="28">
        <f t="shared" si="3"/>
        <v>7.81842305905964</v>
      </c>
      <c r="I37" s="28">
        <f t="shared" si="3"/>
        <v>1.0848421210186443</v>
      </c>
      <c r="J37" s="28">
        <f t="shared" si="3"/>
        <v>0.28234910039303052</v>
      </c>
      <c r="K37" s="28">
        <f t="shared" si="3"/>
        <v>104.052307452703</v>
      </c>
      <c r="L37" s="28">
        <f t="shared" si="3"/>
        <v>5.1428816712090342</v>
      </c>
      <c r="M37" s="28">
        <f t="shared" si="3"/>
        <v>23.909256893876695</v>
      </c>
      <c r="N37" s="28">
        <f t="shared" si="3"/>
        <v>231.53081864383424</v>
      </c>
      <c r="O37" s="28">
        <f t="shared" si="3"/>
        <v>0</v>
      </c>
      <c r="P37" s="28">
        <f t="shared" si="3"/>
        <v>0.40231576033569988</v>
      </c>
      <c r="Q37" s="28">
        <f t="shared" si="3"/>
        <v>0.14872404170042605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13" sqref="F1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516</v>
      </c>
      <c r="B9" s="55">
        <v>25.18</v>
      </c>
      <c r="C9" s="55">
        <v>16.420000000000002</v>
      </c>
      <c r="D9" s="55">
        <v>28.06</v>
      </c>
      <c r="E9" s="55">
        <v>5.34</v>
      </c>
      <c r="F9" s="55">
        <v>4.7699999999999996</v>
      </c>
      <c r="G9" s="55">
        <v>53.66</v>
      </c>
      <c r="H9" s="55">
        <v>31.36</v>
      </c>
      <c r="I9" s="55">
        <v>5.47</v>
      </c>
      <c r="J9" s="55">
        <v>0.33</v>
      </c>
      <c r="K9" s="55">
        <v>281.74</v>
      </c>
      <c r="L9" s="55">
        <v>17.739999999999998</v>
      </c>
      <c r="M9" s="55">
        <v>79.61</v>
      </c>
      <c r="N9" s="55">
        <v>43.2</v>
      </c>
      <c r="O9" s="55">
        <v>0</v>
      </c>
      <c r="P9" s="55">
        <v>1.55</v>
      </c>
      <c r="Q9" s="55">
        <v>9.65</v>
      </c>
      <c r="R9" s="43"/>
      <c r="S9" s="43"/>
      <c r="T9" s="43"/>
      <c r="U9" s="43"/>
    </row>
    <row r="10" spans="1:21" s="11" customFormat="1" x14ac:dyDescent="0.25">
      <c r="A10" s="54" t="s">
        <v>517</v>
      </c>
      <c r="B10" s="55">
        <v>24.88</v>
      </c>
      <c r="C10" s="55">
        <v>16.89</v>
      </c>
      <c r="D10" s="55">
        <v>27.44</v>
      </c>
      <c r="E10" s="55">
        <v>5.38</v>
      </c>
      <c r="F10" s="55">
        <v>3.38</v>
      </c>
      <c r="G10" s="55">
        <v>44.13</v>
      </c>
      <c r="H10" s="55">
        <v>26.91</v>
      </c>
      <c r="I10" s="55">
        <v>5.19</v>
      </c>
      <c r="J10" s="55">
        <v>0.27</v>
      </c>
      <c r="K10" s="55">
        <v>334.34</v>
      </c>
      <c r="L10" s="55">
        <v>16.93</v>
      </c>
      <c r="M10" s="55">
        <v>96.59</v>
      </c>
      <c r="N10" s="55">
        <v>43.4</v>
      </c>
      <c r="O10" s="55">
        <v>0</v>
      </c>
      <c r="P10" s="55">
        <v>1.31</v>
      </c>
      <c r="Q10" s="55">
        <v>9.64</v>
      </c>
      <c r="R10" s="43"/>
      <c r="S10" s="43"/>
      <c r="T10" s="43"/>
      <c r="U10" s="43"/>
    </row>
    <row r="11" spans="1:21" s="11" customFormat="1" x14ac:dyDescent="0.25">
      <c r="A11" s="54" t="s">
        <v>518</v>
      </c>
      <c r="B11" s="55">
        <v>24.31</v>
      </c>
      <c r="C11" s="55">
        <v>14.66</v>
      </c>
      <c r="D11" s="55">
        <v>26.69</v>
      </c>
      <c r="E11" s="55">
        <v>5.17</v>
      </c>
      <c r="F11" s="55">
        <v>3.18</v>
      </c>
      <c r="G11" s="55">
        <v>45.99</v>
      </c>
      <c r="H11" s="55">
        <v>26.12</v>
      </c>
      <c r="I11" s="55">
        <v>4.8600000000000003</v>
      </c>
      <c r="J11" s="55">
        <v>0.28999999999999998</v>
      </c>
      <c r="K11" s="55">
        <v>286.01</v>
      </c>
      <c r="L11" s="55">
        <v>15.69</v>
      </c>
      <c r="M11" s="55">
        <v>96.58</v>
      </c>
      <c r="N11" s="55">
        <v>43</v>
      </c>
      <c r="O11" s="55">
        <v>0</v>
      </c>
      <c r="P11" s="55">
        <v>1.1299999999999999</v>
      </c>
      <c r="Q11" s="55">
        <v>9.65</v>
      </c>
      <c r="R11" s="43"/>
      <c r="S11" s="43"/>
      <c r="T11" s="43"/>
      <c r="U11" s="43"/>
    </row>
    <row r="12" spans="1:21" s="11" customFormat="1" x14ac:dyDescent="0.25">
      <c r="A12" s="54" t="s">
        <v>519</v>
      </c>
      <c r="B12" s="55">
        <v>22.75</v>
      </c>
      <c r="C12" s="55">
        <v>14.45</v>
      </c>
      <c r="D12" s="55">
        <v>25.33</v>
      </c>
      <c r="E12" s="55">
        <v>4.9800000000000004</v>
      </c>
      <c r="F12" s="55">
        <v>2.99</v>
      </c>
      <c r="G12" s="55">
        <v>52.01</v>
      </c>
      <c r="H12" s="55">
        <v>23.95</v>
      </c>
      <c r="I12" s="55">
        <v>4.34</v>
      </c>
      <c r="J12" s="55">
        <v>0.22</v>
      </c>
      <c r="K12" s="55">
        <v>279.08999999999997</v>
      </c>
      <c r="L12" s="55">
        <v>15.05</v>
      </c>
      <c r="M12" s="55">
        <v>96.62</v>
      </c>
      <c r="N12" s="55">
        <v>43</v>
      </c>
      <c r="O12" s="55">
        <v>0</v>
      </c>
      <c r="P12" s="55">
        <v>1.01</v>
      </c>
      <c r="Q12" s="55">
        <v>9.6</v>
      </c>
      <c r="R12" s="43"/>
      <c r="S12" s="43"/>
      <c r="T12" s="43"/>
      <c r="U12" s="43"/>
    </row>
    <row r="13" spans="1:21" s="11" customFormat="1" x14ac:dyDescent="0.25">
      <c r="A13" s="54" t="s">
        <v>520</v>
      </c>
      <c r="B13" s="55">
        <v>23.72</v>
      </c>
      <c r="C13" s="55">
        <v>12.65</v>
      </c>
      <c r="D13" s="55">
        <v>25.14</v>
      </c>
      <c r="E13" s="55">
        <v>5.24</v>
      </c>
      <c r="F13" s="55">
        <v>3.06</v>
      </c>
      <c r="G13" s="55">
        <v>39.56</v>
      </c>
      <c r="H13" s="55">
        <v>21.47</v>
      </c>
      <c r="I13" s="55">
        <v>3.8</v>
      </c>
      <c r="J13" s="55">
        <v>0.49</v>
      </c>
      <c r="K13" s="55">
        <v>342.29</v>
      </c>
      <c r="L13" s="55">
        <v>14.37</v>
      </c>
      <c r="M13" s="55">
        <v>96.68</v>
      </c>
      <c r="N13" s="55">
        <v>43</v>
      </c>
      <c r="O13" s="55">
        <v>0</v>
      </c>
      <c r="P13" s="55">
        <v>0.96</v>
      </c>
      <c r="Q13" s="55">
        <v>9.6199999999999992</v>
      </c>
      <c r="R13" s="43"/>
      <c r="S13" s="43"/>
      <c r="T13" s="43"/>
      <c r="U13" s="43"/>
    </row>
    <row r="14" spans="1:21" s="11" customFormat="1" x14ac:dyDescent="0.25">
      <c r="A14" s="54" t="s">
        <v>521</v>
      </c>
      <c r="B14" s="55">
        <v>24.08</v>
      </c>
      <c r="C14" s="55">
        <v>12.95</v>
      </c>
      <c r="D14" s="55">
        <v>25.62</v>
      </c>
      <c r="E14" s="55">
        <v>5.0999999999999996</v>
      </c>
      <c r="F14" s="55">
        <v>3.21</v>
      </c>
      <c r="G14" s="55">
        <v>45.43</v>
      </c>
      <c r="H14" s="55">
        <v>18.940000000000001</v>
      </c>
      <c r="I14" s="55">
        <v>3.77</v>
      </c>
      <c r="J14" s="55">
        <v>0.44</v>
      </c>
      <c r="K14" s="55">
        <v>340.81</v>
      </c>
      <c r="L14" s="55">
        <v>14.02</v>
      </c>
      <c r="M14" s="55">
        <v>96.68</v>
      </c>
      <c r="N14" s="55">
        <v>43.1</v>
      </c>
      <c r="O14" s="55">
        <v>0</v>
      </c>
      <c r="P14" s="55">
        <v>0.95</v>
      </c>
      <c r="Q14" s="55">
        <v>9.6300000000000008</v>
      </c>
      <c r="R14" s="43"/>
      <c r="S14" s="43"/>
      <c r="T14" s="43"/>
      <c r="U14" s="43"/>
    </row>
    <row r="15" spans="1:21" s="11" customFormat="1" x14ac:dyDescent="0.25">
      <c r="A15" s="54" t="s">
        <v>522</v>
      </c>
      <c r="B15" s="55">
        <v>27.87</v>
      </c>
      <c r="C15" s="55">
        <v>13.08</v>
      </c>
      <c r="D15" s="55">
        <v>28.18</v>
      </c>
      <c r="E15" s="55">
        <v>5.08</v>
      </c>
      <c r="F15" s="55">
        <v>3.31</v>
      </c>
      <c r="G15" s="55">
        <v>77.150000000000006</v>
      </c>
      <c r="H15" s="55">
        <v>29.76</v>
      </c>
      <c r="I15" s="55">
        <v>3.86</v>
      </c>
      <c r="J15" s="55">
        <v>0.55000000000000004</v>
      </c>
      <c r="K15" s="55">
        <v>348.98</v>
      </c>
      <c r="L15" s="55">
        <v>15.04</v>
      </c>
      <c r="M15" s="55">
        <v>96.63</v>
      </c>
      <c r="N15" s="55">
        <v>82</v>
      </c>
      <c r="O15" s="55">
        <v>0</v>
      </c>
      <c r="P15" s="55">
        <v>1</v>
      </c>
      <c r="Q15" s="55">
        <v>9.64</v>
      </c>
      <c r="R15" s="43"/>
      <c r="S15" s="43"/>
      <c r="T15" s="43"/>
      <c r="U15" s="43"/>
    </row>
    <row r="16" spans="1:21" s="11" customFormat="1" x14ac:dyDescent="0.25">
      <c r="A16" s="54" t="s">
        <v>523</v>
      </c>
      <c r="B16" s="55">
        <v>32.19</v>
      </c>
      <c r="C16" s="55">
        <v>11.46</v>
      </c>
      <c r="D16" s="55">
        <v>31.05</v>
      </c>
      <c r="E16" s="55">
        <v>5.44</v>
      </c>
      <c r="F16" s="55">
        <v>3.31</v>
      </c>
      <c r="G16" s="55">
        <v>159.08000000000001</v>
      </c>
      <c r="H16" s="55">
        <v>43.79</v>
      </c>
      <c r="I16" s="55">
        <v>4.95</v>
      </c>
      <c r="J16" s="55">
        <v>0.94</v>
      </c>
      <c r="K16" s="55">
        <v>345.1</v>
      </c>
      <c r="L16" s="55">
        <v>20.5</v>
      </c>
      <c r="M16" s="55">
        <v>96.55</v>
      </c>
      <c r="N16" s="55">
        <v>262.2</v>
      </c>
      <c r="O16" s="55">
        <v>0</v>
      </c>
      <c r="P16" s="55">
        <v>1.29</v>
      </c>
      <c r="Q16" s="55">
        <v>9.65</v>
      </c>
      <c r="R16" s="43"/>
      <c r="S16" s="43"/>
      <c r="T16" s="43"/>
      <c r="U16" s="43"/>
    </row>
    <row r="17" spans="1:21" s="11" customFormat="1" x14ac:dyDescent="0.25">
      <c r="A17" s="54" t="s">
        <v>524</v>
      </c>
      <c r="B17" s="55">
        <v>32.74</v>
      </c>
      <c r="C17" s="55">
        <v>16.52</v>
      </c>
      <c r="D17" s="55">
        <v>32.049999999999997</v>
      </c>
      <c r="E17" s="55">
        <v>7.52</v>
      </c>
      <c r="F17" s="55">
        <v>3.63</v>
      </c>
      <c r="G17" s="55">
        <v>165.08</v>
      </c>
      <c r="H17" s="55">
        <v>52.64</v>
      </c>
      <c r="I17" s="55">
        <v>5.22</v>
      </c>
      <c r="J17" s="55">
        <v>0.94</v>
      </c>
      <c r="K17" s="55">
        <v>347.6</v>
      </c>
      <c r="L17" s="55">
        <v>25.18</v>
      </c>
      <c r="M17" s="55">
        <v>64.88</v>
      </c>
      <c r="N17" s="55">
        <v>438.8</v>
      </c>
      <c r="O17" s="55">
        <v>0</v>
      </c>
      <c r="P17" s="55">
        <v>1.47</v>
      </c>
      <c r="Q17" s="55">
        <v>9.65</v>
      </c>
      <c r="R17" s="43"/>
      <c r="S17" s="43"/>
      <c r="T17" s="43"/>
      <c r="U17" s="43"/>
    </row>
    <row r="18" spans="1:21" s="11" customFormat="1" x14ac:dyDescent="0.25">
      <c r="A18" s="54" t="s">
        <v>525</v>
      </c>
      <c r="B18" s="55">
        <v>31.23</v>
      </c>
      <c r="C18" s="55">
        <v>20.5</v>
      </c>
      <c r="D18" s="55">
        <v>33.340000000000003</v>
      </c>
      <c r="E18" s="55">
        <v>16.97</v>
      </c>
      <c r="F18" s="55">
        <v>4.8499999999999996</v>
      </c>
      <c r="G18" s="55">
        <v>141.16</v>
      </c>
      <c r="H18" s="55">
        <v>53.99</v>
      </c>
      <c r="I18" s="55">
        <v>5.23</v>
      </c>
      <c r="J18" s="55">
        <v>1.07</v>
      </c>
      <c r="K18" s="55">
        <v>358.83</v>
      </c>
      <c r="L18" s="55">
        <v>28</v>
      </c>
      <c r="M18" s="55">
        <v>47.57</v>
      </c>
      <c r="N18" s="55">
        <v>556.4</v>
      </c>
      <c r="O18" s="55">
        <v>0</v>
      </c>
      <c r="P18" s="55">
        <v>1.63</v>
      </c>
      <c r="Q18" s="55">
        <v>9.66</v>
      </c>
      <c r="R18" s="43"/>
      <c r="S18" s="43"/>
      <c r="T18" s="43"/>
      <c r="U18" s="43"/>
    </row>
    <row r="19" spans="1:21" s="11" customFormat="1" x14ac:dyDescent="0.25">
      <c r="A19" s="54" t="s">
        <v>526</v>
      </c>
      <c r="B19" s="55">
        <v>27.84</v>
      </c>
      <c r="C19" s="55">
        <v>22.17</v>
      </c>
      <c r="D19" s="55">
        <v>33.020000000000003</v>
      </c>
      <c r="E19" s="55">
        <v>14.33</v>
      </c>
      <c r="F19" s="55">
        <v>5.66</v>
      </c>
      <c r="G19" s="55">
        <v>130.30000000000001</v>
      </c>
      <c r="H19" s="55">
        <v>54.42</v>
      </c>
      <c r="I19" s="55">
        <v>5.19</v>
      </c>
      <c r="J19" s="55">
        <v>0.84</v>
      </c>
      <c r="K19" s="55">
        <v>338.42</v>
      </c>
      <c r="L19" s="55">
        <v>28.35</v>
      </c>
      <c r="M19" s="55">
        <v>44</v>
      </c>
      <c r="N19" s="55">
        <v>634.5</v>
      </c>
      <c r="O19" s="55">
        <v>0</v>
      </c>
      <c r="P19" s="55">
        <v>1.65</v>
      </c>
      <c r="Q19" s="55">
        <v>9.65</v>
      </c>
      <c r="R19" s="43"/>
      <c r="S19" s="43"/>
      <c r="T19" s="43"/>
      <c r="U19" s="43"/>
    </row>
    <row r="20" spans="1:21" s="11" customFormat="1" x14ac:dyDescent="0.25">
      <c r="A20" s="54" t="s">
        <v>527</v>
      </c>
      <c r="B20" s="55">
        <v>25.7</v>
      </c>
      <c r="C20" s="55">
        <v>21.14</v>
      </c>
      <c r="D20" s="55">
        <v>29.33</v>
      </c>
      <c r="E20" s="55">
        <v>6.66</v>
      </c>
      <c r="F20" s="55">
        <v>4.3099999999999996</v>
      </c>
      <c r="G20" s="55">
        <v>88.18</v>
      </c>
      <c r="H20" s="55">
        <v>44.41</v>
      </c>
      <c r="I20" s="55">
        <v>5.09</v>
      </c>
      <c r="J20" s="55">
        <v>0.83</v>
      </c>
      <c r="K20" s="55">
        <v>340.85</v>
      </c>
      <c r="L20" s="55">
        <v>28.68</v>
      </c>
      <c r="M20" s="55">
        <v>40.68</v>
      </c>
      <c r="N20" s="55">
        <v>627.1</v>
      </c>
      <c r="O20" s="55">
        <v>0</v>
      </c>
      <c r="P20" s="55">
        <v>1.5</v>
      </c>
      <c r="Q20" s="55">
        <v>9.64</v>
      </c>
      <c r="R20" s="43"/>
      <c r="S20" s="43"/>
      <c r="T20" s="43"/>
      <c r="U20" s="43"/>
    </row>
    <row r="21" spans="1:21" s="11" customFormat="1" x14ac:dyDescent="0.25">
      <c r="A21" s="54" t="s">
        <v>528</v>
      </c>
      <c r="B21" s="55">
        <v>19.739999999999998</v>
      </c>
      <c r="C21" s="55">
        <v>24.94</v>
      </c>
      <c r="D21" s="55">
        <v>26.48</v>
      </c>
      <c r="E21" s="55">
        <v>7.7</v>
      </c>
      <c r="F21" s="55">
        <v>9.08</v>
      </c>
      <c r="G21" s="55">
        <v>56.97</v>
      </c>
      <c r="H21" s="55">
        <v>31.03</v>
      </c>
      <c r="I21" s="55">
        <v>4.8099999999999996</v>
      </c>
      <c r="J21" s="55">
        <v>0.9</v>
      </c>
      <c r="K21" s="55">
        <v>335.17</v>
      </c>
      <c r="L21" s="55">
        <v>30.26</v>
      </c>
      <c r="M21" s="55">
        <v>32.53</v>
      </c>
      <c r="N21" s="55">
        <v>617.29999999999995</v>
      </c>
      <c r="O21" s="55">
        <v>0</v>
      </c>
      <c r="P21" s="55">
        <v>1.36</v>
      </c>
      <c r="Q21" s="55">
        <v>9.6</v>
      </c>
      <c r="R21" s="43"/>
      <c r="S21" s="43"/>
      <c r="T21" s="43"/>
      <c r="U21" s="43"/>
    </row>
    <row r="22" spans="1:21" s="11" customFormat="1" x14ac:dyDescent="0.25">
      <c r="A22" s="54" t="s">
        <v>529</v>
      </c>
      <c r="B22" s="55">
        <v>13.61</v>
      </c>
      <c r="C22" s="55">
        <v>27.08</v>
      </c>
      <c r="D22" s="55">
        <v>24.18</v>
      </c>
      <c r="E22" s="55">
        <v>10.44</v>
      </c>
      <c r="F22" s="55">
        <v>17.170000000000002</v>
      </c>
      <c r="G22" s="55">
        <v>49.91</v>
      </c>
      <c r="H22" s="55">
        <v>28.28</v>
      </c>
      <c r="I22" s="55">
        <v>4.47</v>
      </c>
      <c r="J22" s="55">
        <v>1</v>
      </c>
      <c r="K22" s="55">
        <v>340.44</v>
      </c>
      <c r="L22" s="55">
        <v>29.71</v>
      </c>
      <c r="M22" s="55">
        <v>33.979999999999997</v>
      </c>
      <c r="N22" s="55">
        <v>503.6</v>
      </c>
      <c r="O22" s="55">
        <v>0</v>
      </c>
      <c r="P22" s="55">
        <v>1.23</v>
      </c>
      <c r="Q22" s="55">
        <v>9.49</v>
      </c>
      <c r="R22" s="43"/>
      <c r="S22" s="43"/>
      <c r="T22" s="43"/>
      <c r="U22" s="43"/>
    </row>
    <row r="23" spans="1:21" s="11" customFormat="1" x14ac:dyDescent="0.25">
      <c r="A23" s="54" t="s">
        <v>530</v>
      </c>
      <c r="B23" s="55">
        <v>8.6300000000000008</v>
      </c>
      <c r="C23" s="55">
        <v>30.72</v>
      </c>
      <c r="D23" s="55">
        <v>21.65</v>
      </c>
      <c r="E23" s="55">
        <v>16.100000000000001</v>
      </c>
      <c r="F23" s="55">
        <v>20.86</v>
      </c>
      <c r="G23" s="55">
        <v>49.07</v>
      </c>
      <c r="H23" s="55">
        <v>24.32</v>
      </c>
      <c r="I23" s="55">
        <v>4.2699999999999996</v>
      </c>
      <c r="J23" s="55">
        <v>0.54</v>
      </c>
      <c r="K23" s="55">
        <v>324.43</v>
      </c>
      <c r="L23" s="55">
        <v>27.08</v>
      </c>
      <c r="M23" s="55">
        <v>30.84</v>
      </c>
      <c r="N23" s="55">
        <v>143.30000000000001</v>
      </c>
      <c r="O23" s="55">
        <v>0</v>
      </c>
      <c r="P23" s="55">
        <v>1.17</v>
      </c>
      <c r="Q23" s="55">
        <v>9.44</v>
      </c>
      <c r="R23" s="43"/>
      <c r="S23" s="43"/>
      <c r="T23" s="43"/>
      <c r="U23" s="43"/>
    </row>
    <row r="24" spans="1:21" s="11" customFormat="1" x14ac:dyDescent="0.25">
      <c r="A24" s="54" t="s">
        <v>531</v>
      </c>
      <c r="B24" s="55">
        <v>7.73</v>
      </c>
      <c r="C24" s="55">
        <v>36.61</v>
      </c>
      <c r="D24" s="55">
        <v>24.44</v>
      </c>
      <c r="E24" s="55">
        <v>15.68</v>
      </c>
      <c r="F24" s="55">
        <v>17.760000000000002</v>
      </c>
      <c r="G24" s="55">
        <v>44.76</v>
      </c>
      <c r="H24" s="55">
        <v>23.02</v>
      </c>
      <c r="I24" s="55">
        <v>4.07</v>
      </c>
      <c r="J24" s="55">
        <v>0.77</v>
      </c>
      <c r="K24" s="55">
        <v>126.38</v>
      </c>
      <c r="L24" s="55">
        <v>25.68</v>
      </c>
      <c r="M24" s="55">
        <v>35.200000000000003</v>
      </c>
      <c r="N24" s="55">
        <v>104.3</v>
      </c>
      <c r="O24" s="55">
        <v>0</v>
      </c>
      <c r="P24" s="55">
        <v>1.02</v>
      </c>
      <c r="Q24" s="55">
        <v>9.3699999999999992</v>
      </c>
      <c r="R24" s="43"/>
      <c r="S24" s="43"/>
      <c r="T24" s="43"/>
      <c r="U24" s="43"/>
    </row>
    <row r="25" spans="1:21" s="11" customFormat="1" x14ac:dyDescent="0.25">
      <c r="A25" s="54" t="s">
        <v>532</v>
      </c>
      <c r="B25" s="55">
        <v>9.1300000000000008</v>
      </c>
      <c r="C25" s="55">
        <v>33.130000000000003</v>
      </c>
      <c r="D25" s="55">
        <v>24.1</v>
      </c>
      <c r="E25" s="55">
        <v>14.69</v>
      </c>
      <c r="F25" s="55">
        <v>16.78</v>
      </c>
      <c r="G25" s="55">
        <v>45.5</v>
      </c>
      <c r="H25" s="55">
        <v>22.84</v>
      </c>
      <c r="I25" s="55">
        <v>3.85</v>
      </c>
      <c r="J25" s="55">
        <v>0.72</v>
      </c>
      <c r="K25" s="55">
        <v>352.82</v>
      </c>
      <c r="L25" s="55">
        <v>24.83</v>
      </c>
      <c r="M25" s="55">
        <v>43.97</v>
      </c>
      <c r="N25" s="55">
        <v>73.5</v>
      </c>
      <c r="O25" s="55">
        <v>0</v>
      </c>
      <c r="P25" s="55">
        <v>0.93</v>
      </c>
      <c r="Q25" s="55">
        <v>9.31</v>
      </c>
      <c r="R25" s="43"/>
      <c r="S25" s="43"/>
      <c r="T25" s="43"/>
      <c r="U25" s="43"/>
    </row>
    <row r="26" spans="1:21" s="11" customFormat="1" x14ac:dyDescent="0.25">
      <c r="A26" s="54" t="s">
        <v>533</v>
      </c>
      <c r="B26" s="55">
        <v>26.73</v>
      </c>
      <c r="C26" s="55">
        <v>43.39</v>
      </c>
      <c r="D26" s="55">
        <v>40.409999999999997</v>
      </c>
      <c r="E26" s="55">
        <v>10.61</v>
      </c>
      <c r="F26" s="55">
        <v>5.93</v>
      </c>
      <c r="G26" s="55">
        <v>42.37</v>
      </c>
      <c r="H26" s="55">
        <v>19.38</v>
      </c>
      <c r="I26" s="55">
        <v>3.72</v>
      </c>
      <c r="J26" s="55">
        <v>0.23</v>
      </c>
      <c r="K26" s="55">
        <v>352.27</v>
      </c>
      <c r="L26" s="55">
        <v>22.58</v>
      </c>
      <c r="M26" s="55">
        <v>60.19</v>
      </c>
      <c r="N26" s="55">
        <v>45.4</v>
      </c>
      <c r="O26" s="55">
        <v>0</v>
      </c>
      <c r="P26" s="55">
        <v>1.82</v>
      </c>
      <c r="Q26" s="55">
        <v>9.4</v>
      </c>
      <c r="R26" s="43"/>
      <c r="S26" s="43"/>
      <c r="T26" s="43"/>
      <c r="U26" s="43"/>
    </row>
    <row r="27" spans="1:21" s="11" customFormat="1" x14ac:dyDescent="0.25">
      <c r="A27" s="54" t="s">
        <v>534</v>
      </c>
      <c r="B27" s="55">
        <v>43.38</v>
      </c>
      <c r="C27" s="55">
        <v>38.03</v>
      </c>
      <c r="D27" s="55">
        <v>50.61</v>
      </c>
      <c r="E27" s="55">
        <v>12.26</v>
      </c>
      <c r="F27" s="55">
        <v>5.0599999999999996</v>
      </c>
      <c r="G27" s="55">
        <v>89.42</v>
      </c>
      <c r="H27" s="55">
        <v>28.08</v>
      </c>
      <c r="I27" s="55">
        <v>3.94</v>
      </c>
      <c r="J27" s="55">
        <v>0.21</v>
      </c>
      <c r="K27" s="55">
        <v>306.01</v>
      </c>
      <c r="L27" s="55">
        <v>20.89</v>
      </c>
      <c r="M27" s="55">
        <v>63.69</v>
      </c>
      <c r="N27" s="55">
        <v>41.5</v>
      </c>
      <c r="O27" s="55">
        <v>0</v>
      </c>
      <c r="P27" s="55">
        <v>2.2200000000000002</v>
      </c>
      <c r="Q27" s="55">
        <v>9.57</v>
      </c>
      <c r="R27" s="43"/>
      <c r="S27" s="43"/>
      <c r="T27" s="43"/>
      <c r="U27" s="43"/>
    </row>
    <row r="28" spans="1:21" s="11" customFormat="1" x14ac:dyDescent="0.25">
      <c r="A28" s="54" t="s">
        <v>535</v>
      </c>
      <c r="B28" s="55">
        <v>32.31</v>
      </c>
      <c r="C28" s="55">
        <v>25.17</v>
      </c>
      <c r="D28" s="55">
        <v>33.96</v>
      </c>
      <c r="E28" s="55">
        <v>10.33</v>
      </c>
      <c r="F28" s="55">
        <v>3.3</v>
      </c>
      <c r="G28" s="55">
        <v>110.22</v>
      </c>
      <c r="H28" s="55">
        <v>32.729999999999997</v>
      </c>
      <c r="I28" s="55">
        <v>4.8099999999999996</v>
      </c>
      <c r="J28" s="55">
        <v>0.19</v>
      </c>
      <c r="K28" s="55">
        <v>316.38</v>
      </c>
      <c r="L28" s="55">
        <v>20.29</v>
      </c>
      <c r="M28" s="55">
        <v>77.41</v>
      </c>
      <c r="N28" s="55">
        <v>41.5</v>
      </c>
      <c r="O28" s="55">
        <v>0</v>
      </c>
      <c r="P28" s="55">
        <v>1.5</v>
      </c>
      <c r="Q28" s="55">
        <v>9.65</v>
      </c>
      <c r="R28" s="43"/>
      <c r="S28" s="43"/>
      <c r="T28" s="43"/>
      <c r="U28" s="43"/>
    </row>
    <row r="29" spans="1:21" s="11" customFormat="1" x14ac:dyDescent="0.25">
      <c r="A29" s="54" t="s">
        <v>536</v>
      </c>
      <c r="B29" s="55">
        <v>47.75</v>
      </c>
      <c r="C29" s="55">
        <v>13.05</v>
      </c>
      <c r="D29" s="55">
        <v>42.5</v>
      </c>
      <c r="E29" s="55">
        <v>6.27</v>
      </c>
      <c r="F29" s="55">
        <v>3.29</v>
      </c>
      <c r="G29" s="55">
        <v>132.86000000000001</v>
      </c>
      <c r="H29" s="55">
        <v>43.71</v>
      </c>
      <c r="I29" s="55">
        <v>5.88</v>
      </c>
      <c r="J29" s="55">
        <v>0.21</v>
      </c>
      <c r="K29" s="55">
        <v>325.31</v>
      </c>
      <c r="L29" s="55">
        <v>18.72</v>
      </c>
      <c r="M29" s="55">
        <v>83.26</v>
      </c>
      <c r="N29" s="55">
        <v>41.4</v>
      </c>
      <c r="O29" s="55">
        <v>0</v>
      </c>
      <c r="P29" s="55">
        <v>1.86</v>
      </c>
      <c r="Q29" s="55">
        <v>9.67</v>
      </c>
      <c r="R29" s="43"/>
      <c r="S29" s="43"/>
      <c r="T29" s="43"/>
      <c r="U29" s="43"/>
    </row>
    <row r="30" spans="1:21" s="11" customFormat="1" x14ac:dyDescent="0.25">
      <c r="A30" s="54" t="s">
        <v>537</v>
      </c>
      <c r="B30" s="55">
        <v>74.28</v>
      </c>
      <c r="C30" s="55">
        <v>5.0999999999999996</v>
      </c>
      <c r="D30" s="55">
        <v>58.49</v>
      </c>
      <c r="E30" s="55">
        <v>6.1</v>
      </c>
      <c r="F30" s="55">
        <v>3.57</v>
      </c>
      <c r="G30" s="55">
        <v>132.72</v>
      </c>
      <c r="H30" s="55">
        <v>47.37</v>
      </c>
      <c r="I30" s="55">
        <v>6.07</v>
      </c>
      <c r="J30" s="55">
        <v>0.28999999999999998</v>
      </c>
      <c r="K30" s="55">
        <v>358.58</v>
      </c>
      <c r="L30" s="55">
        <v>18.36</v>
      </c>
      <c r="M30" s="55">
        <v>90.15</v>
      </c>
      <c r="N30" s="55">
        <v>41.3</v>
      </c>
      <c r="O30" s="55">
        <v>0</v>
      </c>
      <c r="P30" s="55">
        <v>2.35</v>
      </c>
      <c r="Q30" s="55">
        <v>9.7200000000000006</v>
      </c>
      <c r="R30" s="43"/>
      <c r="S30" s="43"/>
      <c r="T30" s="43"/>
      <c r="U30" s="43"/>
    </row>
    <row r="31" spans="1:21" s="11" customFormat="1" x14ac:dyDescent="0.25">
      <c r="A31" s="54" t="s">
        <v>538</v>
      </c>
      <c r="B31" s="55">
        <v>79.650000000000006</v>
      </c>
      <c r="C31" s="55">
        <v>4.59</v>
      </c>
      <c r="D31" s="55">
        <v>61.39</v>
      </c>
      <c r="E31" s="55">
        <v>6.51</v>
      </c>
      <c r="F31" s="55">
        <v>3.42</v>
      </c>
      <c r="G31" s="55">
        <v>131.66999999999999</v>
      </c>
      <c r="H31" s="55">
        <v>46.76</v>
      </c>
      <c r="I31" s="55">
        <v>6.55</v>
      </c>
      <c r="J31" s="55">
        <v>0.23</v>
      </c>
      <c r="K31" s="55">
        <v>319.79000000000002</v>
      </c>
      <c r="L31" s="55">
        <v>17.579999999999998</v>
      </c>
      <c r="M31" s="55">
        <v>93.74</v>
      </c>
      <c r="N31" s="55">
        <v>41.3</v>
      </c>
      <c r="O31" s="55">
        <v>0</v>
      </c>
      <c r="P31" s="55">
        <v>2.44</v>
      </c>
      <c r="Q31" s="55">
        <v>9.74</v>
      </c>
      <c r="R31" s="43"/>
      <c r="S31" s="43"/>
      <c r="T31" s="43"/>
      <c r="U31" s="43"/>
    </row>
    <row r="32" spans="1:21" s="11" customFormat="1" x14ac:dyDescent="0.25">
      <c r="A32" s="54" t="s">
        <v>539</v>
      </c>
      <c r="B32" s="55">
        <v>80.61</v>
      </c>
      <c r="C32" s="55">
        <v>0.05</v>
      </c>
      <c r="D32" s="55">
        <v>61.75</v>
      </c>
      <c r="E32" s="55">
        <v>6.36</v>
      </c>
      <c r="F32" s="55">
        <v>3.4</v>
      </c>
      <c r="G32" s="55">
        <v>116.58</v>
      </c>
      <c r="H32" s="55">
        <v>45.45</v>
      </c>
      <c r="I32" s="55">
        <v>6.41</v>
      </c>
      <c r="J32" s="55">
        <v>0.19</v>
      </c>
      <c r="K32" s="55">
        <v>329.28</v>
      </c>
      <c r="L32" s="55">
        <v>16.91</v>
      </c>
      <c r="M32" s="55">
        <v>95.98</v>
      </c>
      <c r="N32" s="55">
        <v>41.3</v>
      </c>
      <c r="O32" s="55">
        <v>0</v>
      </c>
      <c r="P32" s="55">
        <v>2.44</v>
      </c>
      <c r="Q32" s="55">
        <v>9.75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7.73</v>
      </c>
      <c r="C34" s="28">
        <f t="shared" si="0"/>
        <v>0.05</v>
      </c>
      <c r="D34" s="28">
        <f t="shared" si="0"/>
        <v>21.65</v>
      </c>
      <c r="E34" s="28">
        <f t="shared" si="0"/>
        <v>4.9800000000000004</v>
      </c>
      <c r="F34" s="28">
        <f t="shared" si="0"/>
        <v>2.99</v>
      </c>
      <c r="G34" s="28">
        <f t="shared" si="0"/>
        <v>39.56</v>
      </c>
      <c r="H34" s="28">
        <f t="shared" si="0"/>
        <v>18.940000000000001</v>
      </c>
      <c r="I34" s="28">
        <f t="shared" si="0"/>
        <v>3.72</v>
      </c>
      <c r="J34" s="28">
        <f t="shared" si="0"/>
        <v>0.19</v>
      </c>
      <c r="K34" s="28">
        <f t="shared" si="0"/>
        <v>126.38</v>
      </c>
      <c r="L34" s="28">
        <f t="shared" si="0"/>
        <v>14.02</v>
      </c>
      <c r="M34" s="28">
        <f t="shared" si="0"/>
        <v>30.84</v>
      </c>
      <c r="N34" s="28">
        <f t="shared" si="0"/>
        <v>41.3</v>
      </c>
      <c r="O34" s="28">
        <f t="shared" si="0"/>
        <v>0</v>
      </c>
      <c r="P34" s="28">
        <f t="shared" si="0"/>
        <v>0.93</v>
      </c>
      <c r="Q34" s="28">
        <f t="shared" si="0"/>
        <v>9.31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80.61</v>
      </c>
      <c r="C35" s="29">
        <f t="shared" si="1"/>
        <v>43.39</v>
      </c>
      <c r="D35" s="29">
        <f t="shared" si="1"/>
        <v>61.75</v>
      </c>
      <c r="E35" s="29">
        <f t="shared" si="1"/>
        <v>16.97</v>
      </c>
      <c r="F35" s="29">
        <f t="shared" si="1"/>
        <v>20.86</v>
      </c>
      <c r="G35" s="29">
        <f t="shared" si="1"/>
        <v>165.08</v>
      </c>
      <c r="H35" s="29">
        <f t="shared" si="1"/>
        <v>54.42</v>
      </c>
      <c r="I35" s="29">
        <f t="shared" si="1"/>
        <v>6.55</v>
      </c>
      <c r="J35" s="29">
        <f t="shared" si="1"/>
        <v>1.07</v>
      </c>
      <c r="K35" s="29">
        <f t="shared" si="1"/>
        <v>358.83</v>
      </c>
      <c r="L35" s="29">
        <f t="shared" si="1"/>
        <v>30.26</v>
      </c>
      <c r="M35" s="29">
        <f t="shared" si="1"/>
        <v>96.68</v>
      </c>
      <c r="N35" s="29">
        <f t="shared" si="1"/>
        <v>634.5</v>
      </c>
      <c r="O35" s="29">
        <f t="shared" si="1"/>
        <v>0</v>
      </c>
      <c r="P35" s="29">
        <f t="shared" si="1"/>
        <v>2.44</v>
      </c>
      <c r="Q35" s="29">
        <f t="shared" si="1"/>
        <v>9.75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31.918333333333333</v>
      </c>
      <c r="C36" s="28">
        <f t="shared" si="2"/>
        <v>19.78125</v>
      </c>
      <c r="D36" s="28">
        <f t="shared" si="2"/>
        <v>33.967083333333335</v>
      </c>
      <c r="E36" s="28">
        <f t="shared" si="2"/>
        <v>8.7608333333333341</v>
      </c>
      <c r="F36" s="28">
        <f t="shared" si="2"/>
        <v>6.47</v>
      </c>
      <c r="G36" s="28">
        <f t="shared" si="2"/>
        <v>85.157499999999999</v>
      </c>
      <c r="H36" s="28">
        <f t="shared" si="2"/>
        <v>34.197083333333339</v>
      </c>
      <c r="I36" s="28">
        <f t="shared" si="2"/>
        <v>4.8258333333333328</v>
      </c>
      <c r="J36" s="28">
        <f t="shared" si="2"/>
        <v>0.52874999999999994</v>
      </c>
      <c r="K36" s="28">
        <f t="shared" si="2"/>
        <v>322.12166666666667</v>
      </c>
      <c r="L36" s="28">
        <f t="shared" si="2"/>
        <v>21.351666666666663</v>
      </c>
      <c r="M36" s="28">
        <f t="shared" si="2"/>
        <v>70.583750000000009</v>
      </c>
      <c r="N36" s="28">
        <f t="shared" si="2"/>
        <v>191.47499999999999</v>
      </c>
      <c r="O36" s="28">
        <f t="shared" si="2"/>
        <v>0</v>
      </c>
      <c r="P36" s="28">
        <f t="shared" si="2"/>
        <v>1.49125</v>
      </c>
      <c r="Q36" s="28">
        <f t="shared" si="2"/>
        <v>9.5995833333333334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20.239301557520015</v>
      </c>
      <c r="C37" s="28">
        <f t="shared" ref="C37:Q37" si="3">STDEV(C9:C32)</f>
        <v>10.966336756083415</v>
      </c>
      <c r="D37" s="28">
        <f t="shared" si="3"/>
        <v>12.210789768698907</v>
      </c>
      <c r="E37" s="28">
        <f t="shared" si="3"/>
        <v>4.1079624873045546</v>
      </c>
      <c r="F37" s="28">
        <f t="shared" si="3"/>
        <v>5.5377126026514976</v>
      </c>
      <c r="G37" s="28">
        <f t="shared" si="3"/>
        <v>43.124998122243191</v>
      </c>
      <c r="H37" s="28">
        <f t="shared" si="3"/>
        <v>11.771622650205888</v>
      </c>
      <c r="I37" s="28">
        <f t="shared" si="3"/>
        <v>0.84775876730131339</v>
      </c>
      <c r="J37" s="28">
        <f t="shared" si="3"/>
        <v>0.31001139530248106</v>
      </c>
      <c r="K37" s="28">
        <f t="shared" si="3"/>
        <v>47.512026456161486</v>
      </c>
      <c r="L37" s="28">
        <f t="shared" si="3"/>
        <v>5.415371573157497</v>
      </c>
      <c r="M37" s="28">
        <f t="shared" si="3"/>
        <v>25.744492667702534</v>
      </c>
      <c r="N37" s="28">
        <f t="shared" si="3"/>
        <v>227.32075260569013</v>
      </c>
      <c r="O37" s="28">
        <f t="shared" si="3"/>
        <v>0</v>
      </c>
      <c r="P37" s="28">
        <f t="shared" si="3"/>
        <v>0.48180198440221605</v>
      </c>
      <c r="Q37" s="28">
        <f t="shared" si="3"/>
        <v>0.11453038961309597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49" t="s">
        <v>22</v>
      </c>
      <c r="C8" s="49" t="s">
        <v>22</v>
      </c>
      <c r="D8" s="29" t="s">
        <v>42</v>
      </c>
      <c r="E8" s="49" t="s">
        <v>22</v>
      </c>
      <c r="F8" s="49" t="s">
        <v>22</v>
      </c>
      <c r="G8" s="49" t="s">
        <v>23</v>
      </c>
      <c r="H8" s="49" t="s">
        <v>22</v>
      </c>
      <c r="I8" s="49" t="s">
        <v>22</v>
      </c>
      <c r="J8" s="49" t="s">
        <v>24</v>
      </c>
      <c r="K8" s="49" t="s">
        <v>25</v>
      </c>
      <c r="L8" s="25" t="s">
        <v>27</v>
      </c>
      <c r="M8" s="49" t="s">
        <v>26</v>
      </c>
      <c r="N8" s="49" t="s">
        <v>28</v>
      </c>
      <c r="O8" s="25" t="s">
        <v>29</v>
      </c>
      <c r="P8" s="49" t="s">
        <v>22</v>
      </c>
      <c r="Q8" s="49" t="s">
        <v>22</v>
      </c>
      <c r="R8" s="27"/>
      <c r="S8" s="29"/>
      <c r="T8" s="27"/>
      <c r="U8" s="27"/>
    </row>
    <row r="9" spans="1:21" s="11" customFormat="1" x14ac:dyDescent="0.25">
      <c r="A9" s="52" t="s">
        <v>540</v>
      </c>
      <c r="B9" s="53">
        <v>79.53</v>
      </c>
      <c r="C9" s="5" t="s">
        <v>14</v>
      </c>
      <c r="D9" s="53">
        <v>59.36</v>
      </c>
      <c r="E9" s="53">
        <v>6.61</v>
      </c>
      <c r="F9" s="53">
        <v>3.49</v>
      </c>
      <c r="G9" s="53">
        <v>99.28</v>
      </c>
      <c r="H9" s="53">
        <v>41.36</v>
      </c>
      <c r="I9" s="53">
        <v>7.07</v>
      </c>
      <c r="J9" s="53">
        <v>0.22</v>
      </c>
      <c r="K9" s="53">
        <v>334.86</v>
      </c>
      <c r="L9" s="53">
        <v>16.18</v>
      </c>
      <c r="M9" s="53">
        <v>96.57</v>
      </c>
      <c r="N9" s="53">
        <v>41.2</v>
      </c>
      <c r="O9" s="53">
        <v>0</v>
      </c>
      <c r="P9" s="53">
        <v>2.33</v>
      </c>
      <c r="Q9" s="53">
        <v>9.75</v>
      </c>
      <c r="R9" s="43"/>
      <c r="S9" s="43"/>
      <c r="T9" s="43"/>
      <c r="U9" s="43"/>
    </row>
    <row r="10" spans="1:21" s="11" customFormat="1" x14ac:dyDescent="0.25">
      <c r="A10" s="52" t="s">
        <v>541</v>
      </c>
      <c r="B10" s="53">
        <v>75.849999999999994</v>
      </c>
      <c r="C10" s="5" t="s">
        <v>14</v>
      </c>
      <c r="D10" s="53">
        <v>56.72</v>
      </c>
      <c r="E10" s="53">
        <v>6.43</v>
      </c>
      <c r="F10" s="53">
        <v>3.29</v>
      </c>
      <c r="G10" s="53">
        <v>97.08</v>
      </c>
      <c r="H10" s="53">
        <v>42.72</v>
      </c>
      <c r="I10" s="53">
        <v>6.84</v>
      </c>
      <c r="J10" s="53">
        <v>0.17</v>
      </c>
      <c r="K10" s="53">
        <v>345.16</v>
      </c>
      <c r="L10" s="53">
        <v>16.14</v>
      </c>
      <c r="M10" s="53">
        <v>96.6</v>
      </c>
      <c r="N10" s="53">
        <v>41.2</v>
      </c>
      <c r="O10" s="53">
        <v>0</v>
      </c>
      <c r="P10" s="53">
        <v>2.11</v>
      </c>
      <c r="Q10" s="53">
        <v>9.75</v>
      </c>
      <c r="R10" s="43"/>
      <c r="S10" s="43"/>
      <c r="T10" s="43"/>
      <c r="U10" s="43"/>
    </row>
    <row r="11" spans="1:21" s="11" customFormat="1" x14ac:dyDescent="0.25">
      <c r="A11" s="52" t="s">
        <v>542</v>
      </c>
      <c r="B11" s="53">
        <v>66.23</v>
      </c>
      <c r="C11" s="53">
        <v>0.55000000000000004</v>
      </c>
      <c r="D11" s="53">
        <v>50.46</v>
      </c>
      <c r="E11" s="53">
        <v>5.99</v>
      </c>
      <c r="F11" s="53">
        <v>3.37</v>
      </c>
      <c r="G11" s="53">
        <v>89.23</v>
      </c>
      <c r="H11" s="53">
        <v>42.14</v>
      </c>
      <c r="I11" s="53">
        <v>7.21</v>
      </c>
      <c r="J11" s="53">
        <v>0.17</v>
      </c>
      <c r="K11" s="53">
        <v>310.98</v>
      </c>
      <c r="L11" s="53">
        <v>16.12</v>
      </c>
      <c r="M11" s="53">
        <v>96.61</v>
      </c>
      <c r="N11" s="53">
        <v>41.2</v>
      </c>
      <c r="O11" s="53">
        <v>0</v>
      </c>
      <c r="P11" s="53">
        <v>2.06</v>
      </c>
      <c r="Q11" s="53">
        <v>9.73</v>
      </c>
      <c r="R11" s="43"/>
      <c r="S11" s="43"/>
      <c r="T11" s="43"/>
      <c r="U11" s="43"/>
    </row>
    <row r="12" spans="1:21" s="11" customFormat="1" x14ac:dyDescent="0.25">
      <c r="A12" s="52" t="s">
        <v>543</v>
      </c>
      <c r="B12" s="53">
        <v>61.47</v>
      </c>
      <c r="C12" s="5" t="s">
        <v>14</v>
      </c>
      <c r="D12" s="53">
        <v>47.5</v>
      </c>
      <c r="E12" s="53">
        <v>6.43</v>
      </c>
      <c r="F12" s="53">
        <v>3.5</v>
      </c>
      <c r="G12" s="53">
        <v>78.150000000000006</v>
      </c>
      <c r="H12" s="53">
        <v>37.79</v>
      </c>
      <c r="I12" s="53">
        <v>7.63</v>
      </c>
      <c r="J12" s="53">
        <v>0.23</v>
      </c>
      <c r="K12" s="53">
        <v>340.56</v>
      </c>
      <c r="L12" s="53">
        <v>15.26</v>
      </c>
      <c r="M12" s="53">
        <v>96.68</v>
      </c>
      <c r="N12" s="53">
        <v>41.2</v>
      </c>
      <c r="O12" s="53">
        <v>0</v>
      </c>
      <c r="P12" s="53">
        <v>2.04</v>
      </c>
      <c r="Q12" s="53">
        <v>9.73</v>
      </c>
      <c r="R12" s="43"/>
      <c r="S12" s="43"/>
      <c r="T12" s="43"/>
      <c r="U12" s="43"/>
    </row>
    <row r="13" spans="1:21" s="11" customFormat="1" x14ac:dyDescent="0.25">
      <c r="A13" s="52" t="s">
        <v>544</v>
      </c>
      <c r="B13" s="53">
        <v>61.08</v>
      </c>
      <c r="C13" s="5" t="s">
        <v>14</v>
      </c>
      <c r="D13" s="53">
        <v>46.18</v>
      </c>
      <c r="E13" s="53">
        <v>6.64</v>
      </c>
      <c r="F13" s="53">
        <v>3.57</v>
      </c>
      <c r="G13" s="53">
        <v>88.84</v>
      </c>
      <c r="H13" s="53">
        <v>38.01</v>
      </c>
      <c r="I13" s="53">
        <v>7.12</v>
      </c>
      <c r="J13" s="53">
        <v>0.22</v>
      </c>
      <c r="K13" s="53">
        <v>355.27</v>
      </c>
      <c r="L13" s="53">
        <v>14.7</v>
      </c>
      <c r="M13" s="53">
        <v>96.7</v>
      </c>
      <c r="N13" s="53">
        <v>41.1</v>
      </c>
      <c r="O13" s="53">
        <v>0</v>
      </c>
      <c r="P13" s="53">
        <v>1.93</v>
      </c>
      <c r="Q13" s="53">
        <v>9.6999999999999993</v>
      </c>
      <c r="R13" s="43"/>
      <c r="S13" s="43"/>
      <c r="T13" s="43"/>
      <c r="U13" s="43"/>
    </row>
    <row r="14" spans="1:21" s="11" customFormat="1" x14ac:dyDescent="0.25">
      <c r="A14" s="52" t="s">
        <v>545</v>
      </c>
      <c r="B14" s="53">
        <v>61.5</v>
      </c>
      <c r="C14" s="5" t="s">
        <v>14</v>
      </c>
      <c r="D14" s="53">
        <v>46.49</v>
      </c>
      <c r="E14" s="53">
        <v>6.21</v>
      </c>
      <c r="F14" s="53">
        <v>3.23</v>
      </c>
      <c r="G14" s="53">
        <v>119.3</v>
      </c>
      <c r="H14" s="53">
        <v>44.17</v>
      </c>
      <c r="I14" s="53">
        <v>7.14</v>
      </c>
      <c r="J14" s="53">
        <v>0.42</v>
      </c>
      <c r="K14" s="53">
        <v>354.45</v>
      </c>
      <c r="L14" s="53">
        <v>14.98</v>
      </c>
      <c r="M14" s="53">
        <v>96.68</v>
      </c>
      <c r="N14" s="53">
        <v>41.5</v>
      </c>
      <c r="O14" s="53">
        <v>0</v>
      </c>
      <c r="P14" s="53">
        <v>1.81</v>
      </c>
      <c r="Q14" s="53">
        <v>9.7100000000000009</v>
      </c>
      <c r="R14" s="43"/>
      <c r="S14" s="43"/>
      <c r="T14" s="43"/>
      <c r="U14" s="43"/>
    </row>
    <row r="15" spans="1:21" s="11" customFormat="1" x14ac:dyDescent="0.25">
      <c r="A15" s="52" t="s">
        <v>546</v>
      </c>
      <c r="B15" s="53">
        <v>61.11</v>
      </c>
      <c r="C15" s="5" t="s">
        <v>14</v>
      </c>
      <c r="D15" s="53">
        <v>46.45</v>
      </c>
      <c r="E15" s="53">
        <v>6.39</v>
      </c>
      <c r="F15" s="53">
        <v>3.46</v>
      </c>
      <c r="G15" s="53">
        <v>147.04</v>
      </c>
      <c r="H15" s="53">
        <v>53.63</v>
      </c>
      <c r="I15" s="53">
        <v>7.59</v>
      </c>
      <c r="J15" s="53">
        <v>0.31</v>
      </c>
      <c r="K15" s="53">
        <v>88.46</v>
      </c>
      <c r="L15" s="53">
        <v>15.83</v>
      </c>
      <c r="M15" s="53">
        <v>96.58</v>
      </c>
      <c r="N15" s="53">
        <v>77.5</v>
      </c>
      <c r="O15" s="53">
        <v>0</v>
      </c>
      <c r="P15" s="53">
        <v>1.88</v>
      </c>
      <c r="Q15" s="53">
        <v>9.7200000000000006</v>
      </c>
      <c r="R15" s="43"/>
      <c r="S15" s="43"/>
      <c r="T15" s="43"/>
      <c r="U15" s="43"/>
    </row>
    <row r="16" spans="1:21" s="11" customFormat="1" x14ac:dyDescent="0.25">
      <c r="A16" s="52" t="s">
        <v>547</v>
      </c>
      <c r="B16" s="53">
        <v>57.98</v>
      </c>
      <c r="C16" s="53">
        <v>0.31</v>
      </c>
      <c r="D16" s="53">
        <v>45.29</v>
      </c>
      <c r="E16" s="53">
        <v>6.57</v>
      </c>
      <c r="F16" s="53">
        <v>3.8</v>
      </c>
      <c r="G16" s="53">
        <v>190.41</v>
      </c>
      <c r="H16" s="53">
        <v>68.36</v>
      </c>
      <c r="I16" s="53">
        <v>7.24</v>
      </c>
      <c r="J16" s="53">
        <v>0.69</v>
      </c>
      <c r="K16" s="53">
        <v>340.67</v>
      </c>
      <c r="L16" s="53">
        <v>20.48</v>
      </c>
      <c r="M16" s="53">
        <v>93.37</v>
      </c>
      <c r="N16" s="53">
        <v>292.2</v>
      </c>
      <c r="O16" s="53">
        <v>0</v>
      </c>
      <c r="P16" s="53">
        <v>1.92</v>
      </c>
      <c r="Q16" s="53">
        <v>9.7200000000000006</v>
      </c>
      <c r="R16" s="43"/>
      <c r="S16" s="43"/>
      <c r="T16" s="43"/>
      <c r="U16" s="43"/>
    </row>
    <row r="17" spans="1:21" s="11" customFormat="1" x14ac:dyDescent="0.25">
      <c r="A17" s="52" t="s">
        <v>548</v>
      </c>
      <c r="B17" s="53">
        <v>52.72</v>
      </c>
      <c r="C17" s="53">
        <v>3.32</v>
      </c>
      <c r="D17" s="53">
        <v>42.31</v>
      </c>
      <c r="E17" s="53">
        <v>6.3</v>
      </c>
      <c r="F17" s="53">
        <v>3.72</v>
      </c>
      <c r="G17" s="53">
        <v>154.41</v>
      </c>
      <c r="H17" s="53">
        <v>58.23</v>
      </c>
      <c r="I17" s="53">
        <v>7.25</v>
      </c>
      <c r="J17" s="53">
        <v>1.3</v>
      </c>
      <c r="K17" s="53">
        <v>128.72</v>
      </c>
      <c r="L17" s="53">
        <v>23.8</v>
      </c>
      <c r="M17" s="53">
        <v>68.459999999999994</v>
      </c>
      <c r="N17" s="53">
        <v>470.3</v>
      </c>
      <c r="O17" s="53">
        <v>0</v>
      </c>
      <c r="P17" s="53">
        <v>1.85</v>
      </c>
      <c r="Q17" s="53">
        <v>9.6999999999999993</v>
      </c>
      <c r="R17" s="43"/>
      <c r="S17" s="43"/>
      <c r="T17" s="43"/>
      <c r="U17" s="43"/>
    </row>
    <row r="18" spans="1:21" s="11" customFormat="1" x14ac:dyDescent="0.25">
      <c r="A18" s="52" t="s">
        <v>549</v>
      </c>
      <c r="B18" s="53">
        <v>47</v>
      </c>
      <c r="C18" s="53">
        <v>7.83</v>
      </c>
      <c r="D18" s="53">
        <v>38.729999999999997</v>
      </c>
      <c r="E18" s="53">
        <v>6.38</v>
      </c>
      <c r="F18" s="53">
        <v>3.94</v>
      </c>
      <c r="G18" s="53">
        <v>113.3</v>
      </c>
      <c r="H18" s="53">
        <v>47.01</v>
      </c>
      <c r="I18" s="53">
        <v>6.41</v>
      </c>
      <c r="J18" s="53">
        <v>1.1200000000000001</v>
      </c>
      <c r="K18" s="53">
        <v>132.13</v>
      </c>
      <c r="L18" s="53">
        <v>25.47</v>
      </c>
      <c r="M18" s="53">
        <v>58.66</v>
      </c>
      <c r="N18" s="53">
        <v>590.70000000000005</v>
      </c>
      <c r="O18" s="53">
        <v>0</v>
      </c>
      <c r="P18" s="53">
        <v>1.64</v>
      </c>
      <c r="Q18" s="53">
        <v>9.69</v>
      </c>
      <c r="R18" s="43"/>
      <c r="S18" s="43"/>
      <c r="T18" s="43"/>
      <c r="U18" s="43"/>
    </row>
    <row r="19" spans="1:21" s="11" customFormat="1" x14ac:dyDescent="0.25">
      <c r="A19" s="52" t="s">
        <v>550</v>
      </c>
      <c r="B19" s="53">
        <v>37.909999999999997</v>
      </c>
      <c r="C19" s="53">
        <v>12.69</v>
      </c>
      <c r="D19" s="53">
        <v>35.04</v>
      </c>
      <c r="E19" s="53">
        <v>6.33</v>
      </c>
      <c r="F19" s="53">
        <v>4.37</v>
      </c>
      <c r="G19" s="53">
        <v>87.13</v>
      </c>
      <c r="H19" s="53">
        <v>39.950000000000003</v>
      </c>
      <c r="I19" s="53">
        <v>5.99</v>
      </c>
      <c r="J19" s="53">
        <v>0.83</v>
      </c>
      <c r="K19" s="53">
        <v>133.94</v>
      </c>
      <c r="L19" s="53">
        <v>28.69</v>
      </c>
      <c r="M19" s="53">
        <v>51.24</v>
      </c>
      <c r="N19" s="53">
        <v>648.1</v>
      </c>
      <c r="O19" s="53">
        <v>0</v>
      </c>
      <c r="P19" s="53">
        <v>1.47</v>
      </c>
      <c r="Q19" s="53">
        <v>9.67</v>
      </c>
      <c r="R19" s="43"/>
      <c r="S19" s="43"/>
      <c r="T19" s="43"/>
      <c r="U19" s="43"/>
    </row>
    <row r="20" spans="1:21" s="11" customFormat="1" x14ac:dyDescent="0.25">
      <c r="A20" s="52" t="s">
        <v>551</v>
      </c>
      <c r="B20" s="53">
        <v>29.57</v>
      </c>
      <c r="C20" s="53">
        <v>15.79</v>
      </c>
      <c r="D20" s="53">
        <v>29.48</v>
      </c>
      <c r="E20" s="53">
        <v>7.69</v>
      </c>
      <c r="F20" s="53">
        <v>8.9600000000000009</v>
      </c>
      <c r="G20" s="53">
        <v>58.35</v>
      </c>
      <c r="H20" s="53">
        <v>29.3</v>
      </c>
      <c r="I20" s="53">
        <v>5.57</v>
      </c>
      <c r="J20" s="53">
        <v>0.57999999999999996</v>
      </c>
      <c r="K20" s="53">
        <v>328.93</v>
      </c>
      <c r="L20" s="53">
        <v>30.47</v>
      </c>
      <c r="M20" s="53">
        <v>38.159999999999997</v>
      </c>
      <c r="N20" s="53">
        <v>673.4</v>
      </c>
      <c r="O20" s="53">
        <v>0</v>
      </c>
      <c r="P20" s="53">
        <v>1.24</v>
      </c>
      <c r="Q20" s="53">
        <v>9.65</v>
      </c>
      <c r="R20" s="43"/>
      <c r="S20" s="43"/>
      <c r="T20" s="43"/>
      <c r="U20" s="43"/>
    </row>
    <row r="21" spans="1:21" s="11" customFormat="1" x14ac:dyDescent="0.25">
      <c r="A21" s="52" t="s">
        <v>552</v>
      </c>
      <c r="B21" s="53">
        <v>20.63</v>
      </c>
      <c r="C21" s="53">
        <v>19.22</v>
      </c>
      <c r="D21" s="53">
        <v>25.27</v>
      </c>
      <c r="E21" s="53">
        <v>8.6199999999999992</v>
      </c>
      <c r="F21" s="53">
        <v>13.93</v>
      </c>
      <c r="G21" s="53">
        <v>35.24</v>
      </c>
      <c r="H21" s="53">
        <v>13.25</v>
      </c>
      <c r="I21" s="53">
        <v>5.16</v>
      </c>
      <c r="J21" s="53">
        <v>0.55000000000000004</v>
      </c>
      <c r="K21" s="53">
        <v>344.16</v>
      </c>
      <c r="L21" s="53">
        <v>30.97</v>
      </c>
      <c r="M21" s="53">
        <v>39.24</v>
      </c>
      <c r="N21" s="53">
        <v>631.29999999999995</v>
      </c>
      <c r="O21" s="53">
        <v>0</v>
      </c>
      <c r="P21" s="53">
        <v>1.1000000000000001</v>
      </c>
      <c r="Q21" s="53">
        <v>9.66</v>
      </c>
      <c r="R21" s="43"/>
      <c r="S21" s="43"/>
      <c r="T21" s="43"/>
      <c r="U21" s="43"/>
    </row>
    <row r="22" spans="1:21" s="11" customFormat="1" x14ac:dyDescent="0.25">
      <c r="A22" s="52" t="s">
        <v>553</v>
      </c>
      <c r="B22" s="53">
        <v>16.420000000000002</v>
      </c>
      <c r="C22" s="53">
        <v>22.89</v>
      </c>
      <c r="D22" s="53">
        <v>24.2</v>
      </c>
      <c r="E22" s="53">
        <v>15.65</v>
      </c>
      <c r="F22" s="53">
        <v>17.61</v>
      </c>
      <c r="G22" s="53">
        <v>34.03</v>
      </c>
      <c r="H22" s="53">
        <v>12.51</v>
      </c>
      <c r="I22" s="53">
        <v>4.6900000000000004</v>
      </c>
      <c r="J22" s="53">
        <v>1.1299999999999999</v>
      </c>
      <c r="K22" s="53">
        <v>341.94</v>
      </c>
      <c r="L22" s="53">
        <v>29.23</v>
      </c>
      <c r="M22" s="53">
        <v>38.74</v>
      </c>
      <c r="N22" s="53">
        <v>515.5</v>
      </c>
      <c r="O22" s="53">
        <v>0</v>
      </c>
      <c r="P22" s="53">
        <v>1.0900000000000001</v>
      </c>
      <c r="Q22" s="53">
        <v>9.61</v>
      </c>
      <c r="R22" s="43"/>
      <c r="S22" s="43"/>
      <c r="T22" s="43"/>
      <c r="U22" s="43"/>
    </row>
    <row r="23" spans="1:21" s="11" customFormat="1" x14ac:dyDescent="0.25">
      <c r="A23" s="52" t="s">
        <v>554</v>
      </c>
      <c r="B23" s="53">
        <v>11</v>
      </c>
      <c r="C23" s="53">
        <v>30.28</v>
      </c>
      <c r="D23" s="53">
        <v>23.88</v>
      </c>
      <c r="E23" s="53">
        <v>20.93</v>
      </c>
      <c r="F23" s="53">
        <v>16.440000000000001</v>
      </c>
      <c r="G23" s="53">
        <v>45.11</v>
      </c>
      <c r="H23" s="53">
        <v>11.44</v>
      </c>
      <c r="I23" s="53">
        <v>4.84</v>
      </c>
      <c r="J23" s="53">
        <v>0.57999999999999996</v>
      </c>
      <c r="K23" s="53">
        <v>310.39999999999998</v>
      </c>
      <c r="L23" s="53">
        <v>28.11</v>
      </c>
      <c r="M23" s="53">
        <v>39.31</v>
      </c>
      <c r="N23" s="53">
        <v>156.6</v>
      </c>
      <c r="O23" s="53">
        <v>0</v>
      </c>
      <c r="P23" s="53">
        <v>1.0900000000000001</v>
      </c>
      <c r="Q23" s="53">
        <v>9.48</v>
      </c>
      <c r="R23" s="43"/>
      <c r="S23" s="43"/>
      <c r="T23" s="43"/>
      <c r="U23" s="43"/>
    </row>
    <row r="24" spans="1:21" s="11" customFormat="1" x14ac:dyDescent="0.25">
      <c r="A24" s="52" t="s">
        <v>555</v>
      </c>
      <c r="B24" s="53">
        <v>11.48</v>
      </c>
      <c r="C24" s="53">
        <v>30.91</v>
      </c>
      <c r="D24" s="53">
        <v>23.7</v>
      </c>
      <c r="E24" s="53">
        <v>17.25</v>
      </c>
      <c r="F24" s="53">
        <v>18.79</v>
      </c>
      <c r="G24" s="53">
        <v>53.17</v>
      </c>
      <c r="H24" s="53">
        <v>18.57</v>
      </c>
      <c r="I24" s="53">
        <v>4.99</v>
      </c>
      <c r="J24" s="53">
        <v>1.1599999999999999</v>
      </c>
      <c r="K24" s="53">
        <v>341.82</v>
      </c>
      <c r="L24" s="53">
        <v>27.45</v>
      </c>
      <c r="M24" s="53">
        <v>40.82</v>
      </c>
      <c r="N24" s="53">
        <v>109.4</v>
      </c>
      <c r="O24" s="53">
        <v>0</v>
      </c>
      <c r="P24" s="53">
        <v>1.1299999999999999</v>
      </c>
      <c r="Q24" s="53">
        <v>9.4</v>
      </c>
      <c r="R24" s="43"/>
      <c r="S24" s="43"/>
      <c r="T24" s="43"/>
      <c r="U24" s="43"/>
    </row>
    <row r="25" spans="1:21" s="11" customFormat="1" x14ac:dyDescent="0.25">
      <c r="A25" s="52" t="s">
        <v>556</v>
      </c>
      <c r="B25" s="53">
        <v>14.87</v>
      </c>
      <c r="C25" s="53">
        <v>36.36</v>
      </c>
      <c r="D25" s="53">
        <v>30.46</v>
      </c>
      <c r="E25" s="53">
        <v>18.96</v>
      </c>
      <c r="F25" s="53">
        <v>17.13</v>
      </c>
      <c r="G25" s="53">
        <v>51.21</v>
      </c>
      <c r="H25" s="53">
        <v>22.75</v>
      </c>
      <c r="I25" s="53">
        <v>4.99</v>
      </c>
      <c r="J25" s="53">
        <v>0.57999999999999996</v>
      </c>
      <c r="K25" s="53">
        <v>339.68</v>
      </c>
      <c r="L25" s="53">
        <v>26.43</v>
      </c>
      <c r="M25" s="53">
        <v>48.39</v>
      </c>
      <c r="N25" s="53">
        <v>74.599999999999994</v>
      </c>
      <c r="O25" s="53">
        <v>0</v>
      </c>
      <c r="P25" s="53">
        <v>1.1100000000000001</v>
      </c>
      <c r="Q25" s="53">
        <v>9.44</v>
      </c>
      <c r="R25" s="43"/>
      <c r="S25" s="43"/>
      <c r="T25" s="43"/>
      <c r="U25" s="43"/>
    </row>
    <row r="26" spans="1:21" s="11" customFormat="1" x14ac:dyDescent="0.25">
      <c r="A26" s="52" t="s">
        <v>557</v>
      </c>
      <c r="B26" s="53">
        <v>28.35</v>
      </c>
      <c r="C26" s="53">
        <v>35.4</v>
      </c>
      <c r="D26" s="53">
        <v>39.17</v>
      </c>
      <c r="E26" s="53">
        <v>12.01</v>
      </c>
      <c r="F26" s="53">
        <v>6.47</v>
      </c>
      <c r="G26" s="53">
        <v>52.91</v>
      </c>
      <c r="H26" s="53">
        <v>20.77</v>
      </c>
      <c r="I26" s="53">
        <v>4.87</v>
      </c>
      <c r="J26" s="53">
        <v>0.51</v>
      </c>
      <c r="K26" s="53">
        <v>349.64</v>
      </c>
      <c r="L26" s="53">
        <v>24.19</v>
      </c>
      <c r="M26" s="53">
        <v>53.86</v>
      </c>
      <c r="N26" s="53">
        <v>44</v>
      </c>
      <c r="O26" s="53">
        <v>0</v>
      </c>
      <c r="P26" s="53">
        <v>1.54</v>
      </c>
      <c r="Q26" s="53">
        <v>9.5299999999999994</v>
      </c>
      <c r="R26" s="43"/>
      <c r="S26" s="43"/>
      <c r="T26" s="43"/>
      <c r="U26" s="43"/>
    </row>
    <row r="27" spans="1:21" s="11" customFormat="1" x14ac:dyDescent="0.25">
      <c r="A27" s="52" t="s">
        <v>558</v>
      </c>
      <c r="B27" s="53">
        <v>29.99</v>
      </c>
      <c r="C27" s="53">
        <v>26.85</v>
      </c>
      <c r="D27" s="53">
        <v>37.19</v>
      </c>
      <c r="E27" s="53">
        <v>9.33</v>
      </c>
      <c r="F27" s="53">
        <v>5.13</v>
      </c>
      <c r="G27" s="53">
        <v>56.45</v>
      </c>
      <c r="H27" s="53">
        <v>20.56</v>
      </c>
      <c r="I27" s="53">
        <v>4.93</v>
      </c>
      <c r="J27" s="53">
        <v>0.24</v>
      </c>
      <c r="K27" s="53">
        <v>352.09</v>
      </c>
      <c r="L27" s="53">
        <v>22.46</v>
      </c>
      <c r="M27" s="53">
        <v>59.69</v>
      </c>
      <c r="N27" s="53">
        <v>40.700000000000003</v>
      </c>
      <c r="O27" s="53">
        <v>0</v>
      </c>
      <c r="P27" s="53">
        <v>1.74</v>
      </c>
      <c r="Q27" s="53">
        <v>9.6300000000000008</v>
      </c>
      <c r="R27" s="43"/>
      <c r="S27" s="43"/>
      <c r="T27" s="43"/>
      <c r="U27" s="43"/>
    </row>
    <row r="28" spans="1:21" s="11" customFormat="1" x14ac:dyDescent="0.25">
      <c r="A28" s="52" t="s">
        <v>559</v>
      </c>
      <c r="B28" s="53">
        <v>46.45</v>
      </c>
      <c r="C28" s="53">
        <v>26.14</v>
      </c>
      <c r="D28" s="53">
        <v>47.22</v>
      </c>
      <c r="E28" s="53">
        <v>10.86</v>
      </c>
      <c r="F28" s="53">
        <v>4.82</v>
      </c>
      <c r="G28" s="53">
        <v>129.03</v>
      </c>
      <c r="H28" s="53">
        <v>32.130000000000003</v>
      </c>
      <c r="I28" s="53">
        <v>5.47</v>
      </c>
      <c r="J28" s="53">
        <v>0.23</v>
      </c>
      <c r="K28" s="53">
        <v>356.64</v>
      </c>
      <c r="L28" s="53">
        <v>21.68</v>
      </c>
      <c r="M28" s="53">
        <v>65.36</v>
      </c>
      <c r="N28" s="53">
        <v>40.5</v>
      </c>
      <c r="O28" s="53">
        <v>0</v>
      </c>
      <c r="P28" s="53">
        <v>2.2999999999999998</v>
      </c>
      <c r="Q28" s="53">
        <v>9.65</v>
      </c>
      <c r="R28" s="43"/>
      <c r="S28" s="43"/>
      <c r="T28" s="43"/>
      <c r="U28" s="43"/>
    </row>
    <row r="29" spans="1:21" s="11" customFormat="1" x14ac:dyDescent="0.25">
      <c r="A29" s="52" t="s">
        <v>560</v>
      </c>
      <c r="B29" s="53">
        <v>55.87</v>
      </c>
      <c r="C29" s="53">
        <v>25.26</v>
      </c>
      <c r="D29" s="53">
        <v>52.7</v>
      </c>
      <c r="E29" s="53">
        <v>15.26</v>
      </c>
      <c r="F29" s="53">
        <v>4.95</v>
      </c>
      <c r="G29" s="53">
        <v>126.75</v>
      </c>
      <c r="H29" s="53">
        <v>37.32</v>
      </c>
      <c r="I29" s="53">
        <v>6.2</v>
      </c>
      <c r="J29" s="53">
        <v>0.26</v>
      </c>
      <c r="K29" s="53">
        <v>261.14999999999998</v>
      </c>
      <c r="L29" s="53">
        <v>21.05</v>
      </c>
      <c r="M29" s="53">
        <v>72.349999999999994</v>
      </c>
      <c r="N29" s="53">
        <v>40.700000000000003</v>
      </c>
      <c r="O29" s="53">
        <v>0</v>
      </c>
      <c r="P29" s="53">
        <v>2.39</v>
      </c>
      <c r="Q29" s="53">
        <v>9.66</v>
      </c>
      <c r="R29" s="43"/>
      <c r="S29" s="43"/>
      <c r="T29" s="43"/>
      <c r="U29" s="43"/>
    </row>
    <row r="30" spans="1:21" s="11" customFormat="1" x14ac:dyDescent="0.25">
      <c r="A30" s="52" t="s">
        <v>561</v>
      </c>
      <c r="B30" s="53">
        <v>81.760000000000005</v>
      </c>
      <c r="C30" s="53">
        <v>8.3699999999999992</v>
      </c>
      <c r="D30" s="53">
        <v>67.81</v>
      </c>
      <c r="E30" s="53">
        <v>9.89</v>
      </c>
      <c r="F30" s="53">
        <v>4.0999999999999996</v>
      </c>
      <c r="G30" s="53">
        <v>142.57</v>
      </c>
      <c r="H30" s="53">
        <v>47.46</v>
      </c>
      <c r="I30" s="53">
        <v>6.97</v>
      </c>
      <c r="J30" s="53">
        <v>0.28000000000000003</v>
      </c>
      <c r="K30" s="53">
        <v>343.73</v>
      </c>
      <c r="L30" s="53">
        <v>19.7</v>
      </c>
      <c r="M30" s="53">
        <v>85.6</v>
      </c>
      <c r="N30" s="53">
        <v>40.6</v>
      </c>
      <c r="O30" s="53">
        <v>0</v>
      </c>
      <c r="P30" s="53">
        <v>2.78</v>
      </c>
      <c r="Q30" s="53">
        <v>9.6999999999999993</v>
      </c>
      <c r="R30" s="43"/>
      <c r="S30" s="43"/>
      <c r="T30" s="43"/>
      <c r="U30" s="43"/>
    </row>
    <row r="31" spans="1:21" s="11" customFormat="1" x14ac:dyDescent="0.25">
      <c r="A31" s="52" t="s">
        <v>562</v>
      </c>
      <c r="B31" s="53">
        <v>64.69</v>
      </c>
      <c r="C31" s="53">
        <v>1.82</v>
      </c>
      <c r="D31" s="53">
        <v>50.34</v>
      </c>
      <c r="E31" s="53">
        <v>6.57</v>
      </c>
      <c r="F31" s="53">
        <v>3.42</v>
      </c>
      <c r="G31" s="53">
        <v>154.99</v>
      </c>
      <c r="H31" s="53">
        <v>51.44</v>
      </c>
      <c r="I31" s="53">
        <v>6.93</v>
      </c>
      <c r="J31" s="53">
        <v>0.23</v>
      </c>
      <c r="K31" s="53">
        <v>330.02</v>
      </c>
      <c r="L31" s="53">
        <v>18.8</v>
      </c>
      <c r="M31" s="53">
        <v>88.36</v>
      </c>
      <c r="N31" s="53">
        <v>40.299999999999997</v>
      </c>
      <c r="O31" s="53">
        <v>0</v>
      </c>
      <c r="P31" s="53">
        <v>2.4</v>
      </c>
      <c r="Q31" s="53">
        <v>9.7200000000000006</v>
      </c>
      <c r="R31" s="43"/>
      <c r="S31" s="43"/>
      <c r="T31" s="43"/>
      <c r="U31" s="43"/>
    </row>
    <row r="32" spans="1:21" s="11" customFormat="1" x14ac:dyDescent="0.25">
      <c r="A32" s="52" t="s">
        <v>563</v>
      </c>
      <c r="B32" s="53">
        <v>67.73</v>
      </c>
      <c r="C32" s="5" t="s">
        <v>14</v>
      </c>
      <c r="D32" s="53">
        <v>51.86</v>
      </c>
      <c r="E32" s="53">
        <v>5.82</v>
      </c>
      <c r="F32" s="53">
        <v>3.27</v>
      </c>
      <c r="G32" s="53">
        <v>137.28</v>
      </c>
      <c r="H32" s="53">
        <v>51.59</v>
      </c>
      <c r="I32" s="53">
        <v>7.66</v>
      </c>
      <c r="J32" s="53">
        <v>0.16</v>
      </c>
      <c r="K32" s="53">
        <v>333.12</v>
      </c>
      <c r="L32" s="53">
        <v>18.13</v>
      </c>
      <c r="M32" s="53">
        <v>94.77</v>
      </c>
      <c r="N32" s="53">
        <v>40.5</v>
      </c>
      <c r="O32" s="53">
        <v>0</v>
      </c>
      <c r="P32" s="53">
        <v>2.44</v>
      </c>
      <c r="Q32" s="53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</v>
      </c>
      <c r="C34" s="28">
        <f t="shared" si="0"/>
        <v>0.31</v>
      </c>
      <c r="D34" s="28">
        <f t="shared" si="0"/>
        <v>23.7</v>
      </c>
      <c r="E34" s="28">
        <f t="shared" si="0"/>
        <v>5.82</v>
      </c>
      <c r="F34" s="28">
        <f t="shared" si="0"/>
        <v>3.23</v>
      </c>
      <c r="G34" s="28">
        <f t="shared" si="0"/>
        <v>34.03</v>
      </c>
      <c r="H34" s="28">
        <f t="shared" si="0"/>
        <v>11.44</v>
      </c>
      <c r="I34" s="28">
        <f t="shared" si="0"/>
        <v>4.6900000000000004</v>
      </c>
      <c r="J34" s="28">
        <f t="shared" si="0"/>
        <v>0.16</v>
      </c>
      <c r="K34" s="28">
        <f t="shared" si="0"/>
        <v>88.46</v>
      </c>
      <c r="L34" s="28">
        <f t="shared" si="0"/>
        <v>14.7</v>
      </c>
      <c r="M34" s="28">
        <f t="shared" si="0"/>
        <v>38.159999999999997</v>
      </c>
      <c r="N34" s="28">
        <f t="shared" si="0"/>
        <v>40.299999999999997</v>
      </c>
      <c r="O34" s="28">
        <f t="shared" si="0"/>
        <v>0</v>
      </c>
      <c r="P34" s="28">
        <f t="shared" si="0"/>
        <v>1.0900000000000001</v>
      </c>
      <c r="Q34" s="28">
        <f t="shared" si="0"/>
        <v>9.4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81.760000000000005</v>
      </c>
      <c r="C35" s="29">
        <f t="shared" si="1"/>
        <v>36.36</v>
      </c>
      <c r="D35" s="29">
        <f t="shared" si="1"/>
        <v>67.81</v>
      </c>
      <c r="E35" s="29">
        <f t="shared" si="1"/>
        <v>20.93</v>
      </c>
      <c r="F35" s="29">
        <f t="shared" si="1"/>
        <v>18.79</v>
      </c>
      <c r="G35" s="29">
        <f t="shared" si="1"/>
        <v>190.41</v>
      </c>
      <c r="H35" s="29">
        <f t="shared" si="1"/>
        <v>68.36</v>
      </c>
      <c r="I35" s="29">
        <f t="shared" si="1"/>
        <v>7.66</v>
      </c>
      <c r="J35" s="29">
        <f t="shared" si="1"/>
        <v>1.3</v>
      </c>
      <c r="K35" s="29">
        <f t="shared" si="1"/>
        <v>356.64</v>
      </c>
      <c r="L35" s="29">
        <f t="shared" si="1"/>
        <v>30.97</v>
      </c>
      <c r="M35" s="29">
        <f t="shared" si="1"/>
        <v>96.7</v>
      </c>
      <c r="N35" s="29">
        <f t="shared" si="1"/>
        <v>673.4</v>
      </c>
      <c r="O35" s="29">
        <f t="shared" si="1"/>
        <v>0</v>
      </c>
      <c r="P35" s="29">
        <f t="shared" si="1"/>
        <v>2.78</v>
      </c>
      <c r="Q35" s="29">
        <f t="shared" si="1"/>
        <v>9.75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47.549583333333338</v>
      </c>
      <c r="C36" s="28">
        <f t="shared" si="2"/>
        <v>17.88176470588235</v>
      </c>
      <c r="D36" s="28">
        <f t="shared" si="2"/>
        <v>42.408750000000005</v>
      </c>
      <c r="E36" s="28">
        <f t="shared" si="2"/>
        <v>9.5466666666666669</v>
      </c>
      <c r="F36" s="28">
        <f t="shared" si="2"/>
        <v>6.8649999999999984</v>
      </c>
      <c r="G36" s="28">
        <f t="shared" si="2"/>
        <v>97.552500000000023</v>
      </c>
      <c r="H36" s="28">
        <f t="shared" si="2"/>
        <v>36.769166666666671</v>
      </c>
      <c r="I36" s="28">
        <f t="shared" si="2"/>
        <v>6.2816666666666663</v>
      </c>
      <c r="J36" s="28">
        <f t="shared" si="2"/>
        <v>0.50708333333333333</v>
      </c>
      <c r="K36" s="28">
        <f t="shared" si="2"/>
        <v>299.93833333333333</v>
      </c>
      <c r="L36" s="28">
        <f t="shared" si="2"/>
        <v>21.930000000000003</v>
      </c>
      <c r="M36" s="28">
        <f t="shared" si="2"/>
        <v>71.366666666666646</v>
      </c>
      <c r="N36" s="28">
        <f t="shared" si="2"/>
        <v>198.92916666666667</v>
      </c>
      <c r="O36" s="28">
        <f t="shared" si="2"/>
        <v>0</v>
      </c>
      <c r="P36" s="28">
        <f t="shared" si="2"/>
        <v>1.8079166666666664</v>
      </c>
      <c r="Q36" s="28">
        <f t="shared" si="2"/>
        <v>9.6554166666666656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22.358091323834568</v>
      </c>
      <c r="C37" s="28">
        <f t="shared" ref="C37:Q37" si="3">STDEV(C9:C32)</f>
        <v>12.509366608313009</v>
      </c>
      <c r="D37" s="28">
        <f t="shared" si="3"/>
        <v>11.976505011171163</v>
      </c>
      <c r="E37" s="28">
        <f t="shared" si="3"/>
        <v>4.6272413292198831</v>
      </c>
      <c r="F37" s="28">
        <f t="shared" si="3"/>
        <v>5.3968879921673398</v>
      </c>
      <c r="G37" s="28">
        <f t="shared" si="3"/>
        <v>43.942035856539292</v>
      </c>
      <c r="H37" s="28">
        <f t="shared" si="3"/>
        <v>15.403269815675252</v>
      </c>
      <c r="I37" s="28">
        <f t="shared" si="3"/>
        <v>1.0573620443129323</v>
      </c>
      <c r="J37" s="28">
        <f t="shared" si="3"/>
        <v>0.35798322971002877</v>
      </c>
      <c r="K37" s="28">
        <f t="shared" si="3"/>
        <v>84.524004600014251</v>
      </c>
      <c r="L37" s="28">
        <f t="shared" si="3"/>
        <v>5.4323379545250994</v>
      </c>
      <c r="M37" s="28">
        <f t="shared" si="3"/>
        <v>23.530022388922443</v>
      </c>
      <c r="N37" s="28">
        <f t="shared" si="3"/>
        <v>238.98239789495625</v>
      </c>
      <c r="O37" s="28">
        <f t="shared" si="3"/>
        <v>0</v>
      </c>
      <c r="P37" s="28">
        <f t="shared" si="3"/>
        <v>0.5026709457588977</v>
      </c>
      <c r="Q37" s="28">
        <f t="shared" si="3"/>
        <v>9.7444707472970377E-2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COUNT(C9:C32)+7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564</v>
      </c>
      <c r="B9" s="55">
        <v>67.94</v>
      </c>
      <c r="C9" s="5" t="s">
        <v>14</v>
      </c>
      <c r="D9" s="55">
        <v>51.67</v>
      </c>
      <c r="E9" s="55">
        <v>5.57</v>
      </c>
      <c r="F9" s="55">
        <v>3.2</v>
      </c>
      <c r="G9" s="55">
        <v>105.14</v>
      </c>
      <c r="H9" s="55">
        <v>45.71</v>
      </c>
      <c r="I9" s="55">
        <v>7.64</v>
      </c>
      <c r="J9" s="55">
        <v>0.3</v>
      </c>
      <c r="K9" s="55">
        <v>317.52</v>
      </c>
      <c r="L9" s="55">
        <v>17.38</v>
      </c>
      <c r="M9" s="55">
        <v>96.89</v>
      </c>
      <c r="N9" s="55">
        <v>40.299999999999997</v>
      </c>
      <c r="O9" s="55">
        <v>0</v>
      </c>
      <c r="P9" s="55">
        <v>2.4300000000000002</v>
      </c>
      <c r="Q9" s="55">
        <v>9.73</v>
      </c>
      <c r="R9" s="43"/>
      <c r="S9" s="43"/>
      <c r="T9" s="43"/>
      <c r="U9" s="43"/>
    </row>
    <row r="10" spans="1:21" s="11" customFormat="1" x14ac:dyDescent="0.25">
      <c r="A10" s="54" t="s">
        <v>565</v>
      </c>
      <c r="B10" s="55">
        <v>67.150000000000006</v>
      </c>
      <c r="C10" s="55">
        <v>7.0000000000000007E-2</v>
      </c>
      <c r="D10" s="55">
        <v>51.11</v>
      </c>
      <c r="E10" s="55">
        <v>5.53</v>
      </c>
      <c r="F10" s="55">
        <v>3.23</v>
      </c>
      <c r="G10" s="55">
        <v>114.75</v>
      </c>
      <c r="H10" s="55">
        <v>46.33</v>
      </c>
      <c r="I10" s="55">
        <v>7.54</v>
      </c>
      <c r="J10" s="55">
        <v>0.33</v>
      </c>
      <c r="K10" s="55">
        <v>334.75</v>
      </c>
      <c r="L10" s="55">
        <v>16.8</v>
      </c>
      <c r="M10" s="55">
        <v>96.9</v>
      </c>
      <c r="N10" s="55">
        <v>40.200000000000003</v>
      </c>
      <c r="O10" s="55">
        <v>0</v>
      </c>
      <c r="P10" s="55">
        <v>2.11</v>
      </c>
      <c r="Q10" s="55">
        <v>9.73</v>
      </c>
      <c r="R10" s="43"/>
      <c r="S10" s="43"/>
      <c r="T10" s="43"/>
      <c r="U10" s="43"/>
    </row>
    <row r="11" spans="1:21" s="11" customFormat="1" x14ac:dyDescent="0.25">
      <c r="A11" s="54" t="s">
        <v>566</v>
      </c>
      <c r="B11" s="55">
        <v>63.38</v>
      </c>
      <c r="C11" s="5" t="s">
        <v>14</v>
      </c>
      <c r="D11" s="55">
        <v>48.74</v>
      </c>
      <c r="E11" s="55">
        <v>5.32</v>
      </c>
      <c r="F11" s="55">
        <v>3.42</v>
      </c>
      <c r="G11" s="55">
        <v>103.94</v>
      </c>
      <c r="H11" s="55">
        <v>44.82</v>
      </c>
      <c r="I11" s="55">
        <v>6.96</v>
      </c>
      <c r="J11" s="55">
        <v>0.15</v>
      </c>
      <c r="K11" s="55">
        <v>338.58</v>
      </c>
      <c r="L11" s="55">
        <v>16.66</v>
      </c>
      <c r="M11" s="55">
        <v>96.88</v>
      </c>
      <c r="N11" s="55">
        <v>40.299999999999997</v>
      </c>
      <c r="O11" s="55">
        <v>0</v>
      </c>
      <c r="P11" s="55">
        <v>2.02</v>
      </c>
      <c r="Q11" s="55">
        <v>9.7200000000000006</v>
      </c>
      <c r="R11" s="43"/>
      <c r="S11" s="43"/>
      <c r="T11" s="43"/>
      <c r="U11" s="43"/>
    </row>
    <row r="12" spans="1:21" s="11" customFormat="1" x14ac:dyDescent="0.25">
      <c r="A12" s="54" t="s">
        <v>567</v>
      </c>
      <c r="B12" s="55">
        <v>57.44</v>
      </c>
      <c r="C12" s="55">
        <v>0.33</v>
      </c>
      <c r="D12" s="55">
        <v>44.88</v>
      </c>
      <c r="E12" s="55">
        <v>4.9000000000000004</v>
      </c>
      <c r="F12" s="55">
        <v>3.33</v>
      </c>
      <c r="G12" s="55">
        <v>108.45</v>
      </c>
      <c r="H12" s="55">
        <v>44.39</v>
      </c>
      <c r="I12" s="55">
        <v>6.64</v>
      </c>
      <c r="J12" s="55">
        <v>0.22</v>
      </c>
      <c r="K12" s="55">
        <v>161.61000000000001</v>
      </c>
      <c r="L12" s="55">
        <v>16.14</v>
      </c>
      <c r="M12" s="55">
        <v>96.94</v>
      </c>
      <c r="N12" s="55">
        <v>40.299999999999997</v>
      </c>
      <c r="O12" s="55">
        <v>0</v>
      </c>
      <c r="P12" s="55">
        <v>1.8</v>
      </c>
      <c r="Q12" s="55">
        <v>9.7200000000000006</v>
      </c>
      <c r="R12" s="43"/>
      <c r="S12" s="43"/>
      <c r="T12" s="43"/>
      <c r="U12" s="43"/>
    </row>
    <row r="13" spans="1:21" s="11" customFormat="1" x14ac:dyDescent="0.25">
      <c r="A13" s="54" t="s">
        <v>568</v>
      </c>
      <c r="B13" s="55">
        <v>51.73</v>
      </c>
      <c r="C13" s="55">
        <v>1.34</v>
      </c>
      <c r="D13" s="55">
        <v>41.45</v>
      </c>
      <c r="E13" s="55">
        <v>4.7300000000000004</v>
      </c>
      <c r="F13" s="55">
        <v>3.32</v>
      </c>
      <c r="G13" s="55">
        <v>146.5</v>
      </c>
      <c r="H13" s="55">
        <v>54.01</v>
      </c>
      <c r="I13" s="55">
        <v>6.38</v>
      </c>
      <c r="J13" s="55">
        <v>0.2</v>
      </c>
      <c r="K13" s="55">
        <v>332.83</v>
      </c>
      <c r="L13" s="55">
        <v>15.92</v>
      </c>
      <c r="M13" s="55">
        <v>96.9</v>
      </c>
      <c r="N13" s="55">
        <v>40.4</v>
      </c>
      <c r="O13" s="55">
        <v>0</v>
      </c>
      <c r="P13" s="55">
        <v>1.69</v>
      </c>
      <c r="Q13" s="55">
        <v>9.6999999999999993</v>
      </c>
      <c r="R13" s="43"/>
      <c r="S13" s="43"/>
      <c r="T13" s="43"/>
      <c r="U13" s="43"/>
    </row>
    <row r="14" spans="1:21" s="11" customFormat="1" x14ac:dyDescent="0.25">
      <c r="A14" s="54" t="s">
        <v>569</v>
      </c>
      <c r="B14" s="55">
        <v>55.87</v>
      </c>
      <c r="C14" s="55">
        <v>0.82</v>
      </c>
      <c r="D14" s="55">
        <v>43.95</v>
      </c>
      <c r="E14" s="55">
        <v>4.9000000000000004</v>
      </c>
      <c r="F14" s="55">
        <v>3.46</v>
      </c>
      <c r="G14" s="55">
        <v>135.97</v>
      </c>
      <c r="H14" s="55">
        <v>53.67</v>
      </c>
      <c r="I14" s="55">
        <v>6.8</v>
      </c>
      <c r="J14" s="55">
        <v>0.18</v>
      </c>
      <c r="K14" s="55">
        <v>350</v>
      </c>
      <c r="L14" s="55">
        <v>15.3</v>
      </c>
      <c r="M14" s="55">
        <v>96.93</v>
      </c>
      <c r="N14" s="55">
        <v>40.5</v>
      </c>
      <c r="O14" s="55">
        <v>0</v>
      </c>
      <c r="P14" s="55">
        <v>1.67</v>
      </c>
      <c r="Q14" s="55">
        <v>9.6999999999999993</v>
      </c>
      <c r="R14" s="43"/>
      <c r="S14" s="43"/>
      <c r="T14" s="43"/>
      <c r="U14" s="43"/>
    </row>
    <row r="15" spans="1:21" s="11" customFormat="1" x14ac:dyDescent="0.25">
      <c r="A15" s="54" t="s">
        <v>570</v>
      </c>
      <c r="B15" s="55">
        <v>58.86</v>
      </c>
      <c r="C15" s="5" t="s">
        <v>14</v>
      </c>
      <c r="D15" s="55">
        <v>45.64</v>
      </c>
      <c r="E15" s="55">
        <v>5.22</v>
      </c>
      <c r="F15" s="55">
        <v>3.47</v>
      </c>
      <c r="G15" s="55">
        <v>151.97999999999999</v>
      </c>
      <c r="H15" s="55">
        <v>56.84</v>
      </c>
      <c r="I15" s="55">
        <v>6.92</v>
      </c>
      <c r="J15" s="55">
        <v>0.18</v>
      </c>
      <c r="K15" s="55">
        <v>328.28</v>
      </c>
      <c r="L15" s="55">
        <v>15.99</v>
      </c>
      <c r="M15" s="55">
        <v>96.93</v>
      </c>
      <c r="N15" s="55">
        <v>76</v>
      </c>
      <c r="O15" s="55">
        <v>0</v>
      </c>
      <c r="P15" s="55">
        <v>1.66</v>
      </c>
      <c r="Q15" s="55">
        <v>9.7200000000000006</v>
      </c>
      <c r="R15" s="43"/>
      <c r="S15" s="43"/>
      <c r="T15" s="43"/>
      <c r="U15" s="43"/>
    </row>
    <row r="16" spans="1:21" s="11" customFormat="1" x14ac:dyDescent="0.25">
      <c r="A16" s="54" t="s">
        <v>571</v>
      </c>
      <c r="B16" s="55">
        <v>64.400000000000006</v>
      </c>
      <c r="C16" s="5" t="s">
        <v>14</v>
      </c>
      <c r="D16" s="55">
        <v>48.87</v>
      </c>
      <c r="E16" s="55">
        <v>5.72</v>
      </c>
      <c r="F16" s="55">
        <v>3.68</v>
      </c>
      <c r="G16" s="55">
        <v>155.37</v>
      </c>
      <c r="H16" s="55">
        <v>59.01</v>
      </c>
      <c r="I16" s="55">
        <v>6.81</v>
      </c>
      <c r="J16" s="55">
        <v>0.47</v>
      </c>
      <c r="K16" s="55">
        <v>353.69</v>
      </c>
      <c r="L16" s="55">
        <v>20.73</v>
      </c>
      <c r="M16" s="55">
        <v>96.88</v>
      </c>
      <c r="N16" s="55">
        <v>247.9</v>
      </c>
      <c r="O16" s="55">
        <v>0</v>
      </c>
      <c r="P16" s="55">
        <v>1.97</v>
      </c>
      <c r="Q16" s="55">
        <v>9.73</v>
      </c>
      <c r="R16" s="43"/>
      <c r="S16" s="43"/>
      <c r="T16" s="43"/>
      <c r="U16" s="43"/>
    </row>
    <row r="17" spans="1:21" s="11" customFormat="1" x14ac:dyDescent="0.25">
      <c r="A17" s="54" t="s">
        <v>572</v>
      </c>
      <c r="B17" s="55">
        <v>63.01</v>
      </c>
      <c r="C17" s="55">
        <v>0.6</v>
      </c>
      <c r="D17" s="55">
        <v>48.45</v>
      </c>
      <c r="E17" s="55">
        <v>5.59</v>
      </c>
      <c r="F17" s="55">
        <v>3.67</v>
      </c>
      <c r="G17" s="55">
        <v>177.99</v>
      </c>
      <c r="H17" s="55">
        <v>60.67</v>
      </c>
      <c r="I17" s="55">
        <v>6.8</v>
      </c>
      <c r="J17" s="55">
        <v>0.83</v>
      </c>
      <c r="K17" s="55">
        <v>355.51</v>
      </c>
      <c r="L17" s="55">
        <v>23.79</v>
      </c>
      <c r="M17" s="55">
        <v>69.8</v>
      </c>
      <c r="N17" s="55">
        <v>444.3</v>
      </c>
      <c r="O17" s="55">
        <v>0</v>
      </c>
      <c r="P17" s="55">
        <v>1.98</v>
      </c>
      <c r="Q17" s="55">
        <v>9.7200000000000006</v>
      </c>
      <c r="R17" s="43"/>
      <c r="S17" s="43"/>
      <c r="T17" s="43"/>
      <c r="U17" s="43"/>
    </row>
    <row r="18" spans="1:21" s="11" customFormat="1" x14ac:dyDescent="0.25">
      <c r="A18" s="54" t="s">
        <v>573</v>
      </c>
      <c r="B18" s="55">
        <v>54.85</v>
      </c>
      <c r="C18" s="55">
        <v>5.59</v>
      </c>
      <c r="D18" s="55">
        <v>43.23</v>
      </c>
      <c r="E18" s="55">
        <v>5.88</v>
      </c>
      <c r="F18" s="55">
        <v>4.78</v>
      </c>
      <c r="G18" s="55">
        <v>141.19999999999999</v>
      </c>
      <c r="H18" s="55">
        <v>57.12</v>
      </c>
      <c r="I18" s="55">
        <v>6.51</v>
      </c>
      <c r="J18" s="55">
        <v>1.31</v>
      </c>
      <c r="K18" s="55">
        <v>123.92</v>
      </c>
      <c r="L18" s="55">
        <v>26.89</v>
      </c>
      <c r="M18" s="55">
        <v>63.76</v>
      </c>
      <c r="N18" s="55">
        <v>549.9</v>
      </c>
      <c r="O18" s="55">
        <v>0</v>
      </c>
      <c r="P18" s="55">
        <v>1.82</v>
      </c>
      <c r="Q18" s="55">
        <v>9.7100000000000009</v>
      </c>
      <c r="R18" s="43"/>
      <c r="S18" s="43"/>
      <c r="T18" s="43"/>
      <c r="U18" s="43"/>
    </row>
    <row r="19" spans="1:21" s="11" customFormat="1" x14ac:dyDescent="0.25">
      <c r="A19" s="54" t="s">
        <v>574</v>
      </c>
      <c r="B19" s="55">
        <v>44.9</v>
      </c>
      <c r="C19" s="55">
        <v>9.1199999999999992</v>
      </c>
      <c r="D19" s="55">
        <v>39.39</v>
      </c>
      <c r="E19" s="55">
        <v>7.04</v>
      </c>
      <c r="F19" s="55">
        <v>6.06</v>
      </c>
      <c r="G19" s="55">
        <v>73.75</v>
      </c>
      <c r="H19" s="55">
        <v>46.37</v>
      </c>
      <c r="I19" s="55">
        <v>6.19</v>
      </c>
      <c r="J19" s="55">
        <v>0.59</v>
      </c>
      <c r="K19" s="55">
        <v>133.56</v>
      </c>
      <c r="L19" s="55">
        <v>27.8</v>
      </c>
      <c r="M19" s="55">
        <v>46.71</v>
      </c>
      <c r="N19" s="55">
        <v>603.9</v>
      </c>
      <c r="O19" s="55">
        <v>0</v>
      </c>
      <c r="P19" s="55">
        <v>1.65</v>
      </c>
      <c r="Q19" s="55">
        <v>9.6999999999999993</v>
      </c>
      <c r="R19" s="43"/>
      <c r="S19" s="43"/>
      <c r="T19" s="43"/>
      <c r="U19" s="43"/>
    </row>
    <row r="20" spans="1:21" s="11" customFormat="1" x14ac:dyDescent="0.25">
      <c r="A20" s="54" t="s">
        <v>575</v>
      </c>
      <c r="B20" s="55">
        <v>38.01</v>
      </c>
      <c r="C20" s="55">
        <v>14.36</v>
      </c>
      <c r="D20" s="55">
        <v>37.19</v>
      </c>
      <c r="E20" s="55">
        <v>5.89</v>
      </c>
      <c r="F20" s="55">
        <v>5.7</v>
      </c>
      <c r="G20" s="55">
        <v>59.39</v>
      </c>
      <c r="H20" s="55">
        <v>36.409999999999997</v>
      </c>
      <c r="I20" s="55">
        <v>5.95</v>
      </c>
      <c r="J20" s="55">
        <v>0.96</v>
      </c>
      <c r="K20" s="55">
        <v>335.89</v>
      </c>
      <c r="L20" s="55">
        <v>30.03</v>
      </c>
      <c r="M20" s="55">
        <v>42.52</v>
      </c>
      <c r="N20" s="55">
        <v>613.29999999999995</v>
      </c>
      <c r="O20" s="55">
        <v>0</v>
      </c>
      <c r="P20" s="55">
        <v>1.52</v>
      </c>
      <c r="Q20" s="55">
        <v>9.68</v>
      </c>
      <c r="R20" s="43"/>
      <c r="S20" s="43"/>
      <c r="T20" s="43"/>
      <c r="U20" s="43"/>
    </row>
    <row r="21" spans="1:21" s="11" customFormat="1" x14ac:dyDescent="0.25">
      <c r="A21" s="54" t="s">
        <v>576</v>
      </c>
      <c r="B21" s="55">
        <v>25.19</v>
      </c>
      <c r="C21" s="55">
        <v>20.49</v>
      </c>
      <c r="D21" s="55">
        <v>29.55</v>
      </c>
      <c r="E21" s="55">
        <v>7.41</v>
      </c>
      <c r="F21" s="55">
        <v>11.32</v>
      </c>
      <c r="G21" s="55">
        <v>40.68</v>
      </c>
      <c r="H21" s="55">
        <v>25.19</v>
      </c>
      <c r="I21" s="55">
        <v>6.1</v>
      </c>
      <c r="J21" s="55">
        <v>0.8</v>
      </c>
      <c r="K21" s="55">
        <v>349.61</v>
      </c>
      <c r="L21" s="55">
        <v>30.53</v>
      </c>
      <c r="M21" s="55">
        <v>34.28</v>
      </c>
      <c r="N21" s="55">
        <v>563.29999999999995</v>
      </c>
      <c r="O21" s="55">
        <v>0</v>
      </c>
      <c r="P21" s="55">
        <v>1.21</v>
      </c>
      <c r="Q21" s="55">
        <v>9.67</v>
      </c>
      <c r="R21" s="43"/>
      <c r="S21" s="43"/>
      <c r="T21" s="43"/>
      <c r="U21" s="43"/>
    </row>
    <row r="22" spans="1:21" s="11" customFormat="1" x14ac:dyDescent="0.25">
      <c r="A22" s="54" t="s">
        <v>577</v>
      </c>
      <c r="B22" s="55">
        <v>17.399999999999999</v>
      </c>
      <c r="C22" s="55">
        <v>22.71</v>
      </c>
      <c r="D22" s="55">
        <v>23.72</v>
      </c>
      <c r="E22" s="55">
        <v>9.42</v>
      </c>
      <c r="F22" s="55">
        <v>18.96</v>
      </c>
      <c r="G22" s="55">
        <v>52.15</v>
      </c>
      <c r="H22" s="55">
        <v>22.89</v>
      </c>
      <c r="I22" s="55">
        <v>5.58</v>
      </c>
      <c r="J22" s="55">
        <v>0.72</v>
      </c>
      <c r="K22" s="55">
        <v>336.13</v>
      </c>
      <c r="L22" s="55">
        <v>29.99</v>
      </c>
      <c r="M22" s="55">
        <v>37.5</v>
      </c>
      <c r="N22" s="55">
        <v>506.7</v>
      </c>
      <c r="O22" s="55">
        <v>0</v>
      </c>
      <c r="P22" s="55">
        <v>1.1299999999999999</v>
      </c>
      <c r="Q22" s="55">
        <v>9.64</v>
      </c>
      <c r="R22" s="43"/>
      <c r="S22" s="43"/>
      <c r="T22" s="43"/>
      <c r="U22" s="43"/>
    </row>
    <row r="23" spans="1:21" s="11" customFormat="1" x14ac:dyDescent="0.25">
      <c r="A23" s="54" t="s">
        <v>578</v>
      </c>
      <c r="B23" s="55">
        <v>12.89</v>
      </c>
      <c r="C23" s="55">
        <v>29.83</v>
      </c>
      <c r="D23" s="55">
        <v>23.71</v>
      </c>
      <c r="E23" s="55">
        <v>11.19</v>
      </c>
      <c r="F23" s="55">
        <v>25.05</v>
      </c>
      <c r="G23" s="55">
        <v>43.32</v>
      </c>
      <c r="H23" s="55">
        <v>20.95</v>
      </c>
      <c r="I23" s="55">
        <v>5.16</v>
      </c>
      <c r="J23" s="55">
        <v>0.51</v>
      </c>
      <c r="K23" s="55">
        <v>354.57</v>
      </c>
      <c r="L23" s="55">
        <v>27.53</v>
      </c>
      <c r="M23" s="55">
        <v>39.04</v>
      </c>
      <c r="N23" s="55">
        <v>153.9</v>
      </c>
      <c r="O23" s="55">
        <v>0</v>
      </c>
      <c r="P23" s="55">
        <v>1.05</v>
      </c>
      <c r="Q23" s="55">
        <v>9.59</v>
      </c>
      <c r="R23" s="43"/>
      <c r="S23" s="43"/>
      <c r="T23" s="43"/>
      <c r="U23" s="43"/>
    </row>
    <row r="24" spans="1:21" s="11" customFormat="1" x14ac:dyDescent="0.25">
      <c r="A24" s="54" t="s">
        <v>579</v>
      </c>
      <c r="B24" s="55">
        <v>13.32</v>
      </c>
      <c r="C24" s="55">
        <v>35.69</v>
      </c>
      <c r="D24" s="55">
        <v>28.87</v>
      </c>
      <c r="E24" s="55">
        <v>19.05</v>
      </c>
      <c r="F24" s="55">
        <v>18.98</v>
      </c>
      <c r="G24" s="55">
        <v>43.84</v>
      </c>
      <c r="H24" s="55">
        <v>19.93</v>
      </c>
      <c r="I24" s="55">
        <v>4.82</v>
      </c>
      <c r="J24" s="55">
        <v>0.56000000000000005</v>
      </c>
      <c r="K24" s="55">
        <v>355.7</v>
      </c>
      <c r="L24" s="55">
        <v>26.89</v>
      </c>
      <c r="M24" s="55">
        <v>41.47</v>
      </c>
      <c r="N24" s="55">
        <v>108.1</v>
      </c>
      <c r="O24" s="55">
        <v>0</v>
      </c>
      <c r="P24" s="55">
        <v>1.22</v>
      </c>
      <c r="Q24" s="55">
        <v>9.52</v>
      </c>
      <c r="R24" s="43"/>
      <c r="S24" s="43"/>
      <c r="T24" s="43"/>
      <c r="U24" s="43"/>
    </row>
    <row r="25" spans="1:21" s="11" customFormat="1" x14ac:dyDescent="0.25">
      <c r="A25" s="54" t="s">
        <v>580</v>
      </c>
      <c r="B25" s="55">
        <v>16.78</v>
      </c>
      <c r="C25" s="55">
        <v>41.34</v>
      </c>
      <c r="D25" s="55">
        <v>34.6</v>
      </c>
      <c r="E25" s="55">
        <v>22.68</v>
      </c>
      <c r="F25" s="55">
        <v>14.47</v>
      </c>
      <c r="G25" s="55">
        <v>56.87</v>
      </c>
      <c r="H25" s="55">
        <v>20.9</v>
      </c>
      <c r="I25" s="55">
        <v>4.6500000000000004</v>
      </c>
      <c r="J25" s="55">
        <v>0.82</v>
      </c>
      <c r="K25" s="55">
        <v>353.77</v>
      </c>
      <c r="L25" s="55">
        <v>26.17</v>
      </c>
      <c r="M25" s="55">
        <v>47.23</v>
      </c>
      <c r="N25" s="55">
        <v>74</v>
      </c>
      <c r="O25" s="55">
        <v>0</v>
      </c>
      <c r="P25" s="55">
        <v>1.39</v>
      </c>
      <c r="Q25" s="55">
        <v>9.49</v>
      </c>
      <c r="R25" s="43"/>
      <c r="S25" s="43"/>
      <c r="T25" s="43"/>
      <c r="U25" s="43"/>
    </row>
    <row r="26" spans="1:21" s="11" customFormat="1" x14ac:dyDescent="0.25">
      <c r="A26" s="54" t="s">
        <v>581</v>
      </c>
      <c r="B26" s="55">
        <v>34.26</v>
      </c>
      <c r="C26" s="55">
        <v>45.66</v>
      </c>
      <c r="D26" s="55">
        <v>47.61</v>
      </c>
      <c r="E26" s="55">
        <v>13.53</v>
      </c>
      <c r="F26" s="55">
        <v>7.79</v>
      </c>
      <c r="G26" s="55">
        <v>73.14</v>
      </c>
      <c r="H26" s="55">
        <v>20.76</v>
      </c>
      <c r="I26" s="55">
        <v>4.79</v>
      </c>
      <c r="J26" s="55">
        <v>0.3</v>
      </c>
      <c r="K26" s="55">
        <v>359.73</v>
      </c>
      <c r="L26" s="55">
        <v>24.18</v>
      </c>
      <c r="M26" s="55">
        <v>64.72</v>
      </c>
      <c r="N26" s="55">
        <v>43.4</v>
      </c>
      <c r="O26" s="55">
        <v>0</v>
      </c>
      <c r="P26" s="55">
        <v>2.13</v>
      </c>
      <c r="Q26" s="55">
        <v>9.56</v>
      </c>
      <c r="R26" s="43"/>
      <c r="S26" s="43"/>
      <c r="T26" s="43"/>
      <c r="U26" s="43"/>
    </row>
    <row r="27" spans="1:21" s="11" customFormat="1" x14ac:dyDescent="0.25">
      <c r="A27" s="54" t="s">
        <v>582</v>
      </c>
      <c r="B27" s="55">
        <v>45.45</v>
      </c>
      <c r="C27" s="55">
        <v>40.4</v>
      </c>
      <c r="D27" s="55">
        <v>55.3</v>
      </c>
      <c r="E27" s="55">
        <v>10.93</v>
      </c>
      <c r="F27" s="55">
        <v>6.46</v>
      </c>
      <c r="G27" s="55">
        <v>93.77</v>
      </c>
      <c r="H27" s="55">
        <v>27.98</v>
      </c>
      <c r="I27" s="55">
        <v>4.79</v>
      </c>
      <c r="J27" s="55">
        <v>0.2</v>
      </c>
      <c r="K27" s="55">
        <v>327.32</v>
      </c>
      <c r="L27" s="55">
        <v>21.98</v>
      </c>
      <c r="M27" s="55">
        <v>67.92</v>
      </c>
      <c r="N27" s="55">
        <v>40.4</v>
      </c>
      <c r="O27" s="55">
        <v>0</v>
      </c>
      <c r="P27" s="55">
        <v>2.23</v>
      </c>
      <c r="Q27" s="55">
        <v>9.65</v>
      </c>
      <c r="R27" s="43"/>
      <c r="S27" s="43"/>
      <c r="T27" s="43"/>
      <c r="U27" s="43"/>
    </row>
    <row r="28" spans="1:21" s="11" customFormat="1" x14ac:dyDescent="0.25">
      <c r="A28" s="54" t="s">
        <v>583</v>
      </c>
      <c r="B28" s="55">
        <v>61.49</v>
      </c>
      <c r="C28" s="55">
        <v>26.35</v>
      </c>
      <c r="D28" s="55">
        <v>56.03</v>
      </c>
      <c r="E28" s="55">
        <v>10.44</v>
      </c>
      <c r="F28" s="55">
        <v>5.72</v>
      </c>
      <c r="G28" s="55">
        <v>112.59</v>
      </c>
      <c r="H28" s="55">
        <v>39.1</v>
      </c>
      <c r="I28" s="55">
        <v>5.4</v>
      </c>
      <c r="J28" s="55">
        <v>0.26</v>
      </c>
      <c r="K28" s="55">
        <v>352.16</v>
      </c>
      <c r="L28" s="55">
        <v>21.2</v>
      </c>
      <c r="M28" s="55">
        <v>78.72</v>
      </c>
      <c r="N28" s="55">
        <v>40.5</v>
      </c>
      <c r="O28" s="55">
        <v>0</v>
      </c>
      <c r="P28" s="55">
        <v>2.75</v>
      </c>
      <c r="Q28" s="55">
        <v>9.65</v>
      </c>
      <c r="R28" s="43"/>
      <c r="S28" s="43"/>
      <c r="T28" s="43"/>
      <c r="U28" s="43"/>
    </row>
    <row r="29" spans="1:21" s="11" customFormat="1" x14ac:dyDescent="0.25">
      <c r="A29" s="54" t="s">
        <v>584</v>
      </c>
      <c r="B29" s="55">
        <v>54.36</v>
      </c>
      <c r="C29" s="55">
        <v>14.53</v>
      </c>
      <c r="D29" s="55">
        <v>49.25</v>
      </c>
      <c r="E29" s="55">
        <v>7.14</v>
      </c>
      <c r="F29" s="55">
        <v>3.76</v>
      </c>
      <c r="G29" s="55">
        <v>121.44</v>
      </c>
      <c r="H29" s="55">
        <v>43.96</v>
      </c>
      <c r="I29" s="55">
        <v>5.99</v>
      </c>
      <c r="J29" s="55">
        <v>0.17</v>
      </c>
      <c r="K29" s="55">
        <v>297.39</v>
      </c>
      <c r="L29" s="55">
        <v>20.66</v>
      </c>
      <c r="M29" s="55">
        <v>75.25</v>
      </c>
      <c r="N29" s="55">
        <v>40.299999999999997</v>
      </c>
      <c r="O29" s="55">
        <v>0</v>
      </c>
      <c r="P29" s="55">
        <v>2.2799999999999998</v>
      </c>
      <c r="Q29" s="55">
        <v>9.68</v>
      </c>
      <c r="R29" s="43"/>
      <c r="S29" s="43"/>
      <c r="T29" s="43"/>
      <c r="U29" s="43"/>
    </row>
    <row r="30" spans="1:21" s="11" customFormat="1" x14ac:dyDescent="0.25">
      <c r="A30" s="54" t="s">
        <v>585</v>
      </c>
      <c r="B30" s="55">
        <v>66.05</v>
      </c>
      <c r="C30" s="55">
        <v>11.37</v>
      </c>
      <c r="D30" s="55">
        <v>53.2</v>
      </c>
      <c r="E30" s="55">
        <v>6.81</v>
      </c>
      <c r="F30" s="55">
        <v>3.47</v>
      </c>
      <c r="G30" s="55">
        <v>134.31</v>
      </c>
      <c r="H30" s="55">
        <v>43.89</v>
      </c>
      <c r="I30" s="55">
        <v>6.6</v>
      </c>
      <c r="J30" s="55">
        <v>0.27</v>
      </c>
      <c r="K30" s="55">
        <v>296.32</v>
      </c>
      <c r="L30" s="55">
        <v>20.059999999999999</v>
      </c>
      <c r="M30" s="55">
        <v>82.74</v>
      </c>
      <c r="N30" s="55">
        <v>40.4</v>
      </c>
      <c r="O30" s="55">
        <v>0</v>
      </c>
      <c r="P30" s="55">
        <v>2.37</v>
      </c>
      <c r="Q30" s="55">
        <v>9.6999999999999993</v>
      </c>
      <c r="R30" s="43"/>
      <c r="S30" s="43"/>
      <c r="T30" s="43"/>
      <c r="U30" s="43"/>
    </row>
    <row r="31" spans="1:21" s="11" customFormat="1" x14ac:dyDescent="0.25">
      <c r="A31" s="54" t="s">
        <v>586</v>
      </c>
      <c r="B31" s="55">
        <v>81.44</v>
      </c>
      <c r="C31" s="55">
        <v>2.4700000000000002</v>
      </c>
      <c r="D31" s="55">
        <v>62.94</v>
      </c>
      <c r="E31" s="55">
        <v>6.67</v>
      </c>
      <c r="F31" s="55">
        <v>3.67</v>
      </c>
      <c r="G31" s="55">
        <v>153.13999999999999</v>
      </c>
      <c r="H31" s="55">
        <v>51.2</v>
      </c>
      <c r="I31" s="55">
        <v>7.22</v>
      </c>
      <c r="J31" s="55">
        <v>0.22</v>
      </c>
      <c r="K31" s="55">
        <v>307.45999999999998</v>
      </c>
      <c r="L31" s="55">
        <v>19.38</v>
      </c>
      <c r="M31" s="55">
        <v>93.72</v>
      </c>
      <c r="N31" s="55">
        <v>40.299999999999997</v>
      </c>
      <c r="O31" s="55">
        <v>0</v>
      </c>
      <c r="P31" s="55">
        <v>2.68</v>
      </c>
      <c r="Q31" s="55">
        <v>9.76</v>
      </c>
      <c r="R31" s="43"/>
      <c r="S31" s="43"/>
      <c r="T31" s="43"/>
      <c r="U31" s="43"/>
    </row>
    <row r="32" spans="1:21" s="11" customFormat="1" x14ac:dyDescent="0.25">
      <c r="A32" s="54" t="s">
        <v>587</v>
      </c>
      <c r="B32" s="55">
        <v>72.39</v>
      </c>
      <c r="C32" s="55">
        <v>5.44</v>
      </c>
      <c r="D32" s="55">
        <v>55.68</v>
      </c>
      <c r="E32" s="55">
        <v>6.43</v>
      </c>
      <c r="F32" s="55">
        <v>3.75</v>
      </c>
      <c r="G32" s="55">
        <v>147.72999999999999</v>
      </c>
      <c r="H32" s="55">
        <v>52.4</v>
      </c>
      <c r="I32" s="55">
        <v>7.8</v>
      </c>
      <c r="J32" s="55">
        <v>0.15</v>
      </c>
      <c r="K32" s="55">
        <v>353.26</v>
      </c>
      <c r="L32" s="55">
        <v>18.61</v>
      </c>
      <c r="M32" s="55">
        <v>89.63</v>
      </c>
      <c r="N32" s="55">
        <v>40.4</v>
      </c>
      <c r="O32" s="55">
        <v>0</v>
      </c>
      <c r="P32" s="55">
        <v>2.5099999999999998</v>
      </c>
      <c r="Q32" s="55">
        <v>9.77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12.89</v>
      </c>
      <c r="C34" s="28">
        <f t="shared" si="0"/>
        <v>7.0000000000000007E-2</v>
      </c>
      <c r="D34" s="28">
        <f t="shared" si="0"/>
        <v>23.71</v>
      </c>
      <c r="E34" s="28">
        <f t="shared" si="0"/>
        <v>4.7300000000000004</v>
      </c>
      <c r="F34" s="28">
        <f t="shared" si="0"/>
        <v>3.2</v>
      </c>
      <c r="G34" s="28">
        <f t="shared" si="0"/>
        <v>40.68</v>
      </c>
      <c r="H34" s="28">
        <f t="shared" si="0"/>
        <v>19.93</v>
      </c>
      <c r="I34" s="28">
        <f t="shared" si="0"/>
        <v>4.6500000000000004</v>
      </c>
      <c r="J34" s="28">
        <f t="shared" si="0"/>
        <v>0.15</v>
      </c>
      <c r="K34" s="28">
        <f t="shared" si="0"/>
        <v>123.92</v>
      </c>
      <c r="L34" s="28">
        <f t="shared" si="0"/>
        <v>15.3</v>
      </c>
      <c r="M34" s="28">
        <f t="shared" si="0"/>
        <v>34.28</v>
      </c>
      <c r="N34" s="28">
        <f t="shared" si="0"/>
        <v>40.200000000000003</v>
      </c>
      <c r="O34" s="28">
        <f t="shared" si="0"/>
        <v>0</v>
      </c>
      <c r="P34" s="28">
        <f t="shared" si="0"/>
        <v>1.05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81.44</v>
      </c>
      <c r="C35" s="29">
        <f t="shared" si="1"/>
        <v>45.66</v>
      </c>
      <c r="D35" s="29">
        <f t="shared" si="1"/>
        <v>62.94</v>
      </c>
      <c r="E35" s="29">
        <f t="shared" si="1"/>
        <v>22.68</v>
      </c>
      <c r="F35" s="29">
        <f t="shared" si="1"/>
        <v>25.05</v>
      </c>
      <c r="G35" s="29">
        <f t="shared" si="1"/>
        <v>177.99</v>
      </c>
      <c r="H35" s="29">
        <f t="shared" si="1"/>
        <v>60.67</v>
      </c>
      <c r="I35" s="29">
        <f t="shared" si="1"/>
        <v>7.8</v>
      </c>
      <c r="J35" s="29">
        <f t="shared" si="1"/>
        <v>1.31</v>
      </c>
      <c r="K35" s="29">
        <f t="shared" si="1"/>
        <v>359.73</v>
      </c>
      <c r="L35" s="29">
        <f t="shared" si="1"/>
        <v>30.53</v>
      </c>
      <c r="M35" s="29">
        <f t="shared" si="1"/>
        <v>96.94</v>
      </c>
      <c r="N35" s="29">
        <f t="shared" si="1"/>
        <v>613.29999999999995</v>
      </c>
      <c r="O35" s="29">
        <f t="shared" si="1"/>
        <v>0</v>
      </c>
      <c r="P35" s="29">
        <f t="shared" si="1"/>
        <v>2.75</v>
      </c>
      <c r="Q35" s="29">
        <f t="shared" si="1"/>
        <v>9.77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49.523333333333341</v>
      </c>
      <c r="C36" s="28">
        <f t="shared" si="2"/>
        <v>16.4255</v>
      </c>
      <c r="D36" s="28">
        <f t="shared" si="2"/>
        <v>44.376249999999999</v>
      </c>
      <c r="E36" s="28">
        <f t="shared" si="2"/>
        <v>8.2495833333333319</v>
      </c>
      <c r="F36" s="28">
        <f t="shared" si="2"/>
        <v>7.1133333333333333</v>
      </c>
      <c r="G36" s="28">
        <f t="shared" si="2"/>
        <v>106.14208333333333</v>
      </c>
      <c r="H36" s="28">
        <f t="shared" si="2"/>
        <v>41.4375</v>
      </c>
      <c r="I36" s="28">
        <f t="shared" si="2"/>
        <v>6.2516666666666678</v>
      </c>
      <c r="J36" s="28">
        <f t="shared" si="2"/>
        <v>0.4458333333333333</v>
      </c>
      <c r="K36" s="28">
        <f t="shared" si="2"/>
        <v>312.89833333333326</v>
      </c>
      <c r="L36" s="28">
        <f t="shared" si="2"/>
        <v>22.108750000000004</v>
      </c>
      <c r="M36" s="28">
        <f t="shared" si="2"/>
        <v>72.927500000000009</v>
      </c>
      <c r="N36" s="28">
        <f t="shared" si="2"/>
        <v>186.20833333333329</v>
      </c>
      <c r="O36" s="28">
        <f t="shared" si="2"/>
        <v>0</v>
      </c>
      <c r="P36" s="28">
        <f t="shared" si="2"/>
        <v>1.8862499999999998</v>
      </c>
      <c r="Q36" s="28">
        <f t="shared" si="2"/>
        <v>9.6766666666666676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20.002239150017473</v>
      </c>
      <c r="C37" s="28">
        <f t="shared" ref="C37:Q37" si="3">STDEV(C9:C32)</f>
        <v>15.429343361885088</v>
      </c>
      <c r="D37" s="28">
        <f t="shared" si="3"/>
        <v>10.409013574155642</v>
      </c>
      <c r="E37" s="28">
        <f t="shared" si="3"/>
        <v>4.5581436717027746</v>
      </c>
      <c r="F37" s="28">
        <f t="shared" si="3"/>
        <v>6.1033488075536599</v>
      </c>
      <c r="G37" s="28">
        <f t="shared" si="3"/>
        <v>41.94217509849431</v>
      </c>
      <c r="H37" s="28">
        <f t="shared" si="3"/>
        <v>13.729679134285494</v>
      </c>
      <c r="I37" s="28">
        <f t="shared" si="3"/>
        <v>0.94596473262078351</v>
      </c>
      <c r="J37" s="28">
        <f t="shared" si="3"/>
        <v>0.31447563901871928</v>
      </c>
      <c r="K37" s="28">
        <f t="shared" si="3"/>
        <v>69.527429786766064</v>
      </c>
      <c r="L37" s="28">
        <f t="shared" si="3"/>
        <v>5.0801132412061429</v>
      </c>
      <c r="M37" s="28">
        <f t="shared" si="3"/>
        <v>23.5830195452059</v>
      </c>
      <c r="N37" s="28">
        <f t="shared" si="3"/>
        <v>219.8831466675102</v>
      </c>
      <c r="O37" s="28">
        <f t="shared" si="3"/>
        <v>0</v>
      </c>
      <c r="P37" s="28">
        <f t="shared" si="3"/>
        <v>0.48759224322396078</v>
      </c>
      <c r="Q37" s="28">
        <f t="shared" si="3"/>
        <v>7.1728150235677246E-2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42" sqref="E4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588</v>
      </c>
      <c r="B9" s="55">
        <v>71.83</v>
      </c>
      <c r="C9" s="5" t="s">
        <v>14</v>
      </c>
      <c r="D9" s="55">
        <v>54.21</v>
      </c>
      <c r="E9" s="55">
        <v>6.01</v>
      </c>
      <c r="F9" s="55">
        <v>3.3</v>
      </c>
      <c r="G9" s="55">
        <v>113.8</v>
      </c>
      <c r="H9" s="55">
        <v>41.37</v>
      </c>
      <c r="I9" s="55">
        <v>7.44</v>
      </c>
      <c r="J9" s="55">
        <v>0.32</v>
      </c>
      <c r="K9" s="55">
        <v>141.93</v>
      </c>
      <c r="L9" s="55">
        <v>17.670000000000002</v>
      </c>
      <c r="M9" s="55">
        <v>96.3</v>
      </c>
      <c r="N9" s="55">
        <v>40.299999999999997</v>
      </c>
      <c r="O9" s="55">
        <v>0</v>
      </c>
      <c r="P9" s="55">
        <v>2.4900000000000002</v>
      </c>
      <c r="Q9" s="55">
        <v>9.75</v>
      </c>
      <c r="R9" s="43"/>
      <c r="S9" s="43"/>
      <c r="T9" s="43"/>
      <c r="U9" s="43"/>
    </row>
    <row r="10" spans="1:21" s="11" customFormat="1" x14ac:dyDescent="0.25">
      <c r="A10" s="54" t="s">
        <v>589</v>
      </c>
      <c r="B10" s="55">
        <v>65.349999999999994</v>
      </c>
      <c r="C10" s="5" t="s">
        <v>14</v>
      </c>
      <c r="D10" s="55">
        <v>50.06</v>
      </c>
      <c r="E10" s="55">
        <v>5.77</v>
      </c>
      <c r="F10" s="55">
        <v>3.2</v>
      </c>
      <c r="G10" s="55">
        <v>106.01</v>
      </c>
      <c r="H10" s="55">
        <v>42.48</v>
      </c>
      <c r="I10" s="55">
        <v>6.81</v>
      </c>
      <c r="J10" s="55">
        <v>0.25</v>
      </c>
      <c r="K10" s="55">
        <v>226.62</v>
      </c>
      <c r="L10" s="55">
        <v>17.670000000000002</v>
      </c>
      <c r="M10" s="55">
        <v>96.82</v>
      </c>
      <c r="N10" s="55">
        <v>40.200000000000003</v>
      </c>
      <c r="O10" s="55">
        <v>0</v>
      </c>
      <c r="P10" s="55">
        <v>2.09</v>
      </c>
      <c r="Q10" s="55">
        <v>9.7200000000000006</v>
      </c>
      <c r="R10" s="43"/>
      <c r="S10" s="43"/>
      <c r="T10" s="43"/>
      <c r="U10" s="43"/>
    </row>
    <row r="11" spans="1:21" s="11" customFormat="1" x14ac:dyDescent="0.25">
      <c r="A11" s="54" t="s">
        <v>590</v>
      </c>
      <c r="B11" s="55">
        <v>57.43</v>
      </c>
      <c r="C11" s="55">
        <v>0.78</v>
      </c>
      <c r="D11" s="55">
        <v>45.29</v>
      </c>
      <c r="E11" s="55">
        <v>5.5</v>
      </c>
      <c r="F11" s="55">
        <v>3.28</v>
      </c>
      <c r="G11" s="55">
        <v>89.25</v>
      </c>
      <c r="H11" s="55">
        <v>39.81</v>
      </c>
      <c r="I11" s="55">
        <v>6.63</v>
      </c>
      <c r="J11" s="55">
        <v>0.33</v>
      </c>
      <c r="K11" s="55">
        <v>303.39</v>
      </c>
      <c r="L11" s="55">
        <v>16.829999999999998</v>
      </c>
      <c r="M11" s="55">
        <v>96.9</v>
      </c>
      <c r="N11" s="55">
        <v>40.4</v>
      </c>
      <c r="O11" s="55">
        <v>0</v>
      </c>
      <c r="P11" s="55">
        <v>1.95</v>
      </c>
      <c r="Q11" s="55">
        <v>9.6999999999999993</v>
      </c>
      <c r="R11" s="43"/>
      <c r="S11" s="43"/>
      <c r="T11" s="43"/>
      <c r="U11" s="43"/>
    </row>
    <row r="12" spans="1:21" s="11" customFormat="1" x14ac:dyDescent="0.25">
      <c r="A12" s="54" t="s">
        <v>591</v>
      </c>
      <c r="B12" s="55">
        <v>50.67</v>
      </c>
      <c r="C12" s="55">
        <v>3.18</v>
      </c>
      <c r="D12" s="55">
        <v>40.950000000000003</v>
      </c>
      <c r="E12" s="55">
        <v>5.62</v>
      </c>
      <c r="F12" s="55">
        <v>3.36</v>
      </c>
      <c r="G12" s="55">
        <v>78.31</v>
      </c>
      <c r="H12" s="55">
        <v>37.25</v>
      </c>
      <c r="I12" s="55">
        <v>7.15</v>
      </c>
      <c r="J12" s="55">
        <v>0.16</v>
      </c>
      <c r="K12" s="55">
        <v>278.08</v>
      </c>
      <c r="L12" s="55">
        <v>16.22</v>
      </c>
      <c r="M12" s="55">
        <v>96.9</v>
      </c>
      <c r="N12" s="55">
        <v>40.200000000000003</v>
      </c>
      <c r="O12" s="55">
        <v>0</v>
      </c>
      <c r="P12" s="55">
        <v>1.81</v>
      </c>
      <c r="Q12" s="55">
        <v>9.6999999999999993</v>
      </c>
      <c r="R12" s="43"/>
      <c r="S12" s="43"/>
      <c r="T12" s="43"/>
      <c r="U12" s="43"/>
    </row>
    <row r="13" spans="1:21" s="11" customFormat="1" x14ac:dyDescent="0.25">
      <c r="A13" s="54" t="s">
        <v>592</v>
      </c>
      <c r="B13" s="55">
        <v>46.34</v>
      </c>
      <c r="C13" s="55">
        <v>4.32</v>
      </c>
      <c r="D13" s="55">
        <v>38.54</v>
      </c>
      <c r="E13" s="55">
        <v>5.79</v>
      </c>
      <c r="F13" s="55">
        <v>3.47</v>
      </c>
      <c r="G13" s="55">
        <v>73.33</v>
      </c>
      <c r="H13" s="55">
        <v>34.36</v>
      </c>
      <c r="I13" s="55">
        <v>6.3</v>
      </c>
      <c r="J13" s="55">
        <v>0.23</v>
      </c>
      <c r="K13" s="55">
        <v>192.89</v>
      </c>
      <c r="L13" s="55">
        <v>16.05</v>
      </c>
      <c r="M13" s="55">
        <v>96.95</v>
      </c>
      <c r="N13" s="55">
        <v>40.1</v>
      </c>
      <c r="O13" s="55">
        <v>0</v>
      </c>
      <c r="P13" s="55">
        <v>1.7</v>
      </c>
      <c r="Q13" s="55">
        <v>9.6999999999999993</v>
      </c>
      <c r="R13" s="43"/>
      <c r="S13" s="43"/>
      <c r="T13" s="43"/>
      <c r="U13" s="43"/>
    </row>
    <row r="14" spans="1:21" s="11" customFormat="1" x14ac:dyDescent="0.25">
      <c r="A14" s="54" t="s">
        <v>593</v>
      </c>
      <c r="B14" s="55">
        <v>52.64</v>
      </c>
      <c r="C14" s="55">
        <v>3.55</v>
      </c>
      <c r="D14" s="55">
        <v>42.04</v>
      </c>
      <c r="E14" s="55">
        <v>5.47</v>
      </c>
      <c r="F14" s="55">
        <v>3.44</v>
      </c>
      <c r="G14" s="55">
        <v>78.48</v>
      </c>
      <c r="H14" s="55">
        <v>35.99</v>
      </c>
      <c r="I14" s="55">
        <v>6.55</v>
      </c>
      <c r="J14" s="55">
        <v>0.2</v>
      </c>
      <c r="K14" s="55">
        <v>341.68</v>
      </c>
      <c r="L14" s="55">
        <v>15.79</v>
      </c>
      <c r="M14" s="55">
        <v>97.01</v>
      </c>
      <c r="N14" s="55">
        <v>40.1</v>
      </c>
      <c r="O14" s="55">
        <v>0</v>
      </c>
      <c r="P14" s="55">
        <v>1.47</v>
      </c>
      <c r="Q14" s="55">
        <v>9.69</v>
      </c>
      <c r="R14" s="43"/>
      <c r="S14" s="43"/>
      <c r="T14" s="43"/>
      <c r="U14" s="43"/>
    </row>
    <row r="15" spans="1:21" s="11" customFormat="1" x14ac:dyDescent="0.25">
      <c r="A15" s="54" t="s">
        <v>594</v>
      </c>
      <c r="B15" s="55">
        <v>58.43</v>
      </c>
      <c r="C15" s="55">
        <v>0.01</v>
      </c>
      <c r="D15" s="55">
        <v>44.96</v>
      </c>
      <c r="E15" s="55">
        <v>5.73</v>
      </c>
      <c r="F15" s="55">
        <v>3.17</v>
      </c>
      <c r="G15" s="55">
        <v>94.3</v>
      </c>
      <c r="H15" s="55">
        <v>39.83</v>
      </c>
      <c r="I15" s="55">
        <v>7.09</v>
      </c>
      <c r="J15" s="55">
        <v>0.2</v>
      </c>
      <c r="K15" s="55">
        <v>115.05</v>
      </c>
      <c r="L15" s="55">
        <v>16.39</v>
      </c>
      <c r="M15" s="55">
        <v>96.99</v>
      </c>
      <c r="N15" s="55">
        <v>74.599999999999994</v>
      </c>
      <c r="O15" s="55">
        <v>0</v>
      </c>
      <c r="P15" s="55">
        <v>1.46</v>
      </c>
      <c r="Q15" s="55">
        <v>9.7100000000000009</v>
      </c>
      <c r="R15" s="43"/>
      <c r="S15" s="43"/>
      <c r="T15" s="43"/>
      <c r="U15" s="43"/>
    </row>
    <row r="16" spans="1:21" s="11" customFormat="1" x14ac:dyDescent="0.25">
      <c r="A16" s="54" t="s">
        <v>595</v>
      </c>
      <c r="B16" s="55">
        <v>59.76</v>
      </c>
      <c r="C16" s="55">
        <v>0.84</v>
      </c>
      <c r="D16" s="55">
        <v>45.53</v>
      </c>
      <c r="E16" s="55">
        <v>5.73</v>
      </c>
      <c r="F16" s="55">
        <v>3.59</v>
      </c>
      <c r="G16" s="55">
        <v>100.32</v>
      </c>
      <c r="H16" s="55">
        <v>40.020000000000003</v>
      </c>
      <c r="I16" s="55">
        <v>6.61</v>
      </c>
      <c r="J16" s="55">
        <v>0.54</v>
      </c>
      <c r="K16" s="55">
        <v>124.96</v>
      </c>
      <c r="L16" s="55">
        <v>20.51</v>
      </c>
      <c r="M16" s="55">
        <v>95.59</v>
      </c>
      <c r="N16" s="55">
        <v>235.5</v>
      </c>
      <c r="O16" s="55">
        <v>0</v>
      </c>
      <c r="P16" s="55">
        <v>1.65</v>
      </c>
      <c r="Q16" s="55">
        <v>9.7100000000000009</v>
      </c>
      <c r="R16" s="43"/>
      <c r="S16" s="43"/>
      <c r="T16" s="43"/>
      <c r="U16" s="43"/>
    </row>
    <row r="17" spans="1:21" s="11" customFormat="1" x14ac:dyDescent="0.25">
      <c r="A17" s="54" t="s">
        <v>596</v>
      </c>
      <c r="B17" s="55">
        <v>56.31</v>
      </c>
      <c r="C17" s="55">
        <v>2.4900000000000002</v>
      </c>
      <c r="D17" s="55">
        <v>44.25</v>
      </c>
      <c r="E17" s="55">
        <v>6.22</v>
      </c>
      <c r="F17" s="55">
        <v>5</v>
      </c>
      <c r="G17" s="55">
        <v>117</v>
      </c>
      <c r="H17" s="55">
        <v>46.5</v>
      </c>
      <c r="I17" s="55">
        <v>7.3</v>
      </c>
      <c r="J17" s="55">
        <v>0.77</v>
      </c>
      <c r="K17" s="55">
        <v>146.74</v>
      </c>
      <c r="L17" s="55">
        <v>22.67</v>
      </c>
      <c r="M17" s="55">
        <v>81.39</v>
      </c>
      <c r="N17" s="55">
        <v>418.3</v>
      </c>
      <c r="O17" s="55">
        <v>0</v>
      </c>
      <c r="P17" s="55">
        <v>1.65</v>
      </c>
      <c r="Q17" s="55">
        <v>9.6999999999999993</v>
      </c>
      <c r="R17" s="43"/>
      <c r="S17" s="43"/>
      <c r="T17" s="43"/>
      <c r="U17" s="43"/>
    </row>
    <row r="18" spans="1:21" s="11" customFormat="1" x14ac:dyDescent="0.25">
      <c r="A18" s="54" t="s">
        <v>597</v>
      </c>
      <c r="B18" s="55">
        <v>51.26</v>
      </c>
      <c r="C18" s="55">
        <v>6.24</v>
      </c>
      <c r="D18" s="55">
        <v>41.71</v>
      </c>
      <c r="E18" s="55">
        <v>6.05</v>
      </c>
      <c r="F18" s="55">
        <v>3.67</v>
      </c>
      <c r="G18" s="55">
        <v>105.89</v>
      </c>
      <c r="H18" s="55">
        <v>42.38</v>
      </c>
      <c r="I18" s="55">
        <v>6.8</v>
      </c>
      <c r="J18" s="55">
        <v>0.69</v>
      </c>
      <c r="K18" s="55">
        <v>127.88</v>
      </c>
      <c r="L18" s="55">
        <v>25.95</v>
      </c>
      <c r="M18" s="55">
        <v>56.9</v>
      </c>
      <c r="N18" s="55">
        <v>533.29999999999995</v>
      </c>
      <c r="O18" s="55">
        <v>0</v>
      </c>
      <c r="P18" s="55">
        <v>1.56</v>
      </c>
      <c r="Q18" s="55">
        <v>9.69</v>
      </c>
      <c r="R18" s="43"/>
      <c r="S18" s="43"/>
      <c r="T18" s="43"/>
      <c r="U18" s="43"/>
    </row>
    <row r="19" spans="1:21" s="11" customFormat="1" x14ac:dyDescent="0.25">
      <c r="A19" s="54" t="s">
        <v>598</v>
      </c>
      <c r="B19" s="55">
        <v>42.47</v>
      </c>
      <c r="C19" s="55">
        <v>11.85</v>
      </c>
      <c r="D19" s="55">
        <v>37.549999999999997</v>
      </c>
      <c r="E19" s="55">
        <v>6.29</v>
      </c>
      <c r="F19" s="55">
        <v>4.5</v>
      </c>
      <c r="G19" s="55">
        <v>96.42</v>
      </c>
      <c r="H19" s="55">
        <v>41.9</v>
      </c>
      <c r="I19" s="55">
        <v>6.15</v>
      </c>
      <c r="J19" s="55">
        <v>0.92</v>
      </c>
      <c r="K19" s="55">
        <v>128.63</v>
      </c>
      <c r="L19" s="55">
        <v>28.81</v>
      </c>
      <c r="M19" s="55">
        <v>47.13</v>
      </c>
      <c r="N19" s="55">
        <v>589.1</v>
      </c>
      <c r="O19" s="55">
        <v>0</v>
      </c>
      <c r="P19" s="55">
        <v>1.43</v>
      </c>
      <c r="Q19" s="55">
        <v>9.67</v>
      </c>
      <c r="R19" s="43"/>
      <c r="S19" s="43"/>
      <c r="T19" s="43"/>
      <c r="U19" s="43"/>
    </row>
    <row r="20" spans="1:21" s="11" customFormat="1" x14ac:dyDescent="0.25">
      <c r="A20" s="54" t="s">
        <v>599</v>
      </c>
      <c r="B20" s="55">
        <v>31.81</v>
      </c>
      <c r="C20" s="55">
        <v>16.3</v>
      </c>
      <c r="D20" s="55">
        <v>31.75</v>
      </c>
      <c r="E20" s="55">
        <v>8.5399999999999991</v>
      </c>
      <c r="F20" s="55">
        <v>13.22</v>
      </c>
      <c r="G20" s="55">
        <v>82.72</v>
      </c>
      <c r="H20" s="55">
        <v>35.31</v>
      </c>
      <c r="I20" s="55">
        <v>5.83</v>
      </c>
      <c r="J20" s="55">
        <v>0.67</v>
      </c>
      <c r="K20" s="55">
        <v>120.08</v>
      </c>
      <c r="L20" s="55">
        <v>30.11</v>
      </c>
      <c r="M20" s="55">
        <v>39.090000000000003</v>
      </c>
      <c r="N20" s="55">
        <v>607.9</v>
      </c>
      <c r="O20" s="55">
        <v>0</v>
      </c>
      <c r="P20" s="55">
        <v>1.29</v>
      </c>
      <c r="Q20" s="55">
        <v>9.66</v>
      </c>
      <c r="R20" s="43"/>
      <c r="S20" s="43"/>
      <c r="T20" s="43"/>
      <c r="U20" s="43"/>
    </row>
    <row r="21" spans="1:21" s="11" customFormat="1" x14ac:dyDescent="0.25">
      <c r="A21" s="54" t="s">
        <v>600</v>
      </c>
      <c r="B21" s="55">
        <v>20.11</v>
      </c>
      <c r="C21" s="55">
        <v>21.7</v>
      </c>
      <c r="D21" s="55">
        <v>27</v>
      </c>
      <c r="E21" s="55">
        <v>9.1</v>
      </c>
      <c r="F21" s="55">
        <v>16.16</v>
      </c>
      <c r="G21" s="55">
        <v>64.06</v>
      </c>
      <c r="H21" s="55">
        <v>27.36</v>
      </c>
      <c r="I21" s="55">
        <v>5.43</v>
      </c>
      <c r="J21" s="55">
        <v>0.96</v>
      </c>
      <c r="K21" s="55">
        <v>338.12</v>
      </c>
      <c r="L21" s="55">
        <v>31.29</v>
      </c>
      <c r="M21" s="55">
        <v>33.619999999999997</v>
      </c>
      <c r="N21" s="55">
        <v>580.9</v>
      </c>
      <c r="O21" s="55">
        <v>0</v>
      </c>
      <c r="P21" s="55">
        <v>1.0900000000000001</v>
      </c>
      <c r="Q21" s="55">
        <v>9.66</v>
      </c>
      <c r="R21" s="43"/>
      <c r="S21" s="43"/>
      <c r="T21" s="43"/>
      <c r="U21" s="43"/>
    </row>
    <row r="22" spans="1:21" s="11" customFormat="1" x14ac:dyDescent="0.25">
      <c r="A22" s="54" t="s">
        <v>601</v>
      </c>
      <c r="B22" s="55">
        <v>15.6</v>
      </c>
      <c r="C22" s="55">
        <v>22.02</v>
      </c>
      <c r="D22" s="55">
        <v>23.33</v>
      </c>
      <c r="E22" s="55">
        <v>9.14</v>
      </c>
      <c r="F22" s="55">
        <v>16.43</v>
      </c>
      <c r="G22" s="55">
        <v>54.51</v>
      </c>
      <c r="H22" s="55">
        <v>23.66</v>
      </c>
      <c r="I22" s="55">
        <v>5.04</v>
      </c>
      <c r="J22" s="55">
        <v>1.18</v>
      </c>
      <c r="K22" s="55">
        <v>130.72</v>
      </c>
      <c r="L22" s="55">
        <v>28.6</v>
      </c>
      <c r="M22" s="55">
        <v>33.57</v>
      </c>
      <c r="N22" s="55">
        <v>487.6</v>
      </c>
      <c r="O22" s="55">
        <v>0</v>
      </c>
      <c r="P22" s="55">
        <v>1.04</v>
      </c>
      <c r="Q22" s="55">
        <v>9.64</v>
      </c>
      <c r="R22" s="43"/>
      <c r="S22" s="43"/>
      <c r="T22" s="43"/>
      <c r="U22" s="43"/>
    </row>
    <row r="23" spans="1:21" s="11" customFormat="1" x14ac:dyDescent="0.25">
      <c r="A23" s="54" t="s">
        <v>602</v>
      </c>
      <c r="B23" s="55">
        <v>10.87</v>
      </c>
      <c r="C23" s="55">
        <v>30.77</v>
      </c>
      <c r="D23" s="55">
        <v>22.09</v>
      </c>
      <c r="E23" s="55">
        <v>16.63</v>
      </c>
      <c r="F23" s="55">
        <v>22.91</v>
      </c>
      <c r="G23" s="55">
        <v>48.57</v>
      </c>
      <c r="H23" s="55">
        <v>19.73</v>
      </c>
      <c r="I23" s="55">
        <v>5.22</v>
      </c>
      <c r="J23" s="55">
        <v>0.67</v>
      </c>
      <c r="K23" s="55">
        <v>349.87</v>
      </c>
      <c r="L23" s="55">
        <v>27.73</v>
      </c>
      <c r="M23" s="55">
        <v>34.71</v>
      </c>
      <c r="N23" s="55">
        <v>158.69999999999999</v>
      </c>
      <c r="O23" s="55">
        <v>0</v>
      </c>
      <c r="P23" s="55">
        <v>0.91</v>
      </c>
      <c r="Q23" s="55">
        <v>9.51</v>
      </c>
      <c r="R23" s="43"/>
      <c r="S23" s="43"/>
      <c r="T23" s="43"/>
      <c r="U23" s="43"/>
    </row>
    <row r="24" spans="1:21" s="11" customFormat="1" x14ac:dyDescent="0.25">
      <c r="A24" s="54" t="s">
        <v>603</v>
      </c>
      <c r="B24" s="55">
        <v>7.57</v>
      </c>
      <c r="C24" s="55">
        <v>29.28</v>
      </c>
      <c r="D24" s="55">
        <v>20.91</v>
      </c>
      <c r="E24" s="55">
        <v>22.05</v>
      </c>
      <c r="F24" s="55">
        <v>35.28</v>
      </c>
      <c r="G24" s="55">
        <v>51.23</v>
      </c>
      <c r="H24" s="55">
        <v>22.44</v>
      </c>
      <c r="I24" s="55">
        <v>4.8099999999999996</v>
      </c>
      <c r="J24" s="55">
        <v>0.56000000000000005</v>
      </c>
      <c r="K24" s="55">
        <v>340.8</v>
      </c>
      <c r="L24" s="55">
        <v>27.39</v>
      </c>
      <c r="M24" s="55">
        <v>35.89</v>
      </c>
      <c r="N24" s="55">
        <v>107.8</v>
      </c>
      <c r="O24" s="55">
        <v>0</v>
      </c>
      <c r="P24" s="55">
        <v>0.94</v>
      </c>
      <c r="Q24" s="55">
        <v>9.41</v>
      </c>
      <c r="R24" s="43"/>
      <c r="S24" s="43"/>
      <c r="T24" s="43"/>
      <c r="U24" s="43"/>
    </row>
    <row r="25" spans="1:21" s="11" customFormat="1" x14ac:dyDescent="0.25">
      <c r="A25" s="54" t="s">
        <v>604</v>
      </c>
      <c r="B25" s="55">
        <v>17.2</v>
      </c>
      <c r="C25" s="55">
        <v>54.09</v>
      </c>
      <c r="D25" s="55">
        <v>41.59</v>
      </c>
      <c r="E25" s="55">
        <v>27.47</v>
      </c>
      <c r="F25" s="55">
        <v>28.4</v>
      </c>
      <c r="G25" s="55">
        <v>54.05</v>
      </c>
      <c r="H25" s="55">
        <v>19.989999999999998</v>
      </c>
      <c r="I25" s="55">
        <v>4.5</v>
      </c>
      <c r="J25" s="55">
        <v>0.59</v>
      </c>
      <c r="K25" s="55">
        <v>307.26</v>
      </c>
      <c r="L25" s="55">
        <v>26.33</v>
      </c>
      <c r="M25" s="55">
        <v>49.36</v>
      </c>
      <c r="N25" s="55">
        <v>73.599999999999994</v>
      </c>
      <c r="O25" s="55">
        <v>0</v>
      </c>
      <c r="P25" s="55">
        <v>1.32</v>
      </c>
      <c r="Q25" s="55">
        <v>9.3699999999999992</v>
      </c>
      <c r="R25" s="43"/>
      <c r="S25" s="43"/>
      <c r="T25" s="43"/>
      <c r="U25" s="43"/>
    </row>
    <row r="26" spans="1:21" s="11" customFormat="1" x14ac:dyDescent="0.25">
      <c r="A26" s="54" t="s">
        <v>605</v>
      </c>
      <c r="B26" s="55">
        <v>38.880000000000003</v>
      </c>
      <c r="C26" s="55">
        <v>52.72</v>
      </c>
      <c r="D26" s="55">
        <v>51.94</v>
      </c>
      <c r="E26" s="55">
        <v>17.260000000000002</v>
      </c>
      <c r="F26" s="55">
        <v>6.07</v>
      </c>
      <c r="G26" s="55">
        <v>56.77</v>
      </c>
      <c r="H26" s="55">
        <v>24.02</v>
      </c>
      <c r="I26" s="55">
        <v>4.3</v>
      </c>
      <c r="J26" s="55">
        <v>0.2</v>
      </c>
      <c r="K26" s="55">
        <v>352.45</v>
      </c>
      <c r="L26" s="55">
        <v>24.07</v>
      </c>
      <c r="M26" s="55">
        <v>63.43</v>
      </c>
      <c r="N26" s="55">
        <v>42.9</v>
      </c>
      <c r="O26" s="55">
        <v>0</v>
      </c>
      <c r="P26" s="55">
        <v>1.81</v>
      </c>
      <c r="Q26" s="55">
        <v>9.4600000000000009</v>
      </c>
      <c r="R26" s="43"/>
      <c r="S26" s="43"/>
      <c r="T26" s="43"/>
      <c r="U26" s="43"/>
    </row>
    <row r="27" spans="1:21" s="11" customFormat="1" x14ac:dyDescent="0.25">
      <c r="A27" s="54" t="s">
        <v>606</v>
      </c>
      <c r="B27" s="55">
        <v>58.03</v>
      </c>
      <c r="C27" s="55">
        <v>27.27</v>
      </c>
      <c r="D27" s="55">
        <v>56.81</v>
      </c>
      <c r="E27" s="55">
        <v>8.8000000000000007</v>
      </c>
      <c r="F27" s="55">
        <v>4.32</v>
      </c>
      <c r="G27" s="55">
        <v>75.27</v>
      </c>
      <c r="H27" s="55">
        <v>28.09</v>
      </c>
      <c r="I27" s="55">
        <v>4.21</v>
      </c>
      <c r="J27" s="55">
        <v>0.22</v>
      </c>
      <c r="K27" s="55">
        <v>321.29000000000002</v>
      </c>
      <c r="L27" s="55">
        <v>22.04</v>
      </c>
      <c r="M27" s="55">
        <v>81.64</v>
      </c>
      <c r="N27" s="55">
        <v>40.5</v>
      </c>
      <c r="O27" s="55">
        <v>0</v>
      </c>
      <c r="P27" s="55">
        <v>1.78</v>
      </c>
      <c r="Q27" s="55">
        <v>9.6300000000000008</v>
      </c>
      <c r="R27" s="43"/>
      <c r="S27" s="43"/>
      <c r="T27" s="43"/>
      <c r="U27" s="43"/>
    </row>
    <row r="28" spans="1:21" s="11" customFormat="1" x14ac:dyDescent="0.25">
      <c r="A28" s="54" t="s">
        <v>607</v>
      </c>
      <c r="B28" s="55">
        <v>34.82</v>
      </c>
      <c r="C28" s="55">
        <v>28.12</v>
      </c>
      <c r="D28" s="55">
        <v>39.1</v>
      </c>
      <c r="E28" s="55">
        <v>8.17</v>
      </c>
      <c r="F28" s="55">
        <v>6.19</v>
      </c>
      <c r="G28" s="55">
        <v>90.46</v>
      </c>
      <c r="H28" s="55">
        <v>30.95</v>
      </c>
      <c r="I28" s="55">
        <v>4.6900000000000004</v>
      </c>
      <c r="J28" s="55">
        <v>0.24</v>
      </c>
      <c r="K28" s="55">
        <v>355.98</v>
      </c>
      <c r="L28" s="55">
        <v>21.65</v>
      </c>
      <c r="M28" s="55">
        <v>69.78</v>
      </c>
      <c r="N28" s="55">
        <v>40.6</v>
      </c>
      <c r="O28" s="55">
        <v>0</v>
      </c>
      <c r="P28" s="55">
        <v>1.67</v>
      </c>
      <c r="Q28" s="55">
        <v>9.66</v>
      </c>
      <c r="R28" s="43"/>
      <c r="S28" s="43"/>
      <c r="T28" s="43"/>
      <c r="U28" s="43"/>
    </row>
    <row r="29" spans="1:21" s="11" customFormat="1" x14ac:dyDescent="0.25">
      <c r="A29" s="54" t="s">
        <v>608</v>
      </c>
      <c r="B29" s="55">
        <v>80.040000000000006</v>
      </c>
      <c r="C29" s="55">
        <v>23.37</v>
      </c>
      <c r="D29" s="55">
        <v>65.31</v>
      </c>
      <c r="E29" s="55">
        <v>7.52</v>
      </c>
      <c r="F29" s="55">
        <v>4.2</v>
      </c>
      <c r="G29" s="55">
        <v>88.38</v>
      </c>
      <c r="H29" s="55">
        <v>30.5</v>
      </c>
      <c r="I29" s="55">
        <v>5.33</v>
      </c>
      <c r="J29" s="55">
        <v>0.28999999999999998</v>
      </c>
      <c r="K29" s="55">
        <v>338.01</v>
      </c>
      <c r="L29" s="55">
        <v>20.6</v>
      </c>
      <c r="M29" s="55">
        <v>82.55</v>
      </c>
      <c r="N29" s="55">
        <v>40.5</v>
      </c>
      <c r="O29" s="55">
        <v>0</v>
      </c>
      <c r="P29" s="55">
        <v>2.44</v>
      </c>
      <c r="Q29" s="55">
        <v>9.66</v>
      </c>
      <c r="R29" s="43"/>
      <c r="S29" s="43"/>
      <c r="T29" s="43"/>
      <c r="U29" s="43"/>
    </row>
    <row r="30" spans="1:21" s="11" customFormat="1" x14ac:dyDescent="0.25">
      <c r="A30" s="54" t="s">
        <v>609</v>
      </c>
      <c r="B30" s="55">
        <v>79.05</v>
      </c>
      <c r="C30" s="55">
        <v>19.559999999999999</v>
      </c>
      <c r="D30" s="55">
        <v>66.33</v>
      </c>
      <c r="E30" s="55">
        <v>7.55</v>
      </c>
      <c r="F30" s="55">
        <v>3.86</v>
      </c>
      <c r="G30" s="55">
        <v>98.58</v>
      </c>
      <c r="H30" s="55">
        <v>34.270000000000003</v>
      </c>
      <c r="I30" s="55">
        <v>5.74</v>
      </c>
      <c r="J30" s="55">
        <v>0.23</v>
      </c>
      <c r="K30" s="55">
        <v>326.64999999999998</v>
      </c>
      <c r="L30" s="55">
        <v>20.27</v>
      </c>
      <c r="M30" s="55">
        <v>77.92</v>
      </c>
      <c r="N30" s="55">
        <v>40.4</v>
      </c>
      <c r="O30" s="55">
        <v>0</v>
      </c>
      <c r="P30" s="55">
        <v>2.35</v>
      </c>
      <c r="Q30" s="55">
        <v>9.69</v>
      </c>
      <c r="R30" s="43"/>
      <c r="S30" s="43"/>
      <c r="T30" s="43"/>
      <c r="U30" s="43"/>
    </row>
    <row r="31" spans="1:21" s="11" customFormat="1" x14ac:dyDescent="0.25">
      <c r="A31" s="54" t="s">
        <v>610</v>
      </c>
      <c r="B31" s="55">
        <v>57.98</v>
      </c>
      <c r="C31" s="55">
        <v>11.28</v>
      </c>
      <c r="D31" s="55">
        <v>49.12</v>
      </c>
      <c r="E31" s="55">
        <v>6.41</v>
      </c>
      <c r="F31" s="55">
        <v>3.25</v>
      </c>
      <c r="G31" s="55">
        <v>101.34</v>
      </c>
      <c r="H31" s="55">
        <v>35.86</v>
      </c>
      <c r="I31" s="55">
        <v>6.24</v>
      </c>
      <c r="J31" s="55">
        <v>0.22</v>
      </c>
      <c r="K31" s="55">
        <v>326.22000000000003</v>
      </c>
      <c r="L31" s="55">
        <v>20</v>
      </c>
      <c r="M31" s="55">
        <v>79.22</v>
      </c>
      <c r="N31" s="55">
        <v>40.6</v>
      </c>
      <c r="O31" s="55">
        <v>0</v>
      </c>
      <c r="P31" s="55">
        <v>1.9</v>
      </c>
      <c r="Q31" s="55">
        <v>9.7100000000000009</v>
      </c>
      <c r="R31" s="43"/>
      <c r="S31" s="43"/>
      <c r="T31" s="43"/>
      <c r="U31" s="43"/>
    </row>
    <row r="32" spans="1:21" s="11" customFormat="1" x14ac:dyDescent="0.25">
      <c r="A32" s="54" t="s">
        <v>611</v>
      </c>
      <c r="B32" s="55">
        <v>60.81</v>
      </c>
      <c r="C32" s="55">
        <v>1.62</v>
      </c>
      <c r="D32" s="55">
        <v>48.41</v>
      </c>
      <c r="E32" s="55">
        <v>6.03</v>
      </c>
      <c r="F32" s="55">
        <v>3.31</v>
      </c>
      <c r="G32" s="55">
        <v>96.71</v>
      </c>
      <c r="H32" s="55">
        <v>34.79</v>
      </c>
      <c r="I32" s="55">
        <v>5.57</v>
      </c>
      <c r="J32" s="55">
        <v>0.18</v>
      </c>
      <c r="K32" s="55">
        <v>348.13</v>
      </c>
      <c r="L32" s="55">
        <v>18.8</v>
      </c>
      <c r="M32" s="55">
        <v>92.55</v>
      </c>
      <c r="N32" s="55">
        <v>40.5</v>
      </c>
      <c r="O32" s="55">
        <v>0</v>
      </c>
      <c r="P32" s="55">
        <v>1.89</v>
      </c>
      <c r="Q32" s="55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7.57</v>
      </c>
      <c r="C34" s="28">
        <f t="shared" si="0"/>
        <v>0.01</v>
      </c>
      <c r="D34" s="28">
        <f t="shared" si="0"/>
        <v>20.91</v>
      </c>
      <c r="E34" s="28">
        <f t="shared" si="0"/>
        <v>5.47</v>
      </c>
      <c r="F34" s="28">
        <f t="shared" si="0"/>
        <v>3.17</v>
      </c>
      <c r="G34" s="28">
        <f t="shared" si="0"/>
        <v>48.57</v>
      </c>
      <c r="H34" s="28">
        <f t="shared" si="0"/>
        <v>19.73</v>
      </c>
      <c r="I34" s="28">
        <f t="shared" si="0"/>
        <v>4.21</v>
      </c>
      <c r="J34" s="28">
        <f t="shared" si="0"/>
        <v>0.16</v>
      </c>
      <c r="K34" s="28">
        <f t="shared" si="0"/>
        <v>115.05</v>
      </c>
      <c r="L34" s="28">
        <f t="shared" si="0"/>
        <v>15.79</v>
      </c>
      <c r="M34" s="28">
        <f t="shared" si="0"/>
        <v>33.57</v>
      </c>
      <c r="N34" s="28">
        <f t="shared" si="0"/>
        <v>40.1</v>
      </c>
      <c r="O34" s="28">
        <f t="shared" si="0"/>
        <v>0</v>
      </c>
      <c r="P34" s="28">
        <f t="shared" si="0"/>
        <v>0.91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80.040000000000006</v>
      </c>
      <c r="C35" s="29">
        <f t="shared" si="1"/>
        <v>54.09</v>
      </c>
      <c r="D35" s="29">
        <f t="shared" si="1"/>
        <v>66.33</v>
      </c>
      <c r="E35" s="29">
        <f t="shared" si="1"/>
        <v>27.47</v>
      </c>
      <c r="F35" s="29">
        <f t="shared" si="1"/>
        <v>35.28</v>
      </c>
      <c r="G35" s="29">
        <f t="shared" si="1"/>
        <v>117</v>
      </c>
      <c r="H35" s="29">
        <f t="shared" si="1"/>
        <v>46.5</v>
      </c>
      <c r="I35" s="29">
        <f t="shared" si="1"/>
        <v>7.44</v>
      </c>
      <c r="J35" s="29">
        <f t="shared" si="1"/>
        <v>1.18</v>
      </c>
      <c r="K35" s="29">
        <f t="shared" si="1"/>
        <v>355.98</v>
      </c>
      <c r="L35" s="29">
        <f t="shared" si="1"/>
        <v>31.29</v>
      </c>
      <c r="M35" s="29">
        <f t="shared" si="1"/>
        <v>97.01</v>
      </c>
      <c r="N35" s="29">
        <f t="shared" si="1"/>
        <v>607.9</v>
      </c>
      <c r="O35" s="29">
        <f t="shared" si="1"/>
        <v>0</v>
      </c>
      <c r="P35" s="29">
        <f t="shared" si="1"/>
        <v>2.4900000000000002</v>
      </c>
      <c r="Q35" s="29">
        <f t="shared" si="1"/>
        <v>9.75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46.885833333333331</v>
      </c>
      <c r="C36" s="28">
        <f t="shared" si="2"/>
        <v>16.88</v>
      </c>
      <c r="D36" s="28">
        <f t="shared" si="2"/>
        <v>42.865833333333342</v>
      </c>
      <c r="E36" s="28">
        <f t="shared" si="2"/>
        <v>9.1187500000000004</v>
      </c>
      <c r="F36" s="28">
        <f t="shared" si="2"/>
        <v>8.4824999999999999</v>
      </c>
      <c r="G36" s="28">
        <f t="shared" si="2"/>
        <v>83.989999999999981</v>
      </c>
      <c r="H36" s="28">
        <f t="shared" si="2"/>
        <v>33.702500000000001</v>
      </c>
      <c r="I36" s="28">
        <f t="shared" si="2"/>
        <v>5.9058333333333337</v>
      </c>
      <c r="J36" s="28">
        <f t="shared" si="2"/>
        <v>0.45083333333333336</v>
      </c>
      <c r="K36" s="28">
        <f t="shared" si="2"/>
        <v>253.47625000000002</v>
      </c>
      <c r="L36" s="28">
        <f t="shared" si="2"/>
        <v>22.22666666666667</v>
      </c>
      <c r="M36" s="28">
        <f t="shared" si="2"/>
        <v>72.175416666666663</v>
      </c>
      <c r="N36" s="28">
        <f t="shared" si="2"/>
        <v>183.10833333333335</v>
      </c>
      <c r="O36" s="28">
        <f t="shared" si="2"/>
        <v>0</v>
      </c>
      <c r="P36" s="28">
        <f t="shared" si="2"/>
        <v>1.6537499999999998</v>
      </c>
      <c r="Q36" s="28">
        <f t="shared" si="2"/>
        <v>9.6462500000000002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20.830812235863426</v>
      </c>
      <c r="C37" s="28">
        <f t="shared" ref="C37:Q37" si="3">STDEV(C9:C32)</f>
        <v>15.861594227207158</v>
      </c>
      <c r="D37" s="28">
        <f t="shared" si="3"/>
        <v>12.050184886428118</v>
      </c>
      <c r="E37" s="28">
        <f t="shared" si="3"/>
        <v>5.7834646698113872</v>
      </c>
      <c r="F37" s="28">
        <f t="shared" si="3"/>
        <v>8.9726348464069652</v>
      </c>
      <c r="G37" s="28">
        <f t="shared" si="3"/>
        <v>20.557508730811591</v>
      </c>
      <c r="H37" s="28">
        <f t="shared" si="3"/>
        <v>7.7407185656787343</v>
      </c>
      <c r="I37" s="28">
        <f t="shared" si="3"/>
        <v>0.99259395203838385</v>
      </c>
      <c r="J37" s="28">
        <f t="shared" si="3"/>
        <v>0.29477945575672659</v>
      </c>
      <c r="K37" s="28">
        <f t="shared" si="3"/>
        <v>97.274600188578617</v>
      </c>
      <c r="L37" s="28">
        <f t="shared" si="3"/>
        <v>4.9622940580784336</v>
      </c>
      <c r="M37" s="28">
        <f t="shared" si="3"/>
        <v>24.531771410040751</v>
      </c>
      <c r="N37" s="28">
        <f t="shared" si="3"/>
        <v>215.80173855258636</v>
      </c>
      <c r="O37" s="28">
        <f t="shared" si="3"/>
        <v>0</v>
      </c>
      <c r="P37" s="28">
        <f t="shared" si="3"/>
        <v>0.43713307594708201</v>
      </c>
      <c r="Q37" s="28">
        <f t="shared" si="3"/>
        <v>0.1014594585986464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22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612</v>
      </c>
      <c r="B9" s="55">
        <v>62.22</v>
      </c>
      <c r="C9" s="55">
        <v>0.56000000000000005</v>
      </c>
      <c r="D9" s="55">
        <v>48.62</v>
      </c>
      <c r="E9" s="55">
        <v>5.3</v>
      </c>
      <c r="F9" s="55">
        <v>3.08</v>
      </c>
      <c r="G9" s="55">
        <v>97.55</v>
      </c>
      <c r="H9" s="55">
        <v>35.840000000000003</v>
      </c>
      <c r="I9" s="55">
        <v>5.5</v>
      </c>
      <c r="J9" s="55">
        <v>0.25</v>
      </c>
      <c r="K9" s="55">
        <v>316.8</v>
      </c>
      <c r="L9" s="55">
        <v>18.02</v>
      </c>
      <c r="M9" s="55">
        <v>96.88</v>
      </c>
      <c r="N9" s="55">
        <v>40.4</v>
      </c>
      <c r="O9" s="55">
        <v>0</v>
      </c>
      <c r="P9" s="55">
        <v>1.86</v>
      </c>
      <c r="Q9" s="55">
        <v>9.7200000000000006</v>
      </c>
      <c r="R9" s="43"/>
      <c r="S9" s="43"/>
      <c r="T9" s="43"/>
      <c r="U9" s="43"/>
    </row>
    <row r="10" spans="1:21" s="11" customFormat="1" x14ac:dyDescent="0.25">
      <c r="A10" s="54" t="s">
        <v>613</v>
      </c>
      <c r="B10" s="55">
        <v>58.35</v>
      </c>
      <c r="C10" s="55">
        <v>3.18</v>
      </c>
      <c r="D10" s="55">
        <v>45.96</v>
      </c>
      <c r="E10" s="55">
        <v>5.47</v>
      </c>
      <c r="F10" s="55">
        <v>3.2</v>
      </c>
      <c r="G10" s="55">
        <v>99.77</v>
      </c>
      <c r="H10" s="55">
        <v>36.58</v>
      </c>
      <c r="I10" s="55">
        <v>5.87</v>
      </c>
      <c r="J10" s="55">
        <v>0.19</v>
      </c>
      <c r="K10" s="55">
        <v>286.76</v>
      </c>
      <c r="L10" s="55">
        <v>17.64</v>
      </c>
      <c r="M10" s="55">
        <v>96.93</v>
      </c>
      <c r="N10" s="55">
        <v>40.299999999999997</v>
      </c>
      <c r="O10" s="55">
        <v>0</v>
      </c>
      <c r="P10" s="55">
        <v>1.75</v>
      </c>
      <c r="Q10" s="55">
        <v>9.7200000000000006</v>
      </c>
      <c r="R10" s="43"/>
      <c r="S10" s="43"/>
      <c r="T10" s="43"/>
      <c r="U10" s="43"/>
    </row>
    <row r="11" spans="1:21" s="11" customFormat="1" x14ac:dyDescent="0.25">
      <c r="A11" s="54" t="s">
        <v>614</v>
      </c>
      <c r="B11" s="55">
        <v>57.74</v>
      </c>
      <c r="C11" s="55">
        <v>1.97</v>
      </c>
      <c r="D11" s="55">
        <v>45.15</v>
      </c>
      <c r="E11" s="55">
        <v>5.84</v>
      </c>
      <c r="F11" s="55">
        <v>3.58</v>
      </c>
      <c r="G11" s="55">
        <v>94.88</v>
      </c>
      <c r="H11" s="55">
        <v>37.81</v>
      </c>
      <c r="I11" s="55">
        <v>5.89</v>
      </c>
      <c r="J11" s="55">
        <v>0.19</v>
      </c>
      <c r="K11" s="55">
        <v>308.49</v>
      </c>
      <c r="L11" s="55">
        <v>17.399999999999999</v>
      </c>
      <c r="M11" s="55">
        <v>96.96</v>
      </c>
      <c r="N11" s="55">
        <v>40.4</v>
      </c>
      <c r="O11" s="55">
        <v>0</v>
      </c>
      <c r="P11" s="55">
        <v>1.76</v>
      </c>
      <c r="Q11" s="55">
        <v>9.7200000000000006</v>
      </c>
      <c r="R11" s="43"/>
      <c r="S11" s="43"/>
      <c r="T11" s="43"/>
      <c r="U11" s="43"/>
    </row>
    <row r="12" spans="1:21" s="11" customFormat="1" x14ac:dyDescent="0.25">
      <c r="A12" s="54" t="s">
        <v>615</v>
      </c>
      <c r="B12" s="55">
        <v>58.29</v>
      </c>
      <c r="C12" s="5" t="s">
        <v>14</v>
      </c>
      <c r="D12" s="55">
        <v>45.03</v>
      </c>
      <c r="E12" s="55">
        <v>5.5</v>
      </c>
      <c r="F12" s="55">
        <v>3.39</v>
      </c>
      <c r="G12" s="55">
        <v>96.14</v>
      </c>
      <c r="H12" s="55">
        <v>39.5</v>
      </c>
      <c r="I12" s="55">
        <v>6.58</v>
      </c>
      <c r="J12" s="55">
        <v>0.19</v>
      </c>
      <c r="K12" s="55">
        <v>144.77000000000001</v>
      </c>
      <c r="L12" s="55">
        <v>16.89</v>
      </c>
      <c r="M12" s="55">
        <v>96.97</v>
      </c>
      <c r="N12" s="55">
        <v>40.1</v>
      </c>
      <c r="O12" s="55">
        <v>0</v>
      </c>
      <c r="P12" s="55">
        <v>1.7</v>
      </c>
      <c r="Q12" s="55">
        <v>9.7100000000000009</v>
      </c>
      <c r="R12" s="43"/>
      <c r="S12" s="43"/>
      <c r="T12" s="43"/>
      <c r="U12" s="43"/>
    </row>
    <row r="13" spans="1:21" s="11" customFormat="1" x14ac:dyDescent="0.25">
      <c r="A13" s="54" t="s">
        <v>616</v>
      </c>
      <c r="B13" s="55">
        <v>55.57</v>
      </c>
      <c r="C13" s="55">
        <v>0.03</v>
      </c>
      <c r="D13" s="55">
        <v>43.32</v>
      </c>
      <c r="E13" s="55">
        <v>5.24</v>
      </c>
      <c r="F13" s="55">
        <v>3.17</v>
      </c>
      <c r="G13" s="55">
        <v>94.31</v>
      </c>
      <c r="H13" s="55">
        <v>38.270000000000003</v>
      </c>
      <c r="I13" s="55">
        <v>6.63</v>
      </c>
      <c r="J13" s="55">
        <v>0.27</v>
      </c>
      <c r="K13" s="55">
        <v>102.53</v>
      </c>
      <c r="L13" s="55">
        <v>16.97</v>
      </c>
      <c r="M13" s="55">
        <v>96.89</v>
      </c>
      <c r="N13" s="55">
        <v>40.1</v>
      </c>
      <c r="O13" s="55">
        <v>0</v>
      </c>
      <c r="P13" s="55">
        <v>1.64</v>
      </c>
      <c r="Q13" s="55">
        <v>9.6999999999999993</v>
      </c>
      <c r="R13" s="43"/>
      <c r="S13" s="43"/>
      <c r="T13" s="43"/>
      <c r="U13" s="43"/>
    </row>
    <row r="14" spans="1:21" s="11" customFormat="1" x14ac:dyDescent="0.25">
      <c r="A14" s="54" t="s">
        <v>617</v>
      </c>
      <c r="B14" s="55">
        <v>48.89</v>
      </c>
      <c r="C14" s="55">
        <v>2.21</v>
      </c>
      <c r="D14" s="55">
        <v>39.56</v>
      </c>
      <c r="E14" s="55">
        <v>5.31</v>
      </c>
      <c r="F14" s="55">
        <v>3.25</v>
      </c>
      <c r="G14" s="55">
        <v>114.22</v>
      </c>
      <c r="H14" s="55">
        <v>46.24</v>
      </c>
      <c r="I14" s="55">
        <v>6.19</v>
      </c>
      <c r="J14" s="55">
        <v>0.42</v>
      </c>
      <c r="K14" s="55">
        <v>342.85</v>
      </c>
      <c r="L14" s="55">
        <v>16.899999999999999</v>
      </c>
      <c r="M14" s="55">
        <v>96.89</v>
      </c>
      <c r="N14" s="55">
        <v>40.4</v>
      </c>
      <c r="O14" s="55">
        <v>0</v>
      </c>
      <c r="P14" s="55">
        <v>1.77</v>
      </c>
      <c r="Q14" s="55">
        <v>9.6999999999999993</v>
      </c>
      <c r="R14" s="43"/>
      <c r="S14" s="43"/>
      <c r="T14" s="43"/>
      <c r="U14" s="43"/>
    </row>
    <row r="15" spans="1:21" s="11" customFormat="1" x14ac:dyDescent="0.25">
      <c r="A15" s="54" t="s">
        <v>618</v>
      </c>
      <c r="B15" s="55">
        <v>45.56</v>
      </c>
      <c r="C15" s="55">
        <v>28.51</v>
      </c>
      <c r="D15" s="55">
        <v>37.590000000000003</v>
      </c>
      <c r="E15" s="55">
        <v>5.48</v>
      </c>
      <c r="F15" s="55">
        <v>5.17</v>
      </c>
      <c r="G15" s="55">
        <v>112.97</v>
      </c>
      <c r="H15" s="55">
        <v>44.41</v>
      </c>
      <c r="I15" s="55">
        <v>6.13</v>
      </c>
      <c r="J15" s="55">
        <v>0.15</v>
      </c>
      <c r="K15" s="55">
        <v>246.33</v>
      </c>
      <c r="L15" s="55">
        <v>16.91</v>
      </c>
      <c r="M15" s="55">
        <v>96.87</v>
      </c>
      <c r="N15" s="55">
        <v>82.7</v>
      </c>
      <c r="O15" s="55">
        <v>0</v>
      </c>
      <c r="P15" s="55">
        <v>1.72</v>
      </c>
      <c r="Q15" s="55">
        <v>9.68</v>
      </c>
      <c r="R15" s="43"/>
      <c r="S15" s="43"/>
      <c r="T15" s="43"/>
      <c r="U15" s="43"/>
    </row>
    <row r="16" spans="1:21" s="11" customFormat="1" x14ac:dyDescent="0.25">
      <c r="A16" s="54" t="s">
        <v>619</v>
      </c>
      <c r="B16" s="55">
        <v>8.86</v>
      </c>
      <c r="C16" s="55">
        <v>29.44</v>
      </c>
      <c r="D16" s="55">
        <v>19.64</v>
      </c>
      <c r="E16" s="55">
        <v>5.25</v>
      </c>
      <c r="F16" s="55">
        <v>4.3</v>
      </c>
      <c r="G16" s="55">
        <v>56.05</v>
      </c>
      <c r="H16" s="55">
        <v>35.270000000000003</v>
      </c>
      <c r="I16" s="55">
        <v>4.51</v>
      </c>
      <c r="J16" s="55">
        <v>0.45</v>
      </c>
      <c r="K16" s="55">
        <v>129.26</v>
      </c>
      <c r="L16" s="55">
        <v>20.3</v>
      </c>
      <c r="M16" s="55">
        <v>95.39</v>
      </c>
      <c r="N16" s="55">
        <v>244.8</v>
      </c>
      <c r="O16" s="55">
        <v>0</v>
      </c>
      <c r="P16" s="55">
        <v>0.84</v>
      </c>
      <c r="Q16" s="55">
        <v>9.3800000000000008</v>
      </c>
      <c r="R16" s="43"/>
      <c r="S16" s="43"/>
      <c r="T16" s="43"/>
      <c r="U16" s="43"/>
    </row>
    <row r="17" spans="1:21" s="11" customFormat="1" x14ac:dyDescent="0.25">
      <c r="A17" s="54" t="s">
        <v>620</v>
      </c>
      <c r="B17" s="55">
        <v>12.42</v>
      </c>
      <c r="C17" s="55">
        <v>23.01</v>
      </c>
      <c r="D17" s="55">
        <v>20.2</v>
      </c>
      <c r="E17" s="55">
        <v>5.34</v>
      </c>
      <c r="F17" s="55">
        <v>3.46</v>
      </c>
      <c r="G17" s="55">
        <v>105.27</v>
      </c>
      <c r="H17" s="55">
        <v>31.98</v>
      </c>
      <c r="I17" s="55">
        <v>4.01</v>
      </c>
      <c r="J17" s="55">
        <v>0.96</v>
      </c>
      <c r="K17" s="55">
        <v>320.97000000000003</v>
      </c>
      <c r="L17" s="55">
        <v>23.31</v>
      </c>
      <c r="M17" s="55">
        <v>72.55</v>
      </c>
      <c r="N17" s="55">
        <v>399.7</v>
      </c>
      <c r="O17" s="55">
        <v>0</v>
      </c>
      <c r="P17" s="55">
        <v>0.83</v>
      </c>
      <c r="Q17" s="55">
        <v>9.39</v>
      </c>
      <c r="R17" s="43"/>
      <c r="S17" s="43"/>
      <c r="T17" s="43"/>
      <c r="U17" s="43"/>
    </row>
    <row r="18" spans="1:21" s="11" customFormat="1" x14ac:dyDescent="0.25">
      <c r="A18" s="54" t="s">
        <v>621</v>
      </c>
      <c r="B18" s="55">
        <v>13.93</v>
      </c>
      <c r="C18" s="55">
        <v>20.2</v>
      </c>
      <c r="D18" s="55">
        <v>21.09</v>
      </c>
      <c r="E18" s="55">
        <v>5.57</v>
      </c>
      <c r="F18" s="55">
        <v>4.58</v>
      </c>
      <c r="G18" s="55">
        <v>81.98</v>
      </c>
      <c r="H18" s="55">
        <v>31.88</v>
      </c>
      <c r="I18" s="55">
        <v>4.1100000000000003</v>
      </c>
      <c r="J18" s="55">
        <v>0.94</v>
      </c>
      <c r="K18" s="55">
        <v>124.36</v>
      </c>
      <c r="L18" s="55">
        <v>25.19</v>
      </c>
      <c r="M18" s="55">
        <v>62.48</v>
      </c>
      <c r="N18" s="55">
        <v>505.3</v>
      </c>
      <c r="O18" s="55">
        <v>0</v>
      </c>
      <c r="P18" s="55">
        <v>0.84</v>
      </c>
      <c r="Q18" s="55">
        <v>9.4499999999999993</v>
      </c>
      <c r="R18" s="43"/>
      <c r="S18" s="43"/>
      <c r="T18" s="43"/>
      <c r="U18" s="43"/>
    </row>
    <row r="19" spans="1:21" s="11" customFormat="1" x14ac:dyDescent="0.25">
      <c r="A19" s="54" t="s">
        <v>622</v>
      </c>
      <c r="B19" s="55">
        <v>14.91</v>
      </c>
      <c r="C19" s="55">
        <v>22.15</v>
      </c>
      <c r="D19" s="55">
        <v>23.04</v>
      </c>
      <c r="E19" s="55">
        <v>6.36</v>
      </c>
      <c r="F19" s="55">
        <v>5.6</v>
      </c>
      <c r="G19" s="55">
        <v>62.73</v>
      </c>
      <c r="H19" s="55">
        <v>30.1</v>
      </c>
      <c r="I19" s="55">
        <v>4.1500000000000004</v>
      </c>
      <c r="J19" s="55">
        <v>0.93</v>
      </c>
      <c r="K19" s="55">
        <v>344.6</v>
      </c>
      <c r="L19" s="55">
        <v>29.46</v>
      </c>
      <c r="M19" s="55">
        <v>54.37</v>
      </c>
      <c r="N19" s="55">
        <v>555.5</v>
      </c>
      <c r="O19" s="55">
        <v>0</v>
      </c>
      <c r="P19" s="55">
        <v>0.87</v>
      </c>
      <c r="Q19" s="55">
        <v>9.48</v>
      </c>
      <c r="R19" s="43"/>
      <c r="S19" s="43"/>
      <c r="T19" s="43"/>
      <c r="U19" s="43"/>
    </row>
    <row r="20" spans="1:21" s="11" customFormat="1" x14ac:dyDescent="0.25">
      <c r="A20" s="54" t="s">
        <v>623</v>
      </c>
      <c r="B20" s="55">
        <v>16.89</v>
      </c>
      <c r="C20" s="55">
        <v>22.23</v>
      </c>
      <c r="D20" s="55">
        <v>24.7</v>
      </c>
      <c r="E20" s="55">
        <v>6.71</v>
      </c>
      <c r="F20" s="55">
        <v>5.37</v>
      </c>
      <c r="G20" s="55">
        <v>64.12</v>
      </c>
      <c r="H20" s="55">
        <v>26.83</v>
      </c>
      <c r="I20" s="55">
        <v>4.1500000000000004</v>
      </c>
      <c r="J20" s="55">
        <v>1.1499999999999999</v>
      </c>
      <c r="K20" s="55">
        <v>335.82</v>
      </c>
      <c r="L20" s="55">
        <v>29.83</v>
      </c>
      <c r="M20" s="55">
        <v>44.11</v>
      </c>
      <c r="N20" s="55">
        <v>576.1</v>
      </c>
      <c r="O20" s="55">
        <v>0</v>
      </c>
      <c r="P20" s="55">
        <v>0.89</v>
      </c>
      <c r="Q20" s="55">
        <v>9.49</v>
      </c>
      <c r="R20" s="43"/>
      <c r="S20" s="43"/>
      <c r="T20" s="43"/>
      <c r="U20" s="43"/>
    </row>
    <row r="21" spans="1:21" s="11" customFormat="1" x14ac:dyDescent="0.25">
      <c r="A21" s="54" t="s">
        <v>624</v>
      </c>
      <c r="B21" s="55">
        <v>12.02</v>
      </c>
      <c r="C21" s="55">
        <v>20.28</v>
      </c>
      <c r="D21" s="55">
        <v>19.48</v>
      </c>
      <c r="E21" s="55">
        <v>6.6</v>
      </c>
      <c r="F21" s="55">
        <v>8.76</v>
      </c>
      <c r="G21" s="55">
        <v>48.23</v>
      </c>
      <c r="H21" s="55">
        <v>21.06</v>
      </c>
      <c r="I21" s="55">
        <v>4.13</v>
      </c>
      <c r="J21" s="55">
        <v>0.95</v>
      </c>
      <c r="K21" s="55">
        <v>127.33</v>
      </c>
      <c r="L21" s="55">
        <v>27.75</v>
      </c>
      <c r="M21" s="55">
        <v>43.35</v>
      </c>
      <c r="N21" s="55">
        <v>566.20000000000005</v>
      </c>
      <c r="O21" s="55">
        <v>0</v>
      </c>
      <c r="P21" s="55">
        <v>0.77</v>
      </c>
      <c r="Q21" s="55">
        <v>9.4700000000000006</v>
      </c>
      <c r="R21" s="43"/>
      <c r="S21" s="43"/>
      <c r="T21" s="43"/>
      <c r="U21" s="43"/>
    </row>
    <row r="22" spans="1:21" s="11" customFormat="1" x14ac:dyDescent="0.25">
      <c r="A22" s="54" t="s">
        <v>625</v>
      </c>
      <c r="B22" s="55">
        <v>9.0500000000000007</v>
      </c>
      <c r="C22" s="55">
        <v>20.98</v>
      </c>
      <c r="D22" s="55">
        <v>17.28</v>
      </c>
      <c r="E22" s="55">
        <v>8.31</v>
      </c>
      <c r="F22" s="55">
        <v>17.989999999999998</v>
      </c>
      <c r="G22" s="55">
        <v>41.45</v>
      </c>
      <c r="H22" s="55">
        <v>17.89</v>
      </c>
      <c r="I22" s="55">
        <v>3.93</v>
      </c>
      <c r="J22" s="55">
        <v>1.29</v>
      </c>
      <c r="K22" s="55">
        <v>124.42</v>
      </c>
      <c r="L22" s="55">
        <v>28.04</v>
      </c>
      <c r="M22" s="55">
        <v>42.38</v>
      </c>
      <c r="N22" s="55">
        <v>436.7</v>
      </c>
      <c r="O22" s="55">
        <v>0</v>
      </c>
      <c r="P22" s="55">
        <v>0.79</v>
      </c>
      <c r="Q22" s="55">
        <v>9.41</v>
      </c>
      <c r="R22" s="43"/>
      <c r="S22" s="43"/>
      <c r="T22" s="43"/>
      <c r="U22" s="43"/>
    </row>
    <row r="23" spans="1:21" s="11" customFormat="1" x14ac:dyDescent="0.25">
      <c r="A23" s="54" t="s">
        <v>626</v>
      </c>
      <c r="B23" s="55">
        <v>6.92</v>
      </c>
      <c r="C23" s="55">
        <v>25.49</v>
      </c>
      <c r="D23" s="55">
        <v>18.14</v>
      </c>
      <c r="E23" s="55">
        <v>12.12</v>
      </c>
      <c r="F23" s="55">
        <v>20.91</v>
      </c>
      <c r="G23" s="55">
        <v>37.94</v>
      </c>
      <c r="H23" s="55">
        <v>17.38</v>
      </c>
      <c r="I23" s="55">
        <v>3.64</v>
      </c>
      <c r="J23" s="55">
        <v>0.87</v>
      </c>
      <c r="K23" s="55">
        <v>127.22</v>
      </c>
      <c r="L23" s="55">
        <v>27.37</v>
      </c>
      <c r="M23" s="55">
        <v>41.9</v>
      </c>
      <c r="N23" s="55">
        <v>170.1</v>
      </c>
      <c r="O23" s="55">
        <v>0</v>
      </c>
      <c r="P23" s="55">
        <v>0.72</v>
      </c>
      <c r="Q23" s="55">
        <v>9.35</v>
      </c>
      <c r="R23" s="43"/>
      <c r="S23" s="43"/>
      <c r="T23" s="43"/>
      <c r="U23" s="43"/>
    </row>
    <row r="24" spans="1:21" s="11" customFormat="1" x14ac:dyDescent="0.25">
      <c r="A24" s="54" t="s">
        <v>627</v>
      </c>
      <c r="B24" s="55">
        <v>5.66</v>
      </c>
      <c r="C24" s="55">
        <v>28.18</v>
      </c>
      <c r="D24" s="55">
        <v>18.809999999999999</v>
      </c>
      <c r="E24" s="55">
        <v>15.38</v>
      </c>
      <c r="F24" s="55">
        <v>22.23</v>
      </c>
      <c r="G24" s="55">
        <v>43.49</v>
      </c>
      <c r="H24" s="55">
        <v>16.8</v>
      </c>
      <c r="I24" s="55">
        <v>3.49</v>
      </c>
      <c r="J24" s="55">
        <v>0.38</v>
      </c>
      <c r="K24" s="55">
        <v>127.73</v>
      </c>
      <c r="L24" s="55">
        <v>26.51</v>
      </c>
      <c r="M24" s="55">
        <v>44.61</v>
      </c>
      <c r="N24" s="55">
        <v>125.3</v>
      </c>
      <c r="O24" s="55">
        <v>0</v>
      </c>
      <c r="P24" s="55">
        <v>0.74</v>
      </c>
      <c r="Q24" s="55">
        <v>9.34</v>
      </c>
      <c r="R24" s="43"/>
      <c r="S24" s="43"/>
      <c r="T24" s="43"/>
      <c r="U24" s="43"/>
    </row>
    <row r="25" spans="1:21" s="11" customFormat="1" x14ac:dyDescent="0.25">
      <c r="A25" s="54" t="s">
        <v>628</v>
      </c>
      <c r="B25" s="55">
        <v>6.37</v>
      </c>
      <c r="C25" s="55">
        <v>33.03</v>
      </c>
      <c r="D25" s="55">
        <v>21.91</v>
      </c>
      <c r="E25" s="55">
        <v>12.56</v>
      </c>
      <c r="F25" s="55">
        <v>19.21</v>
      </c>
      <c r="G25" s="55">
        <v>38.53</v>
      </c>
      <c r="H25" s="55">
        <v>15.86</v>
      </c>
      <c r="I25" s="55">
        <v>3.29</v>
      </c>
      <c r="J25" s="55">
        <v>0.41</v>
      </c>
      <c r="K25" s="55">
        <v>244.89</v>
      </c>
      <c r="L25" s="55">
        <v>25.73</v>
      </c>
      <c r="M25" s="55">
        <v>49.16</v>
      </c>
      <c r="N25" s="55">
        <v>78.5</v>
      </c>
      <c r="O25" s="55">
        <v>0</v>
      </c>
      <c r="P25" s="55">
        <v>0.84</v>
      </c>
      <c r="Q25" s="55">
        <v>9.31</v>
      </c>
      <c r="R25" s="43"/>
      <c r="S25" s="43"/>
      <c r="T25" s="43"/>
      <c r="U25" s="43"/>
    </row>
    <row r="26" spans="1:21" s="11" customFormat="1" x14ac:dyDescent="0.25">
      <c r="A26" s="54" t="s">
        <v>629</v>
      </c>
      <c r="B26" s="55">
        <v>8.2100000000000009</v>
      </c>
      <c r="C26" s="55">
        <v>37.76</v>
      </c>
      <c r="D26" s="55">
        <v>25.85</v>
      </c>
      <c r="E26" s="55">
        <v>10.66</v>
      </c>
      <c r="F26" s="55">
        <v>10.81</v>
      </c>
      <c r="G26" s="55">
        <v>46.54</v>
      </c>
      <c r="H26" s="55">
        <v>13.54</v>
      </c>
      <c r="I26" s="55">
        <v>3.22</v>
      </c>
      <c r="J26" s="55">
        <v>0.15</v>
      </c>
      <c r="K26" s="55">
        <v>105.52</v>
      </c>
      <c r="L26" s="55">
        <v>24.26</v>
      </c>
      <c r="M26" s="55">
        <v>55.93</v>
      </c>
      <c r="N26" s="55">
        <v>47.2</v>
      </c>
      <c r="O26" s="55">
        <v>0</v>
      </c>
      <c r="P26" s="55">
        <v>0.95</v>
      </c>
      <c r="Q26" s="55">
        <v>9.33</v>
      </c>
      <c r="R26" s="43"/>
      <c r="S26" s="43"/>
      <c r="T26" s="43"/>
      <c r="U26" s="43"/>
    </row>
    <row r="27" spans="1:21" s="11" customFormat="1" x14ac:dyDescent="0.25">
      <c r="A27" s="54" t="s">
        <v>630</v>
      </c>
      <c r="B27" s="55">
        <v>6.98</v>
      </c>
      <c r="C27" s="55">
        <v>37.479999999999997</v>
      </c>
      <c r="D27" s="55">
        <v>24.72</v>
      </c>
      <c r="E27" s="55">
        <v>10.34</v>
      </c>
      <c r="F27" s="55">
        <v>12.68</v>
      </c>
      <c r="G27" s="55">
        <v>54.87</v>
      </c>
      <c r="H27" s="55">
        <v>20.69</v>
      </c>
      <c r="I27" s="55">
        <v>3.32</v>
      </c>
      <c r="J27" s="55">
        <v>0.28999999999999998</v>
      </c>
      <c r="K27" s="55">
        <v>116.16</v>
      </c>
      <c r="L27" s="55">
        <v>23.19</v>
      </c>
      <c r="M27" s="55">
        <v>59.5</v>
      </c>
      <c r="N27" s="55">
        <v>44.4</v>
      </c>
      <c r="O27" s="55">
        <v>0</v>
      </c>
      <c r="P27" s="55">
        <v>1.01</v>
      </c>
      <c r="Q27" s="55">
        <v>9.34</v>
      </c>
      <c r="R27" s="43"/>
      <c r="S27" s="43"/>
      <c r="T27" s="43"/>
      <c r="U27" s="43"/>
    </row>
    <row r="28" spans="1:21" s="11" customFormat="1" x14ac:dyDescent="0.25">
      <c r="A28" s="54" t="s">
        <v>631</v>
      </c>
      <c r="B28" s="55">
        <v>5.85</v>
      </c>
      <c r="C28" s="55">
        <v>30.08</v>
      </c>
      <c r="D28" s="55">
        <v>19.649999999999999</v>
      </c>
      <c r="E28" s="55">
        <v>10.61</v>
      </c>
      <c r="F28" s="55">
        <v>16.02</v>
      </c>
      <c r="G28" s="55">
        <v>70.790000000000006</v>
      </c>
      <c r="H28" s="55">
        <v>23.05</v>
      </c>
      <c r="I28" s="55">
        <v>3.4</v>
      </c>
      <c r="J28" s="55">
        <v>0.37</v>
      </c>
      <c r="K28" s="55">
        <v>120.03</v>
      </c>
      <c r="L28" s="55">
        <v>22.7</v>
      </c>
      <c r="M28" s="55">
        <v>61.58</v>
      </c>
      <c r="N28" s="55">
        <v>44.3</v>
      </c>
      <c r="O28" s="55">
        <v>0</v>
      </c>
      <c r="P28" s="55">
        <v>0.98</v>
      </c>
      <c r="Q28" s="55">
        <v>9.3699999999999992</v>
      </c>
      <c r="R28" s="43"/>
      <c r="S28" s="43"/>
      <c r="T28" s="43"/>
      <c r="U28" s="43"/>
    </row>
    <row r="29" spans="1:21" s="11" customFormat="1" x14ac:dyDescent="0.25">
      <c r="A29" s="54" t="s">
        <v>632</v>
      </c>
      <c r="B29" s="55">
        <v>10.220000000000001</v>
      </c>
      <c r="C29" s="55">
        <v>28.54</v>
      </c>
      <c r="D29" s="55">
        <v>22.64</v>
      </c>
      <c r="E29" s="55">
        <v>8.5299999999999994</v>
      </c>
      <c r="F29" s="55">
        <v>6.12</v>
      </c>
      <c r="G29" s="55">
        <v>62.93</v>
      </c>
      <c r="H29" s="55">
        <v>24.13</v>
      </c>
      <c r="I29" s="55">
        <v>3.47</v>
      </c>
      <c r="J29" s="55">
        <v>0.46</v>
      </c>
      <c r="K29" s="55">
        <v>123.58</v>
      </c>
      <c r="L29" s="55">
        <v>22.03</v>
      </c>
      <c r="M29" s="55">
        <v>69.209999999999994</v>
      </c>
      <c r="N29" s="55">
        <v>44.5</v>
      </c>
      <c r="O29" s="55">
        <v>0</v>
      </c>
      <c r="P29" s="55">
        <v>1.04</v>
      </c>
      <c r="Q29" s="55">
        <v>9.34</v>
      </c>
      <c r="R29" s="43"/>
      <c r="S29" s="43"/>
      <c r="T29" s="43"/>
      <c r="U29" s="43"/>
    </row>
    <row r="30" spans="1:21" s="11" customFormat="1" x14ac:dyDescent="0.25">
      <c r="A30" s="54" t="s">
        <v>633</v>
      </c>
      <c r="B30" s="55">
        <v>10.75</v>
      </c>
      <c r="C30" s="55">
        <v>25.01</v>
      </c>
      <c r="D30" s="55">
        <v>21.23</v>
      </c>
      <c r="E30" s="55">
        <v>6.4</v>
      </c>
      <c r="F30" s="55">
        <v>5.46</v>
      </c>
      <c r="G30" s="55">
        <v>64.709999999999994</v>
      </c>
      <c r="H30" s="55">
        <v>24.98</v>
      </c>
      <c r="I30" s="55">
        <v>3.53</v>
      </c>
      <c r="J30" s="55">
        <v>0.36</v>
      </c>
      <c r="K30" s="55">
        <v>129.74</v>
      </c>
      <c r="L30" s="55">
        <v>21.31</v>
      </c>
      <c r="M30" s="55">
        <v>74.739999999999995</v>
      </c>
      <c r="N30" s="55">
        <v>44.4</v>
      </c>
      <c r="O30" s="55">
        <v>0</v>
      </c>
      <c r="P30" s="55">
        <v>0.95</v>
      </c>
      <c r="Q30" s="55">
        <v>9.34</v>
      </c>
      <c r="R30" s="43"/>
      <c r="S30" s="43"/>
      <c r="T30" s="43"/>
      <c r="U30" s="43"/>
    </row>
    <row r="31" spans="1:21" s="11" customFormat="1" x14ac:dyDescent="0.25">
      <c r="A31" s="54" t="s">
        <v>634</v>
      </c>
      <c r="B31" s="55">
        <v>9.49</v>
      </c>
      <c r="C31" s="55">
        <v>24.79</v>
      </c>
      <c r="D31" s="55">
        <v>20.100000000000001</v>
      </c>
      <c r="E31" s="55">
        <v>6.76</v>
      </c>
      <c r="F31" s="55">
        <v>8.11</v>
      </c>
      <c r="G31" s="55">
        <v>70.87</v>
      </c>
      <c r="H31" s="55">
        <v>29.01</v>
      </c>
      <c r="I31" s="55">
        <v>3.57</v>
      </c>
      <c r="J31" s="55">
        <v>0.66</v>
      </c>
      <c r="K31" s="55">
        <v>127.7</v>
      </c>
      <c r="L31" s="55">
        <v>20.72</v>
      </c>
      <c r="M31" s="55">
        <v>79.14</v>
      </c>
      <c r="N31" s="55">
        <v>44.5</v>
      </c>
      <c r="O31" s="55">
        <v>0</v>
      </c>
      <c r="P31" s="55">
        <v>0.94</v>
      </c>
      <c r="Q31" s="55">
        <v>9.35</v>
      </c>
      <c r="R31" s="43"/>
      <c r="S31" s="43"/>
      <c r="T31" s="43"/>
      <c r="U31" s="43"/>
    </row>
    <row r="32" spans="1:21" s="11" customFormat="1" x14ac:dyDescent="0.25">
      <c r="A32" s="54" t="s">
        <v>635</v>
      </c>
      <c r="B32" s="55">
        <v>8.6199999999999992</v>
      </c>
      <c r="C32" s="55">
        <v>23.4</v>
      </c>
      <c r="D32" s="55">
        <v>18.36</v>
      </c>
      <c r="E32" s="55">
        <v>6.59</v>
      </c>
      <c r="F32" s="55">
        <v>6.96</v>
      </c>
      <c r="G32" s="55">
        <v>65.38</v>
      </c>
      <c r="H32" s="55">
        <v>28.17</v>
      </c>
      <c r="I32" s="55">
        <v>3.68</v>
      </c>
      <c r="J32" s="55">
        <v>0.56000000000000005</v>
      </c>
      <c r="K32" s="55">
        <v>206.46</v>
      </c>
      <c r="L32" s="55">
        <v>20.07</v>
      </c>
      <c r="M32" s="55">
        <v>83.97</v>
      </c>
      <c r="N32" s="55">
        <v>44.7</v>
      </c>
      <c r="O32" s="55">
        <v>0</v>
      </c>
      <c r="P32" s="55">
        <v>0.96</v>
      </c>
      <c r="Q32" s="55">
        <v>9.36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5.66</v>
      </c>
      <c r="C34" s="28">
        <f t="shared" si="0"/>
        <v>0.03</v>
      </c>
      <c r="D34" s="28">
        <f t="shared" si="0"/>
        <v>17.28</v>
      </c>
      <c r="E34" s="28">
        <f t="shared" si="0"/>
        <v>5.24</v>
      </c>
      <c r="F34" s="28">
        <f t="shared" si="0"/>
        <v>3.08</v>
      </c>
      <c r="G34" s="28">
        <f t="shared" si="0"/>
        <v>37.94</v>
      </c>
      <c r="H34" s="28">
        <f t="shared" si="0"/>
        <v>13.54</v>
      </c>
      <c r="I34" s="28">
        <f t="shared" si="0"/>
        <v>3.22</v>
      </c>
      <c r="J34" s="28">
        <f t="shared" si="0"/>
        <v>0.15</v>
      </c>
      <c r="K34" s="28">
        <f t="shared" si="0"/>
        <v>102.53</v>
      </c>
      <c r="L34" s="28">
        <f t="shared" si="0"/>
        <v>16.89</v>
      </c>
      <c r="M34" s="28">
        <f t="shared" si="0"/>
        <v>41.9</v>
      </c>
      <c r="N34" s="28">
        <f t="shared" si="0"/>
        <v>40.1</v>
      </c>
      <c r="O34" s="28">
        <f t="shared" si="0"/>
        <v>0</v>
      </c>
      <c r="P34" s="28">
        <f t="shared" si="0"/>
        <v>0.72</v>
      </c>
      <c r="Q34" s="28">
        <f t="shared" si="0"/>
        <v>9.31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62.22</v>
      </c>
      <c r="C35" s="29">
        <f t="shared" si="1"/>
        <v>37.76</v>
      </c>
      <c r="D35" s="29">
        <f t="shared" si="1"/>
        <v>48.62</v>
      </c>
      <c r="E35" s="29">
        <f t="shared" si="1"/>
        <v>15.38</v>
      </c>
      <c r="F35" s="29">
        <f t="shared" si="1"/>
        <v>22.23</v>
      </c>
      <c r="G35" s="29">
        <f t="shared" si="1"/>
        <v>114.22</v>
      </c>
      <c r="H35" s="29">
        <f t="shared" si="1"/>
        <v>46.24</v>
      </c>
      <c r="I35" s="29">
        <f t="shared" si="1"/>
        <v>6.63</v>
      </c>
      <c r="J35" s="29">
        <f t="shared" si="1"/>
        <v>1.29</v>
      </c>
      <c r="K35" s="29">
        <f t="shared" si="1"/>
        <v>344.6</v>
      </c>
      <c r="L35" s="29">
        <f t="shared" si="1"/>
        <v>29.83</v>
      </c>
      <c r="M35" s="29">
        <f t="shared" si="1"/>
        <v>96.97</v>
      </c>
      <c r="N35" s="29">
        <f t="shared" si="1"/>
        <v>576.1</v>
      </c>
      <c r="O35" s="29">
        <f t="shared" si="1"/>
        <v>0</v>
      </c>
      <c r="P35" s="29">
        <f t="shared" si="1"/>
        <v>1.86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23.073750000000004</v>
      </c>
      <c r="C36" s="28">
        <f t="shared" si="2"/>
        <v>21.239565217391306</v>
      </c>
      <c r="D36" s="28">
        <f t="shared" si="2"/>
        <v>27.586250000000003</v>
      </c>
      <c r="E36" s="28">
        <f t="shared" si="2"/>
        <v>7.5929166666666665</v>
      </c>
      <c r="F36" s="28">
        <f t="shared" si="2"/>
        <v>8.4754166666666695</v>
      </c>
      <c r="G36" s="28">
        <f t="shared" si="2"/>
        <v>71.905000000000015</v>
      </c>
      <c r="H36" s="28">
        <f t="shared" si="2"/>
        <v>28.63625</v>
      </c>
      <c r="I36" s="28">
        <f t="shared" si="2"/>
        <v>4.4329166666666664</v>
      </c>
      <c r="J36" s="28">
        <f t="shared" si="2"/>
        <v>0.53500000000000003</v>
      </c>
      <c r="K36" s="28">
        <f t="shared" si="2"/>
        <v>195.17999999999995</v>
      </c>
      <c r="L36" s="28">
        <f t="shared" si="2"/>
        <v>22.4375</v>
      </c>
      <c r="M36" s="28">
        <f t="shared" si="2"/>
        <v>71.365000000000009</v>
      </c>
      <c r="N36" s="28">
        <f t="shared" si="2"/>
        <v>179.02499999999998</v>
      </c>
      <c r="O36" s="28">
        <f t="shared" si="2"/>
        <v>0</v>
      </c>
      <c r="P36" s="28">
        <f t="shared" si="2"/>
        <v>1.1316666666666666</v>
      </c>
      <c r="Q36" s="28">
        <f t="shared" si="2"/>
        <v>9.4770833333333346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21.467961935729079</v>
      </c>
      <c r="C37" s="28">
        <f t="shared" ref="C37:Q37" si="3">STDEV(C9:C32)</f>
        <v>11.617118042808775</v>
      </c>
      <c r="D37" s="28">
        <f t="shared" si="3"/>
        <v>10.8814408462898</v>
      </c>
      <c r="E37" s="28">
        <f t="shared" si="3"/>
        <v>2.8494736038153774</v>
      </c>
      <c r="F37" s="28">
        <f t="shared" si="3"/>
        <v>6.2400773261420301</v>
      </c>
      <c r="G37" s="28">
        <f t="shared" si="3"/>
        <v>24.50625847304774</v>
      </c>
      <c r="H37" s="28">
        <f t="shared" si="3"/>
        <v>9.322702450376779</v>
      </c>
      <c r="I37" s="28">
        <f t="shared" si="3"/>
        <v>1.1643265609697788</v>
      </c>
      <c r="J37" s="28">
        <f t="shared" si="3"/>
        <v>0.34503938023513137</v>
      </c>
      <c r="K37" s="28">
        <f t="shared" si="3"/>
        <v>91.870773372166781</v>
      </c>
      <c r="L37" s="28">
        <f t="shared" si="3"/>
        <v>4.3337806067942655</v>
      </c>
      <c r="M37" s="28">
        <f t="shared" si="3"/>
        <v>21.538900702641708</v>
      </c>
      <c r="N37" s="28">
        <f t="shared" si="3"/>
        <v>202.05908143734686</v>
      </c>
      <c r="O37" s="28">
        <f t="shared" si="3"/>
        <v>0</v>
      </c>
      <c r="P37" s="28">
        <f t="shared" si="3"/>
        <v>0.40990631662100235</v>
      </c>
      <c r="Q37" s="28">
        <f t="shared" si="3"/>
        <v>0.1583194120500834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>COUNT(C9:C32)+1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38" sqref="P38:Q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636</v>
      </c>
      <c r="B9" s="55">
        <v>9.11</v>
      </c>
      <c r="C9" s="55">
        <v>21.36</v>
      </c>
      <c r="D9" s="55">
        <v>17.989999999999998</v>
      </c>
      <c r="E9" s="55">
        <v>6.82</v>
      </c>
      <c r="F9" s="55">
        <v>8.01</v>
      </c>
      <c r="G9" s="55">
        <v>54.98</v>
      </c>
      <c r="H9" s="55">
        <v>26.68</v>
      </c>
      <c r="I9" s="55">
        <v>3.68</v>
      </c>
      <c r="J9" s="55">
        <v>0.38</v>
      </c>
      <c r="K9" s="55">
        <v>155.47</v>
      </c>
      <c r="L9" s="55">
        <v>19.8</v>
      </c>
      <c r="M9" s="55">
        <v>78.86</v>
      </c>
      <c r="N9" s="55">
        <v>44.3</v>
      </c>
      <c r="O9" s="55">
        <v>0</v>
      </c>
      <c r="P9" s="55">
        <v>0.95</v>
      </c>
      <c r="Q9" s="55">
        <v>9.3699999999999992</v>
      </c>
      <c r="R9" s="43"/>
      <c r="S9" s="43"/>
      <c r="T9" s="43"/>
      <c r="U9" s="43"/>
    </row>
    <row r="10" spans="1:21" s="11" customFormat="1" x14ac:dyDescent="0.25">
      <c r="A10" s="54" t="s">
        <v>637</v>
      </c>
      <c r="B10" s="55">
        <v>9.32</v>
      </c>
      <c r="C10" s="55">
        <v>20.97</v>
      </c>
      <c r="D10" s="55">
        <v>17.97</v>
      </c>
      <c r="E10" s="55">
        <v>5.86</v>
      </c>
      <c r="F10" s="55">
        <v>3.4</v>
      </c>
      <c r="G10" s="55">
        <v>54.66</v>
      </c>
      <c r="H10" s="55">
        <v>24.19</v>
      </c>
      <c r="I10" s="55">
        <v>3.59</v>
      </c>
      <c r="J10" s="55">
        <v>0.28999999999999998</v>
      </c>
      <c r="K10" s="55">
        <v>310.52</v>
      </c>
      <c r="L10" s="55">
        <v>19.38</v>
      </c>
      <c r="M10" s="55">
        <v>93.89</v>
      </c>
      <c r="N10" s="55">
        <v>44.9</v>
      </c>
      <c r="O10" s="55">
        <v>0</v>
      </c>
      <c r="P10" s="55">
        <v>0.87</v>
      </c>
      <c r="Q10" s="55">
        <v>9.34</v>
      </c>
      <c r="R10" s="43"/>
      <c r="S10" s="43"/>
      <c r="T10" s="43"/>
      <c r="U10" s="43"/>
    </row>
    <row r="11" spans="1:21" s="11" customFormat="1" x14ac:dyDescent="0.25">
      <c r="A11" s="54" t="s">
        <v>638</v>
      </c>
      <c r="B11" s="55">
        <v>9.77</v>
      </c>
      <c r="C11" s="55">
        <v>20.52</v>
      </c>
      <c r="D11" s="55">
        <v>17.940000000000001</v>
      </c>
      <c r="E11" s="55">
        <v>5.27</v>
      </c>
      <c r="F11" s="55">
        <v>3.14</v>
      </c>
      <c r="G11" s="55">
        <v>52.76</v>
      </c>
      <c r="H11" s="55">
        <v>26.18</v>
      </c>
      <c r="I11" s="55">
        <v>3.58</v>
      </c>
      <c r="J11" s="55">
        <v>0.27</v>
      </c>
      <c r="K11" s="55">
        <v>349.58</v>
      </c>
      <c r="L11" s="55">
        <v>17.89</v>
      </c>
      <c r="M11" s="55">
        <v>96.93</v>
      </c>
      <c r="N11" s="55">
        <v>44.8</v>
      </c>
      <c r="O11" s="55">
        <v>0</v>
      </c>
      <c r="P11" s="55">
        <v>0.85</v>
      </c>
      <c r="Q11" s="55">
        <v>9.33</v>
      </c>
      <c r="R11" s="43"/>
      <c r="S11" s="43"/>
      <c r="T11" s="43"/>
      <c r="U11" s="43"/>
    </row>
    <row r="12" spans="1:21" s="11" customFormat="1" x14ac:dyDescent="0.25">
      <c r="A12" s="54" t="s">
        <v>639</v>
      </c>
      <c r="B12" s="55">
        <v>10.09</v>
      </c>
      <c r="C12" s="55">
        <v>19.77</v>
      </c>
      <c r="D12" s="55">
        <v>17.96</v>
      </c>
      <c r="E12" s="55">
        <v>5.24</v>
      </c>
      <c r="F12" s="55">
        <v>3.51</v>
      </c>
      <c r="G12" s="55">
        <v>65.06</v>
      </c>
      <c r="H12" s="55">
        <v>30.18</v>
      </c>
      <c r="I12" s="55">
        <v>3.64</v>
      </c>
      <c r="J12" s="55">
        <v>0.23</v>
      </c>
      <c r="K12" s="55">
        <v>341.65</v>
      </c>
      <c r="L12" s="55">
        <v>17.12</v>
      </c>
      <c r="M12" s="55">
        <v>96.94</v>
      </c>
      <c r="N12" s="55">
        <v>44.5</v>
      </c>
      <c r="O12" s="55">
        <v>0</v>
      </c>
      <c r="P12" s="55">
        <v>0.87</v>
      </c>
      <c r="Q12" s="55">
        <v>9.36</v>
      </c>
      <c r="R12" s="43"/>
      <c r="S12" s="43"/>
      <c r="T12" s="43"/>
      <c r="U12" s="43"/>
    </row>
    <row r="13" spans="1:21" s="11" customFormat="1" x14ac:dyDescent="0.25">
      <c r="A13" s="54" t="s">
        <v>640</v>
      </c>
      <c r="B13" s="55">
        <v>10.61</v>
      </c>
      <c r="C13" s="55">
        <v>20</v>
      </c>
      <c r="D13" s="55">
        <v>18.329999999999998</v>
      </c>
      <c r="E13" s="55">
        <v>5.44</v>
      </c>
      <c r="F13" s="55">
        <v>3.63</v>
      </c>
      <c r="G13" s="55">
        <v>56.78</v>
      </c>
      <c r="H13" s="55">
        <v>29.36</v>
      </c>
      <c r="I13" s="55">
        <v>3.66</v>
      </c>
      <c r="J13" s="55">
        <v>0.23</v>
      </c>
      <c r="K13" s="55">
        <v>186.21</v>
      </c>
      <c r="L13" s="55">
        <v>16.95</v>
      </c>
      <c r="M13" s="55">
        <v>96.93</v>
      </c>
      <c r="N13" s="55">
        <v>44.3</v>
      </c>
      <c r="O13" s="55">
        <v>0</v>
      </c>
      <c r="P13" s="55">
        <v>0.89</v>
      </c>
      <c r="Q13" s="55">
        <v>9.39</v>
      </c>
      <c r="R13" s="43"/>
      <c r="S13" s="43"/>
      <c r="T13" s="43"/>
      <c r="U13" s="43"/>
    </row>
    <row r="14" spans="1:21" s="11" customFormat="1" x14ac:dyDescent="0.25">
      <c r="A14" s="54" t="s">
        <v>641</v>
      </c>
      <c r="B14" s="55">
        <v>13.02</v>
      </c>
      <c r="C14" s="55">
        <v>18.61</v>
      </c>
      <c r="D14" s="55">
        <v>19.170000000000002</v>
      </c>
      <c r="E14" s="55">
        <v>5.22</v>
      </c>
      <c r="F14" s="55">
        <v>3.44</v>
      </c>
      <c r="G14" s="55">
        <v>59.78</v>
      </c>
      <c r="H14" s="55">
        <v>27.6</v>
      </c>
      <c r="I14" s="55">
        <v>3.63</v>
      </c>
      <c r="J14" s="55">
        <v>0.15</v>
      </c>
      <c r="K14" s="55">
        <v>94.19</v>
      </c>
      <c r="L14" s="55">
        <v>16.62</v>
      </c>
      <c r="M14" s="55">
        <v>96.93</v>
      </c>
      <c r="N14" s="55">
        <v>44.6</v>
      </c>
      <c r="O14" s="55">
        <v>0</v>
      </c>
      <c r="P14" s="55">
        <v>0.86</v>
      </c>
      <c r="Q14" s="55">
        <v>9.3699999999999992</v>
      </c>
      <c r="R14" s="43"/>
      <c r="S14" s="43"/>
      <c r="T14" s="43"/>
      <c r="U14" s="43"/>
    </row>
    <row r="15" spans="1:21" s="11" customFormat="1" x14ac:dyDescent="0.25">
      <c r="A15" s="54" t="s">
        <v>642</v>
      </c>
      <c r="B15" s="55">
        <v>17.899999999999999</v>
      </c>
      <c r="C15" s="55">
        <v>17.46</v>
      </c>
      <c r="D15" s="55">
        <v>22.5</v>
      </c>
      <c r="E15" s="55">
        <v>5.12</v>
      </c>
      <c r="F15" s="55">
        <v>3.26</v>
      </c>
      <c r="G15" s="55">
        <v>77.650000000000006</v>
      </c>
      <c r="H15" s="55">
        <v>34.24</v>
      </c>
      <c r="I15" s="55">
        <v>3.96</v>
      </c>
      <c r="J15" s="55">
        <v>0.24</v>
      </c>
      <c r="K15" s="55">
        <v>349.07</v>
      </c>
      <c r="L15" s="55">
        <v>16.82</v>
      </c>
      <c r="M15" s="55">
        <v>96.93</v>
      </c>
      <c r="N15" s="55">
        <v>78.8</v>
      </c>
      <c r="O15" s="55">
        <v>0</v>
      </c>
      <c r="P15" s="55">
        <v>0.89</v>
      </c>
      <c r="Q15" s="55">
        <v>9.4700000000000006</v>
      </c>
      <c r="R15" s="43"/>
      <c r="S15" s="43"/>
      <c r="T15" s="43"/>
      <c r="U15" s="43"/>
    </row>
    <row r="16" spans="1:21" s="11" customFormat="1" x14ac:dyDescent="0.25">
      <c r="A16" s="54" t="s">
        <v>643</v>
      </c>
      <c r="B16" s="55">
        <v>22.12</v>
      </c>
      <c r="C16" s="55">
        <v>16.420000000000002</v>
      </c>
      <c r="D16" s="55">
        <v>25.85</v>
      </c>
      <c r="E16" s="55">
        <v>4.8899999999999997</v>
      </c>
      <c r="F16" s="55">
        <v>3.42</v>
      </c>
      <c r="G16" s="55">
        <v>82.89</v>
      </c>
      <c r="H16" s="55">
        <v>36.020000000000003</v>
      </c>
      <c r="I16" s="55">
        <v>4.0999999999999996</v>
      </c>
      <c r="J16" s="55">
        <v>0.9</v>
      </c>
      <c r="K16" s="55">
        <v>342.19</v>
      </c>
      <c r="L16" s="55">
        <v>21.09</v>
      </c>
      <c r="M16" s="55">
        <v>96.73</v>
      </c>
      <c r="N16" s="55">
        <v>227.6</v>
      </c>
      <c r="O16" s="55">
        <v>0</v>
      </c>
      <c r="P16" s="55">
        <v>0.99</v>
      </c>
      <c r="Q16" s="55">
        <v>9.58</v>
      </c>
      <c r="R16" s="43"/>
      <c r="S16" s="43"/>
      <c r="T16" s="43"/>
      <c r="U16" s="43"/>
    </row>
    <row r="17" spans="1:21" s="11" customFormat="1" x14ac:dyDescent="0.25">
      <c r="A17" s="54" t="s">
        <v>644</v>
      </c>
      <c r="B17" s="55">
        <v>23.56</v>
      </c>
      <c r="C17" s="55">
        <v>18.93</v>
      </c>
      <c r="D17" s="55">
        <v>28.13</v>
      </c>
      <c r="E17" s="55">
        <v>6.34</v>
      </c>
      <c r="F17" s="55">
        <v>4.24</v>
      </c>
      <c r="G17" s="55">
        <v>91.5</v>
      </c>
      <c r="H17" s="55">
        <v>38.86</v>
      </c>
      <c r="I17" s="55">
        <v>4.21</v>
      </c>
      <c r="J17" s="55">
        <v>0.8</v>
      </c>
      <c r="K17" s="55">
        <v>343.74</v>
      </c>
      <c r="L17" s="55">
        <v>24.58</v>
      </c>
      <c r="M17" s="55">
        <v>63.84</v>
      </c>
      <c r="N17" s="55">
        <v>365.2</v>
      </c>
      <c r="O17" s="55">
        <v>0</v>
      </c>
      <c r="P17" s="55">
        <v>1.06</v>
      </c>
      <c r="Q17" s="55">
        <v>9.64</v>
      </c>
      <c r="R17" s="43"/>
      <c r="S17" s="43"/>
      <c r="T17" s="43"/>
      <c r="U17" s="43"/>
    </row>
    <row r="18" spans="1:21" s="11" customFormat="1" x14ac:dyDescent="0.25">
      <c r="A18" s="54" t="s">
        <v>645</v>
      </c>
      <c r="B18" s="55">
        <v>22.49</v>
      </c>
      <c r="C18" s="55">
        <v>34.08</v>
      </c>
      <c r="D18" s="55">
        <v>28.59</v>
      </c>
      <c r="E18" s="55">
        <v>8.82</v>
      </c>
      <c r="F18" s="55">
        <v>8.3800000000000008</v>
      </c>
      <c r="G18" s="55">
        <v>90.69</v>
      </c>
      <c r="H18" s="55">
        <v>36.4</v>
      </c>
      <c r="I18" s="55">
        <v>4.2</v>
      </c>
      <c r="J18" s="55">
        <v>0.91</v>
      </c>
      <c r="K18" s="55">
        <v>344.24</v>
      </c>
      <c r="L18" s="55">
        <v>27.68</v>
      </c>
      <c r="M18" s="55">
        <v>52.22</v>
      </c>
      <c r="N18" s="55">
        <v>486.1</v>
      </c>
      <c r="O18" s="55">
        <v>0</v>
      </c>
      <c r="P18" s="55">
        <v>1.1000000000000001</v>
      </c>
      <c r="Q18" s="55">
        <v>9.6300000000000008</v>
      </c>
      <c r="R18" s="43"/>
      <c r="S18" s="43"/>
      <c r="T18" s="43"/>
      <c r="U18" s="43"/>
    </row>
    <row r="19" spans="1:21" s="11" customFormat="1" x14ac:dyDescent="0.25">
      <c r="A19" s="54" t="s">
        <v>646</v>
      </c>
      <c r="B19" s="55">
        <v>15</v>
      </c>
      <c r="C19" s="55">
        <v>56.93</v>
      </c>
      <c r="D19" s="55">
        <v>41.31</v>
      </c>
      <c r="E19" s="55">
        <v>14.34</v>
      </c>
      <c r="F19" s="55">
        <v>9.86</v>
      </c>
      <c r="G19" s="55">
        <v>78.92</v>
      </c>
      <c r="H19" s="55">
        <v>36.1</v>
      </c>
      <c r="I19" s="55">
        <v>4.05</v>
      </c>
      <c r="J19" s="55">
        <v>0.65</v>
      </c>
      <c r="K19" s="55">
        <v>355.11</v>
      </c>
      <c r="L19" s="55">
        <v>28.94</v>
      </c>
      <c r="M19" s="55">
        <v>43.57</v>
      </c>
      <c r="N19" s="55">
        <v>524.4</v>
      </c>
      <c r="O19" s="55">
        <v>0</v>
      </c>
      <c r="P19" s="55">
        <v>1.34</v>
      </c>
      <c r="Q19" s="55">
        <v>9.64</v>
      </c>
      <c r="R19" s="43"/>
      <c r="S19" s="43"/>
      <c r="T19" s="43"/>
      <c r="U19" s="43"/>
    </row>
    <row r="20" spans="1:21" s="11" customFormat="1" x14ac:dyDescent="0.25">
      <c r="A20" s="54" t="s">
        <v>647</v>
      </c>
      <c r="B20" s="55">
        <v>11.89</v>
      </c>
      <c r="C20" s="55">
        <v>39.39</v>
      </c>
      <c r="D20" s="55">
        <v>29.65</v>
      </c>
      <c r="E20" s="55">
        <v>10.54</v>
      </c>
      <c r="F20" s="55">
        <v>14.65</v>
      </c>
      <c r="G20" s="55">
        <v>77.5</v>
      </c>
      <c r="H20" s="55">
        <v>37.619999999999997</v>
      </c>
      <c r="I20" s="55">
        <v>2.98</v>
      </c>
      <c r="J20" s="55">
        <v>1.39</v>
      </c>
      <c r="K20" s="55">
        <v>351.38</v>
      </c>
      <c r="L20" s="55">
        <v>28.69</v>
      </c>
      <c r="M20" s="55">
        <v>45.01</v>
      </c>
      <c r="N20" s="55">
        <v>536.79999999999995</v>
      </c>
      <c r="O20" s="55">
        <v>0</v>
      </c>
      <c r="P20" s="55">
        <v>1.24</v>
      </c>
      <c r="Q20" s="55">
        <v>9.6199999999999992</v>
      </c>
      <c r="R20" s="43"/>
      <c r="S20" s="43"/>
      <c r="T20" s="43"/>
      <c r="U20" s="43"/>
    </row>
    <row r="21" spans="1:21" s="11" customFormat="1" x14ac:dyDescent="0.25">
      <c r="A21" s="54" t="s">
        <v>648</v>
      </c>
      <c r="B21" s="55">
        <v>3.25</v>
      </c>
      <c r="C21" s="55">
        <v>34.58</v>
      </c>
      <c r="D21" s="55">
        <v>19.77</v>
      </c>
      <c r="E21" s="55">
        <v>18.93</v>
      </c>
      <c r="F21" s="55">
        <v>19.7</v>
      </c>
      <c r="G21" s="55">
        <v>73.23</v>
      </c>
      <c r="H21" s="55">
        <v>31.16</v>
      </c>
      <c r="I21" s="55">
        <v>2.2999999999999998</v>
      </c>
      <c r="J21" s="55">
        <v>1.18</v>
      </c>
      <c r="K21" s="55">
        <v>355.16</v>
      </c>
      <c r="L21" s="55">
        <v>27.98</v>
      </c>
      <c r="M21" s="55">
        <v>42.53</v>
      </c>
      <c r="N21" s="55">
        <v>519.20000000000005</v>
      </c>
      <c r="O21" s="55">
        <v>0</v>
      </c>
      <c r="P21" s="55">
        <v>0.93</v>
      </c>
      <c r="Q21" s="55">
        <v>9.43</v>
      </c>
      <c r="R21" s="43"/>
      <c r="S21" s="43"/>
      <c r="T21" s="43"/>
      <c r="U21" s="43"/>
    </row>
    <row r="22" spans="1:21" s="11" customFormat="1" x14ac:dyDescent="0.25">
      <c r="A22" s="54" t="s">
        <v>649</v>
      </c>
      <c r="B22" s="55">
        <v>1.6</v>
      </c>
      <c r="C22" s="55">
        <v>30.98</v>
      </c>
      <c r="D22" s="55">
        <v>17.010000000000002</v>
      </c>
      <c r="E22" s="55">
        <v>39.49</v>
      </c>
      <c r="F22" s="55">
        <v>36.24</v>
      </c>
      <c r="G22" s="55">
        <v>69.709999999999994</v>
      </c>
      <c r="H22" s="55">
        <v>30.43</v>
      </c>
      <c r="I22" s="55">
        <v>2.48</v>
      </c>
      <c r="J22" s="55">
        <v>1.95</v>
      </c>
      <c r="K22" s="55">
        <v>131.53</v>
      </c>
      <c r="L22" s="55">
        <v>144.94</v>
      </c>
      <c r="M22" s="55">
        <v>42.68</v>
      </c>
      <c r="N22" s="55">
        <v>423.2</v>
      </c>
      <c r="O22" s="55">
        <v>0</v>
      </c>
      <c r="P22" s="55">
        <v>0.68</v>
      </c>
      <c r="Q22" s="55">
        <v>9.33</v>
      </c>
      <c r="R22" s="43"/>
      <c r="S22" s="43"/>
      <c r="T22" s="43"/>
      <c r="U22" s="43"/>
    </row>
    <row r="23" spans="1:21" s="11" customFormat="1" x14ac:dyDescent="0.25">
      <c r="A23" s="54" t="s">
        <v>650</v>
      </c>
      <c r="B23" s="3" t="s">
        <v>4</v>
      </c>
      <c r="C23" s="3" t="s">
        <v>4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43"/>
      <c r="S23" s="43"/>
      <c r="T23" s="43"/>
      <c r="U23" s="43"/>
    </row>
    <row r="24" spans="1:21" s="11" customFormat="1" x14ac:dyDescent="0.25">
      <c r="A24" s="54" t="s">
        <v>651</v>
      </c>
      <c r="B24" s="6" t="s">
        <v>20</v>
      </c>
      <c r="C24" s="6" t="s">
        <v>20</v>
      </c>
      <c r="D24" s="6" t="s">
        <v>20</v>
      </c>
      <c r="E24" s="6" t="s">
        <v>20</v>
      </c>
      <c r="F24" s="6" t="s">
        <v>20</v>
      </c>
      <c r="G24" s="55">
        <v>69.02</v>
      </c>
      <c r="H24" s="55">
        <v>30.43</v>
      </c>
      <c r="I24" s="55">
        <v>0</v>
      </c>
      <c r="J24" s="55">
        <v>0.64</v>
      </c>
      <c r="K24" s="55">
        <v>115.66</v>
      </c>
      <c r="L24" s="55">
        <v>24.82</v>
      </c>
      <c r="M24" s="55">
        <v>47.24</v>
      </c>
      <c r="N24" s="55">
        <v>82.8</v>
      </c>
      <c r="O24" s="55">
        <v>0</v>
      </c>
      <c r="P24" s="6" t="s">
        <v>20</v>
      </c>
      <c r="Q24" s="6" t="s">
        <v>20</v>
      </c>
      <c r="R24" s="43"/>
      <c r="S24" s="43"/>
      <c r="T24" s="43"/>
      <c r="U24" s="43"/>
    </row>
    <row r="25" spans="1:21" s="11" customFormat="1" x14ac:dyDescent="0.25">
      <c r="A25" s="54" t="s">
        <v>652</v>
      </c>
      <c r="B25" s="55">
        <v>2.97</v>
      </c>
      <c r="C25" s="55">
        <v>30.03</v>
      </c>
      <c r="D25" s="55">
        <v>17.579999999999998</v>
      </c>
      <c r="E25" s="55">
        <v>8.24</v>
      </c>
      <c r="F25" s="55">
        <v>16.18</v>
      </c>
      <c r="G25" s="55">
        <v>90.39</v>
      </c>
      <c r="H25" s="55">
        <v>19.78</v>
      </c>
      <c r="I25" s="55">
        <v>1.45</v>
      </c>
      <c r="J25" s="55">
        <v>0.79</v>
      </c>
      <c r="K25" s="55">
        <v>118.97</v>
      </c>
      <c r="L25" s="55">
        <v>24.76</v>
      </c>
      <c r="M25" s="55">
        <v>50.36</v>
      </c>
      <c r="N25" s="55">
        <v>77.2</v>
      </c>
      <c r="O25" s="55">
        <v>0</v>
      </c>
      <c r="P25" s="55">
        <v>0.43</v>
      </c>
      <c r="Q25" s="55">
        <v>9.5299999999999994</v>
      </c>
      <c r="R25" s="43"/>
      <c r="S25" s="43"/>
      <c r="T25" s="43"/>
      <c r="U25" s="43"/>
    </row>
    <row r="26" spans="1:21" s="11" customFormat="1" x14ac:dyDescent="0.25">
      <c r="A26" s="54" t="s">
        <v>653</v>
      </c>
      <c r="B26" s="55">
        <v>7.84</v>
      </c>
      <c r="C26" s="55">
        <v>47.99</v>
      </c>
      <c r="D26" s="55">
        <v>29.63</v>
      </c>
      <c r="E26" s="55">
        <v>6.64</v>
      </c>
      <c r="F26" s="55">
        <v>12.52</v>
      </c>
      <c r="G26" s="55">
        <v>81.42</v>
      </c>
      <c r="H26" s="55">
        <v>26</v>
      </c>
      <c r="I26" s="55">
        <v>1.9</v>
      </c>
      <c r="J26" s="55">
        <v>0.25</v>
      </c>
      <c r="K26" s="55">
        <v>95.62</v>
      </c>
      <c r="L26" s="55">
        <v>23.73</v>
      </c>
      <c r="M26" s="55">
        <v>59.21</v>
      </c>
      <c r="N26" s="55">
        <v>45.6</v>
      </c>
      <c r="O26" s="55">
        <v>0</v>
      </c>
      <c r="P26" s="55">
        <v>0.88</v>
      </c>
      <c r="Q26" s="55">
        <v>9.6</v>
      </c>
      <c r="R26" s="43"/>
      <c r="S26" s="43"/>
      <c r="T26" s="43"/>
      <c r="U26" s="43"/>
    </row>
    <row r="27" spans="1:21" s="11" customFormat="1" x14ac:dyDescent="0.25">
      <c r="A27" s="54" t="s">
        <v>654</v>
      </c>
      <c r="B27" s="55">
        <v>7.62</v>
      </c>
      <c r="C27" s="55">
        <v>40.479999999999997</v>
      </c>
      <c r="D27" s="55">
        <v>26.8</v>
      </c>
      <c r="E27" s="55">
        <v>0.84</v>
      </c>
      <c r="F27" s="55">
        <v>14.79</v>
      </c>
      <c r="G27" s="55">
        <v>78.739999999999995</v>
      </c>
      <c r="H27" s="55">
        <v>30.58</v>
      </c>
      <c r="I27" s="55">
        <v>2.56</v>
      </c>
      <c r="J27" s="55">
        <v>0.34</v>
      </c>
      <c r="K27" s="55">
        <v>124.24</v>
      </c>
      <c r="L27" s="55">
        <v>22.55</v>
      </c>
      <c r="M27" s="55">
        <v>62.25</v>
      </c>
      <c r="N27" s="55">
        <v>42.6</v>
      </c>
      <c r="O27" s="55">
        <v>0</v>
      </c>
      <c r="P27" s="55">
        <v>0.88</v>
      </c>
      <c r="Q27" s="55">
        <v>9.6300000000000008</v>
      </c>
      <c r="R27" s="43"/>
      <c r="S27" s="43"/>
      <c r="T27" s="43"/>
      <c r="U27" s="43"/>
    </row>
    <row r="28" spans="1:21" s="11" customFormat="1" x14ac:dyDescent="0.25">
      <c r="A28" s="54" t="s">
        <v>655</v>
      </c>
      <c r="B28" s="55">
        <v>6.77</v>
      </c>
      <c r="C28" s="55">
        <v>36.78</v>
      </c>
      <c r="D28" s="55">
        <v>23.8</v>
      </c>
      <c r="E28" s="55">
        <v>0.28000000000000003</v>
      </c>
      <c r="F28" s="55">
        <v>13.13</v>
      </c>
      <c r="G28" s="55">
        <v>77.92</v>
      </c>
      <c r="H28" s="55">
        <v>32.090000000000003</v>
      </c>
      <c r="I28" s="55">
        <v>2.9</v>
      </c>
      <c r="J28" s="55">
        <v>0.5</v>
      </c>
      <c r="K28" s="55">
        <v>125.56</v>
      </c>
      <c r="L28" s="55">
        <v>22.14</v>
      </c>
      <c r="M28" s="55">
        <v>64.11</v>
      </c>
      <c r="N28" s="55">
        <v>42.6</v>
      </c>
      <c r="O28" s="55">
        <v>0</v>
      </c>
      <c r="P28" s="55">
        <v>1.1200000000000001</v>
      </c>
      <c r="Q28" s="55">
        <v>9.6300000000000008</v>
      </c>
      <c r="R28" s="43"/>
      <c r="S28" s="43"/>
      <c r="T28" s="43"/>
      <c r="U28" s="43"/>
    </row>
    <row r="29" spans="1:21" s="11" customFormat="1" x14ac:dyDescent="0.25">
      <c r="A29" s="54" t="s">
        <v>656</v>
      </c>
      <c r="B29" s="55">
        <v>8.35</v>
      </c>
      <c r="C29" s="55">
        <v>32.229999999999997</v>
      </c>
      <c r="D29" s="55">
        <v>21.78</v>
      </c>
      <c r="E29" s="55">
        <v>0</v>
      </c>
      <c r="F29" s="55">
        <v>9.81</v>
      </c>
      <c r="G29" s="55">
        <v>79.3</v>
      </c>
      <c r="H29" s="55">
        <v>36.89</v>
      </c>
      <c r="I29" s="55">
        <v>3.09</v>
      </c>
      <c r="J29" s="55">
        <v>0.15</v>
      </c>
      <c r="K29" s="55">
        <v>337.7</v>
      </c>
      <c r="L29" s="55">
        <v>21.71</v>
      </c>
      <c r="M29" s="55">
        <v>70.56</v>
      </c>
      <c r="N29" s="55">
        <v>42.6</v>
      </c>
      <c r="O29" s="55">
        <v>0</v>
      </c>
      <c r="P29" s="55">
        <v>1.17</v>
      </c>
      <c r="Q29" s="55">
        <v>9.6300000000000008</v>
      </c>
      <c r="R29" s="43"/>
      <c r="S29" s="43"/>
      <c r="T29" s="43"/>
      <c r="U29" s="43"/>
    </row>
    <row r="30" spans="1:21" s="11" customFormat="1" x14ac:dyDescent="0.25">
      <c r="A30" s="54" t="s">
        <v>657</v>
      </c>
      <c r="B30" s="55">
        <v>9.67</v>
      </c>
      <c r="C30" s="55">
        <v>31.91</v>
      </c>
      <c r="D30" s="55">
        <v>22.86</v>
      </c>
      <c r="E30" s="55">
        <v>0</v>
      </c>
      <c r="F30" s="55">
        <v>5.92</v>
      </c>
      <c r="G30" s="55">
        <v>81.14</v>
      </c>
      <c r="H30" s="55">
        <v>34.75</v>
      </c>
      <c r="I30" s="55">
        <v>3.52</v>
      </c>
      <c r="J30" s="55">
        <v>0.19</v>
      </c>
      <c r="K30" s="55">
        <v>350.01</v>
      </c>
      <c r="L30" s="55">
        <v>20.87</v>
      </c>
      <c r="M30" s="55">
        <v>71.569999999999993</v>
      </c>
      <c r="N30" s="55">
        <v>42.4</v>
      </c>
      <c r="O30" s="55">
        <v>0</v>
      </c>
      <c r="P30" s="55">
        <v>1.1200000000000001</v>
      </c>
      <c r="Q30" s="55">
        <v>9.6300000000000008</v>
      </c>
      <c r="R30" s="43"/>
      <c r="S30" s="43"/>
      <c r="T30" s="43"/>
      <c r="U30" s="43"/>
    </row>
    <row r="31" spans="1:21" s="11" customFormat="1" x14ac:dyDescent="0.25">
      <c r="A31" s="54" t="s">
        <v>658</v>
      </c>
      <c r="B31" s="55">
        <v>10.18</v>
      </c>
      <c r="C31" s="55">
        <v>23.48</v>
      </c>
      <c r="D31" s="55">
        <v>19.46</v>
      </c>
      <c r="E31" s="55">
        <v>0</v>
      </c>
      <c r="F31" s="55">
        <v>5.74</v>
      </c>
      <c r="G31" s="55">
        <v>79.819999999999993</v>
      </c>
      <c r="H31" s="55">
        <v>36.229999999999997</v>
      </c>
      <c r="I31" s="55">
        <v>3.68</v>
      </c>
      <c r="J31" s="55">
        <v>0.36</v>
      </c>
      <c r="K31" s="55">
        <v>129.02000000000001</v>
      </c>
      <c r="L31" s="55">
        <v>20.52</v>
      </c>
      <c r="M31" s="55">
        <v>68.95</v>
      </c>
      <c r="N31" s="55">
        <v>42.5</v>
      </c>
      <c r="O31" s="55">
        <v>0</v>
      </c>
      <c r="P31" s="55">
        <v>1.08</v>
      </c>
      <c r="Q31" s="55">
        <v>9.64</v>
      </c>
      <c r="R31" s="43"/>
      <c r="S31" s="43"/>
      <c r="T31" s="43"/>
      <c r="U31" s="43"/>
    </row>
    <row r="32" spans="1:21" s="11" customFormat="1" x14ac:dyDescent="0.25">
      <c r="A32" s="54" t="s">
        <v>659</v>
      </c>
      <c r="B32" s="55">
        <v>9.08</v>
      </c>
      <c r="C32" s="55">
        <v>23.53</v>
      </c>
      <c r="D32" s="55">
        <v>18.809999999999999</v>
      </c>
      <c r="E32" s="55">
        <v>5.99</v>
      </c>
      <c r="F32" s="55">
        <v>7.35</v>
      </c>
      <c r="G32" s="55">
        <v>75.819999999999993</v>
      </c>
      <c r="H32" s="55">
        <v>32.950000000000003</v>
      </c>
      <c r="I32" s="55">
        <v>3.33</v>
      </c>
      <c r="J32" s="55">
        <v>0.31</v>
      </c>
      <c r="K32" s="55">
        <v>284.64</v>
      </c>
      <c r="L32" s="55">
        <v>20.190000000000001</v>
      </c>
      <c r="M32" s="55">
        <v>67.75</v>
      </c>
      <c r="N32" s="55">
        <v>42.8</v>
      </c>
      <c r="O32" s="55">
        <v>0</v>
      </c>
      <c r="P32" s="55">
        <v>1.02</v>
      </c>
      <c r="Q32" s="55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1.6</v>
      </c>
      <c r="C34" s="28">
        <f t="shared" si="0"/>
        <v>16.420000000000002</v>
      </c>
      <c r="D34" s="28">
        <f t="shared" si="0"/>
        <v>17.010000000000002</v>
      </c>
      <c r="E34" s="28">
        <f t="shared" si="0"/>
        <v>0</v>
      </c>
      <c r="F34" s="28">
        <f t="shared" si="0"/>
        <v>3.14</v>
      </c>
      <c r="G34" s="28">
        <f t="shared" si="0"/>
        <v>52.76</v>
      </c>
      <c r="H34" s="28">
        <f t="shared" si="0"/>
        <v>19.78</v>
      </c>
      <c r="I34" s="28">
        <f t="shared" si="0"/>
        <v>0</v>
      </c>
      <c r="J34" s="28">
        <f t="shared" si="0"/>
        <v>0.15</v>
      </c>
      <c r="K34" s="28">
        <f t="shared" si="0"/>
        <v>94.19</v>
      </c>
      <c r="L34" s="28">
        <f t="shared" si="0"/>
        <v>16.62</v>
      </c>
      <c r="M34" s="28">
        <f t="shared" si="0"/>
        <v>42.53</v>
      </c>
      <c r="N34" s="28">
        <f t="shared" si="0"/>
        <v>42.4</v>
      </c>
      <c r="O34" s="28">
        <f t="shared" si="0"/>
        <v>0</v>
      </c>
      <c r="P34" s="28">
        <f t="shared" si="0"/>
        <v>0.43</v>
      </c>
      <c r="Q34" s="28">
        <f t="shared" si="0"/>
        <v>9.33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23.56</v>
      </c>
      <c r="C35" s="29">
        <f t="shared" si="1"/>
        <v>56.93</v>
      </c>
      <c r="D35" s="29">
        <f t="shared" si="1"/>
        <v>41.31</v>
      </c>
      <c r="E35" s="29">
        <f t="shared" si="1"/>
        <v>39.49</v>
      </c>
      <c r="F35" s="29">
        <f t="shared" si="1"/>
        <v>36.24</v>
      </c>
      <c r="G35" s="29">
        <f t="shared" si="1"/>
        <v>91.5</v>
      </c>
      <c r="H35" s="29">
        <f t="shared" si="1"/>
        <v>38.86</v>
      </c>
      <c r="I35" s="29">
        <f t="shared" si="1"/>
        <v>4.21</v>
      </c>
      <c r="J35" s="29">
        <f t="shared" si="1"/>
        <v>1.95</v>
      </c>
      <c r="K35" s="29">
        <f t="shared" si="1"/>
        <v>355.16</v>
      </c>
      <c r="L35" s="29">
        <f t="shared" si="1"/>
        <v>144.94</v>
      </c>
      <c r="M35" s="29">
        <f t="shared" si="1"/>
        <v>96.94</v>
      </c>
      <c r="N35" s="29">
        <f t="shared" si="1"/>
        <v>536.79999999999995</v>
      </c>
      <c r="O35" s="29">
        <f t="shared" si="1"/>
        <v>0</v>
      </c>
      <c r="P35" s="29">
        <f t="shared" si="1"/>
        <v>1.34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11.009545454545455</v>
      </c>
      <c r="C36" s="28">
        <f t="shared" si="2"/>
        <v>28.928636363636361</v>
      </c>
      <c r="D36" s="28">
        <f t="shared" si="2"/>
        <v>22.858636363636364</v>
      </c>
      <c r="E36" s="28">
        <f t="shared" si="2"/>
        <v>7.4686363636363646</v>
      </c>
      <c r="F36" s="28">
        <f t="shared" si="2"/>
        <v>9.56</v>
      </c>
      <c r="G36" s="28">
        <f t="shared" si="2"/>
        <v>73.89913043478262</v>
      </c>
      <c r="H36" s="28">
        <f t="shared" si="2"/>
        <v>31.509565217391316</v>
      </c>
      <c r="I36" s="28">
        <f t="shared" si="2"/>
        <v>3.1517391304347826</v>
      </c>
      <c r="J36" s="28">
        <f t="shared" si="2"/>
        <v>0.56956521739130428</v>
      </c>
      <c r="K36" s="28">
        <f t="shared" si="2"/>
        <v>247.45478260869569</v>
      </c>
      <c r="L36" s="28">
        <f t="shared" si="2"/>
        <v>27.381304347826092</v>
      </c>
      <c r="M36" s="28">
        <f t="shared" si="2"/>
        <v>69.825652173913042</v>
      </c>
      <c r="N36" s="28">
        <f t="shared" si="2"/>
        <v>169.12173913043478</v>
      </c>
      <c r="O36" s="28">
        <f t="shared" si="2"/>
        <v>0</v>
      </c>
      <c r="P36" s="28">
        <f t="shared" si="2"/>
        <v>0.96454545454545471</v>
      </c>
      <c r="Q36" s="28">
        <f t="shared" si="2"/>
        <v>9.5195454545454528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6.0006059037501522</v>
      </c>
      <c r="C37" s="28">
        <f t="shared" ref="C37:Q37" si="3">STDEV(C9:C32)</f>
        <v>10.787601037635108</v>
      </c>
      <c r="D37" s="28">
        <f t="shared" si="3"/>
        <v>5.9728849976209393</v>
      </c>
      <c r="E37" s="28">
        <f t="shared" si="3"/>
        <v>8.4994421640227102</v>
      </c>
      <c r="F37" s="28">
        <f t="shared" si="3"/>
        <v>7.7582005768397204</v>
      </c>
      <c r="G37" s="28">
        <f t="shared" si="3"/>
        <v>11.678557240065413</v>
      </c>
      <c r="H37" s="28">
        <f t="shared" si="3"/>
        <v>4.8921602202455094</v>
      </c>
      <c r="I37" s="28">
        <f t="shared" si="3"/>
        <v>1.009597814496235</v>
      </c>
      <c r="J37" s="28">
        <f t="shared" si="3"/>
        <v>0.45724946702955738</v>
      </c>
      <c r="K37" s="28">
        <f t="shared" si="3"/>
        <v>109.83313268398493</v>
      </c>
      <c r="L37" s="28">
        <f t="shared" si="3"/>
        <v>25.915973716530292</v>
      </c>
      <c r="M37" s="28">
        <f t="shared" si="3"/>
        <v>20.551111853594939</v>
      </c>
      <c r="N37" s="28">
        <f t="shared" si="3"/>
        <v>192.98313623103249</v>
      </c>
      <c r="O37" s="28">
        <f t="shared" si="3"/>
        <v>0</v>
      </c>
      <c r="P37" s="28">
        <f t="shared" si="3"/>
        <v>0.19363016472812436</v>
      </c>
      <c r="Q37" s="28">
        <f t="shared" si="3"/>
        <v>0.12740924959796665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</f>
        <v>24</v>
      </c>
      <c r="C38" s="32">
        <f t="shared" ref="C38:F38" si="4">COUNT(C9:C32)+2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 t="shared" ref="H38:Q38" si="5">COUNT(H9:H32)+1</f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>COUNT(P9:P32)+2</f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16" sqref="I1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50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660</v>
      </c>
      <c r="B9" s="55">
        <v>10.28</v>
      </c>
      <c r="C9" s="55">
        <v>25.5</v>
      </c>
      <c r="D9" s="55">
        <v>20.7</v>
      </c>
      <c r="E9" s="55">
        <v>6.14</v>
      </c>
      <c r="F9" s="55">
        <v>4.96</v>
      </c>
      <c r="G9" s="55">
        <v>70.650000000000006</v>
      </c>
      <c r="H9" s="55">
        <v>29.75</v>
      </c>
      <c r="I9" s="55">
        <v>3.13</v>
      </c>
      <c r="J9" s="55">
        <v>0.21</v>
      </c>
      <c r="K9" s="55">
        <v>334.12</v>
      </c>
      <c r="L9" s="55">
        <v>19.190000000000001</v>
      </c>
      <c r="M9" s="55">
        <v>80.209999999999994</v>
      </c>
      <c r="N9" s="55">
        <v>42.7</v>
      </c>
      <c r="O9" s="55">
        <v>0</v>
      </c>
      <c r="P9" s="55">
        <v>1.07</v>
      </c>
      <c r="Q9" s="55">
        <v>9.64</v>
      </c>
      <c r="R9" s="43"/>
      <c r="S9" s="43"/>
      <c r="T9" s="43"/>
      <c r="U9" s="43"/>
    </row>
    <row r="10" spans="1:21" s="11" customFormat="1" x14ac:dyDescent="0.25">
      <c r="A10" s="54" t="s">
        <v>661</v>
      </c>
      <c r="B10" s="55">
        <v>11.64</v>
      </c>
      <c r="C10" s="55">
        <v>19.829999999999998</v>
      </c>
      <c r="D10" s="55">
        <v>18.829999999999998</v>
      </c>
      <c r="E10" s="55">
        <v>5.25</v>
      </c>
      <c r="F10" s="55">
        <v>3.15</v>
      </c>
      <c r="G10" s="55">
        <v>72.239999999999995</v>
      </c>
      <c r="H10" s="55">
        <v>31.28</v>
      </c>
      <c r="I10" s="55">
        <v>3.18</v>
      </c>
      <c r="J10" s="55">
        <v>0.2</v>
      </c>
      <c r="K10" s="55">
        <v>335.18</v>
      </c>
      <c r="L10" s="55">
        <v>17.91</v>
      </c>
      <c r="M10" s="55">
        <v>90.58</v>
      </c>
      <c r="N10" s="55">
        <v>42.6</v>
      </c>
      <c r="O10" s="55">
        <v>0</v>
      </c>
      <c r="P10" s="55">
        <v>1.02</v>
      </c>
      <c r="Q10" s="55">
        <v>9.6300000000000008</v>
      </c>
      <c r="R10" s="43"/>
      <c r="S10" s="43"/>
      <c r="T10" s="43"/>
      <c r="U10" s="43"/>
    </row>
    <row r="11" spans="1:21" s="11" customFormat="1" x14ac:dyDescent="0.25">
      <c r="A11" s="54" t="s">
        <v>662</v>
      </c>
      <c r="B11" s="55">
        <v>12.15</v>
      </c>
      <c r="C11" s="55">
        <v>18.78</v>
      </c>
      <c r="D11" s="55">
        <v>19.03</v>
      </c>
      <c r="E11" s="55">
        <v>4.62</v>
      </c>
      <c r="F11" s="55">
        <v>2.85</v>
      </c>
      <c r="G11" s="55">
        <v>76.03</v>
      </c>
      <c r="H11" s="55">
        <v>30.86</v>
      </c>
      <c r="I11" s="55">
        <v>3.17</v>
      </c>
      <c r="J11" s="55">
        <v>0.22</v>
      </c>
      <c r="K11" s="55">
        <v>339.2</v>
      </c>
      <c r="L11" s="55">
        <v>17.66</v>
      </c>
      <c r="M11" s="55">
        <v>90.59</v>
      </c>
      <c r="N11" s="55">
        <v>42.5</v>
      </c>
      <c r="O11" s="55">
        <v>0</v>
      </c>
      <c r="P11" s="55">
        <v>1</v>
      </c>
      <c r="Q11" s="55">
        <v>9.64</v>
      </c>
      <c r="R11" s="43"/>
      <c r="S11" s="43"/>
      <c r="T11" s="43"/>
      <c r="U11" s="43"/>
    </row>
    <row r="12" spans="1:21" s="11" customFormat="1" x14ac:dyDescent="0.25">
      <c r="A12" s="54" t="s">
        <v>663</v>
      </c>
      <c r="B12" s="55">
        <v>11.96</v>
      </c>
      <c r="C12" s="55">
        <v>18.53</v>
      </c>
      <c r="D12" s="55">
        <v>18.64</v>
      </c>
      <c r="E12" s="55">
        <v>4.54</v>
      </c>
      <c r="F12" s="55">
        <v>2.95</v>
      </c>
      <c r="G12" s="55">
        <v>69.849999999999994</v>
      </c>
      <c r="H12" s="55">
        <v>29.81</v>
      </c>
      <c r="I12" s="55">
        <v>3.1</v>
      </c>
      <c r="J12" s="55">
        <v>0.25</v>
      </c>
      <c r="K12" s="55">
        <v>331.01</v>
      </c>
      <c r="L12" s="55">
        <v>17.22</v>
      </c>
      <c r="M12" s="55">
        <v>91.95</v>
      </c>
      <c r="N12" s="55">
        <v>42.5</v>
      </c>
      <c r="O12" s="55">
        <v>0</v>
      </c>
      <c r="P12" s="55">
        <v>0.95</v>
      </c>
      <c r="Q12" s="55">
        <v>9.64</v>
      </c>
      <c r="R12" s="43"/>
      <c r="S12" s="43"/>
      <c r="T12" s="43"/>
      <c r="U12" s="43"/>
    </row>
    <row r="13" spans="1:21" s="11" customFormat="1" x14ac:dyDescent="0.25">
      <c r="A13" s="54" t="s">
        <v>664</v>
      </c>
      <c r="B13" s="55">
        <v>11.31</v>
      </c>
      <c r="C13" s="55">
        <v>19.39</v>
      </c>
      <c r="D13" s="55">
        <v>18.68</v>
      </c>
      <c r="E13" s="55">
        <v>4.5999999999999996</v>
      </c>
      <c r="F13" s="55">
        <v>3.74</v>
      </c>
      <c r="G13" s="55">
        <v>145.26</v>
      </c>
      <c r="H13" s="55">
        <v>28.23</v>
      </c>
      <c r="I13" s="55">
        <v>2.98</v>
      </c>
      <c r="J13" s="55">
        <v>0.21</v>
      </c>
      <c r="K13" s="55">
        <v>325.62</v>
      </c>
      <c r="L13" s="55">
        <v>17.100000000000001</v>
      </c>
      <c r="M13" s="55">
        <v>94.15</v>
      </c>
      <c r="N13" s="55">
        <v>42.5</v>
      </c>
      <c r="O13" s="55">
        <v>0</v>
      </c>
      <c r="P13" s="55">
        <v>0.93</v>
      </c>
      <c r="Q13" s="55">
        <v>9.6300000000000008</v>
      </c>
      <c r="R13" s="43"/>
      <c r="S13" s="43"/>
      <c r="T13" s="43"/>
      <c r="U13" s="43"/>
    </row>
    <row r="14" spans="1:21" s="11" customFormat="1" x14ac:dyDescent="0.25">
      <c r="A14" s="54" t="s">
        <v>665</v>
      </c>
      <c r="B14" s="55">
        <v>12.49</v>
      </c>
      <c r="C14" s="55">
        <v>19.37</v>
      </c>
      <c r="D14" s="55">
        <v>19.02</v>
      </c>
      <c r="E14" s="55">
        <v>4.59</v>
      </c>
      <c r="F14" s="55">
        <v>3.15</v>
      </c>
      <c r="G14" s="55">
        <v>83.98</v>
      </c>
      <c r="H14" s="55">
        <v>29.85</v>
      </c>
      <c r="I14" s="55">
        <v>3.36</v>
      </c>
      <c r="J14" s="55">
        <v>0.21</v>
      </c>
      <c r="K14" s="55">
        <v>327.56</v>
      </c>
      <c r="L14" s="55">
        <v>16.809999999999999</v>
      </c>
      <c r="M14" s="55">
        <v>93.4</v>
      </c>
      <c r="N14" s="55">
        <v>42.3</v>
      </c>
      <c r="O14" s="55">
        <v>0</v>
      </c>
      <c r="P14" s="55">
        <v>0.91</v>
      </c>
      <c r="Q14" s="55">
        <v>9.6300000000000008</v>
      </c>
      <c r="R14" s="43"/>
      <c r="S14" s="43"/>
      <c r="T14" s="43"/>
      <c r="U14" s="43"/>
    </row>
    <row r="15" spans="1:21" s="11" customFormat="1" x14ac:dyDescent="0.25">
      <c r="A15" s="54" t="s">
        <v>666</v>
      </c>
      <c r="B15" s="55">
        <v>13.16</v>
      </c>
      <c r="C15" s="55">
        <v>18.559999999999999</v>
      </c>
      <c r="D15" s="55">
        <v>19.79</v>
      </c>
      <c r="E15" s="55">
        <v>4.4000000000000004</v>
      </c>
      <c r="F15" s="55">
        <v>3.11</v>
      </c>
      <c r="G15" s="55">
        <v>55.57</v>
      </c>
      <c r="H15" s="55">
        <v>30.16</v>
      </c>
      <c r="I15" s="55">
        <v>3.32</v>
      </c>
      <c r="J15" s="55">
        <v>0.2</v>
      </c>
      <c r="K15" s="55">
        <v>306.14999999999998</v>
      </c>
      <c r="L15" s="55">
        <v>16.920000000000002</v>
      </c>
      <c r="M15" s="55">
        <v>89.22</v>
      </c>
      <c r="N15" s="55">
        <v>75.400000000000006</v>
      </c>
      <c r="O15" s="55">
        <v>0</v>
      </c>
      <c r="P15" s="55">
        <v>0.83</v>
      </c>
      <c r="Q15" s="55">
        <v>9.6300000000000008</v>
      </c>
      <c r="R15" s="43"/>
      <c r="S15" s="43"/>
      <c r="T15" s="43"/>
      <c r="U15" s="43"/>
    </row>
    <row r="16" spans="1:21" s="11" customFormat="1" x14ac:dyDescent="0.25">
      <c r="A16" s="54" t="s">
        <v>667</v>
      </c>
      <c r="B16" s="55">
        <v>14.65</v>
      </c>
      <c r="C16" s="55">
        <v>18.37</v>
      </c>
      <c r="D16" s="55">
        <v>20.73</v>
      </c>
      <c r="E16" s="55">
        <v>5.04</v>
      </c>
      <c r="F16" s="55">
        <v>2.99</v>
      </c>
      <c r="G16" s="55">
        <v>62.11</v>
      </c>
      <c r="H16" s="55">
        <v>27.66</v>
      </c>
      <c r="I16" s="55">
        <v>3.36</v>
      </c>
      <c r="J16" s="55">
        <v>0.21</v>
      </c>
      <c r="K16" s="55">
        <v>355.43</v>
      </c>
      <c r="L16" s="55">
        <v>19.899999999999999</v>
      </c>
      <c r="M16" s="55">
        <v>83.25</v>
      </c>
      <c r="N16" s="55">
        <v>211.6</v>
      </c>
      <c r="O16" s="55">
        <v>0</v>
      </c>
      <c r="P16" s="55">
        <v>0.88</v>
      </c>
      <c r="Q16" s="55">
        <v>9.64</v>
      </c>
      <c r="R16" s="43"/>
      <c r="S16" s="43"/>
      <c r="T16" s="43"/>
      <c r="U16" s="43"/>
    </row>
    <row r="17" spans="1:21" s="11" customFormat="1" x14ac:dyDescent="0.25">
      <c r="A17" s="54" t="s">
        <v>668</v>
      </c>
      <c r="B17" s="55">
        <v>15.33</v>
      </c>
      <c r="C17" s="55">
        <v>18.84</v>
      </c>
      <c r="D17" s="55">
        <v>21.67</v>
      </c>
      <c r="E17" s="55">
        <v>5.58</v>
      </c>
      <c r="F17" s="55">
        <v>4.08</v>
      </c>
      <c r="G17" s="55">
        <v>54.81</v>
      </c>
      <c r="H17" s="55">
        <v>26.19</v>
      </c>
      <c r="I17" s="55">
        <v>3.45</v>
      </c>
      <c r="J17" s="55">
        <v>1.28</v>
      </c>
      <c r="K17" s="55">
        <v>122.16</v>
      </c>
      <c r="L17" s="55">
        <v>21.33</v>
      </c>
      <c r="M17" s="55">
        <v>57.41</v>
      </c>
      <c r="N17" s="55">
        <v>357.5</v>
      </c>
      <c r="O17" s="55">
        <v>0</v>
      </c>
      <c r="P17" s="55">
        <v>0.95</v>
      </c>
      <c r="Q17" s="55">
        <v>9.64</v>
      </c>
      <c r="R17" s="43"/>
      <c r="S17" s="43"/>
      <c r="T17" s="43"/>
      <c r="U17" s="43"/>
    </row>
    <row r="18" spans="1:21" s="11" customFormat="1" x14ac:dyDescent="0.25">
      <c r="A18" s="54" t="s">
        <v>669</v>
      </c>
      <c r="B18" s="55">
        <v>14.61</v>
      </c>
      <c r="C18" s="55">
        <v>19.27</v>
      </c>
      <c r="D18" s="55">
        <v>21.24</v>
      </c>
      <c r="E18" s="55">
        <v>6.34</v>
      </c>
      <c r="F18" s="55">
        <v>5.2</v>
      </c>
      <c r="G18" s="55">
        <v>57.89</v>
      </c>
      <c r="H18" s="55">
        <v>26.54</v>
      </c>
      <c r="I18" s="55">
        <v>3.46</v>
      </c>
      <c r="J18" s="55">
        <v>0.98</v>
      </c>
      <c r="K18" s="55">
        <v>346.53</v>
      </c>
      <c r="L18" s="55">
        <v>23.63</v>
      </c>
      <c r="M18" s="55">
        <v>44.75</v>
      </c>
      <c r="N18" s="55">
        <v>472.8</v>
      </c>
      <c r="O18" s="55">
        <v>0</v>
      </c>
      <c r="P18" s="55">
        <v>0.96</v>
      </c>
      <c r="Q18" s="55">
        <v>9.64</v>
      </c>
      <c r="R18" s="43"/>
      <c r="S18" s="43"/>
      <c r="T18" s="43"/>
      <c r="U18" s="43"/>
    </row>
    <row r="19" spans="1:21" s="11" customFormat="1" x14ac:dyDescent="0.25">
      <c r="A19" s="54" t="s">
        <v>670</v>
      </c>
      <c r="B19" s="55">
        <v>13.45</v>
      </c>
      <c r="C19" s="55">
        <v>20.98</v>
      </c>
      <c r="D19" s="55">
        <v>20.74</v>
      </c>
      <c r="E19" s="55">
        <v>6.27</v>
      </c>
      <c r="F19" s="55">
        <v>4.37</v>
      </c>
      <c r="G19" s="55">
        <v>60.74</v>
      </c>
      <c r="H19" s="55">
        <v>27.86</v>
      </c>
      <c r="I19" s="55">
        <v>3.41</v>
      </c>
      <c r="J19" s="55">
        <v>0.4</v>
      </c>
      <c r="K19" s="55">
        <v>344.19</v>
      </c>
      <c r="L19" s="55">
        <v>26.18</v>
      </c>
      <c r="M19" s="55">
        <v>41.53</v>
      </c>
      <c r="N19" s="55">
        <v>507</v>
      </c>
      <c r="O19" s="55">
        <v>0</v>
      </c>
      <c r="P19" s="55">
        <v>0.86</v>
      </c>
      <c r="Q19" s="55">
        <v>9.64</v>
      </c>
      <c r="R19" s="43"/>
      <c r="S19" s="43"/>
      <c r="T19" s="43"/>
      <c r="U19" s="43"/>
    </row>
    <row r="20" spans="1:21" s="11" customFormat="1" x14ac:dyDescent="0.25">
      <c r="A20" s="54" t="s">
        <v>671</v>
      </c>
      <c r="B20" s="55">
        <v>12.12</v>
      </c>
      <c r="C20" s="55">
        <v>22.37</v>
      </c>
      <c r="D20" s="55">
        <v>20.22</v>
      </c>
      <c r="E20" s="55">
        <v>7.23</v>
      </c>
      <c r="F20" s="55">
        <v>4.8600000000000003</v>
      </c>
      <c r="G20" s="55">
        <v>57.54</v>
      </c>
      <c r="H20" s="55">
        <v>27.7</v>
      </c>
      <c r="I20" s="55">
        <v>3.33</v>
      </c>
      <c r="J20" s="55">
        <v>1.03</v>
      </c>
      <c r="K20" s="55">
        <v>120.91</v>
      </c>
      <c r="L20" s="55">
        <v>26.28</v>
      </c>
      <c r="M20" s="55">
        <v>35.94</v>
      </c>
      <c r="N20" s="55">
        <v>518.29999999999995</v>
      </c>
      <c r="O20" s="55">
        <v>0</v>
      </c>
      <c r="P20" s="55">
        <v>0.84</v>
      </c>
      <c r="Q20" s="55">
        <v>9.65</v>
      </c>
      <c r="R20" s="43"/>
      <c r="S20" s="43"/>
      <c r="T20" s="43"/>
      <c r="U20" s="43"/>
    </row>
    <row r="21" spans="1:21" s="11" customFormat="1" x14ac:dyDescent="0.25">
      <c r="A21" s="54" t="s">
        <v>672</v>
      </c>
      <c r="B21" s="55">
        <v>9.16</v>
      </c>
      <c r="C21" s="55">
        <v>25.19</v>
      </c>
      <c r="D21" s="55">
        <v>19.079999999999998</v>
      </c>
      <c r="E21" s="55">
        <v>19.71</v>
      </c>
      <c r="F21" s="55">
        <v>15.37</v>
      </c>
      <c r="G21" s="55">
        <v>41.79</v>
      </c>
      <c r="H21" s="55">
        <v>25.92</v>
      </c>
      <c r="I21" s="55">
        <v>3.15</v>
      </c>
      <c r="J21" s="55">
        <v>0.93</v>
      </c>
      <c r="K21" s="55">
        <v>123.71</v>
      </c>
      <c r="L21" s="55">
        <v>27.06</v>
      </c>
      <c r="M21" s="55">
        <v>35.78</v>
      </c>
      <c r="N21" s="55">
        <v>492.2</v>
      </c>
      <c r="O21" s="55">
        <v>0</v>
      </c>
      <c r="P21" s="55">
        <v>0.81</v>
      </c>
      <c r="Q21" s="55">
        <v>9.6</v>
      </c>
      <c r="R21" s="43"/>
      <c r="S21" s="43"/>
      <c r="T21" s="43"/>
      <c r="U21" s="43"/>
    </row>
    <row r="22" spans="1:21" s="11" customFormat="1" x14ac:dyDescent="0.25">
      <c r="A22" s="54" t="s">
        <v>673</v>
      </c>
      <c r="B22" s="55">
        <v>7.4</v>
      </c>
      <c r="C22" s="55">
        <v>26.5</v>
      </c>
      <c r="D22" s="55">
        <v>19.32</v>
      </c>
      <c r="E22" s="55">
        <v>22.62</v>
      </c>
      <c r="F22" s="55">
        <v>19.91</v>
      </c>
      <c r="G22" s="55">
        <v>57.12</v>
      </c>
      <c r="H22" s="55">
        <v>26.04</v>
      </c>
      <c r="I22" s="55">
        <v>3.08</v>
      </c>
      <c r="J22" s="55">
        <v>0.91</v>
      </c>
      <c r="K22" s="55">
        <v>348.63</v>
      </c>
      <c r="L22" s="55">
        <v>26.94</v>
      </c>
      <c r="M22" s="55">
        <v>36.49</v>
      </c>
      <c r="N22" s="55">
        <v>396.7</v>
      </c>
      <c r="O22" s="55">
        <v>0</v>
      </c>
      <c r="P22" s="55">
        <v>0.87</v>
      </c>
      <c r="Q22" s="55">
        <v>9.59</v>
      </c>
      <c r="R22" s="43"/>
      <c r="S22" s="43"/>
      <c r="T22" s="43"/>
      <c r="U22" s="43"/>
    </row>
    <row r="23" spans="1:21" s="11" customFormat="1" x14ac:dyDescent="0.25">
      <c r="A23" s="54" t="s">
        <v>674</v>
      </c>
      <c r="B23" s="55">
        <v>6.68</v>
      </c>
      <c r="C23" s="55">
        <v>27.22</v>
      </c>
      <c r="D23" s="55">
        <v>18.63</v>
      </c>
      <c r="E23" s="55">
        <v>17.190000000000001</v>
      </c>
      <c r="F23" s="55">
        <v>15.53</v>
      </c>
      <c r="G23" s="55">
        <v>56.67</v>
      </c>
      <c r="H23" s="55">
        <v>24.89</v>
      </c>
      <c r="I23" s="55">
        <v>2.97</v>
      </c>
      <c r="J23" s="55">
        <v>0.97</v>
      </c>
      <c r="K23" s="55">
        <v>341.5</v>
      </c>
      <c r="L23" s="55">
        <v>25.95</v>
      </c>
      <c r="M23" s="55">
        <v>39.119999999999997</v>
      </c>
      <c r="N23" s="55">
        <v>179.6</v>
      </c>
      <c r="O23" s="55">
        <v>0</v>
      </c>
      <c r="P23" s="55">
        <v>0.79</v>
      </c>
      <c r="Q23" s="55">
        <v>9.57</v>
      </c>
      <c r="R23" s="43"/>
      <c r="S23" s="43"/>
      <c r="T23" s="43"/>
      <c r="U23" s="43"/>
    </row>
    <row r="24" spans="1:21" s="11" customFormat="1" x14ac:dyDescent="0.25">
      <c r="A24" s="54" t="s">
        <v>675</v>
      </c>
      <c r="B24" s="55">
        <v>6.2</v>
      </c>
      <c r="C24" s="55">
        <v>32.380000000000003</v>
      </c>
      <c r="D24" s="55">
        <v>20.67</v>
      </c>
      <c r="E24" s="55">
        <v>25.31</v>
      </c>
      <c r="F24" s="55">
        <v>14.69</v>
      </c>
      <c r="G24" s="55">
        <v>58.37</v>
      </c>
      <c r="H24" s="55">
        <v>24.73</v>
      </c>
      <c r="I24" s="55">
        <v>2.83</v>
      </c>
      <c r="J24" s="55">
        <v>0.28999999999999998</v>
      </c>
      <c r="K24" s="55">
        <v>332.55</v>
      </c>
      <c r="L24" s="55">
        <v>25.96</v>
      </c>
      <c r="M24" s="55">
        <v>40</v>
      </c>
      <c r="N24" s="55">
        <v>118.3</v>
      </c>
      <c r="O24" s="55">
        <v>0</v>
      </c>
      <c r="P24" s="55">
        <v>0.82</v>
      </c>
      <c r="Q24" s="55">
        <v>9.5399999999999991</v>
      </c>
      <c r="R24" s="43"/>
      <c r="S24" s="43"/>
      <c r="T24" s="43"/>
      <c r="U24" s="43"/>
    </row>
    <row r="25" spans="1:21" s="11" customFormat="1" x14ac:dyDescent="0.25">
      <c r="A25" s="54" t="s">
        <v>676</v>
      </c>
      <c r="B25" s="55">
        <v>4.84</v>
      </c>
      <c r="C25" s="55">
        <v>33.22</v>
      </c>
      <c r="D25" s="55">
        <v>20.78</v>
      </c>
      <c r="E25" s="55">
        <v>34.36</v>
      </c>
      <c r="F25" s="55">
        <v>20.47</v>
      </c>
      <c r="G25" s="55">
        <v>52.81</v>
      </c>
      <c r="H25" s="55">
        <v>25.54</v>
      </c>
      <c r="I25" s="55">
        <v>2.78</v>
      </c>
      <c r="J25" s="55">
        <v>0.73</v>
      </c>
      <c r="K25" s="55">
        <v>144.13</v>
      </c>
      <c r="L25" s="55">
        <v>24.56</v>
      </c>
      <c r="M25" s="55">
        <v>44.04</v>
      </c>
      <c r="N25" s="55">
        <v>77.900000000000006</v>
      </c>
      <c r="O25" s="55">
        <v>0</v>
      </c>
      <c r="P25" s="55">
        <v>0.79</v>
      </c>
      <c r="Q25" s="55">
        <v>9.5299999999999994</v>
      </c>
      <c r="R25" s="43"/>
      <c r="S25" s="43"/>
      <c r="T25" s="43"/>
      <c r="U25" s="43"/>
    </row>
    <row r="26" spans="1:21" s="11" customFormat="1" x14ac:dyDescent="0.25">
      <c r="A26" s="54" t="s">
        <v>677</v>
      </c>
      <c r="B26" s="55">
        <v>7.21</v>
      </c>
      <c r="C26" s="55">
        <v>41.54</v>
      </c>
      <c r="D26" s="55">
        <v>27.03</v>
      </c>
      <c r="E26" s="55">
        <v>31.38</v>
      </c>
      <c r="F26" s="55">
        <v>17.37</v>
      </c>
      <c r="G26" s="55">
        <v>56.15</v>
      </c>
      <c r="H26" s="55">
        <v>25.78</v>
      </c>
      <c r="I26" s="55">
        <v>2.86</v>
      </c>
      <c r="J26" s="55">
        <v>0.27</v>
      </c>
      <c r="K26" s="55">
        <v>92.9</v>
      </c>
      <c r="L26" s="55">
        <v>23.34</v>
      </c>
      <c r="M26" s="55">
        <v>52.55</v>
      </c>
      <c r="N26" s="55">
        <v>46.5</v>
      </c>
      <c r="O26" s="55">
        <v>0</v>
      </c>
      <c r="P26" s="55">
        <v>1.23</v>
      </c>
      <c r="Q26" s="55">
        <v>9.5500000000000007</v>
      </c>
      <c r="R26" s="43"/>
      <c r="S26" s="43"/>
      <c r="T26" s="43"/>
      <c r="U26" s="43"/>
    </row>
    <row r="27" spans="1:21" s="11" customFormat="1" x14ac:dyDescent="0.25">
      <c r="A27" s="54" t="s">
        <v>678</v>
      </c>
      <c r="B27" s="55">
        <v>15.14</v>
      </c>
      <c r="C27" s="55">
        <v>41.98</v>
      </c>
      <c r="D27" s="55">
        <v>33.61</v>
      </c>
      <c r="E27" s="55">
        <v>26.69</v>
      </c>
      <c r="F27" s="55">
        <v>7.12</v>
      </c>
      <c r="G27" s="55">
        <v>73.290000000000006</v>
      </c>
      <c r="H27" s="55">
        <v>29.82</v>
      </c>
      <c r="I27" s="55">
        <v>3.07</v>
      </c>
      <c r="J27" s="55">
        <v>0.2</v>
      </c>
      <c r="K27" s="55">
        <v>93.96</v>
      </c>
      <c r="L27" s="55">
        <v>22.12</v>
      </c>
      <c r="M27" s="55">
        <v>57.03</v>
      </c>
      <c r="N27" s="55">
        <v>43.8</v>
      </c>
      <c r="O27" s="55">
        <v>0</v>
      </c>
      <c r="P27" s="55">
        <v>1.47</v>
      </c>
      <c r="Q27" s="55">
        <v>9.59</v>
      </c>
      <c r="R27" s="43"/>
      <c r="S27" s="43"/>
      <c r="T27" s="43"/>
      <c r="U27" s="43"/>
    </row>
    <row r="28" spans="1:21" s="11" customFormat="1" x14ac:dyDescent="0.25">
      <c r="A28" s="54" t="s">
        <v>679</v>
      </c>
      <c r="B28" s="55">
        <v>10.27</v>
      </c>
      <c r="C28" s="55">
        <v>31.49</v>
      </c>
      <c r="D28" s="55">
        <v>23.53</v>
      </c>
      <c r="E28" s="55">
        <v>13.87</v>
      </c>
      <c r="F28" s="55">
        <v>6.98</v>
      </c>
      <c r="G28" s="55">
        <v>93.07</v>
      </c>
      <c r="H28" s="55">
        <v>32.729999999999997</v>
      </c>
      <c r="I28" s="55">
        <v>3.09</v>
      </c>
      <c r="J28" s="55">
        <v>0.25</v>
      </c>
      <c r="K28" s="55">
        <v>313.52</v>
      </c>
      <c r="L28" s="55">
        <v>21.5</v>
      </c>
      <c r="M28" s="55">
        <v>56.2</v>
      </c>
      <c r="N28" s="55">
        <v>43.7</v>
      </c>
      <c r="O28" s="55">
        <v>0</v>
      </c>
      <c r="P28" s="55">
        <v>1.2</v>
      </c>
      <c r="Q28" s="55">
        <v>9.6300000000000008</v>
      </c>
      <c r="R28" s="43"/>
      <c r="S28" s="43"/>
      <c r="T28" s="43"/>
      <c r="U28" s="43"/>
    </row>
    <row r="29" spans="1:21" s="11" customFormat="1" x14ac:dyDescent="0.25">
      <c r="A29" s="54" t="s">
        <v>680</v>
      </c>
      <c r="B29" s="55">
        <v>10.82</v>
      </c>
      <c r="C29" s="55">
        <v>29.38</v>
      </c>
      <c r="D29" s="55">
        <v>22.6</v>
      </c>
      <c r="E29" s="55">
        <v>8.51</v>
      </c>
      <c r="F29" s="55">
        <v>5.27</v>
      </c>
      <c r="G29" s="55">
        <v>91.03</v>
      </c>
      <c r="H29" s="55">
        <v>35.83</v>
      </c>
      <c r="I29" s="55">
        <v>3.3</v>
      </c>
      <c r="J29" s="55">
        <v>0.14000000000000001</v>
      </c>
      <c r="K29" s="55">
        <v>93.89</v>
      </c>
      <c r="L29" s="55">
        <v>21.01</v>
      </c>
      <c r="M29" s="55">
        <v>55.92</v>
      </c>
      <c r="N29" s="55">
        <v>43.8</v>
      </c>
      <c r="O29" s="55">
        <v>0</v>
      </c>
      <c r="P29" s="55">
        <v>1.19</v>
      </c>
      <c r="Q29" s="55">
        <v>9.6300000000000008</v>
      </c>
      <c r="R29" s="43"/>
      <c r="S29" s="43"/>
      <c r="T29" s="43"/>
      <c r="U29" s="43"/>
    </row>
    <row r="30" spans="1:21" s="11" customFormat="1" x14ac:dyDescent="0.25">
      <c r="A30" s="54" t="s">
        <v>681</v>
      </c>
      <c r="B30" s="55">
        <v>15.65</v>
      </c>
      <c r="C30" s="55">
        <v>30.84</v>
      </c>
      <c r="D30" s="55">
        <v>25.74</v>
      </c>
      <c r="E30" s="55">
        <v>9.2899999999999991</v>
      </c>
      <c r="F30" s="55">
        <v>6.02</v>
      </c>
      <c r="G30" s="55">
        <v>82.94</v>
      </c>
      <c r="H30" s="55">
        <v>33.72</v>
      </c>
      <c r="I30" s="55">
        <v>3.42</v>
      </c>
      <c r="J30" s="55">
        <v>0.19</v>
      </c>
      <c r="K30" s="55">
        <v>344.15</v>
      </c>
      <c r="L30" s="55">
        <v>20.5</v>
      </c>
      <c r="M30" s="55">
        <v>61.16</v>
      </c>
      <c r="N30" s="55">
        <v>43.7</v>
      </c>
      <c r="O30" s="55">
        <v>0</v>
      </c>
      <c r="P30" s="55">
        <v>1.4</v>
      </c>
      <c r="Q30" s="55">
        <v>9.64</v>
      </c>
      <c r="R30" s="43"/>
      <c r="S30" s="43"/>
      <c r="T30" s="43"/>
      <c r="U30" s="43"/>
    </row>
    <row r="31" spans="1:21" s="11" customFormat="1" x14ac:dyDescent="0.25">
      <c r="A31" s="54" t="s">
        <v>682</v>
      </c>
      <c r="B31" s="55">
        <v>17.82</v>
      </c>
      <c r="C31" s="55">
        <v>26.97</v>
      </c>
      <c r="D31" s="55">
        <v>24.97</v>
      </c>
      <c r="E31" s="55">
        <v>8.25</v>
      </c>
      <c r="F31" s="55">
        <v>4.72</v>
      </c>
      <c r="G31" s="55">
        <v>79.06</v>
      </c>
      <c r="H31" s="55">
        <v>34.93</v>
      </c>
      <c r="I31" s="55">
        <v>3.84</v>
      </c>
      <c r="J31" s="55">
        <v>0.31</v>
      </c>
      <c r="K31" s="55">
        <v>313.93</v>
      </c>
      <c r="L31" s="55">
        <v>19.850000000000001</v>
      </c>
      <c r="M31" s="55">
        <v>60.44</v>
      </c>
      <c r="N31" s="55">
        <v>43.7</v>
      </c>
      <c r="O31" s="55">
        <v>0</v>
      </c>
      <c r="P31" s="55">
        <v>1.34</v>
      </c>
      <c r="Q31" s="55">
        <v>9.65</v>
      </c>
      <c r="R31" s="43"/>
      <c r="S31" s="43"/>
      <c r="T31" s="43"/>
      <c r="U31" s="43"/>
    </row>
    <row r="32" spans="1:21" s="11" customFormat="1" x14ac:dyDescent="0.25">
      <c r="A32" s="54" t="s">
        <v>683</v>
      </c>
      <c r="B32" s="55">
        <v>13.49</v>
      </c>
      <c r="C32" s="55">
        <v>21.75</v>
      </c>
      <c r="D32" s="55">
        <v>21.72</v>
      </c>
      <c r="E32" s="55">
        <v>6.27</v>
      </c>
      <c r="F32" s="55">
        <v>3.18</v>
      </c>
      <c r="G32" s="55">
        <v>72.790000000000006</v>
      </c>
      <c r="H32" s="55">
        <v>32.67</v>
      </c>
      <c r="I32" s="55">
        <v>3.89</v>
      </c>
      <c r="J32" s="55">
        <v>0.25</v>
      </c>
      <c r="K32" s="55">
        <v>106</v>
      </c>
      <c r="L32" s="55">
        <v>19.48</v>
      </c>
      <c r="M32" s="55">
        <v>55.84</v>
      </c>
      <c r="N32" s="55">
        <v>43.7</v>
      </c>
      <c r="O32" s="55">
        <v>0</v>
      </c>
      <c r="P32" s="55">
        <v>1.26</v>
      </c>
      <c r="Q32" s="55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4.84</v>
      </c>
      <c r="C34" s="28">
        <f t="shared" si="0"/>
        <v>18.37</v>
      </c>
      <c r="D34" s="28">
        <f t="shared" si="0"/>
        <v>18.63</v>
      </c>
      <c r="E34" s="28">
        <f t="shared" si="0"/>
        <v>4.4000000000000004</v>
      </c>
      <c r="F34" s="28">
        <f t="shared" si="0"/>
        <v>2.85</v>
      </c>
      <c r="G34" s="28">
        <f t="shared" si="0"/>
        <v>41.79</v>
      </c>
      <c r="H34" s="28">
        <f t="shared" si="0"/>
        <v>24.73</v>
      </c>
      <c r="I34" s="28">
        <f t="shared" si="0"/>
        <v>2.78</v>
      </c>
      <c r="J34" s="28">
        <f t="shared" si="0"/>
        <v>0.14000000000000001</v>
      </c>
      <c r="K34" s="28">
        <f t="shared" si="0"/>
        <v>92.9</v>
      </c>
      <c r="L34" s="28">
        <f t="shared" si="0"/>
        <v>16.809999999999999</v>
      </c>
      <c r="M34" s="28">
        <f t="shared" si="0"/>
        <v>35.78</v>
      </c>
      <c r="N34" s="28">
        <f t="shared" si="0"/>
        <v>42.3</v>
      </c>
      <c r="O34" s="28">
        <f t="shared" si="0"/>
        <v>0</v>
      </c>
      <c r="P34" s="28">
        <f t="shared" si="0"/>
        <v>0.79</v>
      </c>
      <c r="Q34" s="28">
        <f t="shared" si="0"/>
        <v>9.5299999999999994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17.82</v>
      </c>
      <c r="C35" s="29">
        <f t="shared" si="1"/>
        <v>41.98</v>
      </c>
      <c r="D35" s="29">
        <f t="shared" si="1"/>
        <v>33.61</v>
      </c>
      <c r="E35" s="29">
        <f t="shared" si="1"/>
        <v>34.36</v>
      </c>
      <c r="F35" s="29">
        <f t="shared" si="1"/>
        <v>20.47</v>
      </c>
      <c r="G35" s="29">
        <f t="shared" si="1"/>
        <v>145.26</v>
      </c>
      <c r="H35" s="29">
        <f t="shared" si="1"/>
        <v>35.83</v>
      </c>
      <c r="I35" s="29">
        <f t="shared" si="1"/>
        <v>3.89</v>
      </c>
      <c r="J35" s="29">
        <f t="shared" si="1"/>
        <v>1.28</v>
      </c>
      <c r="K35" s="29">
        <f t="shared" si="1"/>
        <v>355.43</v>
      </c>
      <c r="L35" s="29">
        <f t="shared" si="1"/>
        <v>27.06</v>
      </c>
      <c r="M35" s="29">
        <f t="shared" si="1"/>
        <v>94.15</v>
      </c>
      <c r="N35" s="29">
        <f t="shared" si="1"/>
        <v>518.29999999999995</v>
      </c>
      <c r="O35" s="29">
        <f t="shared" si="1"/>
        <v>0</v>
      </c>
      <c r="P35" s="29">
        <f t="shared" si="1"/>
        <v>1.47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11.576250000000002</v>
      </c>
      <c r="C36" s="28">
        <f t="shared" si="2"/>
        <v>25.343750000000011</v>
      </c>
      <c r="D36" s="28">
        <f t="shared" si="2"/>
        <v>21.540416666666669</v>
      </c>
      <c r="E36" s="28">
        <f t="shared" si="2"/>
        <v>12.002083333333333</v>
      </c>
      <c r="F36" s="28">
        <f t="shared" si="2"/>
        <v>7.5850000000000009</v>
      </c>
      <c r="G36" s="28">
        <f t="shared" si="2"/>
        <v>70.073333333333323</v>
      </c>
      <c r="H36" s="28">
        <f t="shared" si="2"/>
        <v>29.103750000000005</v>
      </c>
      <c r="I36" s="28">
        <f t="shared" si="2"/>
        <v>3.2304166666666667</v>
      </c>
      <c r="J36" s="28">
        <f t="shared" si="2"/>
        <v>0.45166666666666666</v>
      </c>
      <c r="K36" s="28">
        <f t="shared" si="2"/>
        <v>259.87208333333331</v>
      </c>
      <c r="L36" s="28">
        <f t="shared" si="2"/>
        <v>21.599999999999998</v>
      </c>
      <c r="M36" s="28">
        <f t="shared" si="2"/>
        <v>61.981249999999996</v>
      </c>
      <c r="N36" s="28">
        <f t="shared" si="2"/>
        <v>165.4708333333333</v>
      </c>
      <c r="O36" s="28">
        <f t="shared" si="2"/>
        <v>0</v>
      </c>
      <c r="P36" s="28">
        <f t="shared" si="2"/>
        <v>1.0154166666666666</v>
      </c>
      <c r="Q36" s="28">
        <f t="shared" si="2"/>
        <v>9.6166666666666654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3.3423654894725963</v>
      </c>
      <c r="C37" s="28">
        <f t="shared" ref="C37:Q37" si="3">STDEV(C9:C32)</f>
        <v>7.0653482713629705</v>
      </c>
      <c r="D37" s="28">
        <f t="shared" si="3"/>
        <v>3.4554701173478541</v>
      </c>
      <c r="E37" s="28">
        <f t="shared" si="3"/>
        <v>9.4921312854690196</v>
      </c>
      <c r="F37" s="28">
        <f t="shared" si="3"/>
        <v>5.9185765033567792</v>
      </c>
      <c r="G37" s="28">
        <f t="shared" si="3"/>
        <v>20.636239686672518</v>
      </c>
      <c r="H37" s="28">
        <f t="shared" si="3"/>
        <v>3.2226883356439409</v>
      </c>
      <c r="I37" s="28">
        <f t="shared" si="3"/>
        <v>0.27748057772480716</v>
      </c>
      <c r="J37" s="28">
        <f t="shared" si="3"/>
        <v>0.35701256422497618</v>
      </c>
      <c r="K37" s="28">
        <f t="shared" si="3"/>
        <v>107.72447588253415</v>
      </c>
      <c r="L37" s="28">
        <f t="shared" si="3"/>
        <v>3.530212458195686</v>
      </c>
      <c r="M37" s="28">
        <f t="shared" si="3"/>
        <v>21.249706148863424</v>
      </c>
      <c r="N37" s="28">
        <f t="shared" si="3"/>
        <v>180.19199296780678</v>
      </c>
      <c r="O37" s="28">
        <f t="shared" si="3"/>
        <v>0</v>
      </c>
      <c r="P37" s="28">
        <f t="shared" si="3"/>
        <v>0.20582768577595309</v>
      </c>
      <c r="Q37" s="28">
        <f t="shared" si="3"/>
        <v>3.5833754631834448E-2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J35" sqref="J3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6"/>
      <c r="B8" s="57" t="s">
        <v>22</v>
      </c>
      <c r="C8" s="57" t="s">
        <v>22</v>
      </c>
      <c r="D8" s="29" t="s">
        <v>42</v>
      </c>
      <c r="E8" s="57" t="s">
        <v>22</v>
      </c>
      <c r="F8" s="57" t="s">
        <v>22</v>
      </c>
      <c r="G8" s="57" t="s">
        <v>23</v>
      </c>
      <c r="H8" s="57" t="s">
        <v>22</v>
      </c>
      <c r="I8" s="57" t="s">
        <v>22</v>
      </c>
      <c r="J8" s="57" t="s">
        <v>24</v>
      </c>
      <c r="K8" s="57" t="s">
        <v>25</v>
      </c>
      <c r="L8" s="56" t="s">
        <v>27</v>
      </c>
      <c r="M8" s="57" t="s">
        <v>26</v>
      </c>
      <c r="N8" s="57" t="s">
        <v>28</v>
      </c>
      <c r="O8" s="56" t="s">
        <v>29</v>
      </c>
      <c r="P8" s="57" t="s">
        <v>22</v>
      </c>
      <c r="Q8" s="57" t="s">
        <v>22</v>
      </c>
      <c r="R8" s="27"/>
      <c r="S8" s="29"/>
      <c r="T8" s="27"/>
      <c r="U8" s="27"/>
    </row>
    <row r="9" spans="1:21" s="11" customFormat="1" x14ac:dyDescent="0.25">
      <c r="A9" s="54" t="s">
        <v>684</v>
      </c>
      <c r="B9" s="55">
        <v>11.51</v>
      </c>
      <c r="C9" s="55">
        <v>21.65</v>
      </c>
      <c r="D9" s="55">
        <v>19.899999999999999</v>
      </c>
      <c r="E9" s="55">
        <v>5.97</v>
      </c>
      <c r="F9" s="55">
        <v>3.11</v>
      </c>
      <c r="G9" s="55">
        <v>61.06</v>
      </c>
      <c r="H9" s="55">
        <v>30.35</v>
      </c>
      <c r="I9" s="55">
        <v>3.36</v>
      </c>
      <c r="J9" s="55">
        <v>0.24</v>
      </c>
      <c r="K9" s="55">
        <v>293.05</v>
      </c>
      <c r="L9" s="55">
        <v>19.18</v>
      </c>
      <c r="M9" s="55">
        <v>59.52</v>
      </c>
      <c r="N9" s="55">
        <v>43.7</v>
      </c>
      <c r="O9" s="55">
        <v>0</v>
      </c>
      <c r="P9" s="55">
        <v>1.1399999999999999</v>
      </c>
      <c r="Q9" s="55">
        <v>9.6300000000000008</v>
      </c>
      <c r="R9" s="43"/>
      <c r="S9" s="43"/>
      <c r="T9" s="43"/>
      <c r="U9" s="43"/>
    </row>
    <row r="10" spans="1:21" s="11" customFormat="1" x14ac:dyDescent="0.25">
      <c r="A10" s="54" t="s">
        <v>685</v>
      </c>
      <c r="B10" s="55">
        <v>9.7100000000000009</v>
      </c>
      <c r="C10" s="55">
        <v>22.35</v>
      </c>
      <c r="D10" s="55">
        <v>18.66</v>
      </c>
      <c r="E10" s="55">
        <v>5.62</v>
      </c>
      <c r="F10" s="55">
        <v>3.32</v>
      </c>
      <c r="G10" s="55">
        <v>58.32</v>
      </c>
      <c r="H10" s="55">
        <v>30.69</v>
      </c>
      <c r="I10" s="55">
        <v>3.23</v>
      </c>
      <c r="J10" s="55">
        <v>0.28000000000000003</v>
      </c>
      <c r="K10" s="55">
        <v>315.52</v>
      </c>
      <c r="L10" s="55">
        <v>18.43</v>
      </c>
      <c r="M10" s="55">
        <v>64.34</v>
      </c>
      <c r="N10" s="55">
        <v>43.7</v>
      </c>
      <c r="O10" s="55">
        <v>0</v>
      </c>
      <c r="P10" s="55">
        <v>1.04</v>
      </c>
      <c r="Q10" s="55">
        <v>9.61</v>
      </c>
      <c r="R10" s="43"/>
      <c r="S10" s="43"/>
      <c r="T10" s="43"/>
      <c r="U10" s="43"/>
    </row>
    <row r="11" spans="1:21" s="11" customFormat="1" x14ac:dyDescent="0.25">
      <c r="A11" s="54" t="s">
        <v>686</v>
      </c>
      <c r="B11" s="55">
        <v>8.11</v>
      </c>
      <c r="C11" s="55">
        <v>22.09</v>
      </c>
      <c r="D11" s="55">
        <v>17.59</v>
      </c>
      <c r="E11" s="55">
        <v>5.41</v>
      </c>
      <c r="F11" s="55">
        <v>3.07</v>
      </c>
      <c r="G11" s="55">
        <v>62.63</v>
      </c>
      <c r="H11" s="55">
        <v>28.45</v>
      </c>
      <c r="I11" s="55">
        <v>3.08</v>
      </c>
      <c r="J11" s="55">
        <v>0.34</v>
      </c>
      <c r="K11" s="55">
        <v>338.49</v>
      </c>
      <c r="L11" s="55">
        <v>17.68</v>
      </c>
      <c r="M11" s="55">
        <v>68.760000000000005</v>
      </c>
      <c r="N11" s="55">
        <v>43.6</v>
      </c>
      <c r="O11" s="55">
        <v>0</v>
      </c>
      <c r="P11" s="55">
        <v>0.98</v>
      </c>
      <c r="Q11" s="55">
        <v>9.56</v>
      </c>
      <c r="R11" s="43"/>
      <c r="S11" s="43"/>
      <c r="T11" s="43"/>
      <c r="U11" s="43"/>
    </row>
    <row r="12" spans="1:21" s="11" customFormat="1" x14ac:dyDescent="0.25">
      <c r="A12" s="54" t="s">
        <v>687</v>
      </c>
      <c r="B12" s="55">
        <v>7</v>
      </c>
      <c r="C12" s="55">
        <v>21.7</v>
      </c>
      <c r="D12" s="55">
        <v>16.489999999999998</v>
      </c>
      <c r="E12" s="55">
        <v>5.34</v>
      </c>
      <c r="F12" s="55">
        <v>3.09</v>
      </c>
      <c r="G12" s="55">
        <v>59.98</v>
      </c>
      <c r="H12" s="55">
        <v>26.92</v>
      </c>
      <c r="I12" s="55">
        <v>2.95</v>
      </c>
      <c r="J12" s="55">
        <v>0.24</v>
      </c>
      <c r="K12" s="55">
        <v>315.14999999999998</v>
      </c>
      <c r="L12" s="55">
        <v>17.38</v>
      </c>
      <c r="M12" s="55">
        <v>72.41</v>
      </c>
      <c r="N12" s="55">
        <v>43.7</v>
      </c>
      <c r="O12" s="55">
        <v>0</v>
      </c>
      <c r="P12" s="55">
        <v>0.92</v>
      </c>
      <c r="Q12" s="55">
        <v>9.5299999999999994</v>
      </c>
      <c r="R12" s="43"/>
      <c r="S12" s="43"/>
      <c r="T12" s="43"/>
      <c r="U12" s="43"/>
    </row>
    <row r="13" spans="1:21" s="11" customFormat="1" x14ac:dyDescent="0.25">
      <c r="A13" s="54" t="s">
        <v>688</v>
      </c>
      <c r="B13" s="55">
        <v>6.42</v>
      </c>
      <c r="C13" s="55">
        <v>21.41</v>
      </c>
      <c r="D13" s="55">
        <v>15.79</v>
      </c>
      <c r="E13" s="55">
        <v>5.2</v>
      </c>
      <c r="F13" s="55">
        <v>3</v>
      </c>
      <c r="G13" s="55">
        <v>61.77</v>
      </c>
      <c r="H13" s="55">
        <v>26.83</v>
      </c>
      <c r="I13" s="55">
        <v>3.31</v>
      </c>
      <c r="J13" s="55">
        <v>0.28999999999999998</v>
      </c>
      <c r="K13" s="55">
        <v>310.39999999999998</v>
      </c>
      <c r="L13" s="55">
        <v>16.63</v>
      </c>
      <c r="M13" s="55">
        <v>79.459999999999994</v>
      </c>
      <c r="N13" s="55">
        <v>43.7</v>
      </c>
      <c r="O13" s="55">
        <v>0</v>
      </c>
      <c r="P13" s="55">
        <v>0.9</v>
      </c>
      <c r="Q13" s="55">
        <v>9.52</v>
      </c>
      <c r="R13" s="43"/>
      <c r="S13" s="43"/>
      <c r="T13" s="43"/>
      <c r="U13" s="43"/>
    </row>
    <row r="14" spans="1:21" s="11" customFormat="1" x14ac:dyDescent="0.25">
      <c r="A14" s="54" t="s">
        <v>689</v>
      </c>
      <c r="B14" s="55">
        <v>7.95</v>
      </c>
      <c r="C14" s="55">
        <v>21.33</v>
      </c>
      <c r="D14" s="55">
        <v>16.829999999999998</v>
      </c>
      <c r="E14" s="55">
        <v>5.33</v>
      </c>
      <c r="F14" s="55">
        <v>3.24</v>
      </c>
      <c r="G14" s="55">
        <v>64.14</v>
      </c>
      <c r="H14" s="55">
        <v>26.91</v>
      </c>
      <c r="I14" s="55">
        <v>3.29</v>
      </c>
      <c r="J14" s="55">
        <v>0.31</v>
      </c>
      <c r="K14" s="55">
        <v>309.45</v>
      </c>
      <c r="L14" s="55">
        <v>16.11</v>
      </c>
      <c r="M14" s="55">
        <v>80.14</v>
      </c>
      <c r="N14" s="55">
        <v>43.6</v>
      </c>
      <c r="O14" s="55">
        <v>0</v>
      </c>
      <c r="P14" s="55">
        <v>0.91</v>
      </c>
      <c r="Q14" s="55">
        <v>9.56</v>
      </c>
      <c r="R14" s="43"/>
      <c r="S14" s="43"/>
      <c r="T14" s="43"/>
      <c r="U14" s="43"/>
    </row>
    <row r="15" spans="1:21" s="11" customFormat="1" x14ac:dyDescent="0.25">
      <c r="A15" s="54" t="s">
        <v>690</v>
      </c>
      <c r="B15" s="55">
        <v>10.17</v>
      </c>
      <c r="C15" s="55">
        <v>21.02</v>
      </c>
      <c r="D15" s="55">
        <v>18.39</v>
      </c>
      <c r="E15" s="55">
        <v>5.23</v>
      </c>
      <c r="F15" s="55">
        <v>3.23</v>
      </c>
      <c r="G15" s="55">
        <v>63.67</v>
      </c>
      <c r="H15" s="55">
        <v>28.66</v>
      </c>
      <c r="I15" s="55">
        <v>3.27</v>
      </c>
      <c r="J15" s="55">
        <v>0.3</v>
      </c>
      <c r="K15" s="55">
        <v>311.49</v>
      </c>
      <c r="L15" s="55">
        <v>16.3</v>
      </c>
      <c r="M15" s="55">
        <v>79.430000000000007</v>
      </c>
      <c r="N15" s="55">
        <v>77</v>
      </c>
      <c r="O15" s="55">
        <v>0</v>
      </c>
      <c r="P15" s="55">
        <v>0.9</v>
      </c>
      <c r="Q15" s="55">
        <v>9.58</v>
      </c>
      <c r="R15" s="43"/>
      <c r="S15" s="43"/>
      <c r="T15" s="43"/>
      <c r="U15" s="43"/>
    </row>
    <row r="16" spans="1:21" s="11" customFormat="1" x14ac:dyDescent="0.25">
      <c r="A16" s="54" t="s">
        <v>691</v>
      </c>
      <c r="B16" s="55">
        <v>11.29</v>
      </c>
      <c r="C16" s="55">
        <v>20.78</v>
      </c>
      <c r="D16" s="55">
        <v>19.45</v>
      </c>
      <c r="E16" s="55">
        <v>5.07</v>
      </c>
      <c r="F16" s="55">
        <v>3.52</v>
      </c>
      <c r="G16" s="55">
        <v>68.099999999999994</v>
      </c>
      <c r="H16" s="55">
        <v>28.59</v>
      </c>
      <c r="I16" s="55">
        <v>3.26</v>
      </c>
      <c r="J16" s="55">
        <v>0.45</v>
      </c>
      <c r="K16" s="55">
        <v>334.65</v>
      </c>
      <c r="L16" s="55">
        <v>19.84</v>
      </c>
      <c r="M16" s="55">
        <v>73.709999999999994</v>
      </c>
      <c r="N16" s="55">
        <v>246.2</v>
      </c>
      <c r="O16" s="55">
        <v>0</v>
      </c>
      <c r="P16" s="55">
        <v>0.82</v>
      </c>
      <c r="Q16" s="55">
        <v>9.61</v>
      </c>
      <c r="R16" s="43"/>
      <c r="S16" s="43"/>
      <c r="T16" s="43"/>
      <c r="U16" s="43"/>
    </row>
    <row r="17" spans="1:21" s="11" customFormat="1" x14ac:dyDescent="0.25">
      <c r="A17" s="54" t="s">
        <v>692</v>
      </c>
      <c r="B17" s="55">
        <v>11.87</v>
      </c>
      <c r="C17" s="55">
        <v>21.1</v>
      </c>
      <c r="D17" s="55">
        <v>19.989999999999998</v>
      </c>
      <c r="E17" s="55">
        <v>5.92</v>
      </c>
      <c r="F17" s="55">
        <v>3.75</v>
      </c>
      <c r="G17" s="55">
        <v>66.040000000000006</v>
      </c>
      <c r="H17" s="55">
        <v>26.78</v>
      </c>
      <c r="I17" s="55">
        <v>3.28</v>
      </c>
      <c r="J17" s="55">
        <v>1.06</v>
      </c>
      <c r="K17" s="55">
        <v>317.77</v>
      </c>
      <c r="L17" s="55">
        <v>21.89</v>
      </c>
      <c r="M17" s="55">
        <v>51.4</v>
      </c>
      <c r="N17" s="55">
        <v>415.7</v>
      </c>
      <c r="O17" s="55">
        <v>0</v>
      </c>
      <c r="P17" s="55">
        <v>0.83</v>
      </c>
      <c r="Q17" s="55">
        <v>9.64</v>
      </c>
      <c r="R17" s="43"/>
      <c r="S17" s="43"/>
      <c r="T17" s="43"/>
      <c r="U17" s="43"/>
    </row>
    <row r="18" spans="1:21" s="11" customFormat="1" x14ac:dyDescent="0.25">
      <c r="A18" s="54" t="s">
        <v>693</v>
      </c>
      <c r="B18" s="55">
        <v>10.96</v>
      </c>
      <c r="C18" s="55">
        <v>34.65</v>
      </c>
      <c r="D18" s="55">
        <v>21.14</v>
      </c>
      <c r="E18" s="55">
        <v>7.84</v>
      </c>
      <c r="F18" s="55">
        <v>8.5</v>
      </c>
      <c r="G18" s="55">
        <v>55.75</v>
      </c>
      <c r="H18" s="55">
        <v>26.12</v>
      </c>
      <c r="I18" s="55">
        <v>3.26</v>
      </c>
      <c r="J18" s="55">
        <v>0.71</v>
      </c>
      <c r="K18" s="55">
        <v>119.85</v>
      </c>
      <c r="L18" s="55">
        <v>23.17</v>
      </c>
      <c r="M18" s="55">
        <v>46.73</v>
      </c>
      <c r="N18" s="55">
        <v>492</v>
      </c>
      <c r="O18" s="55">
        <v>0</v>
      </c>
      <c r="P18" s="55">
        <v>0.84</v>
      </c>
      <c r="Q18" s="55">
        <v>9.6300000000000008</v>
      </c>
      <c r="R18" s="43"/>
      <c r="S18" s="43"/>
      <c r="T18" s="43"/>
      <c r="U18" s="43"/>
    </row>
    <row r="19" spans="1:21" s="11" customFormat="1" x14ac:dyDescent="0.25">
      <c r="A19" s="54" t="s">
        <v>694</v>
      </c>
      <c r="B19" s="55">
        <v>4.28</v>
      </c>
      <c r="C19" s="55">
        <v>35.229999999999997</v>
      </c>
      <c r="D19" s="55">
        <v>20.22</v>
      </c>
      <c r="E19" s="55">
        <v>7.93</v>
      </c>
      <c r="F19" s="55">
        <v>9.85</v>
      </c>
      <c r="G19" s="18" t="s">
        <v>12</v>
      </c>
      <c r="H19" s="18" t="s">
        <v>12</v>
      </c>
      <c r="I19" s="55">
        <v>2.62</v>
      </c>
      <c r="J19" s="55">
        <v>0.63</v>
      </c>
      <c r="K19" s="55">
        <v>112.38</v>
      </c>
      <c r="L19" s="55">
        <v>25.41</v>
      </c>
      <c r="M19" s="55">
        <v>38.06</v>
      </c>
      <c r="N19" s="55">
        <v>553.4</v>
      </c>
      <c r="O19" s="55">
        <v>0</v>
      </c>
      <c r="P19" s="55">
        <v>0.86</v>
      </c>
      <c r="Q19" s="55">
        <v>9.6</v>
      </c>
      <c r="R19" s="43"/>
      <c r="S19" s="43"/>
      <c r="T19" s="43"/>
      <c r="U19" s="43"/>
    </row>
    <row r="20" spans="1:21" s="11" customFormat="1" x14ac:dyDescent="0.25">
      <c r="A20" s="54" t="s">
        <v>695</v>
      </c>
      <c r="B20" s="55">
        <v>3.27</v>
      </c>
      <c r="C20" s="55">
        <v>31.95</v>
      </c>
      <c r="D20" s="55">
        <v>18.02</v>
      </c>
      <c r="E20" s="55">
        <v>8.36</v>
      </c>
      <c r="F20" s="55">
        <v>12.13</v>
      </c>
      <c r="G20" s="18" t="s">
        <v>12</v>
      </c>
      <c r="H20" s="18" t="s">
        <v>12</v>
      </c>
      <c r="I20" s="55">
        <v>2.67</v>
      </c>
      <c r="J20" s="55">
        <v>0.81</v>
      </c>
      <c r="K20" s="55">
        <v>353.23</v>
      </c>
      <c r="L20" s="55">
        <v>27.17</v>
      </c>
      <c r="M20" s="55">
        <v>31.56</v>
      </c>
      <c r="N20" s="55">
        <v>558.20000000000005</v>
      </c>
      <c r="O20" s="55">
        <v>0</v>
      </c>
      <c r="P20" s="55">
        <v>0.66</v>
      </c>
      <c r="Q20" s="55">
        <v>9.5399999999999991</v>
      </c>
      <c r="R20" s="43"/>
      <c r="S20" s="43"/>
      <c r="T20" s="43"/>
      <c r="U20" s="43"/>
    </row>
    <row r="21" spans="1:21" s="11" customFormat="1" x14ac:dyDescent="0.25">
      <c r="A21" s="54" t="s">
        <v>696</v>
      </c>
      <c r="B21" s="55">
        <v>4.3600000000000003</v>
      </c>
      <c r="C21" s="55">
        <v>29.79</v>
      </c>
      <c r="D21" s="55">
        <v>17.97</v>
      </c>
      <c r="E21" s="55">
        <v>5.1100000000000003</v>
      </c>
      <c r="F21" s="55">
        <v>4.2</v>
      </c>
      <c r="G21" s="55">
        <v>67.489999999999995</v>
      </c>
      <c r="H21" s="55">
        <v>19.489999999999998</v>
      </c>
      <c r="I21" s="55">
        <v>2.2200000000000002</v>
      </c>
      <c r="J21" s="55">
        <v>0.87</v>
      </c>
      <c r="K21" s="55">
        <v>346.19</v>
      </c>
      <c r="L21" s="55">
        <v>26.41</v>
      </c>
      <c r="M21" s="55">
        <v>29.55</v>
      </c>
      <c r="N21" s="55">
        <v>542.4</v>
      </c>
      <c r="O21" s="55">
        <v>0</v>
      </c>
      <c r="P21" s="55">
        <v>0.65</v>
      </c>
      <c r="Q21" s="55">
        <v>9.5500000000000007</v>
      </c>
      <c r="R21" s="43"/>
      <c r="S21" s="43"/>
      <c r="T21" s="43"/>
      <c r="U21" s="43"/>
    </row>
    <row r="22" spans="1:21" s="11" customFormat="1" x14ac:dyDescent="0.25">
      <c r="A22" s="54" t="s">
        <v>697</v>
      </c>
      <c r="B22" s="55">
        <v>4.8099999999999996</v>
      </c>
      <c r="C22" s="55">
        <v>27.56</v>
      </c>
      <c r="D22" s="55">
        <v>17.66</v>
      </c>
      <c r="E22" s="55">
        <v>5.01</v>
      </c>
      <c r="F22" s="55">
        <v>5.4</v>
      </c>
      <c r="G22" s="55">
        <v>66.540000000000006</v>
      </c>
      <c r="H22" s="55">
        <v>19.440000000000001</v>
      </c>
      <c r="I22" s="55">
        <v>2.29</v>
      </c>
      <c r="J22" s="55">
        <v>0.74</v>
      </c>
      <c r="K22" s="55">
        <v>348.03</v>
      </c>
      <c r="L22" s="55">
        <v>26.81</v>
      </c>
      <c r="M22" s="55">
        <v>26.78</v>
      </c>
      <c r="N22" s="55">
        <v>441.9</v>
      </c>
      <c r="O22" s="55">
        <v>0</v>
      </c>
      <c r="P22" s="55">
        <v>0.73</v>
      </c>
      <c r="Q22" s="55">
        <v>9.6</v>
      </c>
      <c r="R22" s="43"/>
      <c r="S22" s="43"/>
      <c r="T22" s="43"/>
      <c r="U22" s="43"/>
    </row>
    <row r="23" spans="1:21" s="11" customFormat="1" x14ac:dyDescent="0.25">
      <c r="A23" s="54" t="s">
        <v>698</v>
      </c>
      <c r="B23" s="55">
        <v>4.7699999999999996</v>
      </c>
      <c r="C23" s="55">
        <v>27.78</v>
      </c>
      <c r="D23" s="55">
        <v>17.7</v>
      </c>
      <c r="E23" s="55">
        <v>4.9000000000000004</v>
      </c>
      <c r="F23" s="55">
        <v>7.59</v>
      </c>
      <c r="G23" s="55">
        <v>61.86</v>
      </c>
      <c r="H23" s="55">
        <v>19.73</v>
      </c>
      <c r="I23" s="55">
        <v>2.34</v>
      </c>
      <c r="J23" s="55">
        <v>1.05</v>
      </c>
      <c r="K23" s="55">
        <v>344.38</v>
      </c>
      <c r="L23" s="55">
        <v>25.24</v>
      </c>
      <c r="M23" s="55">
        <v>22.99</v>
      </c>
      <c r="N23" s="55">
        <v>135.30000000000001</v>
      </c>
      <c r="O23" s="55">
        <v>0</v>
      </c>
      <c r="P23" s="55">
        <v>0.74</v>
      </c>
      <c r="Q23" s="55">
        <v>9.6</v>
      </c>
      <c r="R23" s="43"/>
      <c r="S23" s="43"/>
      <c r="T23" s="43"/>
      <c r="U23" s="43"/>
    </row>
    <row r="24" spans="1:21" s="11" customFormat="1" x14ac:dyDescent="0.25">
      <c r="A24" s="54" t="s">
        <v>699</v>
      </c>
      <c r="B24" s="55">
        <v>4.46</v>
      </c>
      <c r="C24" s="55">
        <v>28.08</v>
      </c>
      <c r="D24" s="55">
        <v>17.7</v>
      </c>
      <c r="E24" s="55">
        <v>4.82</v>
      </c>
      <c r="F24" s="55">
        <v>5.15</v>
      </c>
      <c r="G24" s="55">
        <v>58.34</v>
      </c>
      <c r="H24" s="55">
        <v>19.579999999999998</v>
      </c>
      <c r="I24" s="55">
        <v>2.35</v>
      </c>
      <c r="J24" s="55">
        <v>1.06</v>
      </c>
      <c r="K24" s="55">
        <v>345.87</v>
      </c>
      <c r="L24" s="55">
        <v>24.22</v>
      </c>
      <c r="M24" s="55">
        <v>22.3</v>
      </c>
      <c r="N24" s="55">
        <v>85.9</v>
      </c>
      <c r="O24" s="55">
        <v>0</v>
      </c>
      <c r="P24" s="55">
        <v>0.71</v>
      </c>
      <c r="Q24" s="55">
        <v>9.56</v>
      </c>
      <c r="R24" s="43"/>
      <c r="S24" s="43"/>
      <c r="T24" s="43"/>
      <c r="U24" s="43"/>
    </row>
    <row r="25" spans="1:21" s="11" customFormat="1" x14ac:dyDescent="0.25">
      <c r="A25" s="54" t="s">
        <v>700</v>
      </c>
      <c r="B25" s="55">
        <v>4.72</v>
      </c>
      <c r="C25" s="55">
        <v>28.11</v>
      </c>
      <c r="D25" s="55">
        <v>17.88</v>
      </c>
      <c r="E25" s="55">
        <v>5.2</v>
      </c>
      <c r="F25" s="55">
        <v>4.82</v>
      </c>
      <c r="G25" s="55">
        <v>54.15</v>
      </c>
      <c r="H25" s="55">
        <v>18.57</v>
      </c>
      <c r="I25" s="55">
        <v>2.36</v>
      </c>
      <c r="J25" s="55">
        <v>0.43</v>
      </c>
      <c r="K25" s="55">
        <v>342.2</v>
      </c>
      <c r="L25" s="55">
        <v>23.31</v>
      </c>
      <c r="M25" s="55">
        <v>28.18</v>
      </c>
      <c r="N25" s="55">
        <v>59.8</v>
      </c>
      <c r="O25" s="55">
        <v>0</v>
      </c>
      <c r="P25" s="55">
        <v>0.7</v>
      </c>
      <c r="Q25" s="55">
        <v>9.5399999999999991</v>
      </c>
      <c r="R25" s="43"/>
      <c r="S25" s="43"/>
      <c r="T25" s="43"/>
      <c r="U25" s="43"/>
    </row>
    <row r="26" spans="1:21" s="11" customFormat="1" x14ac:dyDescent="0.25">
      <c r="A26" s="54" t="s">
        <v>701</v>
      </c>
      <c r="B26" s="55">
        <v>5.0999999999999996</v>
      </c>
      <c r="C26" s="55">
        <v>27.31</v>
      </c>
      <c r="D26" s="55">
        <v>17.690000000000001</v>
      </c>
      <c r="E26" s="55">
        <v>9.2200000000000006</v>
      </c>
      <c r="F26" s="55">
        <v>7.32</v>
      </c>
      <c r="G26" s="55">
        <v>52.8</v>
      </c>
      <c r="H26" s="55">
        <v>21.88</v>
      </c>
      <c r="I26" s="55">
        <v>2.11</v>
      </c>
      <c r="J26" s="55">
        <v>0.34</v>
      </c>
      <c r="K26" s="55">
        <v>79.13</v>
      </c>
      <c r="L26" s="55">
        <v>21.5</v>
      </c>
      <c r="M26" s="55">
        <v>32.4</v>
      </c>
      <c r="N26" s="55">
        <v>34.6</v>
      </c>
      <c r="O26" s="55">
        <v>0</v>
      </c>
      <c r="P26" s="55">
        <v>0.82</v>
      </c>
      <c r="Q26" s="55">
        <v>9.5500000000000007</v>
      </c>
      <c r="R26" s="43"/>
      <c r="S26" s="43"/>
      <c r="T26" s="43"/>
      <c r="U26" s="43"/>
    </row>
    <row r="27" spans="1:21" s="11" customFormat="1" x14ac:dyDescent="0.25">
      <c r="A27" s="54" t="s">
        <v>702</v>
      </c>
      <c r="B27" s="55">
        <v>5.37</v>
      </c>
      <c r="C27" s="55">
        <v>30.93</v>
      </c>
      <c r="D27" s="55">
        <v>19.5</v>
      </c>
      <c r="E27" s="55">
        <v>12.56</v>
      </c>
      <c r="F27" s="55">
        <v>7.63</v>
      </c>
      <c r="G27" s="55">
        <v>56.66</v>
      </c>
      <c r="H27" s="55">
        <v>26.09</v>
      </c>
      <c r="I27" s="55">
        <v>2.25</v>
      </c>
      <c r="J27" s="55">
        <v>0.54</v>
      </c>
      <c r="K27" s="55">
        <v>112.15</v>
      </c>
      <c r="L27" s="55">
        <v>20.239999999999998</v>
      </c>
      <c r="M27" s="55">
        <v>34.159999999999997</v>
      </c>
      <c r="N27" s="55">
        <v>31.4</v>
      </c>
      <c r="O27" s="55">
        <v>0</v>
      </c>
      <c r="P27" s="55">
        <v>0.86</v>
      </c>
      <c r="Q27" s="55">
        <v>9.59</v>
      </c>
      <c r="R27" s="43"/>
      <c r="S27" s="43"/>
      <c r="T27" s="43"/>
      <c r="U27" s="43"/>
    </row>
    <row r="28" spans="1:21" s="11" customFormat="1" x14ac:dyDescent="0.25">
      <c r="A28" s="54" t="s">
        <v>703</v>
      </c>
      <c r="B28" s="55">
        <v>5.79</v>
      </c>
      <c r="C28" s="55">
        <v>26.4</v>
      </c>
      <c r="D28" s="55">
        <v>17.75</v>
      </c>
      <c r="E28" s="55">
        <v>7.07</v>
      </c>
      <c r="F28" s="55">
        <v>6.15</v>
      </c>
      <c r="G28" s="55">
        <v>63.56</v>
      </c>
      <c r="H28" s="55">
        <v>35.75</v>
      </c>
      <c r="I28" s="55">
        <v>2.42</v>
      </c>
      <c r="J28" s="55">
        <v>0.66</v>
      </c>
      <c r="K28" s="55">
        <v>112.7</v>
      </c>
      <c r="L28" s="55">
        <v>19.760000000000002</v>
      </c>
      <c r="M28" s="55">
        <v>35.26</v>
      </c>
      <c r="N28" s="55">
        <v>31.4</v>
      </c>
      <c r="O28" s="55">
        <v>0</v>
      </c>
      <c r="P28" s="55">
        <v>0.86</v>
      </c>
      <c r="Q28" s="55">
        <v>9.59</v>
      </c>
      <c r="R28" s="43"/>
      <c r="S28" s="43"/>
      <c r="T28" s="43"/>
      <c r="U28" s="43"/>
    </row>
    <row r="29" spans="1:21" s="11" customFormat="1" x14ac:dyDescent="0.25">
      <c r="A29" s="54" t="s">
        <v>704</v>
      </c>
      <c r="B29" s="55">
        <v>5.69</v>
      </c>
      <c r="C29" s="55">
        <v>24.13</v>
      </c>
      <c r="D29" s="55">
        <v>16.68</v>
      </c>
      <c r="E29" s="55">
        <v>5.69</v>
      </c>
      <c r="F29" s="55">
        <v>3.16</v>
      </c>
      <c r="G29" s="55">
        <v>63.17</v>
      </c>
      <c r="H29" s="55">
        <v>34.950000000000003</v>
      </c>
      <c r="I29" s="55">
        <v>2.52</v>
      </c>
      <c r="J29" s="55">
        <v>0.39</v>
      </c>
      <c r="K29" s="55">
        <v>108.32</v>
      </c>
      <c r="L29" s="55">
        <v>18.95</v>
      </c>
      <c r="M29" s="55">
        <v>38.31</v>
      </c>
      <c r="N29" s="55">
        <v>31.3</v>
      </c>
      <c r="O29" s="55">
        <v>0</v>
      </c>
      <c r="P29" s="55">
        <v>0.8</v>
      </c>
      <c r="Q29" s="55">
        <v>9.5399999999999991</v>
      </c>
      <c r="R29" s="43"/>
      <c r="S29" s="43"/>
      <c r="T29" s="43"/>
      <c r="U29" s="43"/>
    </row>
    <row r="30" spans="1:21" s="11" customFormat="1" x14ac:dyDescent="0.25">
      <c r="A30" s="54" t="s">
        <v>705</v>
      </c>
      <c r="B30" s="55">
        <v>6.07</v>
      </c>
      <c r="C30" s="55">
        <v>24.08</v>
      </c>
      <c r="D30" s="55">
        <v>16.98</v>
      </c>
      <c r="E30" s="55">
        <v>5.32</v>
      </c>
      <c r="F30" s="55">
        <v>3.04</v>
      </c>
      <c r="G30" s="55">
        <v>62.56</v>
      </c>
      <c r="H30" s="55">
        <v>32.51</v>
      </c>
      <c r="I30" s="55">
        <v>2.65</v>
      </c>
      <c r="J30" s="55">
        <v>0.41</v>
      </c>
      <c r="K30" s="55">
        <v>359.41</v>
      </c>
      <c r="L30" s="55">
        <v>18.34</v>
      </c>
      <c r="M30" s="55">
        <v>39.56</v>
      </c>
      <c r="N30" s="55">
        <v>31.4</v>
      </c>
      <c r="O30" s="55">
        <v>0</v>
      </c>
      <c r="P30" s="55">
        <v>0.84</v>
      </c>
      <c r="Q30" s="55">
        <v>9.52</v>
      </c>
      <c r="R30" s="43"/>
      <c r="S30" s="43"/>
      <c r="T30" s="43"/>
      <c r="U30" s="43"/>
    </row>
    <row r="31" spans="1:21" s="11" customFormat="1" x14ac:dyDescent="0.25">
      <c r="A31" s="54" t="s">
        <v>706</v>
      </c>
      <c r="B31" s="55">
        <v>6.65</v>
      </c>
      <c r="C31" s="55">
        <v>23.62</v>
      </c>
      <c r="D31" s="55">
        <v>17.190000000000001</v>
      </c>
      <c r="E31" s="55">
        <v>5.03</v>
      </c>
      <c r="F31" s="55">
        <v>3.17</v>
      </c>
      <c r="G31" s="55">
        <v>62.36</v>
      </c>
      <c r="H31" s="55">
        <v>31.78</v>
      </c>
      <c r="I31" s="55">
        <v>2.68</v>
      </c>
      <c r="J31" s="55">
        <v>0.21</v>
      </c>
      <c r="K31" s="55">
        <v>78.150000000000006</v>
      </c>
      <c r="L31" s="55">
        <v>17.57</v>
      </c>
      <c r="M31" s="55">
        <v>44.57</v>
      </c>
      <c r="N31" s="55">
        <v>31.4</v>
      </c>
      <c r="O31" s="55">
        <v>0</v>
      </c>
      <c r="P31" s="55">
        <v>0.93</v>
      </c>
      <c r="Q31" s="55">
        <v>9.59</v>
      </c>
      <c r="R31" s="43"/>
      <c r="S31" s="43"/>
      <c r="T31" s="43"/>
      <c r="U31" s="43"/>
    </row>
    <row r="32" spans="1:21" s="11" customFormat="1" x14ac:dyDescent="0.25">
      <c r="A32" s="54" t="s">
        <v>707</v>
      </c>
      <c r="B32" s="55">
        <v>6.97</v>
      </c>
      <c r="C32" s="55">
        <v>23.5</v>
      </c>
      <c r="D32" s="55">
        <v>17.170000000000002</v>
      </c>
      <c r="E32" s="55">
        <v>5.3</v>
      </c>
      <c r="F32" s="55">
        <v>3.06</v>
      </c>
      <c r="G32" s="55">
        <v>61.1</v>
      </c>
      <c r="H32" s="55">
        <v>29.69</v>
      </c>
      <c r="I32" s="55">
        <v>2.69</v>
      </c>
      <c r="J32" s="55">
        <v>0.37</v>
      </c>
      <c r="K32" s="55">
        <v>344.34</v>
      </c>
      <c r="L32" s="55">
        <v>17.010000000000002</v>
      </c>
      <c r="M32" s="55">
        <v>50.15</v>
      </c>
      <c r="N32" s="55">
        <v>31.4</v>
      </c>
      <c r="O32" s="55">
        <v>0</v>
      </c>
      <c r="P32" s="55">
        <v>0.94</v>
      </c>
      <c r="Q32" s="55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3.27</v>
      </c>
      <c r="C34" s="28">
        <f t="shared" si="0"/>
        <v>20.78</v>
      </c>
      <c r="D34" s="28">
        <f t="shared" si="0"/>
        <v>15.79</v>
      </c>
      <c r="E34" s="28">
        <f t="shared" si="0"/>
        <v>4.82</v>
      </c>
      <c r="F34" s="28">
        <f t="shared" si="0"/>
        <v>3</v>
      </c>
      <c r="G34" s="28">
        <f t="shared" si="0"/>
        <v>52.8</v>
      </c>
      <c r="H34" s="28">
        <f t="shared" si="0"/>
        <v>18.57</v>
      </c>
      <c r="I34" s="28">
        <f t="shared" si="0"/>
        <v>2.11</v>
      </c>
      <c r="J34" s="28">
        <f t="shared" si="0"/>
        <v>0.21</v>
      </c>
      <c r="K34" s="28">
        <f t="shared" si="0"/>
        <v>78.150000000000006</v>
      </c>
      <c r="L34" s="28">
        <f t="shared" si="0"/>
        <v>16.11</v>
      </c>
      <c r="M34" s="28">
        <f t="shared" si="0"/>
        <v>22.3</v>
      </c>
      <c r="N34" s="28">
        <f t="shared" si="0"/>
        <v>31.3</v>
      </c>
      <c r="O34" s="28">
        <f t="shared" si="0"/>
        <v>0</v>
      </c>
      <c r="P34" s="28">
        <f t="shared" si="0"/>
        <v>0.65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11.87</v>
      </c>
      <c r="C35" s="29">
        <f t="shared" si="1"/>
        <v>35.229999999999997</v>
      </c>
      <c r="D35" s="29">
        <f t="shared" si="1"/>
        <v>21.14</v>
      </c>
      <c r="E35" s="29">
        <f t="shared" si="1"/>
        <v>12.56</v>
      </c>
      <c r="F35" s="29">
        <f t="shared" si="1"/>
        <v>12.13</v>
      </c>
      <c r="G35" s="29">
        <f t="shared" si="1"/>
        <v>68.099999999999994</v>
      </c>
      <c r="H35" s="29">
        <f t="shared" si="1"/>
        <v>35.75</v>
      </c>
      <c r="I35" s="29">
        <f t="shared" si="1"/>
        <v>3.36</v>
      </c>
      <c r="J35" s="29">
        <f t="shared" si="1"/>
        <v>1.06</v>
      </c>
      <c r="K35" s="29">
        <f t="shared" si="1"/>
        <v>359.41</v>
      </c>
      <c r="L35" s="29">
        <f t="shared" si="1"/>
        <v>27.17</v>
      </c>
      <c r="M35" s="29">
        <f t="shared" si="1"/>
        <v>80.14</v>
      </c>
      <c r="N35" s="29">
        <f t="shared" si="1"/>
        <v>558.20000000000005</v>
      </c>
      <c r="O35" s="29">
        <f t="shared" si="1"/>
        <v>0</v>
      </c>
      <c r="P35" s="29">
        <f t="shared" si="1"/>
        <v>1.1399999999999999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6.9708333333333323</v>
      </c>
      <c r="C36" s="28">
        <f t="shared" si="2"/>
        <v>25.689583333333335</v>
      </c>
      <c r="D36" s="28">
        <f t="shared" si="2"/>
        <v>18.0975</v>
      </c>
      <c r="E36" s="28">
        <f t="shared" si="2"/>
        <v>6.1854166666666677</v>
      </c>
      <c r="F36" s="28">
        <f t="shared" si="2"/>
        <v>5.0208333333333348</v>
      </c>
      <c r="G36" s="28">
        <f t="shared" si="2"/>
        <v>61.456818181818171</v>
      </c>
      <c r="H36" s="28">
        <f t="shared" si="2"/>
        <v>26.807272727272728</v>
      </c>
      <c r="I36" s="28">
        <f t="shared" si="2"/>
        <v>2.7691666666666666</v>
      </c>
      <c r="J36" s="28">
        <f t="shared" si="2"/>
        <v>0.53041666666666676</v>
      </c>
      <c r="K36" s="28">
        <f t="shared" si="2"/>
        <v>264.67916666666662</v>
      </c>
      <c r="L36" s="28">
        <f t="shared" si="2"/>
        <v>20.772916666666664</v>
      </c>
      <c r="M36" s="28">
        <f t="shared" si="2"/>
        <v>47.90541666666666</v>
      </c>
      <c r="N36" s="28">
        <f t="shared" si="2"/>
        <v>170.52916666666673</v>
      </c>
      <c r="O36" s="28">
        <f t="shared" si="2"/>
        <v>0</v>
      </c>
      <c r="P36" s="28">
        <f t="shared" si="2"/>
        <v>0.84916666666666674</v>
      </c>
      <c r="Q36" s="28">
        <f t="shared" si="2"/>
        <v>9.5770833333333343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2.6219937927606485</v>
      </c>
      <c r="C37" s="28">
        <f t="shared" ref="C37:Q37" si="3">STDEV(C9:C32)</f>
        <v>4.4335062963426486</v>
      </c>
      <c r="D37" s="28">
        <f t="shared" si="3"/>
        <v>1.3248305880211706</v>
      </c>
      <c r="E37" s="28">
        <f t="shared" si="3"/>
        <v>1.8283753281478352</v>
      </c>
      <c r="F37" s="28">
        <f t="shared" si="3"/>
        <v>2.552700048229692</v>
      </c>
      <c r="G37" s="28">
        <f t="shared" si="3"/>
        <v>4.1198039555341275</v>
      </c>
      <c r="H37" s="28">
        <f t="shared" si="3"/>
        <v>5.1272095648683855</v>
      </c>
      <c r="I37" s="28">
        <f t="shared" si="3"/>
        <v>0.43012552936845622</v>
      </c>
      <c r="J37" s="28">
        <f t="shared" si="3"/>
        <v>0.27740222196951336</v>
      </c>
      <c r="K37" s="28">
        <f t="shared" si="3"/>
        <v>107.39906873196242</v>
      </c>
      <c r="L37" s="28">
        <f t="shared" si="3"/>
        <v>3.6134031642672291</v>
      </c>
      <c r="M37" s="28">
        <f t="shared" si="3"/>
        <v>19.480615778850261</v>
      </c>
      <c r="N37" s="28">
        <f t="shared" si="3"/>
        <v>202.01266098756119</v>
      </c>
      <c r="O37" s="28">
        <f t="shared" si="3"/>
        <v>0</v>
      </c>
      <c r="P37" s="28">
        <f t="shared" si="3"/>
        <v>0.11702532860979971</v>
      </c>
      <c r="Q37" s="28">
        <f t="shared" si="3"/>
        <v>3.617339481930934E-2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8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D14" sqref="D1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708</v>
      </c>
      <c r="B9" s="55">
        <v>7.3</v>
      </c>
      <c r="C9" s="55">
        <v>22.93</v>
      </c>
      <c r="D9" s="55">
        <v>17.309999999999999</v>
      </c>
      <c r="E9" s="55">
        <v>4.2699999999999996</v>
      </c>
      <c r="F9" s="55">
        <v>3.12</v>
      </c>
      <c r="G9" s="55">
        <v>59.13</v>
      </c>
      <c r="H9" s="55">
        <v>25.74</v>
      </c>
      <c r="I9" s="55">
        <v>2.66</v>
      </c>
      <c r="J9" s="55">
        <v>0.41</v>
      </c>
      <c r="K9" s="55">
        <v>348.6</v>
      </c>
      <c r="L9" s="55">
        <v>16.12</v>
      </c>
      <c r="M9" s="55">
        <v>55.99</v>
      </c>
      <c r="N9" s="55">
        <v>31.4</v>
      </c>
      <c r="O9" s="55">
        <v>0</v>
      </c>
      <c r="P9" s="55">
        <v>0.89</v>
      </c>
      <c r="Q9" s="55">
        <v>9.58</v>
      </c>
      <c r="R9" s="43"/>
      <c r="S9" s="43"/>
      <c r="T9" s="43"/>
      <c r="U9" s="43"/>
    </row>
    <row r="10" spans="1:21" s="11" customFormat="1" x14ac:dyDescent="0.25">
      <c r="A10" s="54" t="s">
        <v>709</v>
      </c>
      <c r="B10" s="55">
        <v>7.08</v>
      </c>
      <c r="C10" s="55">
        <v>22.86</v>
      </c>
      <c r="D10" s="55">
        <v>17.16</v>
      </c>
      <c r="E10" s="55">
        <v>4.0999999999999996</v>
      </c>
      <c r="F10" s="55">
        <v>2.87</v>
      </c>
      <c r="G10" s="55">
        <v>58.31</v>
      </c>
      <c r="H10" s="55">
        <v>27.59</v>
      </c>
      <c r="I10" s="55">
        <v>2.59</v>
      </c>
      <c r="J10" s="55">
        <v>0.3</v>
      </c>
      <c r="K10" s="55">
        <v>338.85</v>
      </c>
      <c r="L10" s="55">
        <v>15.51</v>
      </c>
      <c r="M10" s="55">
        <v>65.7</v>
      </c>
      <c r="N10" s="55">
        <v>31.6</v>
      </c>
      <c r="O10" s="55">
        <v>0</v>
      </c>
      <c r="P10" s="55">
        <v>0.79</v>
      </c>
      <c r="Q10" s="55">
        <v>9.5399999999999991</v>
      </c>
      <c r="R10" s="43"/>
      <c r="S10" s="43"/>
      <c r="T10" s="43"/>
      <c r="U10" s="43"/>
    </row>
    <row r="11" spans="1:21" s="11" customFormat="1" x14ac:dyDescent="0.25">
      <c r="A11" s="54" t="s">
        <v>710</v>
      </c>
      <c r="B11" s="55">
        <v>6.71</v>
      </c>
      <c r="C11" s="55">
        <v>22.49</v>
      </c>
      <c r="D11" s="55">
        <v>16.670000000000002</v>
      </c>
      <c r="E11" s="55">
        <v>4.16</v>
      </c>
      <c r="F11" s="55">
        <v>2.76</v>
      </c>
      <c r="G11" s="55">
        <v>58.58</v>
      </c>
      <c r="H11" s="55">
        <v>27.18</v>
      </c>
      <c r="I11" s="55">
        <v>2.79</v>
      </c>
      <c r="J11" s="55">
        <v>0.67</v>
      </c>
      <c r="K11" s="55">
        <v>342.69</v>
      </c>
      <c r="L11" s="55">
        <v>14.37</v>
      </c>
      <c r="M11" s="55">
        <v>67.959999999999994</v>
      </c>
      <c r="N11" s="55">
        <v>31.3</v>
      </c>
      <c r="O11" s="55">
        <v>0</v>
      </c>
      <c r="P11" s="55">
        <v>0.84</v>
      </c>
      <c r="Q11" s="55">
        <v>9.58</v>
      </c>
      <c r="R11" s="43"/>
      <c r="S11" s="43"/>
      <c r="T11" s="43"/>
      <c r="U11" s="43"/>
    </row>
    <row r="12" spans="1:21" s="11" customFormat="1" x14ac:dyDescent="0.25">
      <c r="A12" s="54" t="s">
        <v>711</v>
      </c>
      <c r="B12" s="55">
        <v>6.77</v>
      </c>
      <c r="C12" s="55">
        <v>22.11</v>
      </c>
      <c r="D12" s="55">
        <v>16.47</v>
      </c>
      <c r="E12" s="55">
        <v>4.1900000000000004</v>
      </c>
      <c r="F12" s="55">
        <v>2.78</v>
      </c>
      <c r="G12" s="55">
        <v>75.62</v>
      </c>
      <c r="H12" s="55">
        <v>32.200000000000003</v>
      </c>
      <c r="I12" s="55">
        <v>3.03</v>
      </c>
      <c r="J12" s="55">
        <v>0.61</v>
      </c>
      <c r="K12" s="55">
        <v>354.29</v>
      </c>
      <c r="L12" s="55">
        <v>14.39</v>
      </c>
      <c r="M12" s="55">
        <v>71.88</v>
      </c>
      <c r="N12" s="55">
        <v>31.3</v>
      </c>
      <c r="O12" s="55">
        <v>0</v>
      </c>
      <c r="P12" s="55">
        <v>0.93</v>
      </c>
      <c r="Q12" s="55">
        <v>9.6</v>
      </c>
      <c r="R12" s="43"/>
      <c r="S12" s="43"/>
      <c r="T12" s="43"/>
      <c r="U12" s="43"/>
    </row>
    <row r="13" spans="1:21" s="11" customFormat="1" x14ac:dyDescent="0.25">
      <c r="A13" s="54" t="s">
        <v>712</v>
      </c>
      <c r="B13" s="55">
        <v>8.1300000000000008</v>
      </c>
      <c r="C13" s="55">
        <v>21.47</v>
      </c>
      <c r="D13" s="55">
        <v>16.809999999999999</v>
      </c>
      <c r="E13" s="55">
        <v>4.3099999999999996</v>
      </c>
      <c r="F13" s="55">
        <v>3.18</v>
      </c>
      <c r="G13" s="55">
        <v>87.08</v>
      </c>
      <c r="H13" s="55">
        <v>39.409999999999997</v>
      </c>
      <c r="I13" s="55">
        <v>3.52</v>
      </c>
      <c r="J13" s="55">
        <v>0.44</v>
      </c>
      <c r="K13" s="55">
        <v>344.93</v>
      </c>
      <c r="L13" s="55">
        <v>13.99</v>
      </c>
      <c r="M13" s="55">
        <v>78.95</v>
      </c>
      <c r="N13" s="55">
        <v>31.4</v>
      </c>
      <c r="O13" s="55">
        <v>0</v>
      </c>
      <c r="P13" s="55">
        <v>0.96</v>
      </c>
      <c r="Q13" s="55">
        <v>9.6</v>
      </c>
      <c r="R13" s="43"/>
      <c r="S13" s="43"/>
      <c r="T13" s="43"/>
      <c r="U13" s="43"/>
    </row>
    <row r="14" spans="1:21" s="11" customFormat="1" x14ac:dyDescent="0.25">
      <c r="A14" s="54" t="s">
        <v>713</v>
      </c>
      <c r="B14" s="55">
        <v>9.1</v>
      </c>
      <c r="C14" s="55">
        <v>20.41</v>
      </c>
      <c r="D14" s="55">
        <v>17.399999999999999</v>
      </c>
      <c r="E14" s="55">
        <v>4.1500000000000004</v>
      </c>
      <c r="F14" s="55">
        <v>3.1</v>
      </c>
      <c r="G14" s="55">
        <v>104.65</v>
      </c>
      <c r="H14" s="55">
        <v>42.21</v>
      </c>
      <c r="I14" s="55">
        <v>3.85</v>
      </c>
      <c r="J14" s="55">
        <v>0.46</v>
      </c>
      <c r="K14" s="55">
        <v>339.89</v>
      </c>
      <c r="L14" s="55">
        <v>13.6</v>
      </c>
      <c r="M14" s="55">
        <v>80.790000000000006</v>
      </c>
      <c r="N14" s="55">
        <v>31.4</v>
      </c>
      <c r="O14" s="55">
        <v>0</v>
      </c>
      <c r="P14" s="55">
        <v>0.91</v>
      </c>
      <c r="Q14" s="55">
        <v>9.57</v>
      </c>
      <c r="R14" s="43"/>
      <c r="S14" s="43"/>
      <c r="T14" s="43"/>
      <c r="U14" s="43"/>
    </row>
    <row r="15" spans="1:21" s="11" customFormat="1" x14ac:dyDescent="0.25">
      <c r="A15" s="54" t="s">
        <v>714</v>
      </c>
      <c r="B15" s="55">
        <v>10.3</v>
      </c>
      <c r="C15" s="55">
        <v>20.3</v>
      </c>
      <c r="D15" s="55">
        <v>17.98</v>
      </c>
      <c r="E15" s="55">
        <v>3.78</v>
      </c>
      <c r="F15" s="55">
        <v>3.02</v>
      </c>
      <c r="G15" s="55">
        <v>102.09</v>
      </c>
      <c r="H15" s="55">
        <v>41.46</v>
      </c>
      <c r="I15" s="55">
        <v>3.83</v>
      </c>
      <c r="J15" s="55">
        <v>0.21</v>
      </c>
      <c r="K15" s="55">
        <v>299.93</v>
      </c>
      <c r="L15" s="55">
        <v>13.32</v>
      </c>
      <c r="M15" s="55">
        <v>83.25</v>
      </c>
      <c r="N15" s="55">
        <v>62</v>
      </c>
      <c r="O15" s="55">
        <v>0</v>
      </c>
      <c r="P15" s="55">
        <v>0.9</v>
      </c>
      <c r="Q15" s="55">
        <v>9.6</v>
      </c>
      <c r="R15" s="43"/>
      <c r="S15" s="43"/>
      <c r="T15" s="43"/>
      <c r="U15" s="43"/>
    </row>
    <row r="16" spans="1:21" s="11" customFormat="1" x14ac:dyDescent="0.25">
      <c r="A16" s="54" t="s">
        <v>715</v>
      </c>
      <c r="B16" s="55">
        <v>12.43</v>
      </c>
      <c r="C16" s="55">
        <v>19.78</v>
      </c>
      <c r="D16" s="55">
        <v>19.78</v>
      </c>
      <c r="E16" s="55">
        <v>5.31</v>
      </c>
      <c r="F16" s="55">
        <v>3.11</v>
      </c>
      <c r="G16" s="55">
        <v>89.42</v>
      </c>
      <c r="H16" s="55">
        <v>38.99</v>
      </c>
      <c r="I16" s="55">
        <v>3.71</v>
      </c>
      <c r="J16" s="55">
        <v>0.32</v>
      </c>
      <c r="K16" s="55">
        <v>334.63</v>
      </c>
      <c r="L16" s="55">
        <v>18.3</v>
      </c>
      <c r="M16" s="55">
        <v>79.25</v>
      </c>
      <c r="N16" s="55">
        <v>250.4</v>
      </c>
      <c r="O16" s="55">
        <v>0</v>
      </c>
      <c r="P16" s="55">
        <v>1.02</v>
      </c>
      <c r="Q16" s="55">
        <v>9.65</v>
      </c>
      <c r="R16" s="43"/>
      <c r="S16" s="43"/>
      <c r="T16" s="43"/>
      <c r="U16" s="43"/>
    </row>
    <row r="17" spans="1:21" s="11" customFormat="1" x14ac:dyDescent="0.25">
      <c r="A17" s="54" t="s">
        <v>716</v>
      </c>
      <c r="B17" s="55">
        <v>13.2</v>
      </c>
      <c r="C17" s="55">
        <v>20.02</v>
      </c>
      <c r="D17" s="55">
        <v>20.5</v>
      </c>
      <c r="E17" s="55">
        <v>4.87</v>
      </c>
      <c r="F17" s="55">
        <v>3.36</v>
      </c>
      <c r="G17" s="55">
        <v>77.900000000000006</v>
      </c>
      <c r="H17" s="55">
        <v>36.840000000000003</v>
      </c>
      <c r="I17" s="55">
        <v>3.71</v>
      </c>
      <c r="J17" s="55">
        <v>0.46</v>
      </c>
      <c r="K17" s="55">
        <v>358.12</v>
      </c>
      <c r="L17" s="55">
        <v>21.17</v>
      </c>
      <c r="M17" s="55">
        <v>51.33</v>
      </c>
      <c r="N17" s="55">
        <v>407.3</v>
      </c>
      <c r="O17" s="55">
        <v>0</v>
      </c>
      <c r="P17" s="55">
        <v>1.04</v>
      </c>
      <c r="Q17" s="55">
        <v>9.64</v>
      </c>
      <c r="R17" s="43"/>
      <c r="S17" s="43"/>
      <c r="T17" s="43"/>
      <c r="U17" s="43"/>
    </row>
    <row r="18" spans="1:21" s="11" customFormat="1" x14ac:dyDescent="0.25">
      <c r="A18" s="54" t="s">
        <v>717</v>
      </c>
      <c r="B18" s="55">
        <v>12.89</v>
      </c>
      <c r="C18" s="55">
        <v>21.59</v>
      </c>
      <c r="D18" s="55">
        <v>20.440000000000001</v>
      </c>
      <c r="E18" s="55">
        <v>4.9000000000000004</v>
      </c>
      <c r="F18" s="55">
        <v>3.34</v>
      </c>
      <c r="G18" s="55">
        <v>69.459999999999994</v>
      </c>
      <c r="H18" s="55">
        <v>33.57</v>
      </c>
      <c r="I18" s="55">
        <v>3.67</v>
      </c>
      <c r="J18" s="55">
        <v>0.68</v>
      </c>
      <c r="K18" s="55">
        <v>334.41</v>
      </c>
      <c r="L18" s="55">
        <v>23.43</v>
      </c>
      <c r="M18" s="55">
        <v>44.39</v>
      </c>
      <c r="N18" s="55">
        <v>506.7</v>
      </c>
      <c r="O18" s="55">
        <v>0</v>
      </c>
      <c r="P18" s="55">
        <v>0.94</v>
      </c>
      <c r="Q18" s="55">
        <v>9.6300000000000008</v>
      </c>
      <c r="R18" s="43"/>
      <c r="S18" s="43"/>
      <c r="T18" s="43"/>
      <c r="U18" s="43"/>
    </row>
    <row r="19" spans="1:21" s="11" customFormat="1" x14ac:dyDescent="0.25">
      <c r="A19" s="54" t="s">
        <v>718</v>
      </c>
      <c r="B19" s="55">
        <v>11.7</v>
      </c>
      <c r="C19" s="55">
        <v>23.6</v>
      </c>
      <c r="D19" s="55">
        <v>20.43</v>
      </c>
      <c r="E19" s="55">
        <v>4.9800000000000004</v>
      </c>
      <c r="F19" s="55">
        <v>2.99</v>
      </c>
      <c r="G19" s="55">
        <v>64.05</v>
      </c>
      <c r="H19" s="55">
        <v>31.68</v>
      </c>
      <c r="I19" s="55">
        <v>3.57</v>
      </c>
      <c r="J19" s="55">
        <v>0.65</v>
      </c>
      <c r="K19" s="55">
        <v>122.21</v>
      </c>
      <c r="L19" s="55">
        <v>24.73</v>
      </c>
      <c r="M19" s="55">
        <v>37.24</v>
      </c>
      <c r="N19" s="55">
        <v>555.20000000000005</v>
      </c>
      <c r="O19" s="55">
        <v>0</v>
      </c>
      <c r="P19" s="55">
        <v>0.9</v>
      </c>
      <c r="Q19" s="55">
        <v>9.6300000000000008</v>
      </c>
      <c r="R19" s="43"/>
      <c r="S19" s="43"/>
      <c r="T19" s="43"/>
      <c r="U19" s="43"/>
    </row>
    <row r="20" spans="1:21" s="11" customFormat="1" x14ac:dyDescent="0.25">
      <c r="A20" s="54" t="s">
        <v>719</v>
      </c>
      <c r="B20" s="55">
        <v>9.25</v>
      </c>
      <c r="C20" s="55">
        <v>25.09</v>
      </c>
      <c r="D20" s="55">
        <v>19.829999999999998</v>
      </c>
      <c r="E20" s="55">
        <v>5.9</v>
      </c>
      <c r="F20" s="55">
        <v>4.83</v>
      </c>
      <c r="G20" s="55">
        <v>62.79</v>
      </c>
      <c r="H20" s="55">
        <v>30.07</v>
      </c>
      <c r="I20" s="55">
        <v>3.47</v>
      </c>
      <c r="J20" s="55">
        <v>1.1499999999999999</v>
      </c>
      <c r="K20" s="55">
        <v>119.35</v>
      </c>
      <c r="L20" s="55">
        <v>24.51</v>
      </c>
      <c r="M20" s="55">
        <v>37.64</v>
      </c>
      <c r="N20" s="55">
        <v>573.6</v>
      </c>
      <c r="O20" s="55">
        <v>0</v>
      </c>
      <c r="P20" s="55">
        <v>0.89</v>
      </c>
      <c r="Q20" s="55">
        <v>9.6300000000000008</v>
      </c>
      <c r="R20" s="43"/>
      <c r="S20" s="43"/>
      <c r="T20" s="43"/>
      <c r="U20" s="43"/>
    </row>
    <row r="21" spans="1:21" s="11" customFormat="1" x14ac:dyDescent="0.25">
      <c r="A21" s="54" t="s">
        <v>720</v>
      </c>
      <c r="B21" s="55">
        <v>6.67</v>
      </c>
      <c r="C21" s="55">
        <v>25</v>
      </c>
      <c r="D21" s="55">
        <v>17.54</v>
      </c>
      <c r="E21" s="55">
        <v>6.3</v>
      </c>
      <c r="F21" s="55">
        <v>6.65</v>
      </c>
      <c r="G21" s="55">
        <v>56.56</v>
      </c>
      <c r="H21" s="55">
        <v>26.48</v>
      </c>
      <c r="I21" s="55">
        <v>3.27</v>
      </c>
      <c r="J21" s="55">
        <v>1.51</v>
      </c>
      <c r="K21" s="55">
        <v>128.35</v>
      </c>
      <c r="L21" s="55">
        <v>25.88</v>
      </c>
      <c r="M21" s="55">
        <v>35.92</v>
      </c>
      <c r="N21" s="55">
        <v>556.1</v>
      </c>
      <c r="O21" s="55">
        <v>0</v>
      </c>
      <c r="P21" s="55">
        <v>0.87</v>
      </c>
      <c r="Q21" s="55">
        <v>9.6300000000000008</v>
      </c>
      <c r="R21" s="43"/>
      <c r="S21" s="43"/>
      <c r="T21" s="43"/>
      <c r="U21" s="43"/>
    </row>
    <row r="22" spans="1:21" s="11" customFormat="1" x14ac:dyDescent="0.25">
      <c r="A22" s="54" t="s">
        <v>721</v>
      </c>
      <c r="B22" s="55">
        <v>5.39</v>
      </c>
      <c r="C22" s="55">
        <v>25.51</v>
      </c>
      <c r="D22" s="55">
        <v>16.559999999999999</v>
      </c>
      <c r="E22" s="55">
        <v>6.47</v>
      </c>
      <c r="F22" s="55">
        <v>7.34</v>
      </c>
      <c r="G22" s="55">
        <v>47.7</v>
      </c>
      <c r="H22" s="55">
        <v>19.989999999999998</v>
      </c>
      <c r="I22" s="55">
        <v>3.02</v>
      </c>
      <c r="J22" s="55">
        <v>1.57</v>
      </c>
      <c r="K22" s="55">
        <v>121.12</v>
      </c>
      <c r="L22" s="55">
        <v>24.69</v>
      </c>
      <c r="M22" s="55">
        <v>33.630000000000003</v>
      </c>
      <c r="N22" s="55">
        <v>462</v>
      </c>
      <c r="O22" s="55">
        <v>0</v>
      </c>
      <c r="P22" s="55">
        <v>0.78</v>
      </c>
      <c r="Q22" s="55">
        <v>9.58</v>
      </c>
      <c r="R22" s="43"/>
      <c r="S22" s="43"/>
      <c r="T22" s="43"/>
      <c r="U22" s="43"/>
    </row>
    <row r="23" spans="1:21" s="11" customFormat="1" x14ac:dyDescent="0.25">
      <c r="A23" s="54" t="s">
        <v>722</v>
      </c>
      <c r="B23" s="55">
        <v>3.91</v>
      </c>
      <c r="C23" s="55">
        <v>25.96</v>
      </c>
      <c r="D23" s="55">
        <v>16.09</v>
      </c>
      <c r="E23" s="55">
        <v>6.68</v>
      </c>
      <c r="F23" s="55">
        <v>6.36</v>
      </c>
      <c r="G23" s="55">
        <v>44.35</v>
      </c>
      <c r="H23" s="55">
        <v>19.14</v>
      </c>
      <c r="I23" s="55">
        <v>2.83</v>
      </c>
      <c r="J23" s="55">
        <v>1.06</v>
      </c>
      <c r="K23" s="55">
        <v>347.87</v>
      </c>
      <c r="L23" s="55">
        <v>24.61</v>
      </c>
      <c r="M23" s="55">
        <v>33.229999999999997</v>
      </c>
      <c r="N23" s="55">
        <v>159.19999999999999</v>
      </c>
      <c r="O23" s="55">
        <v>0</v>
      </c>
      <c r="P23" s="55">
        <v>0.72</v>
      </c>
      <c r="Q23" s="55">
        <v>9.52</v>
      </c>
      <c r="R23" s="43"/>
      <c r="S23" s="43"/>
      <c r="T23" s="43"/>
      <c r="U23" s="43"/>
    </row>
    <row r="24" spans="1:21" s="11" customFormat="1" x14ac:dyDescent="0.25">
      <c r="A24" s="54" t="s">
        <v>723</v>
      </c>
      <c r="B24" s="55">
        <v>4.92</v>
      </c>
      <c r="C24" s="55">
        <v>28.39</v>
      </c>
      <c r="D24" s="55">
        <v>18.32</v>
      </c>
      <c r="E24" s="55">
        <v>7.88</v>
      </c>
      <c r="F24" s="55">
        <v>8.5299999999999994</v>
      </c>
      <c r="G24" s="55">
        <v>44.18</v>
      </c>
      <c r="H24" s="55">
        <v>20.02</v>
      </c>
      <c r="I24" s="55">
        <v>2.65</v>
      </c>
      <c r="J24" s="55">
        <v>1.1100000000000001</v>
      </c>
      <c r="K24" s="55">
        <v>347.46</v>
      </c>
      <c r="L24" s="55">
        <v>23.66</v>
      </c>
      <c r="M24" s="55">
        <v>33.79</v>
      </c>
      <c r="N24" s="55">
        <v>88.2</v>
      </c>
      <c r="O24" s="55">
        <v>0</v>
      </c>
      <c r="P24" s="55">
        <v>0.71</v>
      </c>
      <c r="Q24" s="55">
        <v>9.49</v>
      </c>
      <c r="R24" s="43"/>
      <c r="S24" s="43"/>
      <c r="T24" s="43"/>
      <c r="U24" s="43"/>
    </row>
    <row r="25" spans="1:21" s="11" customFormat="1" x14ac:dyDescent="0.25">
      <c r="A25" s="54" t="s">
        <v>724</v>
      </c>
      <c r="B25" s="55">
        <v>10.47</v>
      </c>
      <c r="C25" s="55">
        <v>31.29</v>
      </c>
      <c r="D25" s="55">
        <v>23.14</v>
      </c>
      <c r="E25" s="55">
        <v>10.42</v>
      </c>
      <c r="F25" s="55">
        <v>5.21</v>
      </c>
      <c r="G25" s="55">
        <v>46.87</v>
      </c>
      <c r="H25" s="55">
        <v>19.77</v>
      </c>
      <c r="I25" s="55">
        <v>2.56</v>
      </c>
      <c r="J25" s="55">
        <v>0.75</v>
      </c>
      <c r="K25" s="55">
        <v>359.5</v>
      </c>
      <c r="L25" s="55">
        <v>22.97</v>
      </c>
      <c r="M25" s="55">
        <v>37.6</v>
      </c>
      <c r="N25" s="55">
        <v>61.5</v>
      </c>
      <c r="O25" s="55">
        <v>0</v>
      </c>
      <c r="P25" s="55">
        <v>0.8</v>
      </c>
      <c r="Q25" s="55">
        <v>9.52</v>
      </c>
      <c r="R25" s="43"/>
      <c r="S25" s="43"/>
      <c r="T25" s="43"/>
      <c r="U25" s="43"/>
    </row>
    <row r="26" spans="1:21" s="11" customFormat="1" x14ac:dyDescent="0.25">
      <c r="A26" s="54" t="s">
        <v>725</v>
      </c>
      <c r="B26" s="55">
        <v>12.15</v>
      </c>
      <c r="C26" s="55">
        <v>30.34</v>
      </c>
      <c r="D26" s="55">
        <v>24.36</v>
      </c>
      <c r="E26" s="55">
        <v>6.44</v>
      </c>
      <c r="F26" s="55">
        <v>4.5199999999999996</v>
      </c>
      <c r="G26" s="55">
        <v>52.71</v>
      </c>
      <c r="H26" s="55">
        <v>22.12</v>
      </c>
      <c r="I26" s="55">
        <v>3.05</v>
      </c>
      <c r="J26" s="55">
        <v>0.49</v>
      </c>
      <c r="K26" s="55">
        <v>354.93</v>
      </c>
      <c r="L26" s="55">
        <v>21.54</v>
      </c>
      <c r="M26" s="55">
        <v>46.2</v>
      </c>
      <c r="N26" s="55">
        <v>34.5</v>
      </c>
      <c r="O26" s="55">
        <v>0</v>
      </c>
      <c r="P26" s="55">
        <v>0.97</v>
      </c>
      <c r="Q26" s="55">
        <v>9.64</v>
      </c>
      <c r="R26" s="43"/>
      <c r="S26" s="43"/>
      <c r="T26" s="43"/>
      <c r="U26" s="43"/>
    </row>
    <row r="27" spans="1:21" s="11" customFormat="1" x14ac:dyDescent="0.25">
      <c r="A27" s="54" t="s">
        <v>726</v>
      </c>
      <c r="B27" s="55">
        <v>18.66</v>
      </c>
      <c r="C27" s="55">
        <v>31.31</v>
      </c>
      <c r="D27" s="55">
        <v>30.17</v>
      </c>
      <c r="E27" s="55">
        <v>7.35</v>
      </c>
      <c r="F27" s="55">
        <v>6.33</v>
      </c>
      <c r="G27" s="55">
        <v>62.86</v>
      </c>
      <c r="H27" s="55">
        <v>24.06</v>
      </c>
      <c r="I27" s="55">
        <v>3.31</v>
      </c>
      <c r="J27" s="55">
        <v>0.28999999999999998</v>
      </c>
      <c r="K27" s="55">
        <v>358.85</v>
      </c>
      <c r="L27" s="55">
        <v>19.68</v>
      </c>
      <c r="M27" s="55">
        <v>47.87</v>
      </c>
      <c r="N27" s="55">
        <v>31.5</v>
      </c>
      <c r="O27" s="55">
        <v>0</v>
      </c>
      <c r="P27" s="55">
        <v>1.34</v>
      </c>
      <c r="Q27" s="55">
        <v>9.65</v>
      </c>
      <c r="R27" s="43"/>
      <c r="S27" s="43"/>
      <c r="T27" s="43"/>
      <c r="U27" s="43"/>
    </row>
    <row r="28" spans="1:21" s="11" customFormat="1" x14ac:dyDescent="0.25">
      <c r="A28" s="54" t="s">
        <v>727</v>
      </c>
      <c r="B28" s="55">
        <v>19.46</v>
      </c>
      <c r="C28" s="55">
        <v>30.68</v>
      </c>
      <c r="D28" s="55">
        <v>27.72</v>
      </c>
      <c r="E28" s="55">
        <v>7.49</v>
      </c>
      <c r="F28" s="55">
        <v>5.77</v>
      </c>
      <c r="G28" s="55">
        <v>66.11</v>
      </c>
      <c r="H28" s="55">
        <v>28.12</v>
      </c>
      <c r="I28" s="55">
        <v>3.62</v>
      </c>
      <c r="J28" s="55">
        <v>0.42</v>
      </c>
      <c r="K28" s="55">
        <v>117.27</v>
      </c>
      <c r="L28" s="55">
        <v>19.190000000000001</v>
      </c>
      <c r="M28" s="55">
        <v>52.66</v>
      </c>
      <c r="N28" s="55">
        <v>31.6</v>
      </c>
      <c r="O28" s="55">
        <v>0</v>
      </c>
      <c r="P28" s="55">
        <v>1.31</v>
      </c>
      <c r="Q28" s="55">
        <v>9.66</v>
      </c>
      <c r="R28" s="43"/>
      <c r="S28" s="43"/>
      <c r="T28" s="43"/>
      <c r="U28" s="43"/>
    </row>
    <row r="29" spans="1:21" s="11" customFormat="1" x14ac:dyDescent="0.25">
      <c r="A29" s="54" t="s">
        <v>728</v>
      </c>
      <c r="B29" s="55">
        <v>21.59</v>
      </c>
      <c r="C29" s="55">
        <v>20.82</v>
      </c>
      <c r="D29" s="55">
        <v>27.03</v>
      </c>
      <c r="E29" s="55">
        <v>6.24</v>
      </c>
      <c r="F29" s="55">
        <v>3.63</v>
      </c>
      <c r="G29" s="55">
        <v>68.81</v>
      </c>
      <c r="H29" s="55">
        <v>28.68</v>
      </c>
      <c r="I29" s="55">
        <v>4.32</v>
      </c>
      <c r="J29" s="55">
        <v>0.33</v>
      </c>
      <c r="K29" s="55">
        <v>350.66</v>
      </c>
      <c r="L29" s="55">
        <v>18.670000000000002</v>
      </c>
      <c r="M29" s="55">
        <v>63.58</v>
      </c>
      <c r="N29" s="55">
        <v>31.9</v>
      </c>
      <c r="O29" s="55">
        <v>0</v>
      </c>
      <c r="P29" s="55">
        <v>1.28</v>
      </c>
      <c r="Q29" s="55">
        <v>9.66</v>
      </c>
      <c r="R29" s="43"/>
      <c r="S29" s="43"/>
      <c r="T29" s="43"/>
      <c r="U29" s="43"/>
    </row>
    <row r="30" spans="1:21" s="11" customFormat="1" x14ac:dyDescent="0.25">
      <c r="A30" s="54" t="s">
        <v>729</v>
      </c>
      <c r="B30" s="55">
        <v>36.39</v>
      </c>
      <c r="C30" s="55">
        <v>18.3</v>
      </c>
      <c r="D30" s="55">
        <v>35.36</v>
      </c>
      <c r="E30" s="55">
        <v>5.29</v>
      </c>
      <c r="F30" s="55">
        <v>3.05</v>
      </c>
      <c r="G30" s="55">
        <v>72.3</v>
      </c>
      <c r="H30" s="55">
        <v>32.75</v>
      </c>
      <c r="I30" s="55">
        <v>4.57</v>
      </c>
      <c r="J30" s="55">
        <v>0.42</v>
      </c>
      <c r="K30" s="55">
        <v>332.93</v>
      </c>
      <c r="L30" s="55">
        <v>17.2</v>
      </c>
      <c r="M30" s="55">
        <v>76.08</v>
      </c>
      <c r="N30" s="55">
        <v>31.7</v>
      </c>
      <c r="O30" s="55">
        <v>0</v>
      </c>
      <c r="P30" s="55">
        <v>1.57</v>
      </c>
      <c r="Q30" s="55">
        <v>9.69</v>
      </c>
      <c r="R30" s="43"/>
      <c r="S30" s="43"/>
      <c r="T30" s="43"/>
      <c r="U30" s="43"/>
    </row>
    <row r="31" spans="1:21" s="11" customFormat="1" x14ac:dyDescent="0.25">
      <c r="A31" s="54" t="s">
        <v>730</v>
      </c>
      <c r="B31" s="55">
        <v>44.7</v>
      </c>
      <c r="C31" s="55">
        <v>11</v>
      </c>
      <c r="D31" s="55">
        <v>39.69</v>
      </c>
      <c r="E31" s="55">
        <v>5.32</v>
      </c>
      <c r="F31" s="55">
        <v>2.95</v>
      </c>
      <c r="G31" s="55">
        <v>84.41</v>
      </c>
      <c r="H31" s="55">
        <v>35.770000000000003</v>
      </c>
      <c r="I31" s="55">
        <v>5.53</v>
      </c>
      <c r="J31" s="55">
        <v>0.3</v>
      </c>
      <c r="K31" s="55">
        <v>341.84</v>
      </c>
      <c r="L31" s="55">
        <v>15.98</v>
      </c>
      <c r="M31" s="55">
        <v>76.510000000000005</v>
      </c>
      <c r="N31" s="55">
        <v>31.6</v>
      </c>
      <c r="O31" s="55">
        <v>0</v>
      </c>
      <c r="P31" s="55">
        <v>1.79</v>
      </c>
      <c r="Q31" s="55">
        <v>9.7100000000000009</v>
      </c>
      <c r="R31" s="43"/>
      <c r="S31" s="43"/>
      <c r="T31" s="43"/>
      <c r="U31" s="43"/>
    </row>
    <row r="32" spans="1:21" s="11" customFormat="1" x14ac:dyDescent="0.25">
      <c r="A32" s="54" t="s">
        <v>731</v>
      </c>
      <c r="B32" s="55">
        <v>45.54</v>
      </c>
      <c r="C32" s="55">
        <v>8.5399999999999991</v>
      </c>
      <c r="D32" s="55">
        <v>40.24</v>
      </c>
      <c r="E32" s="55">
        <v>5.32</v>
      </c>
      <c r="F32" s="55">
        <v>3.28</v>
      </c>
      <c r="G32" s="55">
        <v>84.12</v>
      </c>
      <c r="H32" s="55">
        <v>38.119999999999997</v>
      </c>
      <c r="I32" s="55">
        <v>5.68</v>
      </c>
      <c r="J32" s="55">
        <v>0.37</v>
      </c>
      <c r="K32" s="55">
        <v>324.11</v>
      </c>
      <c r="L32" s="55">
        <v>16.03</v>
      </c>
      <c r="M32" s="55">
        <v>76.489999999999995</v>
      </c>
      <c r="N32" s="55">
        <v>31.4</v>
      </c>
      <c r="O32" s="55">
        <v>0</v>
      </c>
      <c r="P32" s="55">
        <v>1.86</v>
      </c>
      <c r="Q32" s="55">
        <v>9.7200000000000006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3.91</v>
      </c>
      <c r="C34" s="28">
        <f t="shared" si="0"/>
        <v>8.5399999999999991</v>
      </c>
      <c r="D34" s="28">
        <f t="shared" si="0"/>
        <v>16.09</v>
      </c>
      <c r="E34" s="28">
        <f t="shared" si="0"/>
        <v>3.78</v>
      </c>
      <c r="F34" s="28">
        <f t="shared" si="0"/>
        <v>2.76</v>
      </c>
      <c r="G34" s="28">
        <f t="shared" si="0"/>
        <v>44.18</v>
      </c>
      <c r="H34" s="28">
        <f t="shared" si="0"/>
        <v>19.14</v>
      </c>
      <c r="I34" s="28">
        <f t="shared" si="0"/>
        <v>2.56</v>
      </c>
      <c r="J34" s="28">
        <f t="shared" si="0"/>
        <v>0.21</v>
      </c>
      <c r="K34" s="28">
        <f t="shared" si="0"/>
        <v>117.27</v>
      </c>
      <c r="L34" s="28">
        <f t="shared" si="0"/>
        <v>13.32</v>
      </c>
      <c r="M34" s="28">
        <f t="shared" si="0"/>
        <v>33.229999999999997</v>
      </c>
      <c r="N34" s="28">
        <f t="shared" si="0"/>
        <v>31.3</v>
      </c>
      <c r="O34" s="28">
        <f t="shared" si="0"/>
        <v>0</v>
      </c>
      <c r="P34" s="28">
        <f t="shared" si="0"/>
        <v>0.71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45.54</v>
      </c>
      <c r="C35" s="29">
        <f t="shared" si="1"/>
        <v>31.31</v>
      </c>
      <c r="D35" s="29">
        <f t="shared" si="1"/>
        <v>40.24</v>
      </c>
      <c r="E35" s="29">
        <f t="shared" si="1"/>
        <v>10.42</v>
      </c>
      <c r="F35" s="29">
        <f t="shared" si="1"/>
        <v>8.5299999999999994</v>
      </c>
      <c r="G35" s="29">
        <f t="shared" si="1"/>
        <v>104.65</v>
      </c>
      <c r="H35" s="29">
        <f t="shared" si="1"/>
        <v>42.21</v>
      </c>
      <c r="I35" s="29">
        <f t="shared" si="1"/>
        <v>5.68</v>
      </c>
      <c r="J35" s="29">
        <f t="shared" si="1"/>
        <v>1.57</v>
      </c>
      <c r="K35" s="29">
        <f t="shared" si="1"/>
        <v>359.5</v>
      </c>
      <c r="L35" s="29">
        <f t="shared" si="1"/>
        <v>25.88</v>
      </c>
      <c r="M35" s="29">
        <f t="shared" si="1"/>
        <v>83.25</v>
      </c>
      <c r="N35" s="29">
        <f t="shared" si="1"/>
        <v>573.6</v>
      </c>
      <c r="O35" s="29">
        <f t="shared" si="1"/>
        <v>0</v>
      </c>
      <c r="P35" s="29">
        <f t="shared" si="1"/>
        <v>1.86</v>
      </c>
      <c r="Q35" s="29">
        <f t="shared" si="1"/>
        <v>9.7200000000000006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14.362916666666669</v>
      </c>
      <c r="C36" s="28">
        <f t="shared" si="2"/>
        <v>22.907916666666665</v>
      </c>
      <c r="D36" s="28">
        <f t="shared" si="2"/>
        <v>22.374999999999996</v>
      </c>
      <c r="E36" s="28">
        <f t="shared" si="2"/>
        <v>5.671666666666666</v>
      </c>
      <c r="F36" s="28">
        <f t="shared" si="2"/>
        <v>4.2533333333333321</v>
      </c>
      <c r="G36" s="28">
        <f t="shared" si="2"/>
        <v>68.335833333333312</v>
      </c>
      <c r="H36" s="28">
        <f t="shared" si="2"/>
        <v>30.081666666666663</v>
      </c>
      <c r="I36" s="28">
        <f t="shared" si="2"/>
        <v>3.5337499999999999</v>
      </c>
      <c r="J36" s="28">
        <f t="shared" si="2"/>
        <v>0.62416666666666665</v>
      </c>
      <c r="K36" s="28">
        <f t="shared" si="2"/>
        <v>296.78291666666672</v>
      </c>
      <c r="L36" s="28">
        <f t="shared" si="2"/>
        <v>19.314166666666669</v>
      </c>
      <c r="M36" s="28">
        <f t="shared" si="2"/>
        <v>56.997083333333329</v>
      </c>
      <c r="N36" s="28">
        <f t="shared" si="2"/>
        <v>170.61666666666665</v>
      </c>
      <c r="O36" s="28">
        <f t="shared" si="2"/>
        <v>0</v>
      </c>
      <c r="P36" s="28">
        <f t="shared" si="2"/>
        <v>1.0420833333333335</v>
      </c>
      <c r="Q36" s="28">
        <f t="shared" si="2"/>
        <v>9.6133333333333333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11.749350945687487</v>
      </c>
      <c r="C37" s="28">
        <f t="shared" ref="C37:Q37" si="3">STDEV(C9:C32)</f>
        <v>5.6022635015304125</v>
      </c>
      <c r="D37" s="28">
        <f t="shared" si="3"/>
        <v>7.3300904555780741</v>
      </c>
      <c r="E37" s="28">
        <f t="shared" si="3"/>
        <v>1.5529009785802121</v>
      </c>
      <c r="F37" s="28">
        <f t="shared" si="3"/>
        <v>1.7010397502363268</v>
      </c>
      <c r="G37" s="28">
        <f t="shared" si="3"/>
        <v>17.087992712063578</v>
      </c>
      <c r="H37" s="28">
        <f t="shared" si="3"/>
        <v>7.2019252659432791</v>
      </c>
      <c r="I37" s="28">
        <f t="shared" si="3"/>
        <v>0.83060906149853653</v>
      </c>
      <c r="J37" s="28">
        <f t="shared" si="3"/>
        <v>0.38310989076999441</v>
      </c>
      <c r="K37" s="28">
        <f t="shared" si="3"/>
        <v>92.644053164654665</v>
      </c>
      <c r="L37" s="28">
        <f t="shared" si="3"/>
        <v>4.2335789327364646</v>
      </c>
      <c r="M37" s="28">
        <f t="shared" si="3"/>
        <v>18.014295646650449</v>
      </c>
      <c r="N37" s="28">
        <f t="shared" si="3"/>
        <v>208.56720878342827</v>
      </c>
      <c r="O37" s="28">
        <f t="shared" si="3"/>
        <v>0</v>
      </c>
      <c r="P37" s="28">
        <f t="shared" si="3"/>
        <v>0.31889727345101698</v>
      </c>
      <c r="Q37" s="28">
        <f t="shared" si="3"/>
        <v>5.8952203680953351E-2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22" workbookViewId="0">
      <selection activeCell="H10" sqref="H1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732</v>
      </c>
      <c r="B9" s="55">
        <v>41.46</v>
      </c>
      <c r="C9" s="55">
        <v>10.029999999999999</v>
      </c>
      <c r="D9" s="55">
        <v>37.5</v>
      </c>
      <c r="E9" s="55">
        <v>5.67</v>
      </c>
      <c r="F9" s="55">
        <v>3.24</v>
      </c>
      <c r="G9" s="55">
        <v>82.18</v>
      </c>
      <c r="H9" s="55">
        <v>37.229999999999997</v>
      </c>
      <c r="I9" s="55">
        <v>5.25</v>
      </c>
      <c r="J9" s="55">
        <v>0.4</v>
      </c>
      <c r="K9" s="55">
        <v>292.60000000000002</v>
      </c>
      <c r="L9" s="55">
        <v>15.38</v>
      </c>
      <c r="M9" s="55">
        <v>86.15</v>
      </c>
      <c r="N9" s="55">
        <v>31.6</v>
      </c>
      <c r="O9" s="55">
        <v>0</v>
      </c>
      <c r="P9" s="55">
        <v>1.78</v>
      </c>
      <c r="Q9" s="55">
        <v>9.6999999999999993</v>
      </c>
      <c r="R9" s="43"/>
      <c r="S9" s="43"/>
      <c r="T9" s="43"/>
      <c r="U9" s="43"/>
    </row>
    <row r="10" spans="1:21" s="11" customFormat="1" x14ac:dyDescent="0.25">
      <c r="A10" s="54" t="s">
        <v>733</v>
      </c>
      <c r="B10" s="55">
        <v>34.99</v>
      </c>
      <c r="C10" s="55">
        <v>11.49</v>
      </c>
      <c r="D10" s="55">
        <v>33.01</v>
      </c>
      <c r="E10" s="55">
        <v>5.22</v>
      </c>
      <c r="F10" s="55">
        <v>3.24</v>
      </c>
      <c r="G10" s="55">
        <v>77.430000000000007</v>
      </c>
      <c r="H10" s="55">
        <v>34.49</v>
      </c>
      <c r="I10" s="55">
        <v>5.27</v>
      </c>
      <c r="J10" s="55">
        <v>0.31</v>
      </c>
      <c r="K10" s="55">
        <v>316.77999999999997</v>
      </c>
      <c r="L10" s="55">
        <v>14.85</v>
      </c>
      <c r="M10" s="55">
        <v>96.73</v>
      </c>
      <c r="N10" s="55">
        <v>31.7</v>
      </c>
      <c r="O10" s="55">
        <v>0</v>
      </c>
      <c r="P10" s="55">
        <v>1.54</v>
      </c>
      <c r="Q10" s="55">
        <v>9.69</v>
      </c>
      <c r="R10" s="43"/>
      <c r="S10" s="43"/>
      <c r="T10" s="43"/>
      <c r="U10" s="43"/>
    </row>
    <row r="11" spans="1:21" s="11" customFormat="1" x14ac:dyDescent="0.25">
      <c r="A11" s="54" t="s">
        <v>734</v>
      </c>
      <c r="B11" s="55">
        <v>30.19</v>
      </c>
      <c r="C11" s="55">
        <v>12.72</v>
      </c>
      <c r="D11" s="55">
        <v>29.97</v>
      </c>
      <c r="E11" s="55">
        <v>5.22</v>
      </c>
      <c r="F11" s="55">
        <v>2.78</v>
      </c>
      <c r="G11" s="55">
        <v>71.73</v>
      </c>
      <c r="H11" s="55">
        <v>34.18</v>
      </c>
      <c r="I11" s="55">
        <v>5.19</v>
      </c>
      <c r="J11" s="55">
        <v>0.4</v>
      </c>
      <c r="K11" s="55">
        <v>329</v>
      </c>
      <c r="L11" s="55">
        <v>13.75</v>
      </c>
      <c r="M11" s="55">
        <v>98.14</v>
      </c>
      <c r="N11" s="55">
        <v>31.6</v>
      </c>
      <c r="O11" s="55">
        <v>0</v>
      </c>
      <c r="P11" s="55">
        <v>1.44</v>
      </c>
      <c r="Q11" s="55">
        <v>9.69</v>
      </c>
      <c r="R11" s="43"/>
      <c r="S11" s="43"/>
      <c r="T11" s="43"/>
      <c r="U11" s="43"/>
    </row>
    <row r="12" spans="1:21" s="11" customFormat="1" x14ac:dyDescent="0.25">
      <c r="A12" s="54" t="s">
        <v>735</v>
      </c>
      <c r="B12" s="55">
        <v>27.02</v>
      </c>
      <c r="C12" s="55">
        <v>13.13</v>
      </c>
      <c r="D12" s="55">
        <v>27.61</v>
      </c>
      <c r="E12" s="55">
        <v>5.25</v>
      </c>
      <c r="F12" s="55">
        <v>2.93</v>
      </c>
      <c r="G12" s="55">
        <v>70.930000000000007</v>
      </c>
      <c r="H12" s="55">
        <v>33.76</v>
      </c>
      <c r="I12" s="55">
        <v>4.87</v>
      </c>
      <c r="J12" s="55">
        <v>0.38</v>
      </c>
      <c r="K12" s="55">
        <v>328.54</v>
      </c>
      <c r="L12" s="55">
        <v>13.66</v>
      </c>
      <c r="M12" s="55">
        <v>98.1</v>
      </c>
      <c r="N12" s="55">
        <v>31.4</v>
      </c>
      <c r="O12" s="55">
        <v>0</v>
      </c>
      <c r="P12" s="55">
        <v>1.38</v>
      </c>
      <c r="Q12" s="55">
        <v>9.68</v>
      </c>
      <c r="R12" s="43"/>
      <c r="S12" s="43"/>
      <c r="T12" s="43"/>
      <c r="U12" s="43"/>
    </row>
    <row r="13" spans="1:21" s="11" customFormat="1" x14ac:dyDescent="0.25">
      <c r="A13" s="54" t="s">
        <v>736</v>
      </c>
      <c r="B13" s="55">
        <v>24.91</v>
      </c>
      <c r="C13" s="55">
        <v>13.01</v>
      </c>
      <c r="D13" s="55">
        <v>26.28</v>
      </c>
      <c r="E13" s="55">
        <v>5.27</v>
      </c>
      <c r="F13" s="55">
        <v>3.21</v>
      </c>
      <c r="G13" s="55">
        <v>76.58</v>
      </c>
      <c r="H13" s="55">
        <v>35.39</v>
      </c>
      <c r="I13" s="55">
        <v>4.8499999999999996</v>
      </c>
      <c r="J13" s="55">
        <v>0.91</v>
      </c>
      <c r="K13" s="55">
        <v>347.09</v>
      </c>
      <c r="L13" s="55">
        <v>13.83</v>
      </c>
      <c r="M13" s="55">
        <v>98.04</v>
      </c>
      <c r="N13" s="55">
        <v>31.6</v>
      </c>
      <c r="O13" s="55">
        <v>0</v>
      </c>
      <c r="P13" s="55">
        <v>1.44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737</v>
      </c>
      <c r="B14" s="55">
        <v>25.59</v>
      </c>
      <c r="C14" s="55">
        <v>12.26</v>
      </c>
      <c r="D14" s="55">
        <v>26.33</v>
      </c>
      <c r="E14" s="55">
        <v>5.54</v>
      </c>
      <c r="F14" s="55">
        <v>3.18</v>
      </c>
      <c r="G14" s="55">
        <v>165.73</v>
      </c>
      <c r="H14" s="55">
        <v>46.88</v>
      </c>
      <c r="I14" s="55">
        <v>5.09</v>
      </c>
      <c r="J14" s="55">
        <v>0.33</v>
      </c>
      <c r="K14" s="55">
        <v>247.39</v>
      </c>
      <c r="L14" s="55">
        <v>13.58</v>
      </c>
      <c r="M14" s="55">
        <v>98</v>
      </c>
      <c r="N14" s="55">
        <v>31.5</v>
      </c>
      <c r="O14" s="55">
        <v>0</v>
      </c>
      <c r="P14" s="55">
        <v>1.44</v>
      </c>
      <c r="Q14" s="55">
        <v>9.67</v>
      </c>
      <c r="R14" s="43"/>
      <c r="S14" s="43"/>
      <c r="T14" s="43"/>
      <c r="U14" s="43"/>
    </row>
    <row r="15" spans="1:21" s="11" customFormat="1" x14ac:dyDescent="0.25">
      <c r="A15" s="54" t="s">
        <v>738</v>
      </c>
      <c r="B15" s="55">
        <v>26.15</v>
      </c>
      <c r="C15" s="55">
        <v>12.2</v>
      </c>
      <c r="D15" s="55">
        <v>26.72</v>
      </c>
      <c r="E15" s="55">
        <v>5.22</v>
      </c>
      <c r="F15" s="55">
        <v>3.42</v>
      </c>
      <c r="G15" s="55">
        <v>157.44999999999999</v>
      </c>
      <c r="H15" s="55">
        <v>48.27</v>
      </c>
      <c r="I15" s="55">
        <v>4.6500000000000004</v>
      </c>
      <c r="J15" s="55">
        <v>0.42</v>
      </c>
      <c r="K15" s="55">
        <v>113.41</v>
      </c>
      <c r="L15" s="55">
        <v>13.6</v>
      </c>
      <c r="M15" s="55">
        <v>98.02</v>
      </c>
      <c r="N15" s="55">
        <v>60.2</v>
      </c>
      <c r="O15" s="55">
        <v>0</v>
      </c>
      <c r="P15" s="55">
        <v>1.46</v>
      </c>
      <c r="Q15" s="55">
        <v>9.67</v>
      </c>
      <c r="R15" s="43"/>
      <c r="S15" s="43"/>
      <c r="T15" s="43"/>
      <c r="U15" s="43"/>
    </row>
    <row r="16" spans="1:21" s="11" customFormat="1" x14ac:dyDescent="0.25">
      <c r="A16" s="54" t="s">
        <v>739</v>
      </c>
      <c r="B16" s="55">
        <v>29.84</v>
      </c>
      <c r="C16" s="55">
        <v>12.08</v>
      </c>
      <c r="D16" s="55">
        <v>29</v>
      </c>
      <c r="E16" s="55">
        <v>5.74</v>
      </c>
      <c r="F16" s="55">
        <v>3.19</v>
      </c>
      <c r="G16" s="55">
        <v>126.42</v>
      </c>
      <c r="H16" s="55">
        <v>52.67</v>
      </c>
      <c r="I16" s="55">
        <v>4.91</v>
      </c>
      <c r="J16" s="55">
        <v>0.54</v>
      </c>
      <c r="K16" s="55">
        <v>345.14</v>
      </c>
      <c r="L16" s="55">
        <v>18.489999999999998</v>
      </c>
      <c r="M16" s="55">
        <v>95.64</v>
      </c>
      <c r="N16" s="55">
        <v>220.1</v>
      </c>
      <c r="O16" s="55">
        <v>0</v>
      </c>
      <c r="P16" s="55">
        <v>1.67</v>
      </c>
      <c r="Q16" s="55">
        <v>9.69</v>
      </c>
      <c r="R16" s="43"/>
      <c r="S16" s="43"/>
      <c r="T16" s="43"/>
      <c r="U16" s="43"/>
    </row>
    <row r="17" spans="1:21" s="11" customFormat="1" x14ac:dyDescent="0.25">
      <c r="A17" s="54" t="s">
        <v>740</v>
      </c>
      <c r="B17" s="55">
        <v>30.36</v>
      </c>
      <c r="C17" s="55">
        <v>12.87</v>
      </c>
      <c r="D17" s="55">
        <v>29.63</v>
      </c>
      <c r="E17" s="55">
        <v>6.2</v>
      </c>
      <c r="F17" s="55">
        <v>3.24</v>
      </c>
      <c r="G17" s="55">
        <v>125.02</v>
      </c>
      <c r="H17" s="55">
        <v>52.3</v>
      </c>
      <c r="I17" s="55">
        <v>5.5</v>
      </c>
      <c r="J17" s="55">
        <v>0.87</v>
      </c>
      <c r="K17" s="55">
        <v>342.63</v>
      </c>
      <c r="L17" s="55">
        <v>24.16</v>
      </c>
      <c r="M17" s="55">
        <v>61.28</v>
      </c>
      <c r="N17" s="55">
        <v>393.2</v>
      </c>
      <c r="O17" s="55">
        <v>0</v>
      </c>
      <c r="P17" s="55">
        <v>1.73</v>
      </c>
      <c r="Q17" s="55">
        <v>9.69</v>
      </c>
      <c r="R17" s="43"/>
      <c r="S17" s="43"/>
      <c r="T17" s="43"/>
      <c r="U17" s="43"/>
    </row>
    <row r="18" spans="1:21" s="11" customFormat="1" x14ac:dyDescent="0.25">
      <c r="A18" s="54" t="s">
        <v>741</v>
      </c>
      <c r="B18" s="55">
        <v>28.29</v>
      </c>
      <c r="C18" s="55">
        <v>15.28</v>
      </c>
      <c r="D18" s="55">
        <v>29.4</v>
      </c>
      <c r="E18" s="55">
        <v>6.48</v>
      </c>
      <c r="F18" s="55">
        <v>3.4</v>
      </c>
      <c r="G18" s="55">
        <v>113.57</v>
      </c>
      <c r="H18" s="55">
        <v>49.5</v>
      </c>
      <c r="I18" s="55">
        <v>5.42</v>
      </c>
      <c r="J18" s="55">
        <v>1.06</v>
      </c>
      <c r="K18" s="55">
        <v>120.17</v>
      </c>
      <c r="L18" s="55">
        <v>24.26</v>
      </c>
      <c r="M18" s="55">
        <v>49.83</v>
      </c>
      <c r="N18" s="55">
        <v>511.4</v>
      </c>
      <c r="O18" s="55">
        <v>0</v>
      </c>
      <c r="P18" s="55">
        <v>1.66</v>
      </c>
      <c r="Q18" s="55">
        <v>9.68</v>
      </c>
      <c r="R18" s="43"/>
      <c r="S18" s="43"/>
      <c r="T18" s="43"/>
      <c r="U18" s="43"/>
    </row>
    <row r="19" spans="1:21" s="11" customFormat="1" x14ac:dyDescent="0.25">
      <c r="A19" s="54" t="s">
        <v>742</v>
      </c>
      <c r="B19" s="55">
        <v>24.86</v>
      </c>
      <c r="C19" s="55">
        <v>18.89</v>
      </c>
      <c r="D19" s="55">
        <v>27.71</v>
      </c>
      <c r="E19" s="55">
        <v>6.16</v>
      </c>
      <c r="F19" s="55">
        <v>3.08</v>
      </c>
      <c r="G19" s="55">
        <v>84.61</v>
      </c>
      <c r="H19" s="55">
        <v>42.89</v>
      </c>
      <c r="I19" s="55">
        <v>5.05</v>
      </c>
      <c r="J19" s="55">
        <v>1.1299999999999999</v>
      </c>
      <c r="K19" s="55">
        <v>341.42</v>
      </c>
      <c r="L19" s="55">
        <v>25.91</v>
      </c>
      <c r="M19" s="55">
        <v>48.42</v>
      </c>
      <c r="N19" s="55">
        <v>546.20000000000005</v>
      </c>
      <c r="O19" s="55">
        <v>0</v>
      </c>
      <c r="P19" s="55">
        <v>1.43</v>
      </c>
      <c r="Q19" s="55">
        <v>9.67</v>
      </c>
      <c r="R19" s="43"/>
      <c r="S19" s="43"/>
      <c r="T19" s="43"/>
      <c r="U19" s="43"/>
    </row>
    <row r="20" spans="1:21" s="11" customFormat="1" x14ac:dyDescent="0.25">
      <c r="A20" s="54" t="s">
        <v>743</v>
      </c>
      <c r="B20" s="55">
        <v>19.36</v>
      </c>
      <c r="C20" s="55">
        <v>26.52</v>
      </c>
      <c r="D20" s="55">
        <v>25.42</v>
      </c>
      <c r="E20" s="55">
        <v>6.54</v>
      </c>
      <c r="F20" s="55">
        <v>3.35</v>
      </c>
      <c r="G20" s="55">
        <v>60.77</v>
      </c>
      <c r="H20" s="55">
        <v>37.159999999999997</v>
      </c>
      <c r="I20" s="55">
        <v>4.74</v>
      </c>
      <c r="J20" s="55">
        <v>0.9</v>
      </c>
      <c r="K20" s="55">
        <v>125.73</v>
      </c>
      <c r="L20" s="55">
        <v>26.89</v>
      </c>
      <c r="M20" s="55">
        <v>39.36</v>
      </c>
      <c r="N20" s="55">
        <v>559.4</v>
      </c>
      <c r="O20" s="55">
        <v>0</v>
      </c>
      <c r="P20" s="55">
        <v>1.3</v>
      </c>
      <c r="Q20" s="55">
        <v>9.66</v>
      </c>
      <c r="R20" s="43"/>
      <c r="S20" s="43"/>
      <c r="T20" s="43"/>
      <c r="U20" s="43"/>
    </row>
    <row r="21" spans="1:21" s="11" customFormat="1" x14ac:dyDescent="0.25">
      <c r="A21" s="54" t="s">
        <v>744</v>
      </c>
      <c r="B21" s="55">
        <v>10.210000000000001</v>
      </c>
      <c r="C21" s="55">
        <v>29.61</v>
      </c>
      <c r="D21" s="55">
        <v>22.6</v>
      </c>
      <c r="E21" s="55">
        <v>11.4</v>
      </c>
      <c r="F21" s="55">
        <v>14.19</v>
      </c>
      <c r="G21" s="55">
        <v>53.85</v>
      </c>
      <c r="H21" s="55">
        <v>30.41</v>
      </c>
      <c r="I21" s="55">
        <v>4.2699999999999996</v>
      </c>
      <c r="J21" s="55">
        <v>1.47</v>
      </c>
      <c r="K21" s="55">
        <v>348.04</v>
      </c>
      <c r="L21" s="55">
        <v>28.08</v>
      </c>
      <c r="M21" s="55">
        <v>33.82</v>
      </c>
      <c r="N21" s="55">
        <v>527.79999999999995</v>
      </c>
      <c r="O21" s="55">
        <v>0</v>
      </c>
      <c r="P21" s="55">
        <v>1.08</v>
      </c>
      <c r="Q21" s="55">
        <v>9.64</v>
      </c>
      <c r="R21" s="43"/>
      <c r="S21" s="43"/>
      <c r="T21" s="43"/>
      <c r="U21" s="43"/>
    </row>
    <row r="22" spans="1:21" s="11" customFormat="1" x14ac:dyDescent="0.25">
      <c r="A22" s="54" t="s">
        <v>745</v>
      </c>
      <c r="B22" s="55">
        <v>4.21</v>
      </c>
      <c r="C22" s="55">
        <v>32.83</v>
      </c>
      <c r="D22" s="55">
        <v>19.95</v>
      </c>
      <c r="E22" s="55">
        <v>8</v>
      </c>
      <c r="F22" s="55">
        <v>10.09</v>
      </c>
      <c r="G22" s="55">
        <v>36.700000000000003</v>
      </c>
      <c r="H22" s="55">
        <v>23.6</v>
      </c>
      <c r="I22" s="55">
        <v>3.69</v>
      </c>
      <c r="J22" s="55">
        <v>1.27</v>
      </c>
      <c r="K22" s="55">
        <v>342.55</v>
      </c>
      <c r="L22" s="55">
        <v>28.49</v>
      </c>
      <c r="M22" s="55">
        <v>29.67</v>
      </c>
      <c r="N22" s="55">
        <v>458.4</v>
      </c>
      <c r="O22" s="55">
        <v>0</v>
      </c>
      <c r="P22" s="55">
        <v>0.89</v>
      </c>
      <c r="Q22" s="55">
        <v>9.64</v>
      </c>
      <c r="R22" s="43"/>
      <c r="S22" s="43"/>
      <c r="T22" s="43"/>
      <c r="U22" s="43"/>
    </row>
    <row r="23" spans="1:21" s="11" customFormat="1" x14ac:dyDescent="0.25">
      <c r="A23" s="54" t="s">
        <v>746</v>
      </c>
      <c r="B23" s="55">
        <v>4.34</v>
      </c>
      <c r="C23" s="55">
        <v>31.64</v>
      </c>
      <c r="D23" s="55">
        <v>19.170000000000002</v>
      </c>
      <c r="E23" s="55">
        <v>8.4</v>
      </c>
      <c r="F23" s="55">
        <v>9.09</v>
      </c>
      <c r="G23" s="55">
        <v>58.04</v>
      </c>
      <c r="H23" s="55">
        <v>21.71</v>
      </c>
      <c r="I23" s="55">
        <v>3.17</v>
      </c>
      <c r="J23" s="55">
        <v>0.79</v>
      </c>
      <c r="K23" s="55">
        <v>125.46</v>
      </c>
      <c r="L23" s="55">
        <v>26.04</v>
      </c>
      <c r="M23" s="55">
        <v>33.72</v>
      </c>
      <c r="N23" s="55">
        <v>159.19999999999999</v>
      </c>
      <c r="O23" s="55">
        <v>0</v>
      </c>
      <c r="P23" s="55">
        <v>0.85</v>
      </c>
      <c r="Q23" s="55">
        <v>9.6300000000000008</v>
      </c>
      <c r="R23" s="43"/>
      <c r="S23" s="43"/>
      <c r="T23" s="43"/>
      <c r="U23" s="43"/>
    </row>
    <row r="24" spans="1:21" s="11" customFormat="1" x14ac:dyDescent="0.25">
      <c r="A24" s="54" t="s">
        <v>747</v>
      </c>
      <c r="B24" s="55">
        <v>5.12</v>
      </c>
      <c r="C24" s="55">
        <v>29.49</v>
      </c>
      <c r="D24" s="55">
        <v>19.059999999999999</v>
      </c>
      <c r="E24" s="55">
        <v>9.25</v>
      </c>
      <c r="F24" s="55">
        <v>10.64</v>
      </c>
      <c r="G24" s="55">
        <v>54.24</v>
      </c>
      <c r="H24" s="55">
        <v>20.329999999999998</v>
      </c>
      <c r="I24" s="55">
        <v>3.08</v>
      </c>
      <c r="J24" s="55">
        <v>1.02</v>
      </c>
      <c r="K24" s="55">
        <v>141.29</v>
      </c>
      <c r="L24" s="55">
        <v>24.49</v>
      </c>
      <c r="M24" s="55">
        <v>34.99</v>
      </c>
      <c r="N24" s="55">
        <v>121</v>
      </c>
      <c r="O24" s="55">
        <v>0</v>
      </c>
      <c r="P24" s="55">
        <v>0.77</v>
      </c>
      <c r="Q24" s="55">
        <v>9.61</v>
      </c>
      <c r="R24" s="43"/>
      <c r="S24" s="43"/>
      <c r="T24" s="43"/>
      <c r="U24" s="43"/>
    </row>
    <row r="25" spans="1:21" s="11" customFormat="1" x14ac:dyDescent="0.25">
      <c r="A25" s="54" t="s">
        <v>748</v>
      </c>
      <c r="B25" s="55">
        <v>9.67</v>
      </c>
      <c r="C25" s="55">
        <v>35.61</v>
      </c>
      <c r="D25" s="55">
        <v>25.9</v>
      </c>
      <c r="E25" s="55">
        <v>14.11</v>
      </c>
      <c r="F25" s="55">
        <v>17.989999999999998</v>
      </c>
      <c r="G25" s="55">
        <v>39.61</v>
      </c>
      <c r="H25" s="55">
        <v>19.739999999999998</v>
      </c>
      <c r="I25" s="55">
        <v>2.92</v>
      </c>
      <c r="J25" s="55">
        <v>0.47</v>
      </c>
      <c r="K25" s="55">
        <v>111.55</v>
      </c>
      <c r="L25" s="55">
        <v>23.57</v>
      </c>
      <c r="M25" s="55">
        <v>42.66</v>
      </c>
      <c r="N25" s="55">
        <v>55.6</v>
      </c>
      <c r="O25" s="55">
        <v>0</v>
      </c>
      <c r="P25" s="55">
        <v>1.06</v>
      </c>
      <c r="Q25" s="55">
        <v>9.6199999999999992</v>
      </c>
      <c r="R25" s="43"/>
      <c r="S25" s="43"/>
      <c r="T25" s="43"/>
      <c r="U25" s="43"/>
    </row>
    <row r="26" spans="1:21" s="11" customFormat="1" x14ac:dyDescent="0.25">
      <c r="A26" s="54" t="s">
        <v>749</v>
      </c>
      <c r="B26" s="55">
        <v>21.65</v>
      </c>
      <c r="C26" s="55">
        <v>35.159999999999997</v>
      </c>
      <c r="D26" s="55">
        <v>33.630000000000003</v>
      </c>
      <c r="E26" s="55">
        <v>10.85</v>
      </c>
      <c r="F26" s="55">
        <v>4.79</v>
      </c>
      <c r="G26" s="55">
        <v>48.66</v>
      </c>
      <c r="H26" s="55">
        <v>20.239999999999998</v>
      </c>
      <c r="I26" s="55">
        <v>2.96</v>
      </c>
      <c r="J26" s="55">
        <v>0.46</v>
      </c>
      <c r="K26" s="55">
        <v>343.72</v>
      </c>
      <c r="L26" s="55">
        <v>21.52</v>
      </c>
      <c r="M26" s="55">
        <v>63.97</v>
      </c>
      <c r="N26" s="55">
        <v>34.299999999999997</v>
      </c>
      <c r="O26" s="55">
        <v>0</v>
      </c>
      <c r="P26" s="55">
        <v>1.32</v>
      </c>
      <c r="Q26" s="55">
        <v>9.64</v>
      </c>
      <c r="R26" s="43"/>
      <c r="S26" s="43"/>
      <c r="T26" s="43"/>
      <c r="U26" s="43"/>
    </row>
    <row r="27" spans="1:21" s="11" customFormat="1" x14ac:dyDescent="0.25">
      <c r="A27" s="54" t="s">
        <v>750</v>
      </c>
      <c r="B27" s="55">
        <v>22.72</v>
      </c>
      <c r="C27" s="55">
        <v>25.92</v>
      </c>
      <c r="D27" s="55">
        <v>28.97</v>
      </c>
      <c r="E27" s="55">
        <v>7.94</v>
      </c>
      <c r="F27" s="55">
        <v>3.77</v>
      </c>
      <c r="G27" s="55">
        <v>84.26</v>
      </c>
      <c r="H27" s="55">
        <v>24.22</v>
      </c>
      <c r="I27" s="55">
        <v>3.78</v>
      </c>
      <c r="J27" s="55">
        <v>0.39</v>
      </c>
      <c r="K27" s="55">
        <v>80.34</v>
      </c>
      <c r="L27" s="55">
        <v>19.579999999999998</v>
      </c>
      <c r="M27" s="55">
        <v>66.97</v>
      </c>
      <c r="N27" s="55">
        <v>31.6</v>
      </c>
      <c r="O27" s="55">
        <v>0</v>
      </c>
      <c r="P27" s="55">
        <v>1.39</v>
      </c>
      <c r="Q27" s="55">
        <v>9.66</v>
      </c>
      <c r="R27" s="43"/>
      <c r="S27" s="43"/>
      <c r="T27" s="43"/>
      <c r="U27" s="43"/>
    </row>
    <row r="28" spans="1:21" s="11" customFormat="1" x14ac:dyDescent="0.25">
      <c r="A28" s="54" t="s">
        <v>751</v>
      </c>
      <c r="B28" s="55">
        <v>22.88</v>
      </c>
      <c r="C28" s="55">
        <v>23.13</v>
      </c>
      <c r="D28" s="55">
        <v>29.02</v>
      </c>
      <c r="E28" s="55">
        <v>6.83</v>
      </c>
      <c r="F28" s="55">
        <v>3.15</v>
      </c>
      <c r="G28" s="55">
        <v>113.04</v>
      </c>
      <c r="H28" s="55">
        <v>33.159999999999997</v>
      </c>
      <c r="I28" s="55">
        <v>4.9400000000000004</v>
      </c>
      <c r="J28" s="55">
        <v>0.43</v>
      </c>
      <c r="K28" s="55">
        <v>125.71</v>
      </c>
      <c r="L28" s="55">
        <v>19.579999999999998</v>
      </c>
      <c r="M28" s="55">
        <v>54.75</v>
      </c>
      <c r="N28" s="55">
        <v>31.7</v>
      </c>
      <c r="O28" s="55">
        <v>0</v>
      </c>
      <c r="P28" s="55">
        <v>1.58</v>
      </c>
      <c r="Q28" s="55">
        <v>9.67</v>
      </c>
      <c r="R28" s="43"/>
      <c r="S28" s="43"/>
      <c r="T28" s="43"/>
      <c r="U28" s="43"/>
    </row>
    <row r="29" spans="1:21" s="11" customFormat="1" x14ac:dyDescent="0.25">
      <c r="A29" s="54" t="s">
        <v>752</v>
      </c>
      <c r="B29" s="55">
        <v>31.71</v>
      </c>
      <c r="C29" s="55">
        <v>19.670000000000002</v>
      </c>
      <c r="D29" s="55">
        <v>33.9</v>
      </c>
      <c r="E29" s="55">
        <v>6.68</v>
      </c>
      <c r="F29" s="55">
        <v>2.97</v>
      </c>
      <c r="G29" s="55">
        <v>110.69</v>
      </c>
      <c r="H29" s="55">
        <v>37.36</v>
      </c>
      <c r="I29" s="55">
        <v>5.73</v>
      </c>
      <c r="J29" s="55">
        <v>0.35</v>
      </c>
      <c r="K29" s="55">
        <v>351.47</v>
      </c>
      <c r="L29" s="55">
        <v>18.489999999999998</v>
      </c>
      <c r="M29" s="55">
        <v>64.52</v>
      </c>
      <c r="N29" s="55">
        <v>31.8</v>
      </c>
      <c r="O29" s="55">
        <v>0</v>
      </c>
      <c r="P29" s="55">
        <v>1.88</v>
      </c>
      <c r="Q29" s="55">
        <v>9.6999999999999993</v>
      </c>
      <c r="R29" s="43"/>
      <c r="S29" s="43"/>
      <c r="T29" s="43"/>
      <c r="U29" s="43"/>
    </row>
    <row r="30" spans="1:21" s="11" customFormat="1" x14ac:dyDescent="0.25">
      <c r="A30" s="54" t="s">
        <v>753</v>
      </c>
      <c r="B30" s="55">
        <v>31.22</v>
      </c>
      <c r="C30" s="55">
        <v>20.48</v>
      </c>
      <c r="D30" s="55">
        <v>34.75</v>
      </c>
      <c r="E30" s="55">
        <v>7.27</v>
      </c>
      <c r="F30" s="55">
        <v>4.32</v>
      </c>
      <c r="G30" s="55">
        <v>100.11</v>
      </c>
      <c r="H30" s="55">
        <v>38.299999999999997</v>
      </c>
      <c r="I30" s="55">
        <v>6.21</v>
      </c>
      <c r="J30" s="55">
        <v>0.37</v>
      </c>
      <c r="K30" s="55">
        <v>96.44</v>
      </c>
      <c r="L30" s="55">
        <v>18.48</v>
      </c>
      <c r="M30" s="55">
        <v>56.95</v>
      </c>
      <c r="N30" s="55">
        <v>31.7</v>
      </c>
      <c r="O30" s="55">
        <v>0</v>
      </c>
      <c r="P30" s="55">
        <v>2.02</v>
      </c>
      <c r="Q30" s="55">
        <v>9.6999999999999993</v>
      </c>
      <c r="R30" s="43"/>
      <c r="S30" s="43"/>
      <c r="T30" s="43"/>
      <c r="U30" s="43"/>
    </row>
    <row r="31" spans="1:21" s="11" customFormat="1" x14ac:dyDescent="0.25">
      <c r="A31" s="54" t="s">
        <v>754</v>
      </c>
      <c r="B31" s="55">
        <v>31.83</v>
      </c>
      <c r="C31" s="55">
        <v>20.91</v>
      </c>
      <c r="D31" s="55">
        <v>32.979999999999997</v>
      </c>
      <c r="E31" s="55">
        <v>7.46</v>
      </c>
      <c r="F31" s="55">
        <v>3.69</v>
      </c>
      <c r="G31" s="55">
        <v>96.73</v>
      </c>
      <c r="H31" s="55">
        <v>39.31</v>
      </c>
      <c r="I31" s="55">
        <v>6.21</v>
      </c>
      <c r="J31" s="55">
        <v>0.33</v>
      </c>
      <c r="K31" s="55">
        <v>324.75</v>
      </c>
      <c r="L31" s="55">
        <v>18.12</v>
      </c>
      <c r="M31" s="55">
        <v>70.319999999999993</v>
      </c>
      <c r="N31" s="55">
        <v>32</v>
      </c>
      <c r="O31" s="55">
        <v>0</v>
      </c>
      <c r="P31" s="55">
        <v>2.0099999999999998</v>
      </c>
      <c r="Q31" s="55">
        <v>9.69</v>
      </c>
      <c r="R31" s="43"/>
      <c r="S31" s="43"/>
      <c r="T31" s="43"/>
      <c r="U31" s="43"/>
    </row>
    <row r="32" spans="1:21" s="11" customFormat="1" x14ac:dyDescent="0.25">
      <c r="A32" s="54" t="s">
        <v>755</v>
      </c>
      <c r="B32" s="55">
        <v>37.82</v>
      </c>
      <c r="C32" s="55">
        <v>13.73</v>
      </c>
      <c r="D32" s="55">
        <v>35.93</v>
      </c>
      <c r="E32" s="55">
        <v>6.85</v>
      </c>
      <c r="F32" s="55">
        <v>3.27</v>
      </c>
      <c r="G32" s="55">
        <v>96.58</v>
      </c>
      <c r="H32" s="55">
        <v>39.35</v>
      </c>
      <c r="I32" s="55">
        <v>5.72</v>
      </c>
      <c r="J32" s="55">
        <v>0.55000000000000004</v>
      </c>
      <c r="K32" s="55">
        <v>291.57</v>
      </c>
      <c r="L32" s="55">
        <v>16.72</v>
      </c>
      <c r="M32" s="55">
        <v>76.56</v>
      </c>
      <c r="N32" s="55">
        <v>31.8</v>
      </c>
      <c r="O32" s="55">
        <v>0</v>
      </c>
      <c r="P32" s="55">
        <v>1.99</v>
      </c>
      <c r="Q32" s="55">
        <v>9.6999999999999993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4.21</v>
      </c>
      <c r="C34" s="28">
        <f t="shared" si="0"/>
        <v>10.029999999999999</v>
      </c>
      <c r="D34" s="28">
        <f t="shared" si="0"/>
        <v>19.059999999999999</v>
      </c>
      <c r="E34" s="28">
        <f t="shared" si="0"/>
        <v>5.22</v>
      </c>
      <c r="F34" s="28">
        <f t="shared" si="0"/>
        <v>2.78</v>
      </c>
      <c r="G34" s="28">
        <f t="shared" si="0"/>
        <v>36.700000000000003</v>
      </c>
      <c r="H34" s="28">
        <f t="shared" si="0"/>
        <v>19.739999999999998</v>
      </c>
      <c r="I34" s="28">
        <f t="shared" si="0"/>
        <v>2.92</v>
      </c>
      <c r="J34" s="28">
        <f t="shared" si="0"/>
        <v>0.31</v>
      </c>
      <c r="K34" s="28">
        <f t="shared" si="0"/>
        <v>80.34</v>
      </c>
      <c r="L34" s="28">
        <f t="shared" si="0"/>
        <v>13.58</v>
      </c>
      <c r="M34" s="28">
        <f t="shared" si="0"/>
        <v>29.67</v>
      </c>
      <c r="N34" s="28">
        <f t="shared" si="0"/>
        <v>31.4</v>
      </c>
      <c r="O34" s="28">
        <f t="shared" si="0"/>
        <v>0</v>
      </c>
      <c r="P34" s="28">
        <f t="shared" si="0"/>
        <v>0.77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41.46</v>
      </c>
      <c r="C35" s="29">
        <f t="shared" si="1"/>
        <v>35.61</v>
      </c>
      <c r="D35" s="29">
        <f t="shared" si="1"/>
        <v>37.5</v>
      </c>
      <c r="E35" s="29">
        <f t="shared" si="1"/>
        <v>14.11</v>
      </c>
      <c r="F35" s="29">
        <f t="shared" si="1"/>
        <v>17.989999999999998</v>
      </c>
      <c r="G35" s="29">
        <f t="shared" si="1"/>
        <v>165.73</v>
      </c>
      <c r="H35" s="29">
        <f t="shared" si="1"/>
        <v>52.67</v>
      </c>
      <c r="I35" s="29">
        <f t="shared" si="1"/>
        <v>6.21</v>
      </c>
      <c r="J35" s="29">
        <f t="shared" si="1"/>
        <v>1.47</v>
      </c>
      <c r="K35" s="29">
        <f t="shared" si="1"/>
        <v>351.47</v>
      </c>
      <c r="L35" s="29">
        <f t="shared" si="1"/>
        <v>28.49</v>
      </c>
      <c r="M35" s="29">
        <f t="shared" si="1"/>
        <v>98.14</v>
      </c>
      <c r="N35" s="29">
        <f t="shared" si="1"/>
        <v>559.4</v>
      </c>
      <c r="O35" s="29">
        <f t="shared" si="1"/>
        <v>0</v>
      </c>
      <c r="P35" s="29">
        <f t="shared" si="1"/>
        <v>2.02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24.016666666666666</v>
      </c>
      <c r="C36" s="28">
        <f t="shared" si="2"/>
        <v>20.360833333333339</v>
      </c>
      <c r="D36" s="28">
        <f t="shared" si="2"/>
        <v>28.518333333333331</v>
      </c>
      <c r="E36" s="28">
        <f t="shared" si="2"/>
        <v>7.231250000000002</v>
      </c>
      <c r="F36" s="28">
        <f t="shared" si="2"/>
        <v>5.2591666666666663</v>
      </c>
      <c r="G36" s="28">
        <f t="shared" si="2"/>
        <v>87.705416666666665</v>
      </c>
      <c r="H36" s="28">
        <f t="shared" si="2"/>
        <v>35.518750000000004</v>
      </c>
      <c r="I36" s="28">
        <f t="shared" si="2"/>
        <v>4.7279166666666663</v>
      </c>
      <c r="J36" s="28">
        <f t="shared" si="2"/>
        <v>0.6479166666666667</v>
      </c>
      <c r="K36" s="28">
        <f t="shared" si="2"/>
        <v>247.19958333333338</v>
      </c>
      <c r="L36" s="28">
        <f t="shared" si="2"/>
        <v>20.063333333333333</v>
      </c>
      <c r="M36" s="28">
        <f t="shared" si="2"/>
        <v>66.525416666666672</v>
      </c>
      <c r="N36" s="28">
        <f t="shared" si="2"/>
        <v>167.78333333333333</v>
      </c>
      <c r="O36" s="28">
        <f t="shared" si="2"/>
        <v>0</v>
      </c>
      <c r="P36" s="28">
        <f t="shared" si="2"/>
        <v>1.4629166666666666</v>
      </c>
      <c r="Q36" s="28">
        <f t="shared" si="2"/>
        <v>9.6691666666666638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10.42297823859951</v>
      </c>
      <c r="C37" s="28">
        <f t="shared" ref="C37:Q37" si="3">STDEV(C9:C32)</f>
        <v>8.4940270147637218</v>
      </c>
      <c r="D37" s="28">
        <f t="shared" si="3"/>
        <v>5.067711658063784</v>
      </c>
      <c r="E37" s="28">
        <f t="shared" si="3"/>
        <v>2.2425903355368835</v>
      </c>
      <c r="F37" s="28">
        <f t="shared" si="3"/>
        <v>4.0650460360692513</v>
      </c>
      <c r="G37" s="28">
        <f t="shared" si="3"/>
        <v>34.341910632721053</v>
      </c>
      <c r="H37" s="28">
        <f t="shared" si="3"/>
        <v>10.160000561665489</v>
      </c>
      <c r="I37" s="28">
        <f t="shared" si="3"/>
        <v>0.98495631846055365</v>
      </c>
      <c r="J37" s="28">
        <f t="shared" si="3"/>
        <v>0.34492569037991083</v>
      </c>
      <c r="K37" s="28">
        <f t="shared" si="3"/>
        <v>107.08720730966917</v>
      </c>
      <c r="L37" s="28">
        <f t="shared" si="3"/>
        <v>5.0892347307750949</v>
      </c>
      <c r="M37" s="28">
        <f t="shared" si="3"/>
        <v>24.595574889940423</v>
      </c>
      <c r="N37" s="28">
        <f t="shared" si="3"/>
        <v>203.1092673728937</v>
      </c>
      <c r="O37" s="28">
        <f t="shared" si="3"/>
        <v>0</v>
      </c>
      <c r="P37" s="28">
        <f t="shared" si="3"/>
        <v>0.35444358313162966</v>
      </c>
      <c r="Q37" s="28">
        <f t="shared" si="3"/>
        <v>2.6689301987494848E-2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topLeftCell="A19" workbookViewId="0">
      <selection activeCell="E17" sqref="E1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4" t="s">
        <v>756</v>
      </c>
      <c r="B9" s="55">
        <v>36.869999999999997</v>
      </c>
      <c r="C9" s="55">
        <v>12.12</v>
      </c>
      <c r="D9" s="55">
        <v>35.32</v>
      </c>
      <c r="E9" s="55">
        <v>6.13</v>
      </c>
      <c r="F9" s="55">
        <v>3.01</v>
      </c>
      <c r="G9" s="55">
        <v>100.56</v>
      </c>
      <c r="H9" s="55">
        <v>45.07</v>
      </c>
      <c r="I9" s="55">
        <v>6.36</v>
      </c>
      <c r="J9" s="55">
        <v>0.35</v>
      </c>
      <c r="K9" s="55">
        <v>294.61</v>
      </c>
      <c r="L9" s="55">
        <v>16.32</v>
      </c>
      <c r="M9" s="55">
        <v>89.41</v>
      </c>
      <c r="N9" s="55">
        <v>31.9</v>
      </c>
      <c r="O9" s="55">
        <v>0</v>
      </c>
      <c r="P9" s="55">
        <v>1.97</v>
      </c>
      <c r="Q9" s="55">
        <v>9.6999999999999993</v>
      </c>
      <c r="R9" s="43"/>
      <c r="S9" s="43"/>
      <c r="T9" s="43"/>
      <c r="U9" s="43"/>
    </row>
    <row r="10" spans="1:21" s="11" customFormat="1" x14ac:dyDescent="0.25">
      <c r="A10" s="54" t="s">
        <v>757</v>
      </c>
      <c r="B10" s="55">
        <v>34.06</v>
      </c>
      <c r="C10" s="55">
        <v>11.45</v>
      </c>
      <c r="D10" s="55">
        <v>32.72</v>
      </c>
      <c r="E10" s="55">
        <v>6.07</v>
      </c>
      <c r="F10" s="55">
        <v>3.01</v>
      </c>
      <c r="G10" s="55">
        <v>100.38</v>
      </c>
      <c r="H10" s="55">
        <v>44.69</v>
      </c>
      <c r="I10" s="55">
        <v>6.27</v>
      </c>
      <c r="J10" s="55">
        <v>0.28000000000000003</v>
      </c>
      <c r="K10" s="55">
        <v>275.41000000000003</v>
      </c>
      <c r="L10" s="55">
        <v>15.41</v>
      </c>
      <c r="M10" s="55">
        <v>93.7</v>
      </c>
      <c r="N10" s="55">
        <v>31.7</v>
      </c>
      <c r="O10" s="55">
        <v>0</v>
      </c>
      <c r="P10" s="55">
        <v>1.82</v>
      </c>
      <c r="Q10" s="55">
        <v>9.69</v>
      </c>
      <c r="R10" s="43"/>
      <c r="S10" s="43"/>
      <c r="T10" s="43"/>
      <c r="U10" s="43"/>
    </row>
    <row r="11" spans="1:21" s="11" customFormat="1" x14ac:dyDescent="0.25">
      <c r="A11" s="54" t="s">
        <v>758</v>
      </c>
      <c r="B11" s="55">
        <v>32.619999999999997</v>
      </c>
      <c r="C11" s="55">
        <v>11.67</v>
      </c>
      <c r="D11" s="55">
        <v>31.65</v>
      </c>
      <c r="E11" s="55">
        <v>6.09</v>
      </c>
      <c r="F11" s="55">
        <v>3.19</v>
      </c>
      <c r="G11" s="55">
        <v>103.38</v>
      </c>
      <c r="H11" s="55">
        <v>43.12</v>
      </c>
      <c r="I11" s="55">
        <v>6.22</v>
      </c>
      <c r="J11" s="55">
        <v>0.34</v>
      </c>
      <c r="K11" s="55">
        <v>328.72</v>
      </c>
      <c r="L11" s="55">
        <v>14.74</v>
      </c>
      <c r="M11" s="55">
        <v>96.84</v>
      </c>
      <c r="N11" s="55">
        <v>31.7</v>
      </c>
      <c r="O11" s="55">
        <v>0</v>
      </c>
      <c r="P11" s="55">
        <v>1.8</v>
      </c>
      <c r="Q11" s="55">
        <v>9.6999999999999993</v>
      </c>
      <c r="R11" s="43"/>
      <c r="S11" s="43"/>
      <c r="T11" s="43"/>
      <c r="U11" s="43"/>
    </row>
    <row r="12" spans="1:21" s="11" customFormat="1" x14ac:dyDescent="0.25">
      <c r="A12" s="54" t="s">
        <v>759</v>
      </c>
      <c r="B12" s="55">
        <v>30.45</v>
      </c>
      <c r="C12" s="55">
        <v>12.27</v>
      </c>
      <c r="D12" s="55">
        <v>30.2</v>
      </c>
      <c r="E12" s="55">
        <v>6.32</v>
      </c>
      <c r="F12" s="55">
        <v>3.04</v>
      </c>
      <c r="G12" s="55">
        <v>135.88999999999999</v>
      </c>
      <c r="H12" s="55">
        <v>51.99</v>
      </c>
      <c r="I12" s="55">
        <v>6.22</v>
      </c>
      <c r="J12" s="55">
        <v>0.31</v>
      </c>
      <c r="K12" s="55">
        <v>268.05</v>
      </c>
      <c r="L12" s="55">
        <v>14.81</v>
      </c>
      <c r="M12" s="55">
        <v>88.07</v>
      </c>
      <c r="N12" s="55">
        <v>31.4</v>
      </c>
      <c r="O12" s="55">
        <v>0</v>
      </c>
      <c r="P12" s="55">
        <v>1.75</v>
      </c>
      <c r="Q12" s="55">
        <v>9.69</v>
      </c>
      <c r="R12" s="43"/>
      <c r="S12" s="43"/>
      <c r="T12" s="43"/>
      <c r="U12" s="43"/>
    </row>
    <row r="13" spans="1:21" s="11" customFormat="1" x14ac:dyDescent="0.25">
      <c r="A13" s="54" t="s">
        <v>760</v>
      </c>
      <c r="B13" s="55">
        <v>27.01</v>
      </c>
      <c r="C13" s="55">
        <v>13.95</v>
      </c>
      <c r="D13" s="55">
        <v>27.83</v>
      </c>
      <c r="E13" s="55">
        <v>5.9</v>
      </c>
      <c r="F13" s="55">
        <v>3.08</v>
      </c>
      <c r="G13" s="55">
        <v>133.97999999999999</v>
      </c>
      <c r="H13" s="55">
        <v>51.89</v>
      </c>
      <c r="I13" s="55">
        <v>5.56</v>
      </c>
      <c r="J13" s="55">
        <v>0.12</v>
      </c>
      <c r="K13" s="55">
        <v>313.54000000000002</v>
      </c>
      <c r="L13" s="55">
        <v>14.87</v>
      </c>
      <c r="M13" s="55">
        <v>85.89</v>
      </c>
      <c r="N13" s="55">
        <v>31.5</v>
      </c>
      <c r="O13" s="55">
        <v>0</v>
      </c>
      <c r="P13" s="55">
        <v>1.64</v>
      </c>
      <c r="Q13" s="55">
        <v>9.67</v>
      </c>
      <c r="R13" s="43"/>
      <c r="S13" s="43"/>
      <c r="T13" s="43"/>
      <c r="U13" s="43"/>
    </row>
    <row r="14" spans="1:21" s="11" customFormat="1" x14ac:dyDescent="0.25">
      <c r="A14" s="54" t="s">
        <v>761</v>
      </c>
      <c r="B14" s="55">
        <v>22.98</v>
      </c>
      <c r="C14" s="55">
        <v>14.67</v>
      </c>
      <c r="D14" s="55">
        <v>25.46</v>
      </c>
      <c r="E14" s="55">
        <v>5.93</v>
      </c>
      <c r="F14" s="55">
        <v>3.07</v>
      </c>
      <c r="G14" s="55">
        <v>121.52</v>
      </c>
      <c r="H14" s="55">
        <v>50.53</v>
      </c>
      <c r="I14" s="55">
        <v>5.27</v>
      </c>
      <c r="J14" s="55">
        <v>0.27</v>
      </c>
      <c r="K14" s="55">
        <v>344.18</v>
      </c>
      <c r="L14" s="55">
        <v>14.55</v>
      </c>
      <c r="M14" s="55">
        <v>90.77</v>
      </c>
      <c r="N14" s="55">
        <v>31.5</v>
      </c>
      <c r="O14" s="55">
        <v>0</v>
      </c>
      <c r="P14" s="55">
        <v>1.49</v>
      </c>
      <c r="Q14" s="55">
        <v>9.66</v>
      </c>
      <c r="R14" s="43"/>
      <c r="S14" s="43"/>
      <c r="T14" s="43"/>
      <c r="U14" s="43"/>
    </row>
    <row r="15" spans="1:21" s="11" customFormat="1" x14ac:dyDescent="0.25">
      <c r="A15" s="54" t="s">
        <v>762</v>
      </c>
      <c r="B15" s="55">
        <v>20.62</v>
      </c>
      <c r="C15" s="55">
        <v>15.67</v>
      </c>
      <c r="D15" s="55">
        <v>24.02</v>
      </c>
      <c r="E15" s="55">
        <v>5.95</v>
      </c>
      <c r="F15" s="55">
        <v>3.06</v>
      </c>
      <c r="G15" s="55">
        <v>99.32</v>
      </c>
      <c r="H15" s="55">
        <v>45.76</v>
      </c>
      <c r="I15" s="55">
        <v>4.88</v>
      </c>
      <c r="J15" s="55">
        <v>0.56000000000000005</v>
      </c>
      <c r="K15" s="55">
        <v>345.77</v>
      </c>
      <c r="L15" s="55">
        <v>14.44</v>
      </c>
      <c r="M15" s="55">
        <v>93.64</v>
      </c>
      <c r="N15" s="55">
        <v>65.900000000000006</v>
      </c>
      <c r="O15" s="55">
        <v>0</v>
      </c>
      <c r="P15" s="55">
        <v>1.42</v>
      </c>
      <c r="Q15" s="55">
        <v>9.67</v>
      </c>
      <c r="R15" s="43"/>
      <c r="S15" s="43"/>
      <c r="T15" s="43"/>
      <c r="U15" s="43"/>
    </row>
    <row r="16" spans="1:21" s="11" customFormat="1" x14ac:dyDescent="0.25">
      <c r="A16" s="54" t="s">
        <v>763</v>
      </c>
      <c r="B16" s="55">
        <v>21.47</v>
      </c>
      <c r="C16" s="55">
        <v>15.68</v>
      </c>
      <c r="D16" s="55">
        <v>24.4</v>
      </c>
      <c r="E16" s="55">
        <v>6.2</v>
      </c>
      <c r="F16" s="55">
        <v>3.35</v>
      </c>
      <c r="G16" s="55">
        <v>82.33</v>
      </c>
      <c r="H16" s="55">
        <v>39.65</v>
      </c>
      <c r="I16" s="55">
        <v>4.4400000000000004</v>
      </c>
      <c r="J16" s="55">
        <v>0.69</v>
      </c>
      <c r="K16" s="55">
        <v>339.16</v>
      </c>
      <c r="L16" s="55">
        <v>18.559999999999999</v>
      </c>
      <c r="M16" s="55">
        <v>90.51</v>
      </c>
      <c r="N16" s="55">
        <v>231.5</v>
      </c>
      <c r="O16" s="55">
        <v>0</v>
      </c>
      <c r="P16" s="55">
        <v>1.28</v>
      </c>
      <c r="Q16" s="55">
        <v>9.66</v>
      </c>
      <c r="R16" s="43"/>
      <c r="S16" s="43"/>
      <c r="T16" s="43"/>
      <c r="U16" s="43"/>
    </row>
    <row r="17" spans="1:21" s="11" customFormat="1" x14ac:dyDescent="0.25">
      <c r="A17" s="54" t="s">
        <v>764</v>
      </c>
      <c r="B17" s="55">
        <v>22.23</v>
      </c>
      <c r="C17" s="55">
        <v>15.86</v>
      </c>
      <c r="D17" s="55">
        <v>25.52</v>
      </c>
      <c r="E17" s="55">
        <v>5.79</v>
      </c>
      <c r="F17" s="55">
        <v>3.28</v>
      </c>
      <c r="G17" s="55">
        <v>74.489999999999995</v>
      </c>
      <c r="H17" s="55">
        <v>32.4</v>
      </c>
      <c r="I17" s="55">
        <v>4.2</v>
      </c>
      <c r="J17" s="55">
        <v>0.78</v>
      </c>
      <c r="K17" s="55">
        <v>339.26</v>
      </c>
      <c r="L17" s="55">
        <v>21.97</v>
      </c>
      <c r="M17" s="55">
        <v>59.99</v>
      </c>
      <c r="N17" s="55">
        <v>400.3</v>
      </c>
      <c r="O17" s="55">
        <v>0</v>
      </c>
      <c r="P17" s="55">
        <v>1.1200000000000001</v>
      </c>
      <c r="Q17" s="55">
        <v>9.66</v>
      </c>
      <c r="R17" s="43"/>
      <c r="S17" s="43"/>
      <c r="T17" s="43"/>
      <c r="U17" s="43"/>
    </row>
    <row r="18" spans="1:21" s="11" customFormat="1" x14ac:dyDescent="0.25">
      <c r="A18" s="54" t="s">
        <v>765</v>
      </c>
      <c r="B18" s="55">
        <v>21.85</v>
      </c>
      <c r="C18" s="55">
        <v>17.14</v>
      </c>
      <c r="D18" s="55">
        <v>25.57</v>
      </c>
      <c r="E18" s="55">
        <v>5.75</v>
      </c>
      <c r="F18" s="55">
        <v>3.39</v>
      </c>
      <c r="G18" s="55">
        <v>67.44</v>
      </c>
      <c r="H18" s="55">
        <v>29.43</v>
      </c>
      <c r="I18" s="55">
        <v>4.05</v>
      </c>
      <c r="J18" s="55">
        <v>0.94</v>
      </c>
      <c r="K18" s="55">
        <v>129.4</v>
      </c>
      <c r="L18" s="55">
        <v>23.15</v>
      </c>
      <c r="M18" s="55">
        <v>52.98</v>
      </c>
      <c r="N18" s="55">
        <v>457.3</v>
      </c>
      <c r="O18" s="55">
        <v>0</v>
      </c>
      <c r="P18" s="55">
        <v>1.05</v>
      </c>
      <c r="Q18" s="55">
        <v>9.68</v>
      </c>
      <c r="R18" s="43"/>
      <c r="S18" s="43"/>
      <c r="T18" s="43"/>
      <c r="U18" s="43"/>
    </row>
    <row r="19" spans="1:21" s="11" customFormat="1" x14ac:dyDescent="0.25">
      <c r="A19" s="54" t="s">
        <v>766</v>
      </c>
      <c r="B19" s="55">
        <v>19.12</v>
      </c>
      <c r="C19" s="55">
        <v>19.32</v>
      </c>
      <c r="D19" s="55">
        <v>24.18</v>
      </c>
      <c r="E19" s="55">
        <v>6.53</v>
      </c>
      <c r="F19" s="55">
        <v>4.1399999999999997</v>
      </c>
      <c r="G19" s="55">
        <v>63.09</v>
      </c>
      <c r="H19" s="55">
        <v>28.89</v>
      </c>
      <c r="I19" s="55">
        <v>3.85</v>
      </c>
      <c r="J19" s="55">
        <v>1.4</v>
      </c>
      <c r="K19" s="55">
        <v>124.87</v>
      </c>
      <c r="L19" s="55">
        <v>24.76</v>
      </c>
      <c r="M19" s="55">
        <v>44.84</v>
      </c>
      <c r="N19" s="55">
        <v>549.29999999999995</v>
      </c>
      <c r="O19" s="55">
        <v>0</v>
      </c>
      <c r="P19" s="55">
        <v>1.03</v>
      </c>
      <c r="Q19" s="55">
        <v>9.66</v>
      </c>
      <c r="R19" s="43"/>
      <c r="S19" s="43"/>
      <c r="T19" s="43"/>
      <c r="U19" s="43"/>
    </row>
    <row r="20" spans="1:21" s="11" customFormat="1" x14ac:dyDescent="0.25">
      <c r="A20" s="54" t="s">
        <v>767</v>
      </c>
      <c r="B20" s="55">
        <v>15.9</v>
      </c>
      <c r="C20" s="55">
        <v>21.39</v>
      </c>
      <c r="D20" s="55">
        <v>22.79</v>
      </c>
      <c r="E20" s="55">
        <v>8.33</v>
      </c>
      <c r="F20" s="55">
        <v>5.61</v>
      </c>
      <c r="G20" s="55">
        <v>57.62</v>
      </c>
      <c r="H20" s="55">
        <v>27.03</v>
      </c>
      <c r="I20" s="55">
        <v>3.97</v>
      </c>
      <c r="J20" s="55">
        <v>1.46</v>
      </c>
      <c r="K20" s="55">
        <v>351.16</v>
      </c>
      <c r="L20" s="55">
        <v>25.91</v>
      </c>
      <c r="M20" s="55">
        <v>39.5</v>
      </c>
      <c r="N20" s="55">
        <v>567</v>
      </c>
      <c r="O20" s="55">
        <v>0</v>
      </c>
      <c r="P20" s="55">
        <v>0.99</v>
      </c>
      <c r="Q20" s="55">
        <v>9.66</v>
      </c>
      <c r="R20" s="43"/>
      <c r="S20" s="43"/>
      <c r="T20" s="43"/>
      <c r="U20" s="43"/>
    </row>
    <row r="21" spans="1:21" s="11" customFormat="1" x14ac:dyDescent="0.25">
      <c r="A21" s="54" t="s">
        <v>768</v>
      </c>
      <c r="B21" s="55">
        <v>13.28</v>
      </c>
      <c r="C21" s="55">
        <v>23.24</v>
      </c>
      <c r="D21" s="55">
        <v>21.53</v>
      </c>
      <c r="E21" s="55">
        <v>6.8</v>
      </c>
      <c r="F21" s="55">
        <v>4.3600000000000003</v>
      </c>
      <c r="G21" s="55">
        <v>51.33</v>
      </c>
      <c r="H21" s="55">
        <v>25.06</v>
      </c>
      <c r="I21" s="55">
        <v>3.8</v>
      </c>
      <c r="J21" s="55">
        <v>0.93</v>
      </c>
      <c r="K21" s="55">
        <v>129.66999999999999</v>
      </c>
      <c r="L21" s="55">
        <v>25.72</v>
      </c>
      <c r="M21" s="55">
        <v>35.79</v>
      </c>
      <c r="N21" s="55">
        <v>478.1</v>
      </c>
      <c r="O21" s="55">
        <v>0</v>
      </c>
      <c r="P21" s="55">
        <v>0.86</v>
      </c>
      <c r="Q21" s="55">
        <v>9.65</v>
      </c>
      <c r="R21" s="43"/>
      <c r="S21" s="43"/>
      <c r="T21" s="43"/>
      <c r="U21" s="43"/>
    </row>
    <row r="22" spans="1:21" s="11" customFormat="1" x14ac:dyDescent="0.25">
      <c r="A22" s="54" t="s">
        <v>769</v>
      </c>
      <c r="B22" s="55">
        <v>9.32</v>
      </c>
      <c r="C22" s="55">
        <v>25.02</v>
      </c>
      <c r="D22" s="55">
        <v>19.809999999999999</v>
      </c>
      <c r="E22" s="55">
        <v>8.99</v>
      </c>
      <c r="F22" s="55">
        <v>7.96</v>
      </c>
      <c r="G22" s="55">
        <v>46.41</v>
      </c>
      <c r="H22" s="55">
        <v>22.14</v>
      </c>
      <c r="I22" s="55">
        <v>3.56</v>
      </c>
      <c r="J22" s="55">
        <v>1.48</v>
      </c>
      <c r="K22" s="55">
        <v>344.61</v>
      </c>
      <c r="L22" s="55">
        <v>27.25</v>
      </c>
      <c r="M22" s="55">
        <v>35.53</v>
      </c>
      <c r="N22" s="55">
        <v>386.8</v>
      </c>
      <c r="O22" s="55">
        <v>0</v>
      </c>
      <c r="P22" s="55">
        <v>0.9</v>
      </c>
      <c r="Q22" s="55">
        <v>9.6300000000000008</v>
      </c>
      <c r="R22" s="43"/>
      <c r="S22" s="43"/>
      <c r="T22" s="43"/>
      <c r="U22" s="43"/>
    </row>
    <row r="23" spans="1:21" s="11" customFormat="1" x14ac:dyDescent="0.25">
      <c r="A23" s="54" t="s">
        <v>770</v>
      </c>
      <c r="B23" s="55">
        <v>6.4</v>
      </c>
      <c r="C23" s="55">
        <v>26.24</v>
      </c>
      <c r="D23" s="55">
        <v>18.38</v>
      </c>
      <c r="E23" s="55">
        <v>14.44</v>
      </c>
      <c r="F23" s="55">
        <v>8.56</v>
      </c>
      <c r="G23" s="55">
        <v>45.86</v>
      </c>
      <c r="H23" s="55">
        <v>20.239999999999998</v>
      </c>
      <c r="I23" s="55">
        <v>3.26</v>
      </c>
      <c r="J23" s="55">
        <v>1.32</v>
      </c>
      <c r="K23" s="55">
        <v>149.34</v>
      </c>
      <c r="L23" s="55">
        <v>24.39</v>
      </c>
      <c r="M23" s="55">
        <v>36.340000000000003</v>
      </c>
      <c r="N23" s="55">
        <v>193.9</v>
      </c>
      <c r="O23" s="55">
        <v>0</v>
      </c>
      <c r="P23" s="55">
        <v>0.82</v>
      </c>
      <c r="Q23" s="55">
        <v>9.6</v>
      </c>
      <c r="R23" s="43"/>
      <c r="S23" s="43"/>
      <c r="T23" s="43"/>
      <c r="U23" s="43"/>
    </row>
    <row r="24" spans="1:21" s="11" customFormat="1" x14ac:dyDescent="0.25">
      <c r="A24" s="54" t="s">
        <v>771</v>
      </c>
      <c r="B24" s="55">
        <v>4.63</v>
      </c>
      <c r="C24" s="55">
        <v>27.09</v>
      </c>
      <c r="D24" s="55">
        <v>17.41</v>
      </c>
      <c r="E24" s="55">
        <v>25.38</v>
      </c>
      <c r="F24" s="55">
        <v>15.41</v>
      </c>
      <c r="G24" s="55">
        <v>45.2</v>
      </c>
      <c r="H24" s="55">
        <v>20.64</v>
      </c>
      <c r="I24" s="55">
        <v>3.03</v>
      </c>
      <c r="J24" s="55">
        <v>0.94</v>
      </c>
      <c r="K24" s="55">
        <v>124.11</v>
      </c>
      <c r="L24" s="55">
        <v>23.65</v>
      </c>
      <c r="M24" s="55">
        <v>38.75</v>
      </c>
      <c r="N24" s="55">
        <v>125.7</v>
      </c>
      <c r="O24" s="55">
        <v>0</v>
      </c>
      <c r="P24" s="55">
        <v>0.78</v>
      </c>
      <c r="Q24" s="55">
        <v>9.61</v>
      </c>
      <c r="R24" s="43"/>
      <c r="S24" s="43"/>
      <c r="T24" s="43"/>
      <c r="U24" s="43"/>
    </row>
    <row r="25" spans="1:21" s="11" customFormat="1" x14ac:dyDescent="0.25">
      <c r="A25" s="54" t="s">
        <v>772</v>
      </c>
      <c r="B25" s="55">
        <v>5.0199999999999996</v>
      </c>
      <c r="C25" s="55">
        <v>30.7</v>
      </c>
      <c r="D25" s="55">
        <v>19.22</v>
      </c>
      <c r="E25" s="55">
        <v>19.55</v>
      </c>
      <c r="F25" s="55">
        <v>9.9499999999999993</v>
      </c>
      <c r="G25" s="55">
        <v>43.33</v>
      </c>
      <c r="H25" s="55">
        <v>20.18</v>
      </c>
      <c r="I25" s="55">
        <v>2.88</v>
      </c>
      <c r="J25" s="55">
        <v>1.0900000000000001</v>
      </c>
      <c r="K25" s="55">
        <v>125.49</v>
      </c>
      <c r="L25" s="55">
        <v>23.15</v>
      </c>
      <c r="M25" s="55">
        <v>41.5</v>
      </c>
      <c r="N25" s="55">
        <v>76</v>
      </c>
      <c r="O25" s="55">
        <v>0</v>
      </c>
      <c r="P25" s="55">
        <v>0.79</v>
      </c>
      <c r="Q25" s="55">
        <v>9.6</v>
      </c>
      <c r="R25" s="43"/>
      <c r="S25" s="43"/>
      <c r="T25" s="43"/>
      <c r="U25" s="43"/>
    </row>
    <row r="26" spans="1:21" s="11" customFormat="1" x14ac:dyDescent="0.25">
      <c r="A26" s="54" t="s">
        <v>773</v>
      </c>
      <c r="B26" s="55">
        <v>12.7</v>
      </c>
      <c r="C26" s="55">
        <v>32.450000000000003</v>
      </c>
      <c r="D26" s="55">
        <v>23.86</v>
      </c>
      <c r="E26" s="55">
        <v>15.8</v>
      </c>
      <c r="F26" s="55">
        <v>8.1199999999999992</v>
      </c>
      <c r="G26" s="55">
        <v>46.98</v>
      </c>
      <c r="H26" s="55">
        <v>20.18</v>
      </c>
      <c r="I26" s="55">
        <v>2.87</v>
      </c>
      <c r="J26" s="55">
        <v>0.32</v>
      </c>
      <c r="K26" s="55">
        <v>355.66</v>
      </c>
      <c r="L26" s="55">
        <v>21.84</v>
      </c>
      <c r="M26" s="55">
        <v>56.55</v>
      </c>
      <c r="N26" s="55">
        <v>33.799999999999997</v>
      </c>
      <c r="O26" s="55">
        <v>0</v>
      </c>
      <c r="P26" s="55">
        <v>1.02</v>
      </c>
      <c r="Q26" s="55">
        <v>9.6</v>
      </c>
      <c r="R26" s="43"/>
      <c r="S26" s="43"/>
      <c r="T26" s="43"/>
      <c r="U26" s="43"/>
    </row>
    <row r="27" spans="1:21" s="11" customFormat="1" x14ac:dyDescent="0.25">
      <c r="A27" s="54" t="s">
        <v>774</v>
      </c>
      <c r="B27" s="55">
        <v>23.71</v>
      </c>
      <c r="C27" s="55">
        <v>28.02</v>
      </c>
      <c r="D27" s="55">
        <v>30.93</v>
      </c>
      <c r="E27" s="55">
        <v>7.58</v>
      </c>
      <c r="F27" s="55">
        <v>3.19</v>
      </c>
      <c r="G27" s="55">
        <v>63.97</v>
      </c>
      <c r="H27" s="55">
        <v>25.68</v>
      </c>
      <c r="I27" s="55">
        <v>2.97</v>
      </c>
      <c r="J27" s="55">
        <v>0.38</v>
      </c>
      <c r="K27" s="55">
        <v>266.45</v>
      </c>
      <c r="L27" s="55">
        <v>20.190000000000001</v>
      </c>
      <c r="M27" s="55">
        <v>66.39</v>
      </c>
      <c r="N27" s="55">
        <v>32.299999999999997</v>
      </c>
      <c r="O27" s="55">
        <v>0</v>
      </c>
      <c r="P27" s="55">
        <v>1.51</v>
      </c>
      <c r="Q27" s="55">
        <v>9.64</v>
      </c>
      <c r="R27" s="43"/>
      <c r="S27" s="43"/>
      <c r="T27" s="43"/>
      <c r="U27" s="43"/>
    </row>
    <row r="28" spans="1:21" s="11" customFormat="1" x14ac:dyDescent="0.25">
      <c r="A28" s="54" t="s">
        <v>775</v>
      </c>
      <c r="B28" s="55">
        <v>32.28</v>
      </c>
      <c r="C28" s="55">
        <v>28.62</v>
      </c>
      <c r="D28" s="55">
        <v>34.17</v>
      </c>
      <c r="E28" s="55">
        <v>8.6300000000000008</v>
      </c>
      <c r="F28" s="55">
        <v>3.86</v>
      </c>
      <c r="G28" s="55">
        <v>80.95</v>
      </c>
      <c r="H28" s="55">
        <v>38.770000000000003</v>
      </c>
      <c r="I28" s="55">
        <v>4.04</v>
      </c>
      <c r="J28" s="55">
        <v>0.46</v>
      </c>
      <c r="K28" s="55">
        <v>348.59</v>
      </c>
      <c r="L28" s="55">
        <v>19.670000000000002</v>
      </c>
      <c r="M28" s="55">
        <v>75.39</v>
      </c>
      <c r="N28" s="55">
        <v>32.1</v>
      </c>
      <c r="O28" s="55">
        <v>0</v>
      </c>
      <c r="P28" s="55">
        <v>1.79</v>
      </c>
      <c r="Q28" s="55">
        <v>9.65</v>
      </c>
      <c r="R28" s="43"/>
      <c r="S28" s="43"/>
      <c r="T28" s="43"/>
      <c r="U28" s="43"/>
    </row>
    <row r="29" spans="1:21" s="11" customFormat="1" x14ac:dyDescent="0.25">
      <c r="A29" s="54" t="s">
        <v>776</v>
      </c>
      <c r="B29" s="55">
        <v>34.68</v>
      </c>
      <c r="C29" s="55">
        <v>16.899999999999999</v>
      </c>
      <c r="D29" s="55">
        <v>36.03</v>
      </c>
      <c r="E29" s="55">
        <v>6.92</v>
      </c>
      <c r="F29" s="55">
        <v>3.51</v>
      </c>
      <c r="G29" s="55">
        <v>97.26</v>
      </c>
      <c r="H29" s="55">
        <v>43.24</v>
      </c>
      <c r="I29" s="55">
        <v>4.71</v>
      </c>
      <c r="J29" s="55">
        <v>0.48</v>
      </c>
      <c r="K29" s="55">
        <v>349.07</v>
      </c>
      <c r="L29" s="55">
        <v>18.38</v>
      </c>
      <c r="M29" s="55">
        <v>84.33</v>
      </c>
      <c r="N29" s="55">
        <v>31.8</v>
      </c>
      <c r="O29" s="55">
        <v>0</v>
      </c>
      <c r="P29" s="55">
        <v>1.8</v>
      </c>
      <c r="Q29" s="55">
        <v>9.69</v>
      </c>
      <c r="R29" s="43"/>
      <c r="S29" s="43"/>
      <c r="T29" s="43"/>
      <c r="U29" s="43"/>
    </row>
    <row r="30" spans="1:21" s="11" customFormat="1" x14ac:dyDescent="0.25">
      <c r="A30" s="54" t="s">
        <v>777</v>
      </c>
      <c r="B30" s="55">
        <v>35.57</v>
      </c>
      <c r="C30" s="55">
        <v>13.09</v>
      </c>
      <c r="D30" s="55">
        <v>34.9</v>
      </c>
      <c r="E30" s="55">
        <v>6.18</v>
      </c>
      <c r="F30" s="55">
        <v>3.2</v>
      </c>
      <c r="G30" s="55">
        <v>107.59</v>
      </c>
      <c r="H30" s="55">
        <v>44.63</v>
      </c>
      <c r="I30" s="55">
        <v>4.9000000000000004</v>
      </c>
      <c r="J30" s="55">
        <v>0.64</v>
      </c>
      <c r="K30" s="55">
        <v>217.87</v>
      </c>
      <c r="L30" s="55">
        <v>19.579999999999998</v>
      </c>
      <c r="M30" s="55">
        <v>65.650000000000006</v>
      </c>
      <c r="N30" s="55">
        <v>32</v>
      </c>
      <c r="O30" s="55">
        <v>0</v>
      </c>
      <c r="P30" s="55">
        <v>1.71</v>
      </c>
      <c r="Q30" s="55">
        <v>9.68</v>
      </c>
      <c r="R30" s="43"/>
      <c r="S30" s="43"/>
      <c r="T30" s="43"/>
      <c r="U30" s="43"/>
    </row>
    <row r="31" spans="1:21" s="11" customFormat="1" x14ac:dyDescent="0.25">
      <c r="A31" s="54" t="s">
        <v>778</v>
      </c>
      <c r="B31" s="55">
        <v>34.56</v>
      </c>
      <c r="C31" s="55">
        <v>12.95</v>
      </c>
      <c r="D31" s="55">
        <v>33.39</v>
      </c>
      <c r="E31" s="55">
        <v>6.08</v>
      </c>
      <c r="F31" s="55">
        <v>3.17</v>
      </c>
      <c r="G31" s="55">
        <v>103.6</v>
      </c>
      <c r="H31" s="55">
        <v>43.05</v>
      </c>
      <c r="I31" s="55">
        <v>5.34</v>
      </c>
      <c r="J31" s="55">
        <v>0.42</v>
      </c>
      <c r="K31" s="55">
        <v>336.73</v>
      </c>
      <c r="L31" s="55">
        <v>19.3</v>
      </c>
      <c r="M31" s="55">
        <v>65.510000000000005</v>
      </c>
      <c r="N31" s="55">
        <v>32.200000000000003</v>
      </c>
      <c r="O31" s="55">
        <v>0</v>
      </c>
      <c r="P31" s="55">
        <v>1.65</v>
      </c>
      <c r="Q31" s="55">
        <v>9.68</v>
      </c>
      <c r="R31" s="43"/>
      <c r="S31" s="43"/>
      <c r="T31" s="43"/>
      <c r="U31" s="43"/>
    </row>
    <row r="32" spans="1:21" s="11" customFormat="1" x14ac:dyDescent="0.25">
      <c r="A32" s="54" t="s">
        <v>779</v>
      </c>
      <c r="B32" s="55">
        <v>34.229999999999997</v>
      </c>
      <c r="C32" s="55">
        <v>13.03</v>
      </c>
      <c r="D32" s="55">
        <v>33.049999999999997</v>
      </c>
      <c r="E32" s="55">
        <v>5.71</v>
      </c>
      <c r="F32" s="55">
        <v>2.94</v>
      </c>
      <c r="G32" s="55">
        <v>86.36</v>
      </c>
      <c r="H32" s="55">
        <v>38.39</v>
      </c>
      <c r="I32" s="55">
        <v>5.27</v>
      </c>
      <c r="J32" s="55">
        <v>0.33</v>
      </c>
      <c r="K32" s="55">
        <v>259.42</v>
      </c>
      <c r="L32" s="55">
        <v>18.54</v>
      </c>
      <c r="M32" s="55">
        <v>66</v>
      </c>
      <c r="N32" s="55">
        <v>32.1</v>
      </c>
      <c r="O32" s="55">
        <v>0</v>
      </c>
      <c r="P32" s="55">
        <v>1.67</v>
      </c>
      <c r="Q32" s="55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4.63</v>
      </c>
      <c r="C34" s="28">
        <f t="shared" si="0"/>
        <v>11.45</v>
      </c>
      <c r="D34" s="28">
        <f t="shared" si="0"/>
        <v>17.41</v>
      </c>
      <c r="E34" s="28">
        <f t="shared" si="0"/>
        <v>5.71</v>
      </c>
      <c r="F34" s="28">
        <f t="shared" si="0"/>
        <v>2.94</v>
      </c>
      <c r="G34" s="28">
        <f t="shared" si="0"/>
        <v>43.33</v>
      </c>
      <c r="H34" s="28">
        <f t="shared" si="0"/>
        <v>20.18</v>
      </c>
      <c r="I34" s="28">
        <f t="shared" si="0"/>
        <v>2.87</v>
      </c>
      <c r="J34" s="28">
        <f t="shared" si="0"/>
        <v>0.12</v>
      </c>
      <c r="K34" s="28">
        <f t="shared" si="0"/>
        <v>124.11</v>
      </c>
      <c r="L34" s="28">
        <f t="shared" si="0"/>
        <v>14.44</v>
      </c>
      <c r="M34" s="28">
        <f t="shared" si="0"/>
        <v>35.53</v>
      </c>
      <c r="N34" s="28">
        <f t="shared" si="0"/>
        <v>31.4</v>
      </c>
      <c r="O34" s="28">
        <f t="shared" si="0"/>
        <v>0</v>
      </c>
      <c r="P34" s="28">
        <f t="shared" si="0"/>
        <v>0.78</v>
      </c>
      <c r="Q34" s="28">
        <f t="shared" si="0"/>
        <v>9.6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36.869999999999997</v>
      </c>
      <c r="C35" s="29">
        <f t="shared" si="1"/>
        <v>32.450000000000003</v>
      </c>
      <c r="D35" s="29">
        <f t="shared" si="1"/>
        <v>36.03</v>
      </c>
      <c r="E35" s="29">
        <f t="shared" si="1"/>
        <v>25.38</v>
      </c>
      <c r="F35" s="29">
        <f t="shared" si="1"/>
        <v>15.41</v>
      </c>
      <c r="G35" s="29">
        <f t="shared" si="1"/>
        <v>135.88999999999999</v>
      </c>
      <c r="H35" s="29">
        <f t="shared" si="1"/>
        <v>51.99</v>
      </c>
      <c r="I35" s="29">
        <f t="shared" si="1"/>
        <v>6.36</v>
      </c>
      <c r="J35" s="29">
        <f t="shared" si="1"/>
        <v>1.48</v>
      </c>
      <c r="K35" s="29">
        <f t="shared" si="1"/>
        <v>355.66</v>
      </c>
      <c r="L35" s="29">
        <f t="shared" si="1"/>
        <v>27.25</v>
      </c>
      <c r="M35" s="29">
        <f t="shared" si="1"/>
        <v>96.84</v>
      </c>
      <c r="N35" s="29">
        <f t="shared" si="1"/>
        <v>567</v>
      </c>
      <c r="O35" s="29">
        <f t="shared" si="1"/>
        <v>0</v>
      </c>
      <c r="P35" s="29">
        <f t="shared" si="1"/>
        <v>1.97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22.981666666666666</v>
      </c>
      <c r="C36" s="28">
        <f t="shared" si="2"/>
        <v>19.105833333333329</v>
      </c>
      <c r="D36" s="28">
        <f t="shared" si="2"/>
        <v>27.180833333333336</v>
      </c>
      <c r="E36" s="28">
        <f t="shared" si="2"/>
        <v>8.627083333333335</v>
      </c>
      <c r="F36" s="28">
        <f t="shared" si="2"/>
        <v>4.810833333333334</v>
      </c>
      <c r="G36" s="28">
        <f t="shared" si="2"/>
        <v>81.618333333333311</v>
      </c>
      <c r="H36" s="28">
        <f t="shared" si="2"/>
        <v>35.527083333333316</v>
      </c>
      <c r="I36" s="28">
        <f t="shared" si="2"/>
        <v>4.496666666666667</v>
      </c>
      <c r="J36" s="28">
        <f t="shared" si="2"/>
        <v>0.67875000000000008</v>
      </c>
      <c r="K36" s="28">
        <f t="shared" si="2"/>
        <v>269.21416666666664</v>
      </c>
      <c r="L36" s="28">
        <f t="shared" si="2"/>
        <v>20.047916666666666</v>
      </c>
      <c r="M36" s="28">
        <f t="shared" si="2"/>
        <v>66.41125000000001</v>
      </c>
      <c r="N36" s="28">
        <f t="shared" si="2"/>
        <v>164.49166666666667</v>
      </c>
      <c r="O36" s="28">
        <f t="shared" si="2"/>
        <v>0</v>
      </c>
      <c r="P36" s="28">
        <f t="shared" si="2"/>
        <v>1.3608333333333331</v>
      </c>
      <c r="Q36" s="28">
        <f t="shared" si="2"/>
        <v>9.6591666666666658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10.4652828403028</v>
      </c>
      <c r="C37" s="28">
        <f t="shared" ref="C37:Q37" si="3">STDEV(C9:C32)</f>
        <v>6.8013706525687354</v>
      </c>
      <c r="D37" s="28">
        <f t="shared" si="3"/>
        <v>5.8538281169836512</v>
      </c>
      <c r="E37" s="28">
        <f t="shared" si="3"/>
        <v>5.0510080605297185</v>
      </c>
      <c r="F37" s="28">
        <f t="shared" si="3"/>
        <v>3.0703121448261026</v>
      </c>
      <c r="G37" s="28">
        <f t="shared" si="3"/>
        <v>28.82716211079963</v>
      </c>
      <c r="H37" s="28">
        <f t="shared" si="3"/>
        <v>11.055666451571641</v>
      </c>
      <c r="I37" s="28">
        <f t="shared" si="3"/>
        <v>1.1378456633582548</v>
      </c>
      <c r="J37" s="28">
        <f t="shared" si="3"/>
        <v>0.42063422610851914</v>
      </c>
      <c r="K37" s="28">
        <f t="shared" si="3"/>
        <v>89.26160842381131</v>
      </c>
      <c r="L37" s="28">
        <f t="shared" si="3"/>
        <v>4.0982806354209824</v>
      </c>
      <c r="M37" s="28">
        <f t="shared" si="3"/>
        <v>21.92529972280385</v>
      </c>
      <c r="N37" s="28">
        <f t="shared" si="3"/>
        <v>192.44669034095753</v>
      </c>
      <c r="O37" s="28">
        <f t="shared" si="3"/>
        <v>0</v>
      </c>
      <c r="P37" s="28">
        <f t="shared" si="3"/>
        <v>0.39934638627623015</v>
      </c>
      <c r="Q37" s="28">
        <f t="shared" si="3"/>
        <v>3.1611316997537976E-2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82" zoomScaleNormal="82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O16" sqref="O16:O17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01/11/2025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01/11/2025 01:00</v>
      </c>
      <c r="B9" s="24">
        <f>'01'!B36</f>
        <v>17.111666666666668</v>
      </c>
      <c r="C9" s="24">
        <f>'01'!C36</f>
        <v>9.9212499999999988</v>
      </c>
      <c r="D9" s="24">
        <f>'01'!D36</f>
        <v>18.304166666666664</v>
      </c>
      <c r="E9" s="24">
        <f>'01'!E36</f>
        <v>5.3995833333333323</v>
      </c>
      <c r="F9" s="24">
        <f>'01'!F36</f>
        <v>8.987916666666667</v>
      </c>
      <c r="G9" s="24">
        <f>'01'!G36</f>
        <v>54.793333333333344</v>
      </c>
      <c r="H9" s="24">
        <f>'01'!H36</f>
        <v>10.786250000000001</v>
      </c>
      <c r="I9" s="24">
        <f>'01'!I36</f>
        <v>1.8358333333333334</v>
      </c>
      <c r="J9" s="24">
        <f>'01'!J36</f>
        <v>0.48083333333333328</v>
      </c>
      <c r="K9" s="24">
        <f>'01'!K36</f>
        <v>321.36166666666668</v>
      </c>
      <c r="L9" s="24">
        <f>'01'!L36</f>
        <v>25.905416666666664</v>
      </c>
      <c r="M9" s="24">
        <f>'01'!M36</f>
        <v>89.575000000000003</v>
      </c>
      <c r="N9" s="24">
        <f>'01'!N36</f>
        <v>198.39583333333337</v>
      </c>
      <c r="O9" s="24">
        <f>'01'!O36</f>
        <v>8.3333333333333332E-3</v>
      </c>
      <c r="P9" s="30">
        <f>'01'!$P$36</f>
        <v>0.68333333333333324</v>
      </c>
      <c r="Q9" s="24">
        <f>'01'!Q36</f>
        <v>9.2058333333333326</v>
      </c>
      <c r="R9" s="44"/>
      <c r="S9" s="44"/>
      <c r="T9" s="44"/>
      <c r="U9" s="45"/>
    </row>
    <row r="10" spans="1:21" s="34" customFormat="1" x14ac:dyDescent="0.25">
      <c r="A10" s="36" t="str">
        <f>'02'!$B$2</f>
        <v>02/11/2025 01:00</v>
      </c>
      <c r="B10" s="33">
        <f>'02'!B36</f>
        <v>31.471249999999998</v>
      </c>
      <c r="C10" s="33">
        <f>'02'!C36</f>
        <v>9.4583333333333321</v>
      </c>
      <c r="D10" s="33">
        <f>'02'!D36</f>
        <v>28.181666666666668</v>
      </c>
      <c r="E10" s="33">
        <f>'02'!E36</f>
        <v>6.8204166666666666</v>
      </c>
      <c r="F10" s="33">
        <f>'02'!F36</f>
        <v>9.2341666666666669</v>
      </c>
      <c r="G10" s="33">
        <f>'02'!G36</f>
        <v>51.928750000000008</v>
      </c>
      <c r="H10" s="33">
        <f>'02'!H36</f>
        <v>10.096666666666666</v>
      </c>
      <c r="I10" s="33">
        <f>'02'!I36</f>
        <v>2.4362500000000007</v>
      </c>
      <c r="J10" s="33">
        <f>'02'!J36</f>
        <v>0.44958333333333328</v>
      </c>
      <c r="K10" s="33">
        <f>'02'!K36</f>
        <v>332.3654166666667</v>
      </c>
      <c r="L10" s="33">
        <f>'02'!L36</f>
        <v>26.055416666666673</v>
      </c>
      <c r="M10" s="33">
        <f>'02'!M36</f>
        <v>86.78749999999998</v>
      </c>
      <c r="N10" s="33">
        <f>'02'!N36</f>
        <v>193.75416666666669</v>
      </c>
      <c r="O10" s="33">
        <f>'02'!O36</f>
        <v>3.3333333333333333E-2</v>
      </c>
      <c r="P10" s="30">
        <f>'02'!$P$36</f>
        <v>0.92375000000000007</v>
      </c>
      <c r="Q10" s="33">
        <f>'02'!Q36</f>
        <v>9.432500000000001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03/11/2025 01:00</v>
      </c>
      <c r="B11" s="33">
        <f>'03'!B36</f>
        <v>34.273750000000014</v>
      </c>
      <c r="C11" s="33">
        <f>'03'!C36</f>
        <v>15.430000000000001</v>
      </c>
      <c r="D11" s="33">
        <f>'03'!D36</f>
        <v>31.998750000000001</v>
      </c>
      <c r="E11" s="33">
        <f>'03'!E36</f>
        <v>6.8516666666666666</v>
      </c>
      <c r="F11" s="33">
        <f>'03'!F36</f>
        <v>9.8079166666666673</v>
      </c>
      <c r="G11" s="33">
        <f>'03'!G36</f>
        <v>51.489166666666669</v>
      </c>
      <c r="H11" s="33">
        <f>'03'!H36</f>
        <v>9.9825000000000017</v>
      </c>
      <c r="I11" s="33">
        <f>'03'!I36</f>
        <v>2.8037499999999995</v>
      </c>
      <c r="J11" s="33">
        <f>'03'!J36</f>
        <v>0.49041666666666667</v>
      </c>
      <c r="K11" s="33">
        <f>'03'!K36</f>
        <v>319.58750000000003</v>
      </c>
      <c r="L11" s="33">
        <f>'03'!L36</f>
        <v>26.725833333333338</v>
      </c>
      <c r="M11" s="33">
        <f>'03'!M36</f>
        <v>79.793333333333337</v>
      </c>
      <c r="N11" s="33">
        <f>'03'!N36</f>
        <v>208.35000000000002</v>
      </c>
      <c r="O11" s="33">
        <f>'03'!O36</f>
        <v>1.6666666666666666E-2</v>
      </c>
      <c r="P11" s="30">
        <f>'03'!$P$36</f>
        <v>0.71375000000000011</v>
      </c>
      <c r="Q11" s="33">
        <f>'03'!Q36</f>
        <v>9.4420833333333327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04/11/2025 01:00</v>
      </c>
      <c r="B12" s="33">
        <f>'04'!B36</f>
        <v>43.608750000000008</v>
      </c>
      <c r="C12" s="33">
        <f>'04'!C36</f>
        <v>9.5562500000000004</v>
      </c>
      <c r="D12" s="33">
        <f>'04'!D36</f>
        <v>38.236250000000005</v>
      </c>
      <c r="E12" s="33">
        <f>'04'!E36</f>
        <v>9.4829166666666662</v>
      </c>
      <c r="F12" s="33">
        <f>'04'!F36</f>
        <v>9.8720833333333342</v>
      </c>
      <c r="G12" s="33">
        <f>'04'!G36</f>
        <v>71.480476190476182</v>
      </c>
      <c r="H12" s="33">
        <f>'04'!H36</f>
        <v>10.779545454545454</v>
      </c>
      <c r="I12" s="33">
        <f>'04'!I36</f>
        <v>2.8229166666666665</v>
      </c>
      <c r="J12" s="33">
        <f>'04'!J36</f>
        <v>0.67874999999999996</v>
      </c>
      <c r="K12" s="33">
        <f>'04'!K36</f>
        <v>319.69666666666666</v>
      </c>
      <c r="L12" s="33">
        <f>'04'!L36</f>
        <v>25.533333333333328</v>
      </c>
      <c r="M12" s="33">
        <f>'04'!M36</f>
        <v>69.319166666666675</v>
      </c>
      <c r="N12" s="33">
        <f>'04'!N36</f>
        <v>221.28750000000002</v>
      </c>
      <c r="O12" s="33">
        <f>'04'!O36</f>
        <v>8.3333333333333332E-3</v>
      </c>
      <c r="P12" s="30">
        <f>'04'!$P$36</f>
        <v>1.2764285714285712</v>
      </c>
      <c r="Q12" s="33">
        <f>'04'!Q36</f>
        <v>9.4483333333333324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05/11/2025 01:00</v>
      </c>
      <c r="B13" s="33">
        <f>'05'!B36</f>
        <v>36.033750000000005</v>
      </c>
      <c r="C13" s="33">
        <f>'05'!C36</f>
        <v>2.8649999999999998</v>
      </c>
      <c r="D13" s="33">
        <f>'05'!D36</f>
        <v>29.135000000000009</v>
      </c>
      <c r="E13" s="33">
        <f>'05'!E36</f>
        <v>5.496666666666667</v>
      </c>
      <c r="F13" s="33">
        <f>'05'!F36</f>
        <v>7.5354166666666664</v>
      </c>
      <c r="G13" s="33">
        <f>'05'!G36</f>
        <v>79.635000000000005</v>
      </c>
      <c r="H13" s="33">
        <f>'05'!H36</f>
        <v>19.372916666666661</v>
      </c>
      <c r="I13" s="33">
        <f>'05'!I36</f>
        <v>3.931249999999999</v>
      </c>
      <c r="J13" s="33">
        <f>'05'!J36</f>
        <v>0.44208333333333333</v>
      </c>
      <c r="K13" s="33">
        <f>'05'!K36</f>
        <v>320.19249999999994</v>
      </c>
      <c r="L13" s="33">
        <f>'05'!L36</f>
        <v>25.619999999999994</v>
      </c>
      <c r="M13" s="33">
        <f>'05'!M36</f>
        <v>71.393749999999997</v>
      </c>
      <c r="N13" s="33">
        <f>'05'!N36</f>
        <v>217.83333333333334</v>
      </c>
      <c r="O13" s="33">
        <f>'05'!O36</f>
        <v>0</v>
      </c>
      <c r="P13" s="30">
        <f>'05'!$P$36</f>
        <v>1.0425000000000002</v>
      </c>
      <c r="Q13" s="33">
        <f>'05'!Q36</f>
        <v>9.5095833333333335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06/11/2025 01:00</v>
      </c>
      <c r="B14" s="33">
        <f>'06'!B36</f>
        <v>21.658750000000001</v>
      </c>
      <c r="C14" s="33">
        <f>'06'!C36</f>
        <v>13.197916666666664</v>
      </c>
      <c r="D14" s="33">
        <f>'06'!D36</f>
        <v>22.039583333333336</v>
      </c>
      <c r="E14" s="33">
        <f>'06'!E36</f>
        <v>6.4449999999999976</v>
      </c>
      <c r="F14" s="33">
        <f>'06'!F36</f>
        <v>7.4512499999999982</v>
      </c>
      <c r="G14" s="33">
        <f>'06'!G36</f>
        <v>69.64791666666666</v>
      </c>
      <c r="H14" s="33">
        <f>'06'!H36</f>
        <v>25.324166666666667</v>
      </c>
      <c r="I14" s="33">
        <f>'06'!I36</f>
        <v>2.6324999999999998</v>
      </c>
      <c r="J14" s="33">
        <f>'06'!J36</f>
        <v>0.57541666666666658</v>
      </c>
      <c r="K14" s="33">
        <f>'06'!K36</f>
        <v>329.35250000000002</v>
      </c>
      <c r="L14" s="33">
        <f>'06'!L36</f>
        <v>25.064166666666665</v>
      </c>
      <c r="M14" s="33">
        <f>'06'!M36</f>
        <v>78.56</v>
      </c>
      <c r="N14" s="33">
        <f>'06'!N36</f>
        <v>192.27499999999998</v>
      </c>
      <c r="O14" s="33">
        <f>'06'!O36</f>
        <v>0</v>
      </c>
      <c r="P14" s="30">
        <f>'06'!$P$36</f>
        <v>0.9700000000000002</v>
      </c>
      <c r="Q14" s="33">
        <f>'06'!Q36</f>
        <v>9.3479166666666647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07/11/2025 01:00</v>
      </c>
      <c r="B15" s="33">
        <f>'07'!B36</f>
        <v>32.434999999999995</v>
      </c>
      <c r="C15" s="33">
        <f>'07'!C36</f>
        <v>7.935833333333334</v>
      </c>
      <c r="D15" s="33">
        <f>'07'!D36</f>
        <v>27.590833333333336</v>
      </c>
      <c r="E15" s="33">
        <f>'07'!E36</f>
        <v>7.0495833333333335</v>
      </c>
      <c r="F15" s="33">
        <f>'07'!F36</f>
        <v>6.8904166666666677</v>
      </c>
      <c r="G15" s="33">
        <f>'07'!G36</f>
        <v>91.396666666666661</v>
      </c>
      <c r="H15" s="33">
        <f>'07'!H36</f>
        <v>32.900833333333331</v>
      </c>
      <c r="I15" s="33">
        <f>'07'!I36</f>
        <v>3.4395833333333337</v>
      </c>
      <c r="J15" s="33">
        <f>'07'!J36</f>
        <v>0.4895833333333332</v>
      </c>
      <c r="K15" s="33">
        <f>'07'!K36</f>
        <v>305.73291666666665</v>
      </c>
      <c r="L15" s="33">
        <f>'07'!L36</f>
        <v>24.492083333333337</v>
      </c>
      <c r="M15" s="33">
        <f>'07'!M36</f>
        <v>68.497083333333336</v>
      </c>
      <c r="N15" s="33">
        <f>'06'!N37</f>
        <v>223.85111754486942</v>
      </c>
      <c r="O15" s="33">
        <f>'06'!O37</f>
        <v>0</v>
      </c>
      <c r="P15" s="30">
        <f>'06'!$P$36</f>
        <v>0.9700000000000002</v>
      </c>
      <c r="Q15" s="33">
        <f>'07'!Q36</f>
        <v>9.5387499999999985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08/11/2025 01:00</v>
      </c>
      <c r="B16" s="33">
        <f>'08'!B36</f>
        <v>19.216249999999999</v>
      </c>
      <c r="C16" s="33">
        <f>'08'!C36</f>
        <v>11.691666666666665</v>
      </c>
      <c r="D16" s="33">
        <f>'08'!D36</f>
        <v>19.475416666666664</v>
      </c>
      <c r="E16" s="33">
        <f>'08'!E36</f>
        <v>6.1108333333333329</v>
      </c>
      <c r="F16" s="33">
        <f>'08'!F36</f>
        <v>5.6870833333333328</v>
      </c>
      <c r="G16" s="33">
        <f>'08'!G36</f>
        <v>120.12125000000003</v>
      </c>
      <c r="H16" s="33">
        <f>'08'!H36</f>
        <v>36.281250000000007</v>
      </c>
      <c r="I16" s="33">
        <f>'08'!I36</f>
        <v>3.6125000000000003</v>
      </c>
      <c r="J16" s="33">
        <f>'08'!J36</f>
        <v>0.92708333333333348</v>
      </c>
      <c r="K16" s="33">
        <f>'08'!K36</f>
        <v>332.82416666666666</v>
      </c>
      <c r="L16" s="33">
        <f>'08'!L36</f>
        <v>23.63</v>
      </c>
      <c r="M16" s="33">
        <f>'08'!M36</f>
        <v>52.799583333333338</v>
      </c>
      <c r="N16" s="33">
        <f>'08'!N36</f>
        <v>230.38333333333335</v>
      </c>
      <c r="O16" s="33">
        <f>'08'!O36</f>
        <v>0</v>
      </c>
      <c r="P16" s="30">
        <f>'08'!$P$36</f>
        <v>0.95833333333333337</v>
      </c>
      <c r="Q16" s="33">
        <f>'08'!Q36</f>
        <v>9.4408333333333321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09/11/2025 01:00</v>
      </c>
      <c r="B17" s="33">
        <f>'09'!B36</f>
        <v>18.216666666666665</v>
      </c>
      <c r="C17" s="33">
        <f>'09'!C36</f>
        <v>15.00625</v>
      </c>
      <c r="D17" s="33">
        <f>'09'!D36</f>
        <v>20.688749999999999</v>
      </c>
      <c r="E17" s="33">
        <f>'09'!E36</f>
        <v>7.0370833333333325</v>
      </c>
      <c r="F17" s="33">
        <f>'09'!F36</f>
        <v>5.5774999999999997</v>
      </c>
      <c r="G17" s="33">
        <f>'09'!G36</f>
        <v>130.93958333333336</v>
      </c>
      <c r="H17" s="33">
        <f>'09'!H36</f>
        <v>43.814583333333339</v>
      </c>
      <c r="I17" s="33">
        <f>'09'!I36</f>
        <v>3.9250000000000007</v>
      </c>
      <c r="J17" s="33">
        <f>'09'!J36</f>
        <v>0.64833333333333332</v>
      </c>
      <c r="K17" s="33">
        <f>'09'!K36</f>
        <v>335.48041666666671</v>
      </c>
      <c r="L17" s="33">
        <f>'09'!L36</f>
        <v>21.542083333333338</v>
      </c>
      <c r="M17" s="33">
        <f>'09'!M36</f>
        <v>55.816249999999997</v>
      </c>
      <c r="N17" s="33">
        <f>'08'!N37</f>
        <v>287.20116214289919</v>
      </c>
      <c r="O17" s="33">
        <f>'08'!O37</f>
        <v>0</v>
      </c>
      <c r="P17" s="30">
        <f>'08'!$P$36</f>
        <v>0.95833333333333337</v>
      </c>
      <c r="Q17" s="33">
        <f>'09'!Q36</f>
        <v>9.3695833333333329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10/11/2025 01:00</v>
      </c>
      <c r="B18" s="33">
        <f>'10'!B36</f>
        <v>38.252916666666671</v>
      </c>
      <c r="C18" s="33">
        <f>'10'!C36</f>
        <v>13.152500000000002</v>
      </c>
      <c r="D18" s="33">
        <f>'10'!D36</f>
        <v>34.034583333333337</v>
      </c>
      <c r="E18" s="33">
        <f>'10'!E36</f>
        <v>6.8766666666666678</v>
      </c>
      <c r="F18" s="33">
        <f>'10'!F36</f>
        <v>7.0591666666666661</v>
      </c>
      <c r="G18" s="33">
        <f>'10'!G36</f>
        <v>126.75954545454547</v>
      </c>
      <c r="H18" s="33">
        <f>'10'!H36</f>
        <v>43.845454545454537</v>
      </c>
      <c r="I18" s="33">
        <f>'10'!I36</f>
        <v>4.668333333333333</v>
      </c>
      <c r="J18" s="33">
        <f>'10'!J36</f>
        <v>0.44916666666666666</v>
      </c>
      <c r="K18" s="33">
        <f>'10'!K36</f>
        <v>308.45125000000002</v>
      </c>
      <c r="L18" s="33">
        <f>'10'!L36</f>
        <v>21.10166666666667</v>
      </c>
      <c r="M18" s="33">
        <f>'10'!M36</f>
        <v>65.11999999999999</v>
      </c>
      <c r="N18" s="33">
        <f>'10'!N36</f>
        <v>211.54583333333335</v>
      </c>
      <c r="O18" s="33">
        <f>'10'!O36</f>
        <v>0</v>
      </c>
      <c r="P18" s="30">
        <f>'10'!$P$36</f>
        <v>1.3691666666666666</v>
      </c>
      <c r="Q18" s="33">
        <f>'10'!Q36</f>
        <v>9.5474999999999994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11/11/2025 01:00</v>
      </c>
      <c r="B19" s="33">
        <f>'11'!B36</f>
        <v>50.863333333333344</v>
      </c>
      <c r="C19" s="33">
        <f>'11'!C36</f>
        <v>10.00375</v>
      </c>
      <c r="D19" s="33">
        <f>'11'!D36</f>
        <v>41.57708333333332</v>
      </c>
      <c r="E19" s="33">
        <f>'11'!E36</f>
        <v>5.9549999999999992</v>
      </c>
      <c r="F19" s="33">
        <f>'11'!F36</f>
        <v>4.9249999999999998</v>
      </c>
      <c r="G19" s="33">
        <f>'11'!G36</f>
        <v>124.40208333333332</v>
      </c>
      <c r="H19" s="33">
        <f>'11'!H36</f>
        <v>47.774166666666666</v>
      </c>
      <c r="I19" s="33">
        <f>'11'!I36</f>
        <v>5.4691666666666672</v>
      </c>
      <c r="J19" s="33">
        <f>'11'!J36</f>
        <v>0.51416666666666677</v>
      </c>
      <c r="K19" s="33">
        <f>'11'!K36</f>
        <v>327.60250000000002</v>
      </c>
      <c r="L19" s="33">
        <f>'11'!L36</f>
        <v>21.043749999999999</v>
      </c>
      <c r="M19" s="33">
        <f>'11'!M36</f>
        <v>61.689166666666658</v>
      </c>
      <c r="N19" s="33">
        <f>'11'!N36</f>
        <v>212.92916666666667</v>
      </c>
      <c r="O19" s="33">
        <f>'11'!O36</f>
        <v>0</v>
      </c>
      <c r="P19" s="33">
        <f>'11'!P36</f>
        <v>1.5162499999999997</v>
      </c>
      <c r="Q19" s="33">
        <f>'11'!Q36</f>
        <v>9.6120833333333326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12/11/2025 01:00</v>
      </c>
      <c r="B20" s="33">
        <f>'12'!B36</f>
        <v>51.572083333333325</v>
      </c>
      <c r="C20" s="33">
        <f>'12'!C36</f>
        <v>15.857142857142859</v>
      </c>
      <c r="D20" s="33">
        <f>'12'!D36</f>
        <v>41.938750000000006</v>
      </c>
      <c r="E20" s="33">
        <f>'12'!E36</f>
        <v>7.6675000000000004</v>
      </c>
      <c r="F20" s="33">
        <f>'12'!F36</f>
        <v>6.0075000000000012</v>
      </c>
      <c r="G20" s="33">
        <f>'12'!G36</f>
        <v>95.442083333333343</v>
      </c>
      <c r="H20" s="33">
        <f>'12'!H36</f>
        <v>33.950000000000003</v>
      </c>
      <c r="I20" s="33">
        <f>'12'!I36</f>
        <v>5.7970833333333331</v>
      </c>
      <c r="J20" s="33">
        <f>'12'!J36</f>
        <v>0.39125000000000004</v>
      </c>
      <c r="K20" s="33">
        <f>'12'!K36</f>
        <v>312.22541666666666</v>
      </c>
      <c r="L20" s="33">
        <f>'12'!L36</f>
        <v>20.400833333333335</v>
      </c>
      <c r="M20" s="33">
        <f>'12'!M36</f>
        <v>62.930833333333339</v>
      </c>
      <c r="N20" s="33">
        <f>'12'!N36</f>
        <v>214.04166666666663</v>
      </c>
      <c r="O20" s="33">
        <f>'12'!O36</f>
        <v>0</v>
      </c>
      <c r="P20" s="33">
        <f>'12'!P36</f>
        <v>1.4795833333333333</v>
      </c>
      <c r="Q20" s="33">
        <f>'12'!Q36</f>
        <v>9.6316666666666659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13/11/2025 01:00</v>
      </c>
      <c r="B21" s="33">
        <f>'13'!B36</f>
        <v>53.22</v>
      </c>
      <c r="C21" s="33">
        <f>'13'!C36</f>
        <v>28.784615384615385</v>
      </c>
      <c r="D21" s="33">
        <f>'13'!D36</f>
        <v>45.877083333333331</v>
      </c>
      <c r="E21" s="33">
        <f>'13'!E36</f>
        <v>8.1370833333333348</v>
      </c>
      <c r="F21" s="33">
        <f>'13'!F36</f>
        <v>7.4554166666666655</v>
      </c>
      <c r="G21" s="33">
        <f>'13'!G36</f>
        <v>104.11958333333332</v>
      </c>
      <c r="H21" s="33">
        <f>'13'!H36</f>
        <v>37.57416666666667</v>
      </c>
      <c r="I21" s="33">
        <f>'13'!I36</f>
        <v>6.1991666666666667</v>
      </c>
      <c r="J21" s="33">
        <f>'13'!J36</f>
        <v>0.31375000000000003</v>
      </c>
      <c r="K21" s="33">
        <f>'13'!K36</f>
        <v>327.2383333333334</v>
      </c>
      <c r="L21" s="33">
        <f>'13'!L36</f>
        <v>20.43708333333333</v>
      </c>
      <c r="M21" s="33">
        <f>'13'!M36</f>
        <v>63.383333333333319</v>
      </c>
      <c r="N21" s="33">
        <f>'13'!N36</f>
        <v>207.91666666666666</v>
      </c>
      <c r="O21" s="33">
        <f>'13'!O36</f>
        <v>0</v>
      </c>
      <c r="P21" s="33">
        <f>'13'!P36</f>
        <v>1.624583333333333</v>
      </c>
      <c r="Q21" s="33">
        <f>'13'!Q36</f>
        <v>9.6208333333333353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14/11/2025 01:00</v>
      </c>
      <c r="B22" s="30">
        <f>'14'!B36</f>
        <v>52.946666666666665</v>
      </c>
      <c r="C22" s="30">
        <f>'14'!C36</f>
        <v>20.764666666666663</v>
      </c>
      <c r="D22" s="30">
        <f>'14'!D36</f>
        <v>45.039583333333333</v>
      </c>
      <c r="E22" s="30">
        <f>'14'!E36</f>
        <v>10.084583333333333</v>
      </c>
      <c r="F22" s="30">
        <f>'14'!F36</f>
        <v>6.0325000000000015</v>
      </c>
      <c r="G22" s="30">
        <f>'14'!G36</f>
        <v>106.44541666666667</v>
      </c>
      <c r="H22" s="30">
        <f>'14'!H36</f>
        <v>41.707083333333337</v>
      </c>
      <c r="I22" s="30">
        <f>'14'!I36</f>
        <v>6.0654166666666667</v>
      </c>
      <c r="J22" s="30">
        <f>'14'!J36</f>
        <v>0.36625000000000002</v>
      </c>
      <c r="K22" s="30">
        <f>'14'!K36</f>
        <v>335.935</v>
      </c>
      <c r="L22" s="30">
        <f>'14'!L36</f>
        <v>20.431666666666665</v>
      </c>
      <c r="M22" s="30">
        <f>'14'!M36</f>
        <v>59.867083333333333</v>
      </c>
      <c r="N22" s="30">
        <f>'14'!N36</f>
        <v>211.65416666666667</v>
      </c>
      <c r="O22" s="30">
        <f>'14'!O36</f>
        <v>0</v>
      </c>
      <c r="P22" s="30">
        <f>'14'!P36</f>
        <v>1.6812500000000001</v>
      </c>
      <c r="Q22" s="30">
        <f>'14'!Q36</f>
        <v>9.6579166666666669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15/11/2025 01:00</v>
      </c>
      <c r="B23" s="33">
        <f>'15'!B36</f>
        <v>33.563333333333333</v>
      </c>
      <c r="C23" s="33">
        <f>'15'!C36</f>
        <v>17.320416666666663</v>
      </c>
      <c r="D23" s="33">
        <f>'15'!D36</f>
        <v>34.228333333333332</v>
      </c>
      <c r="E23" s="33">
        <f>'15'!E36</f>
        <v>9.3208333333333346</v>
      </c>
      <c r="F23" s="33">
        <f>'15'!F36</f>
        <v>5.7133333333333338</v>
      </c>
      <c r="G23" s="33">
        <f>'15'!G36</f>
        <v>91.25291666666665</v>
      </c>
      <c r="H23" s="33">
        <f>'15'!H36</f>
        <v>37.173333333333332</v>
      </c>
      <c r="I23" s="33">
        <f>'15'!I36</f>
        <v>4.7750000000000004</v>
      </c>
      <c r="J23" s="33">
        <f>'15'!J36</f>
        <v>0.39500000000000024</v>
      </c>
      <c r="K23" s="33">
        <f>'15'!K36</f>
        <v>330.3966666666667</v>
      </c>
      <c r="L23" s="33">
        <f>'15'!L36</f>
        <v>20.496250000000003</v>
      </c>
      <c r="M23" s="33">
        <f>'15'!M36</f>
        <v>56.240416666666675</v>
      </c>
      <c r="N23" s="33">
        <f>'15'!N36</f>
        <v>208.51666666666665</v>
      </c>
      <c r="O23" s="33">
        <f>'15'!O36</f>
        <v>0</v>
      </c>
      <c r="P23" s="30">
        <f>'15'!P36</f>
        <v>1.3908333333333331</v>
      </c>
      <c r="Q23" s="30">
        <f>'15'!Q36</f>
        <v>9.6033333333333335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16/11/2025 01:00</v>
      </c>
      <c r="B24" s="33">
        <f>'16'!B36</f>
        <v>27.870833333333334</v>
      </c>
      <c r="C24" s="33">
        <f>'16'!C36</f>
        <v>18.310416666666665</v>
      </c>
      <c r="D24" s="33">
        <f>'16'!D36</f>
        <v>30.445416666666663</v>
      </c>
      <c r="E24" s="33">
        <f>'16'!E36</f>
        <v>6.3945833333333342</v>
      </c>
      <c r="F24" s="33">
        <f>'16'!F36</f>
        <v>5.3408333333333333</v>
      </c>
      <c r="G24" s="33">
        <f>'16'!G36</f>
        <v>93.992916666666659</v>
      </c>
      <c r="H24" s="33">
        <f>'16'!H36</f>
        <v>37.526249999999997</v>
      </c>
      <c r="I24" s="33">
        <f>'16'!I36</f>
        <v>5.1837500000000007</v>
      </c>
      <c r="J24" s="33">
        <f>'16'!J36</f>
        <v>0.45999999999999991</v>
      </c>
      <c r="K24" s="33">
        <f>'16'!K36</f>
        <v>312.43541666666675</v>
      </c>
      <c r="L24" s="33">
        <f>'16'!L36</f>
        <v>20.407916666666672</v>
      </c>
      <c r="M24" s="33">
        <f>'16'!M36</f>
        <v>53.450833333333328</v>
      </c>
      <c r="N24" s="33">
        <f>'16'!N36</f>
        <v>204.50416666666661</v>
      </c>
      <c r="O24" s="33">
        <f>'16'!O36</f>
        <v>0</v>
      </c>
      <c r="P24" s="30">
        <f>'16'!P36</f>
        <v>1.3733333333333331</v>
      </c>
      <c r="Q24" s="30">
        <f>'16'!Q36</f>
        <v>9.5920833333333331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17/11/2025 01:00</v>
      </c>
      <c r="B25" s="33">
        <f>'17'!B36</f>
        <v>15.016250000000005</v>
      </c>
      <c r="C25" s="33">
        <f>'17'!C36</f>
        <v>24.453333333333333</v>
      </c>
      <c r="D25" s="33">
        <f>'17'!D36</f>
        <v>23.904166666666665</v>
      </c>
      <c r="E25" s="33">
        <f>'17'!E36</f>
        <v>9.5608333333333331</v>
      </c>
      <c r="F25" s="33">
        <f>'17'!F36</f>
        <v>6.7408333333333337</v>
      </c>
      <c r="G25" s="33">
        <f>'17'!G36</f>
        <v>83.381250000000009</v>
      </c>
      <c r="H25" s="33">
        <f>'17'!H36</f>
        <v>33.251250000000006</v>
      </c>
      <c r="I25" s="33">
        <f>'17'!I36</f>
        <v>3.6070833333333332</v>
      </c>
      <c r="J25" s="33">
        <f>'17'!J36</f>
        <v>0.49125000000000002</v>
      </c>
      <c r="K25" s="33">
        <f>'17'!K36</f>
        <v>276.69333333333338</v>
      </c>
      <c r="L25" s="33">
        <f>'17'!L36</f>
        <v>20.092499999999998</v>
      </c>
      <c r="M25" s="33">
        <f>'17'!M36</f>
        <v>51.065416666666671</v>
      </c>
      <c r="N25" s="33">
        <f>'17'!N36</f>
        <v>206.02916666666667</v>
      </c>
      <c r="O25" s="33">
        <f>'17'!O36</f>
        <v>0</v>
      </c>
      <c r="P25" s="30">
        <f>'17'!P36</f>
        <v>1.1529166666666668</v>
      </c>
      <c r="Q25" s="30">
        <f>'17'!Q36</f>
        <v>9.5924999999999994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18/11/2025 01:00</v>
      </c>
      <c r="B26" s="33">
        <f>'18'!B36</f>
        <v>19.174583333333334</v>
      </c>
      <c r="C26" s="33">
        <f>'18'!C36</f>
        <v>24.279583333333331</v>
      </c>
      <c r="D26" s="33">
        <f>'18'!D36</f>
        <v>26.927083333333332</v>
      </c>
      <c r="E26" s="33">
        <f>'18'!E36</f>
        <v>8.3641666666666659</v>
      </c>
      <c r="F26" s="33">
        <f>'18'!F36</f>
        <v>7.3187500000000014</v>
      </c>
      <c r="G26" s="33">
        <f>'18'!G36</f>
        <v>88.326521739130413</v>
      </c>
      <c r="H26" s="33">
        <f>'18'!H36</f>
        <v>35.266956521739132</v>
      </c>
      <c r="I26" s="33">
        <f>'18'!I36</f>
        <v>4.4104166666666673</v>
      </c>
      <c r="J26" s="33">
        <f>'18'!J36</f>
        <v>0.50958333333333339</v>
      </c>
      <c r="K26" s="33">
        <f>'18'!K36</f>
        <v>302.0645833333333</v>
      </c>
      <c r="L26" s="33">
        <f>'18'!L36</f>
        <v>20.428333333333331</v>
      </c>
      <c r="M26" s="33">
        <f>'18'!M36</f>
        <v>62.487916666666678</v>
      </c>
      <c r="N26" s="33">
        <f>'18'!N36</f>
        <v>204.47499999999994</v>
      </c>
      <c r="O26" s="33">
        <f>'18'!O36</f>
        <v>0</v>
      </c>
      <c r="P26" s="30">
        <f>'18'!P36</f>
        <v>1.2875000000000001</v>
      </c>
      <c r="Q26" s="30">
        <f>'18'!Q36</f>
        <v>9.5583333333333336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19/11/2025 01:00</v>
      </c>
      <c r="B27" s="33">
        <f>'19'!B36</f>
        <v>25.42958333333333</v>
      </c>
      <c r="C27" s="33">
        <f>'19'!C36</f>
        <v>22.662083333333332</v>
      </c>
      <c r="D27" s="33">
        <f>'19'!D36</f>
        <v>30.108750000000004</v>
      </c>
      <c r="E27" s="33">
        <f>'19'!E36</f>
        <v>6.9845833333333331</v>
      </c>
      <c r="F27" s="33">
        <f>'19'!F36</f>
        <v>7.423750000000001</v>
      </c>
      <c r="G27" s="33">
        <f>'19'!G36</f>
        <v>81.847499999999997</v>
      </c>
      <c r="H27" s="33">
        <f>'19'!H36</f>
        <v>34.294999999999995</v>
      </c>
      <c r="I27" s="33">
        <f>'19'!I36</f>
        <v>4.7995833333333335</v>
      </c>
      <c r="J27" s="33">
        <f>'19'!J36</f>
        <v>0.42083333333333334</v>
      </c>
      <c r="K27" s="33">
        <f>'19'!K36</f>
        <v>253.3658333333334</v>
      </c>
      <c r="L27" s="33">
        <f>'19'!L36</f>
        <v>20.603333333333335</v>
      </c>
      <c r="M27" s="33">
        <f>'19'!M36</f>
        <v>67.775000000000006</v>
      </c>
      <c r="N27" s="33">
        <f>'19'!N36</f>
        <v>197.57916666666668</v>
      </c>
      <c r="O27" s="33">
        <f>'19'!O36</f>
        <v>0</v>
      </c>
      <c r="P27" s="30">
        <f>'19'!P36</f>
        <v>1.3366666666666667</v>
      </c>
      <c r="Q27" s="30">
        <f>'19'!Q36</f>
        <v>9.5616666666666674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20/11/2025 01:00</v>
      </c>
      <c r="B28" s="33">
        <f>'20'!B36</f>
        <v>31.918333333333333</v>
      </c>
      <c r="C28" s="33">
        <f>'20'!C36</f>
        <v>19.78125</v>
      </c>
      <c r="D28" s="33">
        <f>'20'!D36</f>
        <v>33.967083333333335</v>
      </c>
      <c r="E28" s="33">
        <f>'20'!E36</f>
        <v>8.7608333333333341</v>
      </c>
      <c r="F28" s="33">
        <f>'20'!F36</f>
        <v>6.47</v>
      </c>
      <c r="G28" s="33">
        <f>'20'!G36</f>
        <v>85.157499999999999</v>
      </c>
      <c r="H28" s="33">
        <f>'20'!H36</f>
        <v>34.197083333333339</v>
      </c>
      <c r="I28" s="33">
        <f>'20'!I36</f>
        <v>4.8258333333333328</v>
      </c>
      <c r="J28" s="33">
        <f>'20'!J36</f>
        <v>0.52874999999999994</v>
      </c>
      <c r="K28" s="33">
        <f>'20'!K36</f>
        <v>322.12166666666667</v>
      </c>
      <c r="L28" s="33">
        <f>'20'!L36</f>
        <v>21.351666666666663</v>
      </c>
      <c r="M28" s="33">
        <f>'20'!M36</f>
        <v>70.583750000000009</v>
      </c>
      <c r="N28" s="33">
        <f>'20'!N36</f>
        <v>191.47499999999999</v>
      </c>
      <c r="O28" s="33">
        <f>'20'!O36</f>
        <v>0</v>
      </c>
      <c r="P28" s="30">
        <f>'20'!P36</f>
        <v>1.49125</v>
      </c>
      <c r="Q28" s="30">
        <f>'20'!Q36</f>
        <v>9.5995833333333334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21/11/2025 01:00</v>
      </c>
      <c r="B29" s="33">
        <f>'21'!B36</f>
        <v>47.549583333333338</v>
      </c>
      <c r="C29" s="33">
        <f>'21'!C36</f>
        <v>17.88176470588235</v>
      </c>
      <c r="D29" s="33">
        <f>'21'!D36</f>
        <v>42.408750000000005</v>
      </c>
      <c r="E29" s="33">
        <f>'21'!E36</f>
        <v>9.5466666666666669</v>
      </c>
      <c r="F29" s="33">
        <f>'21'!F36</f>
        <v>6.8649999999999984</v>
      </c>
      <c r="G29" s="33">
        <f>'21'!G36</f>
        <v>97.552500000000023</v>
      </c>
      <c r="H29" s="33">
        <f>'21'!H36</f>
        <v>36.769166666666671</v>
      </c>
      <c r="I29" s="33">
        <f>'21'!I36</f>
        <v>6.2816666666666663</v>
      </c>
      <c r="J29" s="33">
        <f>'21'!J36</f>
        <v>0.50708333333333333</v>
      </c>
      <c r="K29" s="33">
        <f>'21'!K36</f>
        <v>299.93833333333333</v>
      </c>
      <c r="L29" s="33">
        <f>'21'!L36</f>
        <v>21.930000000000003</v>
      </c>
      <c r="M29" s="33">
        <f>'21'!M36</f>
        <v>71.366666666666646</v>
      </c>
      <c r="N29" s="33">
        <f>'21'!N36</f>
        <v>198.92916666666667</v>
      </c>
      <c r="O29" s="33">
        <f>'21'!O36</f>
        <v>0</v>
      </c>
      <c r="P29" s="30">
        <f>'21'!P36</f>
        <v>1.8079166666666664</v>
      </c>
      <c r="Q29" s="30">
        <f>'21'!Q36</f>
        <v>9.6554166666666656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22/11/2025 01:00</v>
      </c>
      <c r="B30" s="33">
        <f>'22'!B36</f>
        <v>49.523333333333341</v>
      </c>
      <c r="C30" s="33">
        <f>'22'!C36</f>
        <v>16.4255</v>
      </c>
      <c r="D30" s="33">
        <f>'22'!D36</f>
        <v>44.376249999999999</v>
      </c>
      <c r="E30" s="33">
        <f>'22'!E36</f>
        <v>8.2495833333333319</v>
      </c>
      <c r="F30" s="33">
        <f>'22'!F36</f>
        <v>7.1133333333333333</v>
      </c>
      <c r="G30" s="33">
        <f>'22'!G36</f>
        <v>106.14208333333333</v>
      </c>
      <c r="H30" s="33">
        <f>'22'!H36</f>
        <v>41.4375</v>
      </c>
      <c r="I30" s="33">
        <f>'22'!I36</f>
        <v>6.2516666666666678</v>
      </c>
      <c r="J30" s="33">
        <f>'22'!J36</f>
        <v>0.4458333333333333</v>
      </c>
      <c r="K30" s="33">
        <f>'22'!K36</f>
        <v>312.89833333333326</v>
      </c>
      <c r="L30" s="33">
        <f>'22'!L36</f>
        <v>22.108750000000004</v>
      </c>
      <c r="M30" s="33">
        <f>'22'!M36</f>
        <v>72.927500000000009</v>
      </c>
      <c r="N30" s="33">
        <f>'22'!N36</f>
        <v>186.20833333333329</v>
      </c>
      <c r="O30" s="33">
        <f>'22'!O36</f>
        <v>0</v>
      </c>
      <c r="P30" s="30">
        <f>'22'!P36</f>
        <v>1.8862499999999998</v>
      </c>
      <c r="Q30" s="30">
        <f>'22'!Q36</f>
        <v>9.6766666666666676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23/11/2025 01:00</v>
      </c>
      <c r="B31" s="33">
        <f>'23'!B36</f>
        <v>46.885833333333331</v>
      </c>
      <c r="C31" s="33">
        <f>'23'!C36</f>
        <v>16.88</v>
      </c>
      <c r="D31" s="33">
        <f>'23'!D36</f>
        <v>42.865833333333342</v>
      </c>
      <c r="E31" s="33">
        <f>'23'!E36</f>
        <v>9.1187500000000004</v>
      </c>
      <c r="F31" s="33">
        <f>'23'!F36</f>
        <v>8.4824999999999999</v>
      </c>
      <c r="G31" s="33">
        <f>'23'!G36</f>
        <v>83.989999999999981</v>
      </c>
      <c r="H31" s="33">
        <f>'23'!H36</f>
        <v>33.702500000000001</v>
      </c>
      <c r="I31" s="33">
        <f>'23'!I36</f>
        <v>5.9058333333333337</v>
      </c>
      <c r="J31" s="33">
        <f>'23'!J36</f>
        <v>0.45083333333333336</v>
      </c>
      <c r="K31" s="33">
        <f>'23'!K36</f>
        <v>253.47625000000002</v>
      </c>
      <c r="L31" s="33">
        <f>'23'!L36</f>
        <v>22.22666666666667</v>
      </c>
      <c r="M31" s="33">
        <f>'23'!M36</f>
        <v>72.175416666666663</v>
      </c>
      <c r="N31" s="33">
        <f>'23'!N36</f>
        <v>183.10833333333335</v>
      </c>
      <c r="O31" s="33">
        <f>'23'!O36</f>
        <v>0</v>
      </c>
      <c r="P31" s="33">
        <f>'23'!P36</f>
        <v>1.6537499999999998</v>
      </c>
      <c r="Q31" s="33">
        <f>'23'!Q36</f>
        <v>9.6462500000000002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24/11/2025 01:00</v>
      </c>
      <c r="B32" s="33">
        <f>'24'!B36</f>
        <v>23.073750000000004</v>
      </c>
      <c r="C32" s="33">
        <f>'24'!C36</f>
        <v>21.239565217391306</v>
      </c>
      <c r="D32" s="33">
        <f>'24'!D36</f>
        <v>27.586250000000003</v>
      </c>
      <c r="E32" s="33">
        <f>'24'!E36</f>
        <v>7.5929166666666665</v>
      </c>
      <c r="F32" s="33">
        <f>'24'!F36</f>
        <v>8.4754166666666695</v>
      </c>
      <c r="G32" s="33">
        <f>'24'!G36</f>
        <v>71.905000000000015</v>
      </c>
      <c r="H32" s="33">
        <f>'24'!H36</f>
        <v>28.63625</v>
      </c>
      <c r="I32" s="33">
        <f>'24'!I36</f>
        <v>4.4329166666666664</v>
      </c>
      <c r="J32" s="33">
        <f>'24'!J36</f>
        <v>0.53500000000000003</v>
      </c>
      <c r="K32" s="33">
        <f>'24'!K36</f>
        <v>195.17999999999995</v>
      </c>
      <c r="L32" s="33">
        <f>'24'!L36</f>
        <v>22.4375</v>
      </c>
      <c r="M32" s="33">
        <f>'24'!M36</f>
        <v>71.365000000000009</v>
      </c>
      <c r="N32" s="33">
        <f>'24'!N36</f>
        <v>179.02499999999998</v>
      </c>
      <c r="O32" s="33">
        <f>'24'!O36</f>
        <v>0</v>
      </c>
      <c r="P32" s="33">
        <f>'24'!P36</f>
        <v>1.1316666666666666</v>
      </c>
      <c r="Q32" s="33">
        <f>'24'!Q36</f>
        <v>9.4770833333333346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25/11/2025 01:00</v>
      </c>
      <c r="B33" s="33">
        <f>'25'!B36</f>
        <v>11.009545454545455</v>
      </c>
      <c r="C33" s="33">
        <f>'25'!C36</f>
        <v>28.928636363636361</v>
      </c>
      <c r="D33" s="33">
        <f>'25'!D36</f>
        <v>22.858636363636364</v>
      </c>
      <c r="E33" s="33">
        <f>'25'!E36</f>
        <v>7.4686363636363646</v>
      </c>
      <c r="F33" s="33">
        <f>'25'!F36</f>
        <v>9.56</v>
      </c>
      <c r="G33" s="33">
        <f>'25'!G36</f>
        <v>73.89913043478262</v>
      </c>
      <c r="H33" s="33">
        <f>'25'!H36</f>
        <v>31.509565217391316</v>
      </c>
      <c r="I33" s="33">
        <f>'25'!I36</f>
        <v>3.1517391304347826</v>
      </c>
      <c r="J33" s="33">
        <f>'25'!J36</f>
        <v>0.56956521739130428</v>
      </c>
      <c r="K33" s="33">
        <f>'25'!K36</f>
        <v>247.45478260869569</v>
      </c>
      <c r="L33" s="33">
        <f>'25'!L36</f>
        <v>27.381304347826092</v>
      </c>
      <c r="M33" s="33">
        <f>'25'!M36</f>
        <v>69.825652173913042</v>
      </c>
      <c r="N33" s="33">
        <f>'25'!N36</f>
        <v>169.12173913043478</v>
      </c>
      <c r="O33" s="33">
        <f>'25'!O36</f>
        <v>0</v>
      </c>
      <c r="P33" s="33">
        <f>'25'!P36</f>
        <v>0.96454545454545471</v>
      </c>
      <c r="Q33" s="33">
        <f>'25'!Q36</f>
        <v>9.5195454545454528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26/11/2025 01:00</v>
      </c>
      <c r="B34" s="33">
        <f>'26'!B36</f>
        <v>11.576250000000002</v>
      </c>
      <c r="C34" s="33">
        <f>'26'!C36</f>
        <v>25.343750000000011</v>
      </c>
      <c r="D34" s="33">
        <f>'26'!D36</f>
        <v>21.540416666666669</v>
      </c>
      <c r="E34" s="33">
        <f>'26'!E36</f>
        <v>12.002083333333333</v>
      </c>
      <c r="F34" s="33">
        <f>'26'!F36</f>
        <v>7.5850000000000009</v>
      </c>
      <c r="G34" s="33">
        <f>'26'!G36</f>
        <v>70.073333333333323</v>
      </c>
      <c r="H34" s="33">
        <f>'26'!H36</f>
        <v>29.103750000000005</v>
      </c>
      <c r="I34" s="33">
        <f>'26'!I36</f>
        <v>3.2304166666666667</v>
      </c>
      <c r="J34" s="33">
        <f>'26'!J36</f>
        <v>0.45166666666666666</v>
      </c>
      <c r="K34" s="33">
        <f>'26'!K36</f>
        <v>259.87208333333331</v>
      </c>
      <c r="L34" s="33">
        <f>'26'!L36</f>
        <v>21.599999999999998</v>
      </c>
      <c r="M34" s="33">
        <f>'26'!M36</f>
        <v>61.981249999999996</v>
      </c>
      <c r="N34" s="33">
        <f>'26'!N36</f>
        <v>165.4708333333333</v>
      </c>
      <c r="O34" s="33">
        <f>'26'!O36</f>
        <v>0</v>
      </c>
      <c r="P34" s="33">
        <f>'26'!P36</f>
        <v>1.0154166666666666</v>
      </c>
      <c r="Q34" s="33">
        <f>'26'!Q36</f>
        <v>9.6166666666666654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27/11/2025 01:00</v>
      </c>
      <c r="B35" s="33">
        <f>'27'!B36</f>
        <v>6.9708333333333323</v>
      </c>
      <c r="C35" s="33">
        <f>'27'!C36</f>
        <v>25.689583333333335</v>
      </c>
      <c r="D35" s="33">
        <f>'27'!D36</f>
        <v>18.0975</v>
      </c>
      <c r="E35" s="33">
        <f>'27'!E36</f>
        <v>6.1854166666666677</v>
      </c>
      <c r="F35" s="33">
        <f>'27'!F36</f>
        <v>5.0208333333333348</v>
      </c>
      <c r="G35" s="33">
        <f>'27'!G36</f>
        <v>61.456818181818171</v>
      </c>
      <c r="H35" s="33">
        <f>'27'!H36</f>
        <v>26.807272727272728</v>
      </c>
      <c r="I35" s="33">
        <f>'27'!I36</f>
        <v>2.7691666666666666</v>
      </c>
      <c r="J35" s="33">
        <f>'27'!J36</f>
        <v>0.53041666666666676</v>
      </c>
      <c r="K35" s="33">
        <f>'27'!K36</f>
        <v>264.67916666666662</v>
      </c>
      <c r="L35" s="33">
        <f>'27'!L36</f>
        <v>20.772916666666664</v>
      </c>
      <c r="M35" s="33">
        <f>'27'!M36</f>
        <v>47.90541666666666</v>
      </c>
      <c r="N35" s="33">
        <f>'27'!N36</f>
        <v>170.52916666666673</v>
      </c>
      <c r="O35" s="33">
        <f>'27'!O36</f>
        <v>0</v>
      </c>
      <c r="P35" s="30">
        <f>'27'!P36</f>
        <v>0.84916666666666674</v>
      </c>
      <c r="Q35" s="33">
        <f>'27'!Q36</f>
        <v>9.5770833333333343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28/11/2025 01:00</v>
      </c>
      <c r="B36" s="33">
        <f>'28'!B36</f>
        <v>14.362916666666669</v>
      </c>
      <c r="C36" s="33">
        <f>'28'!C36</f>
        <v>22.907916666666665</v>
      </c>
      <c r="D36" s="33">
        <f>'28'!D36</f>
        <v>22.374999999999996</v>
      </c>
      <c r="E36" s="33">
        <f>'28'!E36</f>
        <v>5.671666666666666</v>
      </c>
      <c r="F36" s="33">
        <f>'28'!F36</f>
        <v>4.2533333333333321</v>
      </c>
      <c r="G36" s="33">
        <f>'28'!G36</f>
        <v>68.335833333333312</v>
      </c>
      <c r="H36" s="33">
        <f>'28'!H36</f>
        <v>30.081666666666663</v>
      </c>
      <c r="I36" s="33">
        <f>'28'!I36</f>
        <v>3.5337499999999999</v>
      </c>
      <c r="J36" s="33">
        <f>'28'!J36</f>
        <v>0.62416666666666665</v>
      </c>
      <c r="K36" s="33">
        <f>'28'!K36</f>
        <v>296.78291666666672</v>
      </c>
      <c r="L36" s="33">
        <f>'28'!L36</f>
        <v>19.314166666666669</v>
      </c>
      <c r="M36" s="33">
        <f>'28'!M36</f>
        <v>56.997083333333329</v>
      </c>
      <c r="N36" s="33">
        <f>'28'!N36</f>
        <v>170.61666666666665</v>
      </c>
      <c r="O36" s="33">
        <f>'28'!O36</f>
        <v>0</v>
      </c>
      <c r="P36" s="30">
        <f>'28'!P36</f>
        <v>1.0420833333333335</v>
      </c>
      <c r="Q36" s="33">
        <f>'28'!Q36</f>
        <v>9.6133333333333333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29/11/2025 01:00</v>
      </c>
      <c r="B37" s="33">
        <f>'29'!B36</f>
        <v>24.016666666666666</v>
      </c>
      <c r="C37" s="33">
        <f>'29'!C36</f>
        <v>20.360833333333339</v>
      </c>
      <c r="D37" s="33">
        <f>'29'!D36</f>
        <v>28.518333333333331</v>
      </c>
      <c r="E37" s="33">
        <f>'29'!E36</f>
        <v>7.231250000000002</v>
      </c>
      <c r="F37" s="33">
        <f>'29'!F36</f>
        <v>5.2591666666666663</v>
      </c>
      <c r="G37" s="33">
        <f>'29'!G36</f>
        <v>87.705416666666665</v>
      </c>
      <c r="H37" s="33">
        <f>'29'!H36</f>
        <v>35.518750000000004</v>
      </c>
      <c r="I37" s="33">
        <f>'29'!I36</f>
        <v>4.7279166666666663</v>
      </c>
      <c r="J37" s="33">
        <f>'29'!J36</f>
        <v>0.6479166666666667</v>
      </c>
      <c r="K37" s="33">
        <f>'29'!K36</f>
        <v>247.19958333333338</v>
      </c>
      <c r="L37" s="33">
        <f>'29'!L36</f>
        <v>20.063333333333333</v>
      </c>
      <c r="M37" s="33">
        <f>'29'!M36</f>
        <v>66.525416666666672</v>
      </c>
      <c r="N37" s="33">
        <f>'29'!N36</f>
        <v>167.78333333333333</v>
      </c>
      <c r="O37" s="33">
        <f>'29'!O36</f>
        <v>0</v>
      </c>
      <c r="P37" s="33">
        <f>'29'!P36</f>
        <v>1.4629166666666666</v>
      </c>
      <c r="Q37" s="33">
        <f>'29'!Q36</f>
        <v>9.6691666666666638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30/11/2025 01:00</v>
      </c>
      <c r="B38" s="33">
        <f>'30'!B36</f>
        <v>22.981666666666666</v>
      </c>
      <c r="C38" s="33">
        <f>'30'!C36</f>
        <v>19.105833333333329</v>
      </c>
      <c r="D38" s="33">
        <f>'30'!D36</f>
        <v>27.180833333333336</v>
      </c>
      <c r="E38" s="33">
        <f>'30'!E36</f>
        <v>8.627083333333335</v>
      </c>
      <c r="F38" s="33">
        <f>'30'!F36</f>
        <v>4.810833333333334</v>
      </c>
      <c r="G38" s="33">
        <f>'30'!G36</f>
        <v>81.618333333333311</v>
      </c>
      <c r="H38" s="33">
        <f>'30'!H36</f>
        <v>35.527083333333316</v>
      </c>
      <c r="I38" s="33">
        <f>'30'!I36</f>
        <v>4.496666666666667</v>
      </c>
      <c r="J38" s="33">
        <f>'30'!J36</f>
        <v>0.67875000000000008</v>
      </c>
      <c r="K38" s="33">
        <f>'30'!K36</f>
        <v>269.21416666666664</v>
      </c>
      <c r="L38" s="33">
        <f>'30'!L36</f>
        <v>20.047916666666666</v>
      </c>
      <c r="M38" s="33">
        <f>'30'!M36</f>
        <v>66.41125000000001</v>
      </c>
      <c r="N38" s="33">
        <f>'30'!N36</f>
        <v>164.49166666666667</v>
      </c>
      <c r="O38" s="33">
        <f>'30'!O36</f>
        <v>0</v>
      </c>
      <c r="P38" s="33">
        <f>'30'!P36</f>
        <v>1.3608333333333331</v>
      </c>
      <c r="Q38" s="33">
        <f>'30'!Q36</f>
        <v>9.6591666666666658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6.9708333333333323</v>
      </c>
      <c r="C40" s="15">
        <f t="shared" si="0"/>
        <v>2.8649999999999998</v>
      </c>
      <c r="D40" s="15">
        <f t="shared" si="0"/>
        <v>18.0975</v>
      </c>
      <c r="E40" s="15">
        <f t="shared" si="0"/>
        <v>5.3995833333333323</v>
      </c>
      <c r="F40" s="15">
        <f t="shared" si="0"/>
        <v>4.2533333333333321</v>
      </c>
      <c r="G40" s="15">
        <f t="shared" si="0"/>
        <v>51.489166666666669</v>
      </c>
      <c r="H40" s="15">
        <f t="shared" si="0"/>
        <v>9.9825000000000017</v>
      </c>
      <c r="I40" s="15">
        <f t="shared" si="0"/>
        <v>1.8358333333333334</v>
      </c>
      <c r="J40" s="15">
        <f t="shared" si="0"/>
        <v>0.31375000000000003</v>
      </c>
      <c r="K40" s="15">
        <f t="shared" si="0"/>
        <v>195.17999999999995</v>
      </c>
      <c r="L40" s="15">
        <f t="shared" si="0"/>
        <v>19.314166666666669</v>
      </c>
      <c r="M40" s="15">
        <f t="shared" si="0"/>
        <v>47.90541666666666</v>
      </c>
      <c r="N40" s="15">
        <f t="shared" si="0"/>
        <v>164.49166666666667</v>
      </c>
      <c r="O40" s="15">
        <f t="shared" si="0"/>
        <v>0</v>
      </c>
      <c r="P40" s="15">
        <f t="shared" si="0"/>
        <v>0.68333333333333324</v>
      </c>
      <c r="Q40" s="15">
        <f t="shared" si="0"/>
        <v>9.2058333333333326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53.22</v>
      </c>
      <c r="C41" s="15">
        <f t="shared" si="1"/>
        <v>28.928636363636361</v>
      </c>
      <c r="D41" s="15">
        <f t="shared" si="1"/>
        <v>45.877083333333331</v>
      </c>
      <c r="E41" s="15">
        <f t="shared" si="1"/>
        <v>12.002083333333333</v>
      </c>
      <c r="F41" s="15">
        <f t="shared" si="1"/>
        <v>9.8720833333333342</v>
      </c>
      <c r="G41" s="15">
        <f t="shared" si="1"/>
        <v>130.93958333333336</v>
      </c>
      <c r="H41" s="15">
        <f t="shared" si="1"/>
        <v>47.774166666666666</v>
      </c>
      <c r="I41" s="15">
        <f t="shared" si="1"/>
        <v>6.2816666666666663</v>
      </c>
      <c r="J41" s="15">
        <f t="shared" si="1"/>
        <v>0.92708333333333348</v>
      </c>
      <c r="K41" s="15">
        <f t="shared" si="1"/>
        <v>335.935</v>
      </c>
      <c r="L41" s="15">
        <f t="shared" si="1"/>
        <v>27.381304347826092</v>
      </c>
      <c r="M41" s="15">
        <f t="shared" si="1"/>
        <v>89.575000000000003</v>
      </c>
      <c r="N41" s="15">
        <f t="shared" si="1"/>
        <v>287.20116214289919</v>
      </c>
      <c r="O41" s="15">
        <f t="shared" si="1"/>
        <v>3.3333333333333333E-2</v>
      </c>
      <c r="P41" s="15">
        <f t="shared" si="1"/>
        <v>1.8862499999999998</v>
      </c>
      <c r="Q41" s="15">
        <f t="shared" si="1"/>
        <v>9.6766666666666676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30.393470959595959</v>
      </c>
      <c r="C42" s="15">
        <f t="shared" si="2"/>
        <v>17.506521373177829</v>
      </c>
      <c r="D42" s="15">
        <f t="shared" si="2"/>
        <v>30.716871212121216</v>
      </c>
      <c r="E42" s="15">
        <f t="shared" si="2"/>
        <v>7.6831489898989895</v>
      </c>
      <c r="F42" s="15">
        <f t="shared" si="2"/>
        <v>6.9652083333333348</v>
      </c>
      <c r="G42" s="15">
        <f t="shared" si="2"/>
        <v>86.841263622247325</v>
      </c>
      <c r="H42" s="15">
        <f t="shared" si="2"/>
        <v>31.499765371102324</v>
      </c>
      <c r="I42" s="15">
        <f t="shared" si="2"/>
        <v>4.2674051932367147</v>
      </c>
      <c r="J42" s="15">
        <f t="shared" si="2"/>
        <v>0.51544384057971027</v>
      </c>
      <c r="K42" s="15">
        <f t="shared" si="2"/>
        <v>299.06064553140101</v>
      </c>
      <c r="L42" s="15">
        <f t="shared" si="2"/>
        <v>22.308196256038649</v>
      </c>
      <c r="M42" s="15">
        <f t="shared" si="2"/>
        <v>66.153868961352671</v>
      </c>
      <c r="N42" s="15">
        <f t="shared" si="2"/>
        <v>199.97607840505125</v>
      </c>
      <c r="O42" s="15">
        <f t="shared" si="2"/>
        <v>2.2222222222222222E-3</v>
      </c>
      <c r="P42" s="15">
        <f t="shared" si="2"/>
        <v>1.2458102453102451</v>
      </c>
      <c r="Q42" s="15">
        <f t="shared" si="2"/>
        <v>9.5474431818181849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14.061866771417524</v>
      </c>
      <c r="C43" s="15">
        <f t="shared" si="3"/>
        <v>6.4624741926002249</v>
      </c>
      <c r="D43" s="15">
        <f t="shared" si="3"/>
        <v>8.6701344170903951</v>
      </c>
      <c r="E43" s="15">
        <f t="shared" si="3"/>
        <v>1.5650485883829999</v>
      </c>
      <c r="F43" s="15">
        <f t="shared" si="3"/>
        <v>1.568557719933021</v>
      </c>
      <c r="G43" s="15">
        <f t="shared" si="3"/>
        <v>21.341116439187132</v>
      </c>
      <c r="H43" s="15">
        <f t="shared" si="3"/>
        <v>10.184641928091912</v>
      </c>
      <c r="I43" s="15">
        <f t="shared" si="3"/>
        <v>1.2682352800515972</v>
      </c>
      <c r="J43" s="15">
        <f t="shared" si="3"/>
        <v>0.11925094906385345</v>
      </c>
      <c r="K43" s="15">
        <f t="shared" si="3"/>
        <v>35.172745389689254</v>
      </c>
      <c r="L43" s="15">
        <f t="shared" si="3"/>
        <v>2.3733664588601555</v>
      </c>
      <c r="M43" s="15">
        <f t="shared" si="3"/>
        <v>9.8758129355431237</v>
      </c>
      <c r="N43" s="15">
        <f t="shared" si="3"/>
        <v>24.951755015734872</v>
      </c>
      <c r="O43" s="15">
        <f t="shared" si="3"/>
        <v>6.8973498899555612E-3</v>
      </c>
      <c r="P43" s="15">
        <f t="shared" si="3"/>
        <v>0.31905505647468346</v>
      </c>
      <c r="Q43" s="15">
        <f t="shared" si="3"/>
        <v>0.11069685314589803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2025-12-19T16:56:02Z</dcterms:modified>
  <cp:category/>
</cp:coreProperties>
</file>