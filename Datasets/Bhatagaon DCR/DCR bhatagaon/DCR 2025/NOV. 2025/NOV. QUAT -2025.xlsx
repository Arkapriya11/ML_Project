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0" i="40"/>
  <c r="J110" i="33"/>
  <c r="G110" i="33"/>
  <c r="H110" i="33"/>
  <c r="I110" i="32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Q110" i="30"/>
  <c r="P110" i="30"/>
  <c r="I110" i="30"/>
  <c r="G110" i="30"/>
  <c r="H110" i="30"/>
  <c r="J110" i="30"/>
  <c r="K110" i="30"/>
  <c r="L110" i="30"/>
  <c r="M110" i="30"/>
  <c r="N110" i="30"/>
  <c r="O110" i="30"/>
  <c r="F110" i="30"/>
  <c r="C110" i="30"/>
  <c r="D110" i="30"/>
  <c r="B110" i="30"/>
  <c r="E110" i="30"/>
  <c r="J110" i="29"/>
  <c r="C110" i="29"/>
  <c r="J110" i="28"/>
  <c r="C110" i="28"/>
  <c r="I111" i="27"/>
  <c r="I110" i="27"/>
  <c r="C110" i="27"/>
  <c r="C110" i="26"/>
  <c r="H110" i="23"/>
  <c r="G110" i="23"/>
  <c r="C110" i="21"/>
  <c r="C110" i="20"/>
  <c r="Q110" i="19"/>
  <c r="C110" i="19"/>
  <c r="H110" i="18"/>
  <c r="I110" i="18"/>
  <c r="J110" i="18"/>
  <c r="K110" i="18"/>
  <c r="L110" i="18"/>
  <c r="M110" i="18"/>
  <c r="N110" i="18"/>
  <c r="O110" i="18"/>
  <c r="P110" i="18"/>
  <c r="Q110" i="18"/>
  <c r="C110" i="18"/>
  <c r="Q110" i="17"/>
  <c r="C110" i="17"/>
  <c r="J110" i="16"/>
  <c r="Q110" i="16"/>
  <c r="C110" i="16"/>
  <c r="Q110" i="15"/>
  <c r="H110" i="15"/>
  <c r="G110" i="15"/>
  <c r="C110" i="15"/>
  <c r="G110" i="13"/>
  <c r="C110" i="13"/>
  <c r="I110" i="12"/>
  <c r="F110" i="12"/>
  <c r="C110" i="12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B110" i="11"/>
  <c r="H110" i="10"/>
  <c r="G110" i="10"/>
  <c r="D110" i="10"/>
  <c r="C110" i="10"/>
  <c r="B110" i="10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2" i="26" l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N110" i="26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0" i="33"/>
  <c r="I111" i="33" s="1"/>
  <c r="J112" i="33"/>
  <c r="J110" i="32"/>
  <c r="J111" i="32" s="1"/>
  <c r="I112" i="32"/>
  <c r="H110" i="32"/>
  <c r="H111" i="32" s="1"/>
  <c r="H112" i="31"/>
  <c r="I111" i="31"/>
  <c r="J111" i="31"/>
  <c r="G112" i="31"/>
  <c r="J111" i="30"/>
  <c r="I112" i="30"/>
  <c r="H112" i="30"/>
  <c r="J112" i="29"/>
  <c r="I110" i="29"/>
  <c r="I112" i="29" s="1"/>
  <c r="H110" i="29"/>
  <c r="H112" i="29" s="1"/>
  <c r="J111" i="28"/>
  <c r="I110" i="28"/>
  <c r="I112" i="28" s="1"/>
  <c r="H110" i="28"/>
  <c r="H111" i="28" s="1"/>
  <c r="I112" i="27"/>
  <c r="C111" i="27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M112" i="27" s="1"/>
  <c r="N110" i="27"/>
  <c r="N112" i="27" s="1"/>
  <c r="O110" i="27"/>
  <c r="O111" i="27" s="1"/>
  <c r="P110" i="27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J110" i="22"/>
  <c r="J112" i="22" s="1"/>
  <c r="I110" i="22"/>
  <c r="I112" i="22" s="1"/>
  <c r="H110" i="22"/>
  <c r="H112" i="22" s="1"/>
  <c r="G110" i="22"/>
  <c r="G111" i="22" s="1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1" i="16"/>
  <c r="H111" i="15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0" i="12"/>
  <c r="J112" i="12" s="1"/>
  <c r="H110" i="12"/>
  <c r="H111" i="12" s="1"/>
  <c r="I112" i="12"/>
  <c r="J111" i="11"/>
  <c r="I111" i="11"/>
  <c r="H111" i="11"/>
  <c r="G112" i="11"/>
  <c r="J110" i="10"/>
  <c r="J112" i="10" s="1"/>
  <c r="I110" i="10"/>
  <c r="I111" i="10" s="1"/>
  <c r="H112" i="10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C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0" i="2"/>
  <c r="G112" i="2" s="1"/>
  <c r="H110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/>
  <c r="L110" i="41"/>
  <c r="L111" i="41"/>
  <c r="K110" i="41"/>
  <c r="K112" i="4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2" i="31"/>
  <c r="O112" i="31"/>
  <c r="N112" i="31"/>
  <c r="M111" i="31"/>
  <c r="L112" i="31"/>
  <c r="K111" i="31"/>
  <c r="F112" i="31"/>
  <c r="E112" i="31"/>
  <c r="D112" i="31"/>
  <c r="C112" i="3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K34" i="39" s="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1" i="30"/>
  <c r="P111" i="30"/>
  <c r="O112" i="30"/>
  <c r="N112" i="30"/>
  <c r="M112" i="30"/>
  <c r="L112" i="30"/>
  <c r="K112" i="30"/>
  <c r="G112" i="30"/>
  <c r="F112" i="30"/>
  <c r="E111" i="30"/>
  <c r="D112" i="30"/>
  <c r="C111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/>
  <c r="N108" i="30"/>
  <c r="N33" i="39" s="1"/>
  <c r="M108" i="30"/>
  <c r="M33" i="39" s="1"/>
  <c r="L108" i="30"/>
  <c r="K108" i="30"/>
  <c r="K33" i="39" s="1"/>
  <c r="J108" i="30"/>
  <c r="I108" i="30"/>
  <c r="I33" i="39" s="1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1" i="29" s="1"/>
  <c r="F110" i="29"/>
  <c r="F111" i="29" s="1"/>
  <c r="E110" i="29"/>
  <c r="E112" i="29" s="1"/>
  <c r="D110" i="29"/>
  <c r="D112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1" i="28" s="1"/>
  <c r="L112" i="28"/>
  <c r="K110" i="28"/>
  <c r="K111" i="28" s="1"/>
  <c r="G110" i="28"/>
  <c r="G112" i="28" s="1"/>
  <c r="F110" i="28"/>
  <c r="F111" i="28" s="1"/>
  <c r="E110" i="28"/>
  <c r="E112" i="28" s="1"/>
  <c r="D110" i="28"/>
  <c r="D112" i="28" s="1"/>
  <c r="C112" i="28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M31" i="39" s="1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/>
  <c r="M110" i="24"/>
  <c r="M112" i="24" s="1"/>
  <c r="L110" i="24"/>
  <c r="L112" i="24" s="1"/>
  <c r="K110" i="24"/>
  <c r="K111" i="24" s="1"/>
  <c r="G110" i="24"/>
  <c r="G112" i="24" s="1"/>
  <c r="F110" i="24"/>
  <c r="F112" i="24" s="1"/>
  <c r="E110" i="24"/>
  <c r="E112" i="24" s="1"/>
  <c r="D110" i="24"/>
  <c r="D112" i="24" s="1"/>
  <c r="C110" i="24"/>
  <c r="C111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/>
  <c r="M108" i="24"/>
  <c r="L108" i="24"/>
  <c r="K108" i="24"/>
  <c r="K27" i="39"/>
  <c r="J108" i="24"/>
  <c r="I108" i="24"/>
  <c r="H108" i="24"/>
  <c r="H27" i="39"/>
  <c r="G108" i="24"/>
  <c r="F108" i="24"/>
  <c r="F27" i="39" s="1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/>
  <c r="M110" i="23"/>
  <c r="M112" i="23" s="1"/>
  <c r="L110" i="23"/>
  <c r="L112" i="23" s="1"/>
  <c r="K110" i="23"/>
  <c r="K112" i="23" s="1"/>
  <c r="H112" i="23"/>
  <c r="G111" i="23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D26" i="39" s="1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/>
  <c r="D110" i="21"/>
  <c r="D111" i="2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2" i="20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P23" i="39" s="1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 s="1"/>
  <c r="E108" i="20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/>
  <c r="E108" i="19"/>
  <c r="E22" i="39"/>
  <c r="D108" i="19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2" i="18"/>
  <c r="P111" i="18"/>
  <c r="O111" i="18"/>
  <c r="N112" i="18"/>
  <c r="M111" i="18"/>
  <c r="L112" i="18"/>
  <c r="K112" i="18"/>
  <c r="J111" i="18"/>
  <c r="I112" i="18"/>
  <c r="H111" i="18"/>
  <c r="G110" i="18"/>
  <c r="G111" i="18" s="1"/>
  <c r="F110" i="18"/>
  <c r="F112" i="18" s="1"/>
  <c r="E110" i="18"/>
  <c r="E112" i="18" s="1"/>
  <c r="D110" i="18"/>
  <c r="D112" i="18" s="1"/>
  <c r="C111" i="18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/>
  <c r="K110" i="15"/>
  <c r="K112" i="15" s="1"/>
  <c r="G111" i="15"/>
  <c r="F110" i="15"/>
  <c r="F112" i="15" s="1"/>
  <c r="E110" i="15"/>
  <c r="E112" i="15" s="1"/>
  <c r="D110" i="15"/>
  <c r="D112" i="15" s="1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O18" i="39" s="1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1" i="13"/>
  <c r="F110" i="13"/>
  <c r="F112" i="13" s="1"/>
  <c r="E110" i="13"/>
  <c r="E112" i="13" s="1"/>
  <c r="D110" i="13"/>
  <c r="D111" i="13" s="1"/>
  <c r="C112" i="13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0" i="12"/>
  <c r="G112" i="12" s="1"/>
  <c r="G111" i="12"/>
  <c r="E110" i="12"/>
  <c r="E112" i="12" s="1"/>
  <c r="D110" i="12"/>
  <c r="D112" i="12" s="1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1" i="11"/>
  <c r="P112" i="11"/>
  <c r="O112" i="11"/>
  <c r="N112" i="11"/>
  <c r="M112" i="11"/>
  <c r="L112" i="11"/>
  <c r="K112" i="1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2" i="10"/>
  <c r="F110" i="10"/>
  <c r="F111" i="10" s="1"/>
  <c r="E110" i="10"/>
  <c r="E112" i="10" s="1"/>
  <c r="D112" i="10"/>
  <c r="C112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D13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J34" i="39"/>
  <c r="I34" i="39"/>
  <c r="H34" i="39"/>
  <c r="F34" i="39"/>
  <c r="L33" i="39"/>
  <c r="J33" i="39"/>
  <c r="H33" i="39"/>
  <c r="F33" i="39"/>
  <c r="B33" i="39"/>
  <c r="Q32" i="39"/>
  <c r="O32" i="39"/>
  <c r="N32" i="39"/>
  <c r="K32" i="39"/>
  <c r="I32" i="39"/>
  <c r="G32" i="39"/>
  <c r="F32" i="39"/>
  <c r="E32" i="39"/>
  <c r="B32" i="39"/>
  <c r="Q31" i="39"/>
  <c r="J31" i="39"/>
  <c r="I31" i="39"/>
  <c r="F31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O22" i="39"/>
  <c r="D22" i="39"/>
  <c r="P20" i="39"/>
  <c r="D20" i="39"/>
  <c r="F18" i="39"/>
  <c r="E17" i="39"/>
  <c r="M16" i="39"/>
  <c r="K16" i="39"/>
  <c r="Q12" i="39"/>
  <c r="B12" i="39"/>
  <c r="P10" i="39"/>
  <c r="P36" i="39"/>
  <c r="E34" i="39"/>
  <c r="E26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F111" i="31"/>
  <c r="E111" i="31"/>
  <c r="D111" i="31"/>
  <c r="C111" i="31"/>
  <c r="B111" i="31"/>
  <c r="O111" i="30"/>
  <c r="L111" i="30"/>
  <c r="D111" i="30"/>
  <c r="B111" i="30"/>
  <c r="P111" i="29"/>
  <c r="N111" i="29"/>
  <c r="M111" i="29"/>
  <c r="E111" i="29"/>
  <c r="D111" i="29"/>
  <c r="C111" i="29"/>
  <c r="B111" i="29"/>
  <c r="O111" i="28"/>
  <c r="N111" i="28"/>
  <c r="M111" i="28"/>
  <c r="G111" i="28"/>
  <c r="E111" i="28"/>
  <c r="D111" i="28"/>
  <c r="C111" i="28"/>
  <c r="P111" i="27"/>
  <c r="M111" i="27"/>
  <c r="E111" i="27"/>
  <c r="B111" i="27"/>
  <c r="N111" i="26"/>
  <c r="L111" i="26"/>
  <c r="K111" i="26"/>
  <c r="P111" i="24"/>
  <c r="O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O111" i="16"/>
  <c r="N111" i="16"/>
  <c r="L111" i="16"/>
  <c r="F111" i="16"/>
  <c r="E111" i="16"/>
  <c r="D111" i="16"/>
  <c r="P111" i="15"/>
  <c r="O111" i="15"/>
  <c r="M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K111" i="9"/>
  <c r="C111" i="9"/>
  <c r="M111" i="8"/>
  <c r="E111" i="8"/>
  <c r="D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K111" i="27"/>
  <c r="J111" i="27"/>
  <c r="I111" i="32"/>
  <c r="B112" i="32"/>
  <c r="J112" i="32"/>
  <c r="H112" i="32"/>
  <c r="I112" i="31"/>
  <c r="Q112" i="31"/>
  <c r="G111" i="31"/>
  <c r="P111" i="31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Q112" i="9"/>
  <c r="D112" i="9"/>
  <c r="O111" i="9"/>
  <c r="D111" i="10"/>
  <c r="O112" i="10"/>
  <c r="H111" i="10"/>
  <c r="B112" i="11"/>
  <c r="M112" i="12"/>
  <c r="K112" i="12"/>
  <c r="D112" i="13"/>
  <c r="O112" i="13"/>
  <c r="B112" i="13"/>
  <c r="M112" i="13"/>
  <c r="H111" i="13"/>
  <c r="F112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F112" i="11"/>
  <c r="K112" i="14"/>
  <c r="P112" i="17"/>
  <c r="C112" i="24"/>
  <c r="L112" i="29"/>
  <c r="K111" i="3"/>
  <c r="F112" i="2"/>
  <c r="J112" i="16"/>
  <c r="I111" i="19"/>
  <c r="G111" i="27"/>
  <c r="H112" i="3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6"/>
  <c r="O112" i="18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Q111" i="40" l="1"/>
  <c r="C112" i="40"/>
  <c r="P111" i="32"/>
  <c r="L111" i="31"/>
  <c r="H111" i="30"/>
  <c r="M111" i="30"/>
  <c r="N111" i="30"/>
  <c r="I111" i="30"/>
  <c r="N111" i="27"/>
  <c r="O112" i="27"/>
  <c r="M111" i="24"/>
  <c r="J112" i="24"/>
  <c r="I112" i="20"/>
  <c r="B111" i="17"/>
  <c r="I112" i="15"/>
  <c r="K111" i="15"/>
  <c r="D111" i="14"/>
  <c r="G112" i="13"/>
  <c r="Q112" i="10"/>
  <c r="F112" i="9"/>
  <c r="E111" i="9"/>
  <c r="C111" i="8"/>
  <c r="J41" i="39"/>
  <c r="J42" i="39"/>
  <c r="K43" i="39"/>
  <c r="K41" i="39"/>
  <c r="K42" i="39"/>
  <c r="K40" i="39"/>
  <c r="K44" i="39"/>
  <c r="K46" i="39" s="1"/>
  <c r="E44" i="39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K45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<sst xmlns="http://schemas.openxmlformats.org/spreadsheetml/2006/main" count="6200" uniqueCount="3128">
  <si>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</si>
  <si>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</si>
  <si>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</si>
  <si>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</si>
  <si>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</si>
  <si>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</si>
  <si>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</si>
  <si>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</si>
  <si>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</si>
  <si>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</si>
  <si>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</si>
  <si>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</si>
  <si>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</si>
  <si>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</si>
  <si>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</si>
  <si>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</si>
  <si>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</si>
  <si>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</si>
  <si>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</si>
  <si>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</si>
  <si>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</si>
  <si>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</si>
  <si>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</si>
  <si>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</si>
  <si>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</si>
  <si>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</si>
  <si>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</si>
  <si>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</si>
  <si>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</si>
  <si>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</si>
  <si>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</si>
  <si>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</si>
  <si>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</si>
  <si>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</si>
  <si>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</si>
  <si>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</si>
  <si>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</si>
  <si>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</si>
  <si>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</si>
  <si>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</si>
  <si>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</si>
  <si>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</si>
  <si>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</si>
  <si>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</si>
  <si>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</si>
  <si>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</si>
  <si>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</si>
  <si>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</si>
  <si>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</si>
  <si>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</si>
  <si>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</si>
  <si>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</si>
  <si>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</si>
  <si>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</si>
  <si>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</si>
  <si>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</si>
  <si>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</si>
  <si>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</si>
  <si>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</si>
  <si>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</si>
  <si>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</si>
  <si>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</si>
  <si>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</si>
  <si>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</si>
  <si>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</si>
  <si>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</si>
  <si>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</si>
  <si>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</si>
  <si>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</si>
  <si>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</si>
  <si>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</si>
  <si>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</si>
  <si>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</si>
  <si>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</si>
  <si>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</si>
  <si>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</si>
  <si>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</si>
  <si>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</si>
  <si>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</si>
  <si>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</si>
  <si>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</si>
  <si>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</si>
  <si>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</si>
  <si>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</si>
  <si>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</si>
  <si>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</si>
  <si>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</si>
  <si>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</si>
  <si>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</si>
  <si>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</si>
  <si>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</si>
  <si>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</si>
  <si>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</si>
  <si>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</si>
  <si>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</si>
  <si>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</si>
  <si>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</si>
  <si>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</si>
  <si>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</si>
  <si>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</si>
  <si>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</si>
  <si>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</si>
  <si>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</si>
  <si>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</si>
  <si>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</si>
  <si>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</si>
  <si>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</si>
  <si>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</si>
  <si>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</si>
  <si>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</si>
  <si>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</si>
  <si>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</si>
  <si>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</si>
  <si>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</si>
  <si>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</si>
  <si>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</si>
  <si>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</si>
  <si>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</si>
  <si>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</si>
  <si>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</si>
  <si>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</si>
  <si>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</si>
  <si>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</si>
  <si>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</si>
  <si>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</si>
  <si>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</si>
  <si>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</si>
  <si>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</si>
  <si>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</si>
  <si>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</si>
  <si>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</si>
  <si>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</si>
  <si>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</si>
  <si>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</si>
  <si>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</si>
  <si>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</si>
  <si>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</si>
  <si>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</si>
  <si>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</si>
  <si>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</si>
  <si>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</si>
  <si>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</si>
  <si>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</si>
  <si>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</si>
  <si>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</si>
  <si>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</si>
  <si>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</si>
  <si>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</si>
  <si>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</si>
  <si>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</si>
  <si>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</si>
  <si>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</si>
  <si>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</si>
  <si>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</si>
  <si>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</si>
  <si>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</si>
  <si>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</si>
  <si>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</si>
  <si>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</si>
  <si>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</si>
  <si>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</si>
  <si>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</si>
  <si>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</si>
  <si>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</si>
  <si>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</si>
  <si>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</si>
  <si>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</si>
  <si>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</si>
  <si>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</si>
  <si>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</si>
  <si>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</si>
  <si>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</si>
  <si>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</si>
  <si>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</si>
  <si>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</si>
  <si>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</si>
  <si>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</si>
  <si>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</si>
  <si>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</si>
  <si>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</si>
  <si>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</si>
  <si>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</si>
  <si>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</si>
  <si>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</si>
  <si>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</si>
  <si>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</si>
  <si>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</si>
  <si>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</si>
  <si>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</si>
  <si>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</si>
  <si>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</si>
  <si>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</si>
  <si>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</si>
  <si>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</si>
  <si>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</si>
  <si>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</si>
  <si>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</si>
  <si>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</si>
  <si>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</si>
  <si>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</si>
  <si>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</si>
  <si>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</si>
  <si>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</si>
  <si>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</si>
  <si>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</si>
  <si>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</si>
  <si>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</si>
  <si>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</si>
  <si>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</si>
  <si>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</si>
  <si>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</si>
  <si>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</si>
  <si>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</si>
  <si>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</si>
  <si>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</si>
  <si>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</si>
  <si>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</si>
  <si>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</si>
  <si>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</si>
  <si>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</si>
  <si>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</si>
  <si>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</si>
  <si>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</si>
  <si>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</si>
  <si>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</si>
  <si>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</si>
  <si>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</si>
  <si>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</si>
  <si>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</si>
  <si>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</si>
  <si>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</si>
  <si>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</si>
  <si>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</si>
  <si>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</si>
  <si>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</si>
  <si>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</si>
  <si>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</si>
  <si>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</si>
  <si>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</si>
  <si>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</si>
  <si>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</si>
  <si>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</si>
  <si>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</si>
  <si>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</si>
  <si>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</si>
  <si>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</si>
  <si>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Calibration report Of Bhatagaon, RAIPUR</t>
  </si>
  <si>
    <t>an</t>
  </si>
  <si>
    <t>01/11/2025 00:15</t>
  </si>
  <si>
    <t>01/11/2025 00:30</t>
  </si>
  <si>
    <t>01/11/2025 00:45</t>
  </si>
  <si>
    <t>01/11/2025 01:00</t>
  </si>
  <si>
    <t>01/11/2025 01:15</t>
  </si>
  <si>
    <t>01/11/2025 01:30</t>
  </si>
  <si>
    <t>01/11/2025 01:45</t>
  </si>
  <si>
    <t>01/11/2025 02:00</t>
  </si>
  <si>
    <t>01/11/2025 02:15</t>
  </si>
  <si>
    <t>01/11/2025 02:30</t>
  </si>
  <si>
    <t>01/11/2025 02:45</t>
  </si>
  <si>
    <t>01/11/2025 03:00</t>
  </si>
  <si>
    <t>01/11/2025 03:15</t>
  </si>
  <si>
    <t>01/11/2025 03:30</t>
  </si>
  <si>
    <t>01/11/2025 03:45</t>
  </si>
  <si>
    <t>01/11/2025 04:00</t>
  </si>
  <si>
    <t>01/11/2025 04:15</t>
  </si>
  <si>
    <t>01/11/2025 04:30</t>
  </si>
  <si>
    <t>01/11/2025 04:45</t>
  </si>
  <si>
    <t>01/11/2025 05:00</t>
  </si>
  <si>
    <t>01/11/2025 05:15</t>
  </si>
  <si>
    <t>01/11/2025 05:30</t>
  </si>
  <si>
    <t>01/11/2025 05:45</t>
  </si>
  <si>
    <t>01/11/2025 06:00</t>
  </si>
  <si>
    <t>01/11/2025 06:15</t>
  </si>
  <si>
    <t>01/11/2025 06:30</t>
  </si>
  <si>
    <t>01/11/2025 06:45</t>
  </si>
  <si>
    <t>01/11/2025 07:00</t>
  </si>
  <si>
    <t>01/11/2025 07:15</t>
  </si>
  <si>
    <t>01/11/2025 07:30</t>
  </si>
  <si>
    <t>01/11/2025 07:45</t>
  </si>
  <si>
    <t>01/11/2025 08:00</t>
  </si>
  <si>
    <t>01/11/2025 08:15</t>
  </si>
  <si>
    <t>01/11/2025 08:30</t>
  </si>
  <si>
    <t>01/11/2025 08:45</t>
  </si>
  <si>
    <t>01/11/2025 09:00</t>
  </si>
  <si>
    <t>01/11/2025 09:15</t>
  </si>
  <si>
    <t>01/11/2025 09:30</t>
  </si>
  <si>
    <t>01/11/2025 09:45</t>
  </si>
  <si>
    <t>01/11/2025 10:00</t>
  </si>
  <si>
    <t>01/11/2025 10:15</t>
  </si>
  <si>
    <t>01/11/2025 10:30</t>
  </si>
  <si>
    <t>01/11/2025 10:45</t>
  </si>
  <si>
    <t>01/11/2025 11:00</t>
  </si>
  <si>
    <t>01/11/2025 11:15</t>
  </si>
  <si>
    <t>01/11/2025 11:30</t>
  </si>
  <si>
    <t>01/11/2025 11:45</t>
  </si>
  <si>
    <t>01/11/2025 12:00</t>
  </si>
  <si>
    <t>01/11/2025 12:15</t>
  </si>
  <si>
    <t>01/11/2025 12:30</t>
  </si>
  <si>
    <t>01/11/2025 12:45</t>
  </si>
  <si>
    <t>01/11/2025 13:00</t>
  </si>
  <si>
    <t>01/11/2025 13:15</t>
  </si>
  <si>
    <t>01/11/2025 13:30</t>
  </si>
  <si>
    <t>01/11/2025 13:45</t>
  </si>
  <si>
    <t>01/11/2025 14:00</t>
  </si>
  <si>
    <t>01/11/2025 14:15</t>
  </si>
  <si>
    <t>01/11/2025 14:30</t>
  </si>
  <si>
    <t>01/11/2025 14:45</t>
  </si>
  <si>
    <t>01/11/2025 15:00</t>
  </si>
  <si>
    <t>01/11/2025 15:15</t>
  </si>
  <si>
    <t>01/11/2025 15:30</t>
  </si>
  <si>
    <t>01/11/2025 15:45</t>
  </si>
  <si>
    <t>01/11/2025 16:00</t>
  </si>
  <si>
    <t>01/11/2025 16:15</t>
  </si>
  <si>
    <t>01/11/2025 16:30</t>
  </si>
  <si>
    <t>01/11/2025 16:45</t>
  </si>
  <si>
    <t>01/11/2025 17:00</t>
  </si>
  <si>
    <t>01/11/2025 17:15</t>
  </si>
  <si>
    <t>01/11/2025 17:30</t>
  </si>
  <si>
    <t>01/11/2025 17:45</t>
  </si>
  <si>
    <t>01/11/2025 18:00</t>
  </si>
  <si>
    <t>01/11/2025 18:15</t>
  </si>
  <si>
    <t>01/11/2025 18:30</t>
  </si>
  <si>
    <t>01/11/2025 18:45</t>
  </si>
  <si>
    <t>01/11/2025 19:00</t>
  </si>
  <si>
    <t>01/11/2025 19:15</t>
  </si>
  <si>
    <t>01/11/2025 19:30</t>
  </si>
  <si>
    <t>01/11/2025 19:45</t>
  </si>
  <si>
    <t>01/11/2025 20:00</t>
  </si>
  <si>
    <t>01/11/2025 20:15</t>
  </si>
  <si>
    <t>01/11/2025 20:30</t>
  </si>
  <si>
    <t>01/11/2025 20:45</t>
  </si>
  <si>
    <t>01/11/2025 21:00</t>
  </si>
  <si>
    <t>01/11/2025 21:15</t>
  </si>
  <si>
    <t>01/11/2025 21:30</t>
  </si>
  <si>
    <t>01/11/2025 21:45</t>
  </si>
  <si>
    <t>01/11/2025 22:00</t>
  </si>
  <si>
    <t>01/11/2025 22:15</t>
  </si>
  <si>
    <t>01/11/2025 22:30</t>
  </si>
  <si>
    <t>01/11/2025 22:45</t>
  </si>
  <si>
    <t>01/11/2025 23:00</t>
  </si>
  <si>
    <t>01/11/2025 23:15</t>
  </si>
  <si>
    <t>01/11/2025 23:30</t>
  </si>
  <si>
    <t>01/11/2025 23:45</t>
  </si>
  <si>
    <t>01/11/2025 24:00</t>
  </si>
  <si>
    <t>02/11/2025 00:15</t>
  </si>
  <si>
    <t>02/11/2025 00:30</t>
  </si>
  <si>
    <t>02/11/2025 00:45</t>
  </si>
  <si>
    <t>02/11/2025 01:00</t>
  </si>
  <si>
    <t>02/11/2025 01:15</t>
  </si>
  <si>
    <t>02/11/2025 01:30</t>
  </si>
  <si>
    <t>02/11/2025 01:45</t>
  </si>
  <si>
    <t>02/11/2025 02:00</t>
  </si>
  <si>
    <t>02/11/2025 02:15</t>
  </si>
  <si>
    <t>02/11/2025 02:30</t>
  </si>
  <si>
    <t>02/11/2025 02:45</t>
  </si>
  <si>
    <t>02/11/2025 03:00</t>
  </si>
  <si>
    <t>02/11/2025 03:15</t>
  </si>
  <si>
    <t>02/11/2025 03:30</t>
  </si>
  <si>
    <t>02/11/2025 03:45</t>
  </si>
  <si>
    <t>02/11/2025 04:00</t>
  </si>
  <si>
    <t>02/11/2025 04:15</t>
  </si>
  <si>
    <t>02/11/2025 04:30</t>
  </si>
  <si>
    <t>02/11/2025 04:45</t>
  </si>
  <si>
    <t>02/11/2025 05:00</t>
  </si>
  <si>
    <t>02/11/2025 05:15</t>
  </si>
  <si>
    <t>02/11/2025 05:30</t>
  </si>
  <si>
    <t>02/11/2025 05:45</t>
  </si>
  <si>
    <t>02/11/2025 06:00</t>
  </si>
  <si>
    <t>02/11/2025 06:15</t>
  </si>
  <si>
    <t>02/11/2025 06:30</t>
  </si>
  <si>
    <t>02/11/2025 06:45</t>
  </si>
  <si>
    <t>02/11/2025 07:00</t>
  </si>
  <si>
    <t>02/11/2025 07:15</t>
  </si>
  <si>
    <t>02/11/2025 07:30</t>
  </si>
  <si>
    <t>02/11/2025 07:45</t>
  </si>
  <si>
    <t>02/11/2025 08:00</t>
  </si>
  <si>
    <t>02/11/2025 08:15</t>
  </si>
  <si>
    <t>02/11/2025 08:30</t>
  </si>
  <si>
    <t>02/11/2025 08:45</t>
  </si>
  <si>
    <t>02/11/2025 09:00</t>
  </si>
  <si>
    <t>02/11/2025 09:15</t>
  </si>
  <si>
    <t>02/11/2025 09:30</t>
  </si>
  <si>
    <t>02/11/2025 09:45</t>
  </si>
  <si>
    <t>02/11/2025 10:00</t>
  </si>
  <si>
    <t>02/11/2025 10:15</t>
  </si>
  <si>
    <t>02/11/2025 10:30</t>
  </si>
  <si>
    <t>02/11/2025 10:45</t>
  </si>
  <si>
    <t>02/11/2025 11:00</t>
  </si>
  <si>
    <t>02/11/2025 11:15</t>
  </si>
  <si>
    <t>02/11/2025 11:30</t>
  </si>
  <si>
    <t>02/11/2025 11:45</t>
  </si>
  <si>
    <t>02/11/2025 12:00</t>
  </si>
  <si>
    <t>02/11/2025 12:15</t>
  </si>
  <si>
    <t>02/11/2025 12:30</t>
  </si>
  <si>
    <t>02/11/2025 12:45</t>
  </si>
  <si>
    <t>02/11/2025 13:00</t>
  </si>
  <si>
    <t>02/11/2025 13:15</t>
  </si>
  <si>
    <t>02/11/2025 13:30</t>
  </si>
  <si>
    <t>02/11/2025 13:45</t>
  </si>
  <si>
    <t>02/11/2025 14:00</t>
  </si>
  <si>
    <t>02/11/2025 14:15</t>
  </si>
  <si>
    <t>02/11/2025 14:30</t>
  </si>
  <si>
    <t>02/11/2025 14:45</t>
  </si>
  <si>
    <t>02/11/2025 15:00</t>
  </si>
  <si>
    <t>02/11/2025 15:15</t>
  </si>
  <si>
    <t>02/11/2025 15:30</t>
  </si>
  <si>
    <t>02/11/2025 15:45</t>
  </si>
  <si>
    <t>02/11/2025 16:00</t>
  </si>
  <si>
    <t>02/11/2025 16:15</t>
  </si>
  <si>
    <t>02/11/2025 16:30</t>
  </si>
  <si>
    <t>02/11/2025 16:45</t>
  </si>
  <si>
    <t>02/11/2025 17:00</t>
  </si>
  <si>
    <t>02/11/2025 17:15</t>
  </si>
  <si>
    <t>02/11/2025 17:30</t>
  </si>
  <si>
    <t>02/11/2025 17:45</t>
  </si>
  <si>
    <t>02/11/2025 18:00</t>
  </si>
  <si>
    <t>02/11/2025 18:15</t>
  </si>
  <si>
    <t>02/11/2025 18:30</t>
  </si>
  <si>
    <t>02/11/2025 18:45</t>
  </si>
  <si>
    <t>02/11/2025 19:00</t>
  </si>
  <si>
    <t>02/11/2025 19:15</t>
  </si>
  <si>
    <t>02/11/2025 19:30</t>
  </si>
  <si>
    <t>02/11/2025 19:45</t>
  </si>
  <si>
    <t>02/11/2025 20:00</t>
  </si>
  <si>
    <t>02/11/2025 20:15</t>
  </si>
  <si>
    <t>02/11/2025 20:30</t>
  </si>
  <si>
    <t>02/11/2025 20:45</t>
  </si>
  <si>
    <t>02/11/2025 21:00</t>
  </si>
  <si>
    <t>02/11/2025 21:15</t>
  </si>
  <si>
    <t>02/11/2025 21:30</t>
  </si>
  <si>
    <t>02/11/2025 21:45</t>
  </si>
  <si>
    <t>02/11/2025 22:00</t>
  </si>
  <si>
    <t>02/11/2025 22:15</t>
  </si>
  <si>
    <t>02/11/2025 22:30</t>
  </si>
  <si>
    <t>02/11/2025 22:45</t>
  </si>
  <si>
    <t>02/11/2025 23:00</t>
  </si>
  <si>
    <t>02/11/2025 23:15</t>
  </si>
  <si>
    <t>02/11/2025 23:30</t>
  </si>
  <si>
    <t>02/11/2025 23:45</t>
  </si>
  <si>
    <t>02/11/2025 24:00</t>
  </si>
  <si>
    <t>03/11/2025 00:15</t>
  </si>
  <si>
    <t>03/11/2025 00:30</t>
  </si>
  <si>
    <t>03/11/2025 00:45</t>
  </si>
  <si>
    <t>03/11/2025 01:00</t>
  </si>
  <si>
    <t>03/11/2025 01:15</t>
  </si>
  <si>
    <t>03/11/2025 01:30</t>
  </si>
  <si>
    <t>03/11/2025 01:45</t>
  </si>
  <si>
    <t>03/11/2025 02:00</t>
  </si>
  <si>
    <t>03/11/2025 02:15</t>
  </si>
  <si>
    <t>03/11/2025 02:30</t>
  </si>
  <si>
    <t>03/11/2025 02:45</t>
  </si>
  <si>
    <t>03/11/2025 03:00</t>
  </si>
  <si>
    <t>03/11/2025 03:15</t>
  </si>
  <si>
    <t>03/11/2025 03:30</t>
  </si>
  <si>
    <t>03/11/2025 03:45</t>
  </si>
  <si>
    <t>03/11/2025 04:00</t>
  </si>
  <si>
    <t>03/11/2025 04:15</t>
  </si>
  <si>
    <t>03/11/2025 04:30</t>
  </si>
  <si>
    <t>03/11/2025 04:45</t>
  </si>
  <si>
    <t>03/11/2025 05:00</t>
  </si>
  <si>
    <t>03/11/2025 05:15</t>
  </si>
  <si>
    <t>03/11/2025 05:30</t>
  </si>
  <si>
    <t>03/11/2025 05:45</t>
  </si>
  <si>
    <t>03/11/2025 06:00</t>
  </si>
  <si>
    <t>03/11/2025 06:15</t>
  </si>
  <si>
    <t>03/11/2025 06:30</t>
  </si>
  <si>
    <t>03/11/2025 06:45</t>
  </si>
  <si>
    <t>03/11/2025 07:00</t>
  </si>
  <si>
    <t>03/11/2025 07:15</t>
  </si>
  <si>
    <t>03/11/2025 07:30</t>
  </si>
  <si>
    <t>03/11/2025 07:45</t>
  </si>
  <si>
    <t>03/11/2025 08:00</t>
  </si>
  <si>
    <t>03/11/2025 08:15</t>
  </si>
  <si>
    <t>03/11/2025 08:30</t>
  </si>
  <si>
    <t>03/11/2025 08:45</t>
  </si>
  <si>
    <t>03/11/2025 09:00</t>
  </si>
  <si>
    <t>03/11/2025 09:15</t>
  </si>
  <si>
    <t>03/11/2025 09:30</t>
  </si>
  <si>
    <t>03/11/2025 09:45</t>
  </si>
  <si>
    <t>03/11/2025 10:00</t>
  </si>
  <si>
    <t>03/11/2025 10:15</t>
  </si>
  <si>
    <t>03/11/2025 10:30</t>
  </si>
  <si>
    <t>03/11/2025 10:45</t>
  </si>
  <si>
    <t>03/11/2025 11:00</t>
  </si>
  <si>
    <t>03/11/2025 11:15</t>
  </si>
  <si>
    <t>03/11/2025 11:30</t>
  </si>
  <si>
    <t>03/11/2025 11:45</t>
  </si>
  <si>
    <t>03/11/2025 12:00</t>
  </si>
  <si>
    <t>03/11/2025 12:15</t>
  </si>
  <si>
    <t>03/11/2025 12:30</t>
  </si>
  <si>
    <t>03/11/2025 12:45</t>
  </si>
  <si>
    <t>03/11/2025 13:00</t>
  </si>
  <si>
    <t>03/11/2025 13:15</t>
  </si>
  <si>
    <t>03/11/2025 13:30</t>
  </si>
  <si>
    <t>03/11/2025 13:45</t>
  </si>
  <si>
    <t>03/11/2025 14:00</t>
  </si>
  <si>
    <t>03/11/2025 14:15</t>
  </si>
  <si>
    <t>03/11/2025 14:30</t>
  </si>
  <si>
    <t>03/11/2025 14:45</t>
  </si>
  <si>
    <t>03/11/2025 15:00</t>
  </si>
  <si>
    <t>03/11/2025 15:15</t>
  </si>
  <si>
    <t>03/11/2025 15:30</t>
  </si>
  <si>
    <t>03/11/2025 15:45</t>
  </si>
  <si>
    <t>03/11/2025 16:00</t>
  </si>
  <si>
    <t>03/11/2025 16:15</t>
  </si>
  <si>
    <t>03/11/2025 16:30</t>
  </si>
  <si>
    <t>03/11/2025 16:45</t>
  </si>
  <si>
    <t>03/11/2025 17:00</t>
  </si>
  <si>
    <t>03/11/2025 17:15</t>
  </si>
  <si>
    <t>03/11/2025 17:30</t>
  </si>
  <si>
    <t>03/11/2025 17:45</t>
  </si>
  <si>
    <t>03/11/2025 18:00</t>
  </si>
  <si>
    <t>03/11/2025 18:15</t>
  </si>
  <si>
    <t>03/11/2025 18:30</t>
  </si>
  <si>
    <t>03/11/2025 18:45</t>
  </si>
  <si>
    <t>03/11/2025 19:00</t>
  </si>
  <si>
    <t>03/11/2025 19:15</t>
  </si>
  <si>
    <t>03/11/2025 19:30</t>
  </si>
  <si>
    <t>03/11/2025 19:45</t>
  </si>
  <si>
    <t>03/11/2025 20:00</t>
  </si>
  <si>
    <t>03/11/2025 20:15</t>
  </si>
  <si>
    <t>03/11/2025 20:30</t>
  </si>
  <si>
    <t>03/11/2025 20:45</t>
  </si>
  <si>
    <t>03/11/2025 21:00</t>
  </si>
  <si>
    <t>03/11/2025 21:15</t>
  </si>
  <si>
    <t>03/11/2025 21:30</t>
  </si>
  <si>
    <t>03/11/2025 21:45</t>
  </si>
  <si>
    <t>03/11/2025 22:00</t>
  </si>
  <si>
    <t>03/11/2025 22:15</t>
  </si>
  <si>
    <t>03/11/2025 22:30</t>
  </si>
  <si>
    <t>03/11/2025 22:45</t>
  </si>
  <si>
    <t>03/11/2025 23:00</t>
  </si>
  <si>
    <t>03/11/2025 23:15</t>
  </si>
  <si>
    <t>03/11/2025 23:30</t>
  </si>
  <si>
    <t>03/11/2025 23:45</t>
  </si>
  <si>
    <t>03/11/2025 24:00</t>
  </si>
  <si>
    <t>04/11/2025 00:15</t>
  </si>
  <si>
    <t>04/11/2025 00:30</t>
  </si>
  <si>
    <t>04/11/2025 00:45</t>
  </si>
  <si>
    <t>04/11/2025 01:00</t>
  </si>
  <si>
    <t>04/11/2025 01:15</t>
  </si>
  <si>
    <t>04/11/2025 01:30</t>
  </si>
  <si>
    <t>04/11/2025 01:45</t>
  </si>
  <si>
    <t>04/11/2025 02:00</t>
  </si>
  <si>
    <t>04/11/2025 02:15</t>
  </si>
  <si>
    <t>04/11/2025 02:30</t>
  </si>
  <si>
    <t>04/11/2025 02:45</t>
  </si>
  <si>
    <t>04/11/2025 03:00</t>
  </si>
  <si>
    <t>04/11/2025 03:15</t>
  </si>
  <si>
    <t>04/11/2025 03:30</t>
  </si>
  <si>
    <t>04/11/2025 03:45</t>
  </si>
  <si>
    <t>04/11/2025 04:00</t>
  </si>
  <si>
    <t>04/11/2025 04:15</t>
  </si>
  <si>
    <t>04/11/2025 04:30</t>
  </si>
  <si>
    <t>04/11/2025 04:45</t>
  </si>
  <si>
    <t>04/11/2025 05:00</t>
  </si>
  <si>
    <t>04/11/2025 05:15</t>
  </si>
  <si>
    <t>04/11/2025 05:30</t>
  </si>
  <si>
    <t>04/11/2025 05:45</t>
  </si>
  <si>
    <t>04/11/2025 06:00</t>
  </si>
  <si>
    <t>04/11/2025 06:15</t>
  </si>
  <si>
    <t>04/11/2025 06:30</t>
  </si>
  <si>
    <t>04/11/2025 06:45</t>
  </si>
  <si>
    <t>04/11/2025 07:00</t>
  </si>
  <si>
    <t>04/11/2025 07:15</t>
  </si>
  <si>
    <t>04/11/2025 07:30</t>
  </si>
  <si>
    <t>04/11/2025 07:45</t>
  </si>
  <si>
    <t>04/11/2025 08:00</t>
  </si>
  <si>
    <t>04/11/2025 08:15</t>
  </si>
  <si>
    <t>04/11/2025 08:30</t>
  </si>
  <si>
    <t>04/11/2025 08:45</t>
  </si>
  <si>
    <t>04/11/2025 09:00</t>
  </si>
  <si>
    <t>04/11/2025 09:15</t>
  </si>
  <si>
    <t>04/11/2025 09:30</t>
  </si>
  <si>
    <t>04/11/2025 09:45</t>
  </si>
  <si>
    <t>04/11/2025 10:00</t>
  </si>
  <si>
    <t>04/11/2025 10:15</t>
  </si>
  <si>
    <t>04/11/2025 10:30</t>
  </si>
  <si>
    <t>04/11/2025 10:45</t>
  </si>
  <si>
    <t>04/11/2025 11:00</t>
  </si>
  <si>
    <t>04/11/2025 11:15</t>
  </si>
  <si>
    <t>04/11/2025 11:30</t>
  </si>
  <si>
    <t>04/11/2025 11:45</t>
  </si>
  <si>
    <t>04/11/2025 12:00</t>
  </si>
  <si>
    <t>04/11/2025 12:15</t>
  </si>
  <si>
    <t>04/11/2025 12:30</t>
  </si>
  <si>
    <t>04/11/2025 12:45</t>
  </si>
  <si>
    <t>04/11/2025 13:00</t>
  </si>
  <si>
    <t>04/11/2025 13:15</t>
  </si>
  <si>
    <t>04/11/2025 13:30</t>
  </si>
  <si>
    <t>04/11/2025 13:45</t>
  </si>
  <si>
    <t>04/11/2025 14:00</t>
  </si>
  <si>
    <t>04/11/2025 14:15</t>
  </si>
  <si>
    <t>04/11/2025 14:30</t>
  </si>
  <si>
    <t>04/11/2025 14:45</t>
  </si>
  <si>
    <t>04/11/2025 15:00</t>
  </si>
  <si>
    <t>04/11/2025 15:15</t>
  </si>
  <si>
    <t>04/11/2025 15:30</t>
  </si>
  <si>
    <t>04/11/2025 15:45</t>
  </si>
  <si>
    <t>04/11/2025 16:00</t>
  </si>
  <si>
    <t>04/11/2025 16:15</t>
  </si>
  <si>
    <t>04/11/2025 16:30</t>
  </si>
  <si>
    <t>04/11/2025 16:45</t>
  </si>
  <si>
    <t>04/11/2025 17:00</t>
  </si>
  <si>
    <t>04/11/2025 17:15</t>
  </si>
  <si>
    <t>04/11/2025 17:30</t>
  </si>
  <si>
    <t>04/11/2025 17:45</t>
  </si>
  <si>
    <t>04/11/2025 18:00</t>
  </si>
  <si>
    <t>04/11/2025 18:15</t>
  </si>
  <si>
    <t>04/11/2025 18:30</t>
  </si>
  <si>
    <t>04/11/2025 18:45</t>
  </si>
  <si>
    <t>04/11/2025 19:00</t>
  </si>
  <si>
    <t>04/11/2025 19:15</t>
  </si>
  <si>
    <t>04/11/2025 19:30</t>
  </si>
  <si>
    <t>04/11/2025 19:45</t>
  </si>
  <si>
    <t>04/11/2025 20:00</t>
  </si>
  <si>
    <t>04/11/2025 20:15</t>
  </si>
  <si>
    <t>04/11/2025 20:30</t>
  </si>
  <si>
    <t>04/11/2025 20:45</t>
  </si>
  <si>
    <t>04/11/2025 21:00</t>
  </si>
  <si>
    <t>04/11/2025 21:15</t>
  </si>
  <si>
    <t>04/11/2025 21:30</t>
  </si>
  <si>
    <t>04/11/2025 21:45</t>
  </si>
  <si>
    <t>04/11/2025 22:00</t>
  </si>
  <si>
    <t>04/11/2025 22:15</t>
  </si>
  <si>
    <t>04/11/2025 22:30</t>
  </si>
  <si>
    <t>04/11/2025 22:45</t>
  </si>
  <si>
    <t>04/11/2025 23:00</t>
  </si>
  <si>
    <t>04/11/2025 23:15</t>
  </si>
  <si>
    <t>04/11/2025 23:30</t>
  </si>
  <si>
    <t>04/11/2025 23:45</t>
  </si>
  <si>
    <t>04/11/2025 24:00</t>
  </si>
  <si>
    <t>05/11/2025 00:15</t>
  </si>
  <si>
    <t>05/11/2025 00:30</t>
  </si>
  <si>
    <t>05/11/2025 00:45</t>
  </si>
  <si>
    <t>05/11/2025 01:00</t>
  </si>
  <si>
    <t>05/11/2025 01:15</t>
  </si>
  <si>
    <t>05/11/2025 01:30</t>
  </si>
  <si>
    <t>05/11/2025 01:45</t>
  </si>
  <si>
    <t>05/11/2025 02:00</t>
  </si>
  <si>
    <t>05/11/2025 02:15</t>
  </si>
  <si>
    <t>05/11/2025 02:30</t>
  </si>
  <si>
    <t>05/11/2025 02:45</t>
  </si>
  <si>
    <t>05/11/2025 03:00</t>
  </si>
  <si>
    <t>05/11/2025 03:15</t>
  </si>
  <si>
    <t>05/11/2025 03:30</t>
  </si>
  <si>
    <t>05/11/2025 03:45</t>
  </si>
  <si>
    <t>05/11/2025 04:00</t>
  </si>
  <si>
    <t>05/11/2025 04:15</t>
  </si>
  <si>
    <t>05/11/2025 04:30</t>
  </si>
  <si>
    <t>05/11/2025 04:45</t>
  </si>
  <si>
    <t>05/11/2025 05:00</t>
  </si>
  <si>
    <t>05/11/2025 05:15</t>
  </si>
  <si>
    <t>05/11/2025 05:30</t>
  </si>
  <si>
    <t>05/11/2025 05:45</t>
  </si>
  <si>
    <t>05/11/2025 06:00</t>
  </si>
  <si>
    <t>05/11/2025 06:15</t>
  </si>
  <si>
    <t>05/11/2025 06:30</t>
  </si>
  <si>
    <t>05/11/2025 06:45</t>
  </si>
  <si>
    <t>05/11/2025 07:00</t>
  </si>
  <si>
    <t>05/11/2025 07:15</t>
  </si>
  <si>
    <t>05/11/2025 07:30</t>
  </si>
  <si>
    <t>05/11/2025 07:45</t>
  </si>
  <si>
    <t>05/11/2025 08:00</t>
  </si>
  <si>
    <t>05/11/2025 08:15</t>
  </si>
  <si>
    <t>05/11/2025 08:30</t>
  </si>
  <si>
    <t>05/11/2025 08:45</t>
  </si>
  <si>
    <t>05/11/2025 09:00</t>
  </si>
  <si>
    <t>05/11/2025 09:15</t>
  </si>
  <si>
    <t>05/11/2025 09:30</t>
  </si>
  <si>
    <t>05/11/2025 09:45</t>
  </si>
  <si>
    <t>05/11/2025 10:00</t>
  </si>
  <si>
    <t>05/11/2025 10:15</t>
  </si>
  <si>
    <t>05/11/2025 10:30</t>
  </si>
  <si>
    <t>05/11/2025 10:45</t>
  </si>
  <si>
    <t>05/11/2025 11:00</t>
  </si>
  <si>
    <t>05/11/2025 11:15</t>
  </si>
  <si>
    <t>05/11/2025 11:30</t>
  </si>
  <si>
    <t>05/11/2025 11:45</t>
  </si>
  <si>
    <t>05/11/2025 12:00</t>
  </si>
  <si>
    <t>05/11/2025 12:15</t>
  </si>
  <si>
    <t>05/11/2025 12:30</t>
  </si>
  <si>
    <t>05/11/2025 12:45</t>
  </si>
  <si>
    <t>05/11/2025 13:00</t>
  </si>
  <si>
    <t>05/11/2025 13:15</t>
  </si>
  <si>
    <t>05/11/2025 13:30</t>
  </si>
  <si>
    <t>05/11/2025 13:45</t>
  </si>
  <si>
    <t>05/11/2025 14:00</t>
  </si>
  <si>
    <t>05/11/2025 14:15</t>
  </si>
  <si>
    <t>05/11/2025 14:30</t>
  </si>
  <si>
    <t>05/11/2025 14:45</t>
  </si>
  <si>
    <t>05/11/2025 15:00</t>
  </si>
  <si>
    <t>05/11/2025 15:15</t>
  </si>
  <si>
    <t>05/11/2025 15:30</t>
  </si>
  <si>
    <t>05/11/2025 15:45</t>
  </si>
  <si>
    <t>05/11/2025 16:00</t>
  </si>
  <si>
    <t>05/11/2025 16:15</t>
  </si>
  <si>
    <t>05/11/2025 16:30</t>
  </si>
  <si>
    <t>05/11/2025 16:45</t>
  </si>
  <si>
    <t>05/11/2025 17:00</t>
  </si>
  <si>
    <t>05/11/2025 17:15</t>
  </si>
  <si>
    <t>05/11/2025 17:30</t>
  </si>
  <si>
    <t>05/11/2025 17:45</t>
  </si>
  <si>
    <t>05/11/2025 18:00</t>
  </si>
  <si>
    <t>05/11/2025 18:15</t>
  </si>
  <si>
    <t>05/11/2025 18:30</t>
  </si>
  <si>
    <t>05/11/2025 18:45</t>
  </si>
  <si>
    <t>05/11/2025 19:00</t>
  </si>
  <si>
    <t>05/11/2025 19:15</t>
  </si>
  <si>
    <t>05/11/2025 19:30</t>
  </si>
  <si>
    <t>05/11/2025 19:45</t>
  </si>
  <si>
    <t>05/11/2025 20:00</t>
  </si>
  <si>
    <t>05/11/2025 20:15</t>
  </si>
  <si>
    <t>05/11/2025 20:30</t>
  </si>
  <si>
    <t>05/11/2025 20:45</t>
  </si>
  <si>
    <t>05/11/2025 21:00</t>
  </si>
  <si>
    <t>05/11/2025 21:15</t>
  </si>
  <si>
    <t>05/11/2025 21:30</t>
  </si>
  <si>
    <t>05/11/2025 21:45</t>
  </si>
  <si>
    <t>05/11/2025 22:00</t>
  </si>
  <si>
    <t>05/11/2025 22:15</t>
  </si>
  <si>
    <t>05/11/2025 22:30</t>
  </si>
  <si>
    <t>05/11/2025 22:45</t>
  </si>
  <si>
    <t>05/11/2025 23:00</t>
  </si>
  <si>
    <t>05/11/2025 23:15</t>
  </si>
  <si>
    <t>05/11/2025 23:30</t>
  </si>
  <si>
    <t>05/11/2025 23:45</t>
  </si>
  <si>
    <t>05/11/2025 24:00</t>
  </si>
  <si>
    <t>06/11/2025 00:15</t>
  </si>
  <si>
    <t>06/11/2025 00:30</t>
  </si>
  <si>
    <t>06/11/2025 00:45</t>
  </si>
  <si>
    <t>06/11/2025 01:00</t>
  </si>
  <si>
    <t>06/11/2025 01:15</t>
  </si>
  <si>
    <t>06/11/2025 01:30</t>
  </si>
  <si>
    <t>06/11/2025 01:45</t>
  </si>
  <si>
    <t>06/11/2025 02:00</t>
  </si>
  <si>
    <t>06/11/2025 02:15</t>
  </si>
  <si>
    <t>06/11/2025 02:30</t>
  </si>
  <si>
    <t>06/11/2025 02:45</t>
  </si>
  <si>
    <t>06/11/2025 03:00</t>
  </si>
  <si>
    <t>06/11/2025 03:15</t>
  </si>
  <si>
    <t>06/11/2025 03:30</t>
  </si>
  <si>
    <t>06/11/2025 03:45</t>
  </si>
  <si>
    <t>06/11/2025 04:00</t>
  </si>
  <si>
    <t>06/11/2025 04:15</t>
  </si>
  <si>
    <t>06/11/2025 04:30</t>
  </si>
  <si>
    <t>06/11/2025 04:45</t>
  </si>
  <si>
    <t>06/11/2025 05:00</t>
  </si>
  <si>
    <t>06/11/2025 05:15</t>
  </si>
  <si>
    <t>06/11/2025 05:30</t>
  </si>
  <si>
    <t>06/11/2025 05:45</t>
  </si>
  <si>
    <t>06/11/2025 06:00</t>
  </si>
  <si>
    <t>06/11/2025 06:15</t>
  </si>
  <si>
    <t>06/11/2025 06:30</t>
  </si>
  <si>
    <t>06/11/2025 06:45</t>
  </si>
  <si>
    <t>06/11/2025 07:00</t>
  </si>
  <si>
    <t>06/11/2025 07:15</t>
  </si>
  <si>
    <t>06/11/2025 07:30</t>
  </si>
  <si>
    <t>06/11/2025 07:45</t>
  </si>
  <si>
    <t>06/11/2025 08:00</t>
  </si>
  <si>
    <t>06/11/2025 08:15</t>
  </si>
  <si>
    <t>06/11/2025 08:30</t>
  </si>
  <si>
    <t>06/11/2025 08:45</t>
  </si>
  <si>
    <t>06/11/2025 09:00</t>
  </si>
  <si>
    <t>06/11/2025 09:15</t>
  </si>
  <si>
    <t>06/11/2025 09:30</t>
  </si>
  <si>
    <t>06/11/2025 09:45</t>
  </si>
  <si>
    <t>06/11/2025 10:00</t>
  </si>
  <si>
    <t>06/11/2025 10:15</t>
  </si>
  <si>
    <t>06/11/2025 10:30</t>
  </si>
  <si>
    <t>06/11/2025 10:45</t>
  </si>
  <si>
    <t>06/11/2025 11:00</t>
  </si>
  <si>
    <t>06/11/2025 11:15</t>
  </si>
  <si>
    <t>06/11/2025 11:30</t>
  </si>
  <si>
    <t>06/11/2025 11:45</t>
  </si>
  <si>
    <t>06/11/2025 12:00</t>
  </si>
  <si>
    <t>06/11/2025 12:15</t>
  </si>
  <si>
    <t>06/11/2025 12:30</t>
  </si>
  <si>
    <t>06/11/2025 12:45</t>
  </si>
  <si>
    <t>06/11/2025 13:00</t>
  </si>
  <si>
    <t>06/11/2025 13:15</t>
  </si>
  <si>
    <t>06/11/2025 13:30</t>
  </si>
  <si>
    <t>06/11/2025 13:45</t>
  </si>
  <si>
    <t>06/11/2025 14:00</t>
  </si>
  <si>
    <t>06/11/2025 14:15</t>
  </si>
  <si>
    <t>06/11/2025 14:30</t>
  </si>
  <si>
    <t>06/11/2025 14:45</t>
  </si>
  <si>
    <t>06/11/2025 15:00</t>
  </si>
  <si>
    <t>06/11/2025 15:15</t>
  </si>
  <si>
    <t>06/11/2025 15:30</t>
  </si>
  <si>
    <t>06/11/2025 15:45</t>
  </si>
  <si>
    <t>06/11/2025 16:00</t>
  </si>
  <si>
    <t>06/11/2025 16:15</t>
  </si>
  <si>
    <t>06/11/2025 16:30</t>
  </si>
  <si>
    <t>06/11/2025 16:45</t>
  </si>
  <si>
    <t>06/11/2025 17:00</t>
  </si>
  <si>
    <t>06/11/2025 17:15</t>
  </si>
  <si>
    <t>06/11/2025 17:30</t>
  </si>
  <si>
    <t>06/11/2025 17:45</t>
  </si>
  <si>
    <t>06/11/2025 18:00</t>
  </si>
  <si>
    <t>06/11/2025 18:15</t>
  </si>
  <si>
    <t>06/11/2025 18:30</t>
  </si>
  <si>
    <t>06/11/2025 18:45</t>
  </si>
  <si>
    <t>06/11/2025 19:00</t>
  </si>
  <si>
    <t>06/11/2025 19:15</t>
  </si>
  <si>
    <t>06/11/2025 19:30</t>
  </si>
  <si>
    <t>06/11/2025 19:45</t>
  </si>
  <si>
    <t>06/11/2025 20:00</t>
  </si>
  <si>
    <t>06/11/2025 20:15</t>
  </si>
  <si>
    <t>06/11/2025 20:30</t>
  </si>
  <si>
    <t>06/11/2025 20:45</t>
  </si>
  <si>
    <t>06/11/2025 21:00</t>
  </si>
  <si>
    <t>06/11/2025 21:15</t>
  </si>
  <si>
    <t>06/11/2025 21:30</t>
  </si>
  <si>
    <t>06/11/2025 21:45</t>
  </si>
  <si>
    <t>06/11/2025 22:00</t>
  </si>
  <si>
    <t>06/11/2025 22:15</t>
  </si>
  <si>
    <t>06/11/2025 22:30</t>
  </si>
  <si>
    <t>06/11/2025 22:45</t>
  </si>
  <si>
    <t>06/11/2025 23:00</t>
  </si>
  <si>
    <t>06/11/2025 23:15</t>
  </si>
  <si>
    <t>06/11/2025 23:30</t>
  </si>
  <si>
    <t>06/11/2025 23:45</t>
  </si>
  <si>
    <t>06/11/2025 24:00</t>
  </si>
  <si>
    <t>07/11/2025 00:15</t>
  </si>
  <si>
    <t>07/11/2025 00:30</t>
  </si>
  <si>
    <t>07/11/2025 00:45</t>
  </si>
  <si>
    <t>07/11/2025 01:00</t>
  </si>
  <si>
    <t>07/11/2025 01:15</t>
  </si>
  <si>
    <t>07/11/2025 01:30</t>
  </si>
  <si>
    <t>07/11/2025 01:45</t>
  </si>
  <si>
    <t>07/11/2025 02:00</t>
  </si>
  <si>
    <t>07/11/2025 02:15</t>
  </si>
  <si>
    <t>07/11/2025 02:30</t>
  </si>
  <si>
    <t>07/11/2025 02:45</t>
  </si>
  <si>
    <t>07/11/2025 03:00</t>
  </si>
  <si>
    <t>07/11/2025 03:15</t>
  </si>
  <si>
    <t>07/11/2025 03:30</t>
  </si>
  <si>
    <t>07/11/2025 03:45</t>
  </si>
  <si>
    <t>07/11/2025 04:00</t>
  </si>
  <si>
    <t>07/11/2025 04:15</t>
  </si>
  <si>
    <t>07/11/2025 04:30</t>
  </si>
  <si>
    <t>07/11/2025 04:45</t>
  </si>
  <si>
    <t>07/11/2025 05:00</t>
  </si>
  <si>
    <t>07/11/2025 05:15</t>
  </si>
  <si>
    <t>07/11/2025 05:30</t>
  </si>
  <si>
    <t>07/11/2025 05:45</t>
  </si>
  <si>
    <t>07/11/2025 06:00</t>
  </si>
  <si>
    <t>07/11/2025 06:15</t>
  </si>
  <si>
    <t>07/11/2025 06:30</t>
  </si>
  <si>
    <t>07/11/2025 06:45</t>
  </si>
  <si>
    <t>07/11/2025 07:00</t>
  </si>
  <si>
    <t>07/11/2025 07:15</t>
  </si>
  <si>
    <t>07/11/2025 07:30</t>
  </si>
  <si>
    <t>07/11/2025 07:45</t>
  </si>
  <si>
    <t>07/11/2025 08:00</t>
  </si>
  <si>
    <t>07/11/2025 08:15</t>
  </si>
  <si>
    <t>07/11/2025 08:30</t>
  </si>
  <si>
    <t>07/11/2025 08:45</t>
  </si>
  <si>
    <t>07/11/2025 09:00</t>
  </si>
  <si>
    <t>07/11/2025 09:15</t>
  </si>
  <si>
    <t>07/11/2025 09:30</t>
  </si>
  <si>
    <t>07/11/2025 09:45</t>
  </si>
  <si>
    <t>07/11/2025 10:00</t>
  </si>
  <si>
    <t>07/11/2025 10:15</t>
  </si>
  <si>
    <t>07/11/2025 10:30</t>
  </si>
  <si>
    <t>07/11/2025 10:45</t>
  </si>
  <si>
    <t>07/11/2025 11:00</t>
  </si>
  <si>
    <t>07/11/2025 11:15</t>
  </si>
  <si>
    <t>07/11/2025 11:30</t>
  </si>
  <si>
    <t>07/11/2025 11:45</t>
  </si>
  <si>
    <t>07/11/2025 12:00</t>
  </si>
  <si>
    <t>07/11/2025 12:15</t>
  </si>
  <si>
    <t>07/11/2025 12:30</t>
  </si>
  <si>
    <t>07/11/2025 12:45</t>
  </si>
  <si>
    <t>07/11/2025 13:00</t>
  </si>
  <si>
    <t>07/11/2025 13:15</t>
  </si>
  <si>
    <t>07/11/2025 13:30</t>
  </si>
  <si>
    <t>07/11/2025 13:45</t>
  </si>
  <si>
    <t>07/11/2025 14:00</t>
  </si>
  <si>
    <t>07/11/2025 14:15</t>
  </si>
  <si>
    <t>07/11/2025 14:30</t>
  </si>
  <si>
    <t>07/11/2025 14:45</t>
  </si>
  <si>
    <t>07/11/2025 15:00</t>
  </si>
  <si>
    <t>07/11/2025 15:15</t>
  </si>
  <si>
    <t>07/11/2025 15:30</t>
  </si>
  <si>
    <t>07/11/2025 15:45</t>
  </si>
  <si>
    <t>07/11/2025 16:00</t>
  </si>
  <si>
    <t>07/11/2025 16:15</t>
  </si>
  <si>
    <t>07/11/2025 16:30</t>
  </si>
  <si>
    <t>07/11/2025 16:45</t>
  </si>
  <si>
    <t>07/11/2025 17:00</t>
  </si>
  <si>
    <t>07/11/2025 17:15</t>
  </si>
  <si>
    <t>07/11/2025 17:30</t>
  </si>
  <si>
    <t>07/11/2025 17:45</t>
  </si>
  <si>
    <t>07/11/2025 18:00</t>
  </si>
  <si>
    <t>07/11/2025 18:15</t>
  </si>
  <si>
    <t>07/11/2025 18:30</t>
  </si>
  <si>
    <t>07/11/2025 18:45</t>
  </si>
  <si>
    <t>07/11/2025 19:00</t>
  </si>
  <si>
    <t>07/11/2025 19:15</t>
  </si>
  <si>
    <t>07/11/2025 19:30</t>
  </si>
  <si>
    <t>07/11/2025 19:45</t>
  </si>
  <si>
    <t>07/11/2025 20:00</t>
  </si>
  <si>
    <t>07/11/2025 20:15</t>
  </si>
  <si>
    <t>07/11/2025 20:30</t>
  </si>
  <si>
    <t>07/11/2025 20:45</t>
  </si>
  <si>
    <t>07/11/2025 21:00</t>
  </si>
  <si>
    <t>07/11/2025 21:15</t>
  </si>
  <si>
    <t>07/11/2025 21:30</t>
  </si>
  <si>
    <t>07/11/2025 21:45</t>
  </si>
  <si>
    <t>07/11/2025 22:00</t>
  </si>
  <si>
    <t>07/11/2025 22:15</t>
  </si>
  <si>
    <t>07/11/2025 22:30</t>
  </si>
  <si>
    <t>07/11/2025 22:45</t>
  </si>
  <si>
    <t>07/11/2025 23:00</t>
  </si>
  <si>
    <t>07/11/2025 23:15</t>
  </si>
  <si>
    <t>07/11/2025 23:30</t>
  </si>
  <si>
    <t>07/11/2025 23:45</t>
  </si>
  <si>
    <t>07/11/2025 24:00</t>
  </si>
  <si>
    <t>08/11/2025 00:15</t>
  </si>
  <si>
    <t>08/11/2025 00:30</t>
  </si>
  <si>
    <t>08/11/2025 00:45</t>
  </si>
  <si>
    <t>08/11/2025 01:00</t>
  </si>
  <si>
    <t>08/11/2025 01:15</t>
  </si>
  <si>
    <t>08/11/2025 01:30</t>
  </si>
  <si>
    <t>08/11/2025 01:45</t>
  </si>
  <si>
    <t>08/11/2025 02:00</t>
  </si>
  <si>
    <t>08/11/2025 02:15</t>
  </si>
  <si>
    <t>08/11/2025 02:30</t>
  </si>
  <si>
    <t>08/11/2025 02:45</t>
  </si>
  <si>
    <t>08/11/2025 03:00</t>
  </si>
  <si>
    <t>08/11/2025 03:15</t>
  </si>
  <si>
    <t>08/11/2025 03:30</t>
  </si>
  <si>
    <t>08/11/2025 03:45</t>
  </si>
  <si>
    <t>08/11/2025 04:00</t>
  </si>
  <si>
    <t>08/11/2025 04:15</t>
  </si>
  <si>
    <t>08/11/2025 04:30</t>
  </si>
  <si>
    <t>08/11/2025 04:45</t>
  </si>
  <si>
    <t>08/11/2025 05:00</t>
  </si>
  <si>
    <t>08/11/2025 05:15</t>
  </si>
  <si>
    <t>08/11/2025 05:30</t>
  </si>
  <si>
    <t>08/11/2025 05:45</t>
  </si>
  <si>
    <t>08/11/2025 06:00</t>
  </si>
  <si>
    <t>08/11/2025 06:15</t>
  </si>
  <si>
    <t>08/11/2025 06:30</t>
  </si>
  <si>
    <t>08/11/2025 06:45</t>
  </si>
  <si>
    <t>08/11/2025 07:00</t>
  </si>
  <si>
    <t>08/11/2025 07:15</t>
  </si>
  <si>
    <t>08/11/2025 07:30</t>
  </si>
  <si>
    <t>08/11/2025 07:45</t>
  </si>
  <si>
    <t>08/11/2025 08:00</t>
  </si>
  <si>
    <t>08/11/2025 08:15</t>
  </si>
  <si>
    <t>08/11/2025 08:30</t>
  </si>
  <si>
    <t>08/11/2025 08:45</t>
  </si>
  <si>
    <t>08/11/2025 09:00</t>
  </si>
  <si>
    <t>08/11/2025 09:15</t>
  </si>
  <si>
    <t>08/11/2025 09:30</t>
  </si>
  <si>
    <t>08/11/2025 09:45</t>
  </si>
  <si>
    <t>08/11/2025 10:00</t>
  </si>
  <si>
    <t>08/11/2025 10:15</t>
  </si>
  <si>
    <t>08/11/2025 10:30</t>
  </si>
  <si>
    <t>08/11/2025 10:45</t>
  </si>
  <si>
    <t>08/11/2025 11:00</t>
  </si>
  <si>
    <t>08/11/2025 11:15</t>
  </si>
  <si>
    <t>08/11/2025 11:30</t>
  </si>
  <si>
    <t>08/11/2025 11:45</t>
  </si>
  <si>
    <t>08/11/2025 12:00</t>
  </si>
  <si>
    <t>08/11/2025 12:15</t>
  </si>
  <si>
    <t>08/11/2025 12:30</t>
  </si>
  <si>
    <t>08/11/2025 12:45</t>
  </si>
  <si>
    <t>08/11/2025 13:00</t>
  </si>
  <si>
    <t>08/11/2025 13:15</t>
  </si>
  <si>
    <t>08/11/2025 13:30</t>
  </si>
  <si>
    <t>08/11/2025 13:45</t>
  </si>
  <si>
    <t>08/11/2025 14:00</t>
  </si>
  <si>
    <t>08/11/2025 14:15</t>
  </si>
  <si>
    <t>08/11/2025 14:30</t>
  </si>
  <si>
    <t>08/11/2025 14:45</t>
  </si>
  <si>
    <t>08/11/2025 15:00</t>
  </si>
  <si>
    <t>08/11/2025 15:15</t>
  </si>
  <si>
    <t>08/11/2025 15:30</t>
  </si>
  <si>
    <t>08/11/2025 15:45</t>
  </si>
  <si>
    <t>08/11/2025 16:00</t>
  </si>
  <si>
    <t>08/11/2025 16:15</t>
  </si>
  <si>
    <t>08/11/2025 16:30</t>
  </si>
  <si>
    <t>08/11/2025 16:45</t>
  </si>
  <si>
    <t>08/11/2025 17:00</t>
  </si>
  <si>
    <t>08/11/2025 17:15</t>
  </si>
  <si>
    <t>08/11/2025 17:30</t>
  </si>
  <si>
    <t>08/11/2025 17:45</t>
  </si>
  <si>
    <t>08/11/2025 18:00</t>
  </si>
  <si>
    <t>08/11/2025 18:15</t>
  </si>
  <si>
    <t>08/11/2025 18:30</t>
  </si>
  <si>
    <t>08/11/2025 18:45</t>
  </si>
  <si>
    <t>08/11/2025 19:00</t>
  </si>
  <si>
    <t>08/11/2025 19:15</t>
  </si>
  <si>
    <t>08/11/2025 19:30</t>
  </si>
  <si>
    <t>08/11/2025 19:45</t>
  </si>
  <si>
    <t>08/11/2025 20:00</t>
  </si>
  <si>
    <t>08/11/2025 20:15</t>
  </si>
  <si>
    <t>08/11/2025 20:30</t>
  </si>
  <si>
    <t>08/11/2025 20:45</t>
  </si>
  <si>
    <t>08/11/2025 21:00</t>
  </si>
  <si>
    <t>08/11/2025 21:15</t>
  </si>
  <si>
    <t>08/11/2025 21:30</t>
  </si>
  <si>
    <t>08/11/2025 21:45</t>
  </si>
  <si>
    <t>08/11/2025 22:00</t>
  </si>
  <si>
    <t>08/11/2025 22:15</t>
  </si>
  <si>
    <t>08/11/2025 22:30</t>
  </si>
  <si>
    <t>08/11/2025 22:45</t>
  </si>
  <si>
    <t>08/11/2025 23:00</t>
  </si>
  <si>
    <t>08/11/2025 23:15</t>
  </si>
  <si>
    <t>08/11/2025 23:30</t>
  </si>
  <si>
    <t>08/11/2025 23:45</t>
  </si>
  <si>
    <t>08/11/2025 24:00</t>
  </si>
  <si>
    <t>09/11/2025 00:15</t>
  </si>
  <si>
    <t>09/11/2025 00:30</t>
  </si>
  <si>
    <t>09/11/2025 00:45</t>
  </si>
  <si>
    <t>09/11/2025 01:00</t>
  </si>
  <si>
    <t>09/11/2025 01:15</t>
  </si>
  <si>
    <t>09/11/2025 01:30</t>
  </si>
  <si>
    <t>09/11/2025 01:45</t>
  </si>
  <si>
    <t>09/11/2025 02:00</t>
  </si>
  <si>
    <t>09/11/2025 02:15</t>
  </si>
  <si>
    <t>09/11/2025 02:30</t>
  </si>
  <si>
    <t>09/11/2025 02:45</t>
  </si>
  <si>
    <t>09/11/2025 03:00</t>
  </si>
  <si>
    <t>09/11/2025 03:15</t>
  </si>
  <si>
    <t>09/11/2025 03:30</t>
  </si>
  <si>
    <t>09/11/2025 03:45</t>
  </si>
  <si>
    <t>09/11/2025 04:00</t>
  </si>
  <si>
    <t>09/11/2025 04:15</t>
  </si>
  <si>
    <t>09/11/2025 04:30</t>
  </si>
  <si>
    <t>09/11/2025 04:45</t>
  </si>
  <si>
    <t>09/11/2025 05:00</t>
  </si>
  <si>
    <t>09/11/2025 05:15</t>
  </si>
  <si>
    <t>09/11/2025 05:30</t>
  </si>
  <si>
    <t>09/11/2025 05:45</t>
  </si>
  <si>
    <t>09/11/2025 06:00</t>
  </si>
  <si>
    <t>09/11/2025 06:15</t>
  </si>
  <si>
    <t>09/11/2025 06:30</t>
  </si>
  <si>
    <t>09/11/2025 06:45</t>
  </si>
  <si>
    <t>09/11/2025 07:00</t>
  </si>
  <si>
    <t>09/11/2025 07:15</t>
  </si>
  <si>
    <t>09/11/2025 07:30</t>
  </si>
  <si>
    <t>09/11/2025 07:45</t>
  </si>
  <si>
    <t>09/11/2025 08:00</t>
  </si>
  <si>
    <t>09/11/2025 08:15</t>
  </si>
  <si>
    <t>09/11/2025 08:30</t>
  </si>
  <si>
    <t>09/11/2025 08:45</t>
  </si>
  <si>
    <t>09/11/2025 09:00</t>
  </si>
  <si>
    <t>09/11/2025 09:15</t>
  </si>
  <si>
    <t>09/11/2025 09:30</t>
  </si>
  <si>
    <t>09/11/2025 09:45</t>
  </si>
  <si>
    <t>09/11/2025 10:00</t>
  </si>
  <si>
    <t>09/11/2025 10:15</t>
  </si>
  <si>
    <t>09/11/2025 10:30</t>
  </si>
  <si>
    <t>09/11/2025 10:45</t>
  </si>
  <si>
    <t>09/11/2025 11:00</t>
  </si>
  <si>
    <t>09/11/2025 11:15</t>
  </si>
  <si>
    <t>09/11/2025 11:30</t>
  </si>
  <si>
    <t>09/11/2025 11:45</t>
  </si>
  <si>
    <t>09/11/2025 12:00</t>
  </si>
  <si>
    <t>09/11/2025 12:15</t>
  </si>
  <si>
    <t>09/11/2025 12:30</t>
  </si>
  <si>
    <t>09/11/2025 12:45</t>
  </si>
  <si>
    <t>09/11/2025 13:00</t>
  </si>
  <si>
    <t>09/11/2025 13:15</t>
  </si>
  <si>
    <t>09/11/2025 13:30</t>
  </si>
  <si>
    <t>09/11/2025 13:45</t>
  </si>
  <si>
    <t>09/11/2025 14:00</t>
  </si>
  <si>
    <t>09/11/2025 14:15</t>
  </si>
  <si>
    <t>09/11/2025 14:30</t>
  </si>
  <si>
    <t>09/11/2025 14:45</t>
  </si>
  <si>
    <t>09/11/2025 15:00</t>
  </si>
  <si>
    <t>09/11/2025 15:15</t>
  </si>
  <si>
    <t>09/11/2025 15:30</t>
  </si>
  <si>
    <t>09/11/2025 15:45</t>
  </si>
  <si>
    <t>09/11/2025 16:00</t>
  </si>
  <si>
    <t>09/11/2025 16:15</t>
  </si>
  <si>
    <t>09/11/2025 16:30</t>
  </si>
  <si>
    <t>09/11/2025 16:45</t>
  </si>
  <si>
    <t>09/11/2025 17:00</t>
  </si>
  <si>
    <t>09/11/2025 17:15</t>
  </si>
  <si>
    <t>09/11/2025 17:30</t>
  </si>
  <si>
    <t>09/11/2025 17:45</t>
  </si>
  <si>
    <t>09/11/2025 18:00</t>
  </si>
  <si>
    <t>09/11/2025 18:15</t>
  </si>
  <si>
    <t>09/11/2025 18:30</t>
  </si>
  <si>
    <t>09/11/2025 18:45</t>
  </si>
  <si>
    <t>09/11/2025 19:00</t>
  </si>
  <si>
    <t>09/11/2025 19:15</t>
  </si>
  <si>
    <t>09/11/2025 19:30</t>
  </si>
  <si>
    <t>09/11/2025 19:45</t>
  </si>
  <si>
    <t>09/11/2025 20:00</t>
  </si>
  <si>
    <t>09/11/2025 20:15</t>
  </si>
  <si>
    <t>09/11/2025 20:30</t>
  </si>
  <si>
    <t>09/11/2025 20:45</t>
  </si>
  <si>
    <t>09/11/2025 21:00</t>
  </si>
  <si>
    <t>09/11/2025 21:15</t>
  </si>
  <si>
    <t>09/11/2025 21:30</t>
  </si>
  <si>
    <t>09/11/2025 21:45</t>
  </si>
  <si>
    <t>09/11/2025 22:00</t>
  </si>
  <si>
    <t>09/11/2025 22:15</t>
  </si>
  <si>
    <t>09/11/2025 22:30</t>
  </si>
  <si>
    <t>09/11/2025 22:45</t>
  </si>
  <si>
    <t>09/11/2025 23:00</t>
  </si>
  <si>
    <t>09/11/2025 23:15</t>
  </si>
  <si>
    <t>09/11/2025 23:30</t>
  </si>
  <si>
    <t>09/11/2025 23:45</t>
  </si>
  <si>
    <t>09/11/2025 24:00</t>
  </si>
  <si>
    <t>10/11/2025 00:15</t>
  </si>
  <si>
    <t>10/11/2025 00:30</t>
  </si>
  <si>
    <t>10/11/2025 00:45</t>
  </si>
  <si>
    <t>10/11/2025 01:00</t>
  </si>
  <si>
    <t>10/11/2025 01:15</t>
  </si>
  <si>
    <t>10/11/2025 01:30</t>
  </si>
  <si>
    <t>10/11/2025 01:45</t>
  </si>
  <si>
    <t>10/11/2025 02:00</t>
  </si>
  <si>
    <t>10/11/2025 02:15</t>
  </si>
  <si>
    <t>10/11/2025 02:30</t>
  </si>
  <si>
    <t>10/11/2025 02:45</t>
  </si>
  <si>
    <t>10/11/2025 03:00</t>
  </si>
  <si>
    <t>10/11/2025 03:15</t>
  </si>
  <si>
    <t>10/11/2025 03:30</t>
  </si>
  <si>
    <t>10/11/2025 03:45</t>
  </si>
  <si>
    <t>10/11/2025 04:00</t>
  </si>
  <si>
    <t>10/11/2025 04:15</t>
  </si>
  <si>
    <t>10/11/2025 04:30</t>
  </si>
  <si>
    <t>10/11/2025 04:45</t>
  </si>
  <si>
    <t>10/11/2025 05:00</t>
  </si>
  <si>
    <t>10/11/2025 05:15</t>
  </si>
  <si>
    <t>10/11/2025 05:30</t>
  </si>
  <si>
    <t>10/11/2025 05:45</t>
  </si>
  <si>
    <t>10/11/2025 06:00</t>
  </si>
  <si>
    <t>10/11/2025 06:15</t>
  </si>
  <si>
    <t>10/11/2025 06:30</t>
  </si>
  <si>
    <t>10/11/2025 06:45</t>
  </si>
  <si>
    <t>10/11/2025 07:00</t>
  </si>
  <si>
    <t>10/11/2025 07:15</t>
  </si>
  <si>
    <t>10/11/2025 07:30</t>
  </si>
  <si>
    <t>10/11/2025 07:45</t>
  </si>
  <si>
    <t>10/11/2025 08:00</t>
  </si>
  <si>
    <t>10/11/2025 08:15</t>
  </si>
  <si>
    <t>10/11/2025 08:30</t>
  </si>
  <si>
    <t>10/11/2025 08:45</t>
  </si>
  <si>
    <t>10/11/2025 09:00</t>
  </si>
  <si>
    <t>10/11/2025 09:15</t>
  </si>
  <si>
    <t>10/11/2025 09:30</t>
  </si>
  <si>
    <t>10/11/2025 09:45</t>
  </si>
  <si>
    <t>10/11/2025 10:00</t>
  </si>
  <si>
    <t>10/11/2025 10:15</t>
  </si>
  <si>
    <t>10/11/2025 10:30</t>
  </si>
  <si>
    <t>10/11/2025 10:45</t>
  </si>
  <si>
    <t>10/11/2025 11:00</t>
  </si>
  <si>
    <t>10/11/2025 11:15</t>
  </si>
  <si>
    <t>10/11/2025 11:30</t>
  </si>
  <si>
    <t>10/11/2025 11:45</t>
  </si>
  <si>
    <t>10/11/2025 12:00</t>
  </si>
  <si>
    <t>10/11/2025 12:15</t>
  </si>
  <si>
    <t>10/11/2025 12:30</t>
  </si>
  <si>
    <t>10/11/2025 12:45</t>
  </si>
  <si>
    <t>10/11/2025 13:00</t>
  </si>
  <si>
    <t>10/11/2025 13:15</t>
  </si>
  <si>
    <t>10/11/2025 13:30</t>
  </si>
  <si>
    <t>10/11/2025 13:45</t>
  </si>
  <si>
    <t>10/11/2025 14:00</t>
  </si>
  <si>
    <t>10/11/2025 14:15</t>
  </si>
  <si>
    <t>10/11/2025 14:30</t>
  </si>
  <si>
    <t>10/11/2025 14:45</t>
  </si>
  <si>
    <t>10/11/2025 15:00</t>
  </si>
  <si>
    <t>10/11/2025 15:15</t>
  </si>
  <si>
    <t>10/11/2025 15:30</t>
  </si>
  <si>
    <t>10/11/2025 15:45</t>
  </si>
  <si>
    <t>10/11/2025 16:00</t>
  </si>
  <si>
    <t>10/11/2025 16:15</t>
  </si>
  <si>
    <t>10/11/2025 16:30</t>
  </si>
  <si>
    <t>10/11/2025 16:45</t>
  </si>
  <si>
    <t>10/11/2025 17:00</t>
  </si>
  <si>
    <t>10/11/2025 17:15</t>
  </si>
  <si>
    <t>10/11/2025 17:30</t>
  </si>
  <si>
    <t>10/11/2025 17:45</t>
  </si>
  <si>
    <t>10/11/2025 18:00</t>
  </si>
  <si>
    <t>10/11/2025 18:15</t>
  </si>
  <si>
    <t>10/11/2025 18:30</t>
  </si>
  <si>
    <t>10/11/2025 18:45</t>
  </si>
  <si>
    <t>10/11/2025 19:00</t>
  </si>
  <si>
    <t>10/11/2025 19:15</t>
  </si>
  <si>
    <t>10/11/2025 19:30</t>
  </si>
  <si>
    <t>10/11/2025 19:45</t>
  </si>
  <si>
    <t>10/11/2025 20:00</t>
  </si>
  <si>
    <t>10/11/2025 20:15</t>
  </si>
  <si>
    <t>10/11/2025 20:30</t>
  </si>
  <si>
    <t>10/11/2025 20:45</t>
  </si>
  <si>
    <t>10/11/2025 21:00</t>
  </si>
  <si>
    <t>10/11/2025 21:15</t>
  </si>
  <si>
    <t>10/11/2025 21:30</t>
  </si>
  <si>
    <t>10/11/2025 21:45</t>
  </si>
  <si>
    <t>10/11/2025 22:00</t>
  </si>
  <si>
    <t>10/11/2025 22:15</t>
  </si>
  <si>
    <t>10/11/2025 22:30</t>
  </si>
  <si>
    <t>10/11/2025 22:45</t>
  </si>
  <si>
    <t>10/11/2025 23:00</t>
  </si>
  <si>
    <t>10/11/2025 23:15</t>
  </si>
  <si>
    <t>10/11/2025 23:30</t>
  </si>
  <si>
    <t>10/11/2025 23:45</t>
  </si>
  <si>
    <t>10/11/2025 24:00</t>
  </si>
  <si>
    <t>11/11/2025 00:15</t>
  </si>
  <si>
    <t>11/11/2025 00:30</t>
  </si>
  <si>
    <t>11/11/2025 00:45</t>
  </si>
  <si>
    <t>11/11/2025 01:00</t>
  </si>
  <si>
    <t>11/11/2025 01:15</t>
  </si>
  <si>
    <t>11/11/2025 01:30</t>
  </si>
  <si>
    <t>11/11/2025 01:45</t>
  </si>
  <si>
    <t>11/11/2025 02:00</t>
  </si>
  <si>
    <t>11/11/2025 02:15</t>
  </si>
  <si>
    <t>11/11/2025 02:30</t>
  </si>
  <si>
    <t>11/11/2025 02:45</t>
  </si>
  <si>
    <t>11/11/2025 03:00</t>
  </si>
  <si>
    <t>11/11/2025 03:15</t>
  </si>
  <si>
    <t>11/11/2025 03:30</t>
  </si>
  <si>
    <t>11/11/2025 03:45</t>
  </si>
  <si>
    <t>11/11/2025 04:00</t>
  </si>
  <si>
    <t>11/11/2025 04:15</t>
  </si>
  <si>
    <t>11/11/2025 04:30</t>
  </si>
  <si>
    <t>11/11/2025 04:45</t>
  </si>
  <si>
    <t>11/11/2025 05:00</t>
  </si>
  <si>
    <t>11/11/2025 05:15</t>
  </si>
  <si>
    <t>11/11/2025 05:30</t>
  </si>
  <si>
    <t>11/11/2025 05:45</t>
  </si>
  <si>
    <t>11/11/2025 06:00</t>
  </si>
  <si>
    <t>11/11/2025 06:15</t>
  </si>
  <si>
    <t>11/11/2025 06:30</t>
  </si>
  <si>
    <t>11/11/2025 06:45</t>
  </si>
  <si>
    <t>11/11/2025 07:00</t>
  </si>
  <si>
    <t>11/11/2025 07:15</t>
  </si>
  <si>
    <t>11/11/2025 07:30</t>
  </si>
  <si>
    <t>11/11/2025 07:45</t>
  </si>
  <si>
    <t>11/11/2025 08:00</t>
  </si>
  <si>
    <t>11/11/2025 08:15</t>
  </si>
  <si>
    <t>11/11/2025 08:30</t>
  </si>
  <si>
    <t>11/11/2025 08:45</t>
  </si>
  <si>
    <t>11/11/2025 09:00</t>
  </si>
  <si>
    <t>11/11/2025 09:15</t>
  </si>
  <si>
    <t>11/11/2025 09:30</t>
  </si>
  <si>
    <t>11/11/2025 09:45</t>
  </si>
  <si>
    <t>11/11/2025 10:00</t>
  </si>
  <si>
    <t>11/11/2025 10:15</t>
  </si>
  <si>
    <t>11/11/2025 10:30</t>
  </si>
  <si>
    <t>11/11/2025 10:45</t>
  </si>
  <si>
    <t>11/11/2025 11:00</t>
  </si>
  <si>
    <t>11/11/2025 11:15</t>
  </si>
  <si>
    <t>11/11/2025 11:30</t>
  </si>
  <si>
    <t>11/11/2025 11:45</t>
  </si>
  <si>
    <t>11/11/2025 12:00</t>
  </si>
  <si>
    <t>11/11/2025 12:15</t>
  </si>
  <si>
    <t>11/11/2025 12:30</t>
  </si>
  <si>
    <t>11/11/2025 12:45</t>
  </si>
  <si>
    <t>11/11/2025 13:00</t>
  </si>
  <si>
    <t>11/11/2025 13:15</t>
  </si>
  <si>
    <t>11/11/2025 13:30</t>
  </si>
  <si>
    <t>11/11/2025 13:45</t>
  </si>
  <si>
    <t>11/11/2025 14:00</t>
  </si>
  <si>
    <t>11/11/2025 14:15</t>
  </si>
  <si>
    <t>11/11/2025 14:30</t>
  </si>
  <si>
    <t>11/11/2025 14:45</t>
  </si>
  <si>
    <t>11/11/2025 15:00</t>
  </si>
  <si>
    <t>11/11/2025 15:15</t>
  </si>
  <si>
    <t>11/11/2025 15:30</t>
  </si>
  <si>
    <t>11/11/2025 15:45</t>
  </si>
  <si>
    <t>11/11/2025 16:00</t>
  </si>
  <si>
    <t>11/11/2025 16:15</t>
  </si>
  <si>
    <t>11/11/2025 16:30</t>
  </si>
  <si>
    <t>11/11/2025 16:45</t>
  </si>
  <si>
    <t>11/11/2025 17:00</t>
  </si>
  <si>
    <t>11/11/2025 17:15</t>
  </si>
  <si>
    <t>11/11/2025 17:30</t>
  </si>
  <si>
    <t>11/11/2025 17:45</t>
  </si>
  <si>
    <t>11/11/2025 18:00</t>
  </si>
  <si>
    <t>11/11/2025 18:15</t>
  </si>
  <si>
    <t>11/11/2025 18:30</t>
  </si>
  <si>
    <t>11/11/2025 18:45</t>
  </si>
  <si>
    <t>11/11/2025 19:00</t>
  </si>
  <si>
    <t>11/11/2025 19:15</t>
  </si>
  <si>
    <t>11/11/2025 19:30</t>
  </si>
  <si>
    <t>11/11/2025 19:45</t>
  </si>
  <si>
    <t>11/11/2025 20:00</t>
  </si>
  <si>
    <t>11/11/2025 20:15</t>
  </si>
  <si>
    <t>11/11/2025 20:30</t>
  </si>
  <si>
    <t>11/11/2025 20:45</t>
  </si>
  <si>
    <t>11/11/2025 21:00</t>
  </si>
  <si>
    <t>11/11/2025 21:15</t>
  </si>
  <si>
    <t>11/11/2025 21:30</t>
  </si>
  <si>
    <t>11/11/2025 21:45</t>
  </si>
  <si>
    <t>11/11/2025 22:00</t>
  </si>
  <si>
    <t>11/11/2025 22:15</t>
  </si>
  <si>
    <t>11/11/2025 22:30</t>
  </si>
  <si>
    <t>11/11/2025 22:45</t>
  </si>
  <si>
    <t>11/11/2025 23:00</t>
  </si>
  <si>
    <t>11/11/2025 23:15</t>
  </si>
  <si>
    <t>11/11/2025 23:30</t>
  </si>
  <si>
    <t>11/11/2025 23:45</t>
  </si>
  <si>
    <t>11/11/2025 24:00</t>
  </si>
  <si>
    <t>12/11/2025 00:15</t>
  </si>
  <si>
    <t>12/11/2025 00:30</t>
  </si>
  <si>
    <t>12/11/2025 00:45</t>
  </si>
  <si>
    <t>12/11/2025 01:00</t>
  </si>
  <si>
    <t>12/11/2025 01:15</t>
  </si>
  <si>
    <t>12/11/2025 01:30</t>
  </si>
  <si>
    <t>12/11/2025 01:45</t>
  </si>
  <si>
    <t>12/11/2025 02:00</t>
  </si>
  <si>
    <t>12/11/2025 02:15</t>
  </si>
  <si>
    <t>12/11/2025 02:30</t>
  </si>
  <si>
    <t>12/11/2025 02:45</t>
  </si>
  <si>
    <t>12/11/2025 03:00</t>
  </si>
  <si>
    <t>12/11/2025 03:15</t>
  </si>
  <si>
    <t>12/11/2025 03:30</t>
  </si>
  <si>
    <t>12/11/2025 03:45</t>
  </si>
  <si>
    <t>12/11/2025 04:00</t>
  </si>
  <si>
    <t>12/11/2025 04:15</t>
  </si>
  <si>
    <t>12/11/2025 04:30</t>
  </si>
  <si>
    <t>12/11/2025 04:45</t>
  </si>
  <si>
    <t>12/11/2025 05:00</t>
  </si>
  <si>
    <t>12/11/2025 05:15</t>
  </si>
  <si>
    <t>12/11/2025 05:30</t>
  </si>
  <si>
    <t>12/11/2025 05:45</t>
  </si>
  <si>
    <t>12/11/2025 06:00</t>
  </si>
  <si>
    <t>12/11/2025 06:15</t>
  </si>
  <si>
    <t>12/11/2025 06:30</t>
  </si>
  <si>
    <t>12/11/2025 06:45</t>
  </si>
  <si>
    <t>12/11/2025 07:00</t>
  </si>
  <si>
    <t>12/11/2025 07:15</t>
  </si>
  <si>
    <t>12/11/2025 07:30</t>
  </si>
  <si>
    <t>12/11/2025 07:45</t>
  </si>
  <si>
    <t>12/11/2025 08:00</t>
  </si>
  <si>
    <t>12/11/2025 08:15</t>
  </si>
  <si>
    <t>12/11/2025 08:30</t>
  </si>
  <si>
    <t>12/11/2025 08:45</t>
  </si>
  <si>
    <t>12/11/2025 09:00</t>
  </si>
  <si>
    <t>12/11/2025 09:15</t>
  </si>
  <si>
    <t>12/11/2025 09:30</t>
  </si>
  <si>
    <t>12/11/2025 09:45</t>
  </si>
  <si>
    <t>12/11/2025 10:00</t>
  </si>
  <si>
    <t>12/11/2025 10:15</t>
  </si>
  <si>
    <t>12/11/2025 10:30</t>
  </si>
  <si>
    <t>12/11/2025 10:45</t>
  </si>
  <si>
    <t>12/11/2025 11:00</t>
  </si>
  <si>
    <t>12/11/2025 11:15</t>
  </si>
  <si>
    <t>12/11/2025 11:30</t>
  </si>
  <si>
    <t>12/11/2025 11:45</t>
  </si>
  <si>
    <t>12/11/2025 12:00</t>
  </si>
  <si>
    <t>12/11/2025 12:15</t>
  </si>
  <si>
    <t>12/11/2025 12:30</t>
  </si>
  <si>
    <t>12/11/2025 12:45</t>
  </si>
  <si>
    <t>12/11/2025 13:00</t>
  </si>
  <si>
    <t>12/11/2025 13:15</t>
  </si>
  <si>
    <t>12/11/2025 13:30</t>
  </si>
  <si>
    <t>12/11/2025 13:45</t>
  </si>
  <si>
    <t>12/11/2025 14:00</t>
  </si>
  <si>
    <t>12/11/2025 14:15</t>
  </si>
  <si>
    <t>12/11/2025 14:30</t>
  </si>
  <si>
    <t>12/11/2025 14:45</t>
  </si>
  <si>
    <t>12/11/2025 15:00</t>
  </si>
  <si>
    <t>12/11/2025 15:15</t>
  </si>
  <si>
    <t>12/11/2025 15:30</t>
  </si>
  <si>
    <t>12/11/2025 15:45</t>
  </si>
  <si>
    <t>12/11/2025 16:00</t>
  </si>
  <si>
    <t>12/11/2025 16:15</t>
  </si>
  <si>
    <t>12/11/2025 16:30</t>
  </si>
  <si>
    <t>12/11/2025 16:45</t>
  </si>
  <si>
    <t>12/11/2025 17:00</t>
  </si>
  <si>
    <t>12/11/2025 17:15</t>
  </si>
  <si>
    <t>12/11/2025 17:30</t>
  </si>
  <si>
    <t>12/11/2025 17:45</t>
  </si>
  <si>
    <t>12/11/2025 18:00</t>
  </si>
  <si>
    <t>12/11/2025 18:15</t>
  </si>
  <si>
    <t>12/11/2025 18:30</t>
  </si>
  <si>
    <t>12/11/2025 18:45</t>
  </si>
  <si>
    <t>12/11/2025 19:00</t>
  </si>
  <si>
    <t>12/11/2025 19:15</t>
  </si>
  <si>
    <t>12/11/2025 19:30</t>
  </si>
  <si>
    <t>12/11/2025 19:45</t>
  </si>
  <si>
    <t>12/11/2025 20:00</t>
  </si>
  <si>
    <t>12/11/2025 20:15</t>
  </si>
  <si>
    <t>12/11/2025 20:30</t>
  </si>
  <si>
    <t>12/11/2025 20:45</t>
  </si>
  <si>
    <t>12/11/2025 21:00</t>
  </si>
  <si>
    <t>12/11/2025 21:15</t>
  </si>
  <si>
    <t>12/11/2025 21:30</t>
  </si>
  <si>
    <t>12/11/2025 21:45</t>
  </si>
  <si>
    <t>12/11/2025 22:00</t>
  </si>
  <si>
    <t>12/11/2025 22:15</t>
  </si>
  <si>
    <t>12/11/2025 22:30</t>
  </si>
  <si>
    <t>12/11/2025 22:45</t>
  </si>
  <si>
    <t>12/11/2025 23:00</t>
  </si>
  <si>
    <t>12/11/2025 23:15</t>
  </si>
  <si>
    <t>12/11/2025 23:30</t>
  </si>
  <si>
    <t>12/11/2025 23:45</t>
  </si>
  <si>
    <t>12/11/2025 24:00</t>
  </si>
  <si>
    <t>13/11/2025 00:15</t>
  </si>
  <si>
    <t>13/11/2025 00:30</t>
  </si>
  <si>
    <t>13/11/2025 00:45</t>
  </si>
  <si>
    <t>13/11/2025 01:00</t>
  </si>
  <si>
    <t>13/11/2025 01:15</t>
  </si>
  <si>
    <t>13/11/2025 01:30</t>
  </si>
  <si>
    <t>13/11/2025 01:45</t>
  </si>
  <si>
    <t>13/11/2025 02:00</t>
  </si>
  <si>
    <t>13/11/2025 02:15</t>
  </si>
  <si>
    <t>13/11/2025 02:30</t>
  </si>
  <si>
    <t>13/11/2025 02:45</t>
  </si>
  <si>
    <t>13/11/2025 03:00</t>
  </si>
  <si>
    <t>13/11/2025 03:15</t>
  </si>
  <si>
    <t>13/11/2025 03:30</t>
  </si>
  <si>
    <t>13/11/2025 03:45</t>
  </si>
  <si>
    <t>13/11/2025 04:00</t>
  </si>
  <si>
    <t>13/11/2025 04:15</t>
  </si>
  <si>
    <t>13/11/2025 04:30</t>
  </si>
  <si>
    <t>13/11/2025 04:45</t>
  </si>
  <si>
    <t>13/11/2025 05:00</t>
  </si>
  <si>
    <t>13/11/2025 05:15</t>
  </si>
  <si>
    <t>13/11/2025 05:30</t>
  </si>
  <si>
    <t>13/11/2025 05:45</t>
  </si>
  <si>
    <t>13/11/2025 06:00</t>
  </si>
  <si>
    <t>13/11/2025 06:15</t>
  </si>
  <si>
    <t>13/11/2025 06:30</t>
  </si>
  <si>
    <t>13/11/2025 06:45</t>
  </si>
  <si>
    <t>13/11/2025 07:00</t>
  </si>
  <si>
    <t>13/11/2025 07:15</t>
  </si>
  <si>
    <t>13/11/2025 07:30</t>
  </si>
  <si>
    <t>13/11/2025 07:45</t>
  </si>
  <si>
    <t>13/11/2025 08:00</t>
  </si>
  <si>
    <t>13/11/2025 08:15</t>
  </si>
  <si>
    <t>13/11/2025 08:30</t>
  </si>
  <si>
    <t>13/11/2025 08:45</t>
  </si>
  <si>
    <t>13/11/2025 09:00</t>
  </si>
  <si>
    <t>13/11/2025 09:15</t>
  </si>
  <si>
    <t>13/11/2025 09:30</t>
  </si>
  <si>
    <t>13/11/2025 09:45</t>
  </si>
  <si>
    <t>13/11/2025 10:00</t>
  </si>
  <si>
    <t>13/11/2025 10:15</t>
  </si>
  <si>
    <t>13/11/2025 10:30</t>
  </si>
  <si>
    <t>13/11/2025 10:45</t>
  </si>
  <si>
    <t>13/11/2025 11:00</t>
  </si>
  <si>
    <t>13/11/2025 11:15</t>
  </si>
  <si>
    <t>13/11/2025 11:30</t>
  </si>
  <si>
    <t>13/11/2025 11:45</t>
  </si>
  <si>
    <t>13/11/2025 12:00</t>
  </si>
  <si>
    <t>13/11/2025 12:15</t>
  </si>
  <si>
    <t>13/11/2025 12:30</t>
  </si>
  <si>
    <t>13/11/2025 12:45</t>
  </si>
  <si>
    <t>13/11/2025 13:00</t>
  </si>
  <si>
    <t>13/11/2025 13:15</t>
  </si>
  <si>
    <t>13/11/2025 13:30</t>
  </si>
  <si>
    <t>13/11/2025 13:45</t>
  </si>
  <si>
    <t>13/11/2025 14:00</t>
  </si>
  <si>
    <t>13/11/2025 14:15</t>
  </si>
  <si>
    <t>13/11/2025 14:30</t>
  </si>
  <si>
    <t>13/11/2025 14:45</t>
  </si>
  <si>
    <t>13/11/2025 15:00</t>
  </si>
  <si>
    <t>13/11/2025 15:15</t>
  </si>
  <si>
    <t>13/11/2025 15:30</t>
  </si>
  <si>
    <t>13/11/2025 15:45</t>
  </si>
  <si>
    <t>13/11/2025 16:00</t>
  </si>
  <si>
    <t>13/11/2025 16:15</t>
  </si>
  <si>
    <t>13/11/2025 16:30</t>
  </si>
  <si>
    <t>13/11/2025 16:45</t>
  </si>
  <si>
    <t>13/11/2025 17:00</t>
  </si>
  <si>
    <t>13/11/2025 17:15</t>
  </si>
  <si>
    <t>13/11/2025 17:30</t>
  </si>
  <si>
    <t>13/11/2025 17:45</t>
  </si>
  <si>
    <t>13/11/2025 18:00</t>
  </si>
  <si>
    <t>13/11/2025 18:15</t>
  </si>
  <si>
    <t>13/11/2025 18:30</t>
  </si>
  <si>
    <t>13/11/2025 18:45</t>
  </si>
  <si>
    <t>13/11/2025 19:00</t>
  </si>
  <si>
    <t>13/11/2025 19:15</t>
  </si>
  <si>
    <t>13/11/2025 19:30</t>
  </si>
  <si>
    <t>13/11/2025 19:45</t>
  </si>
  <si>
    <t>13/11/2025 20:00</t>
  </si>
  <si>
    <t>13/11/2025 20:15</t>
  </si>
  <si>
    <t>13/11/2025 20:30</t>
  </si>
  <si>
    <t>13/11/2025 20:45</t>
  </si>
  <si>
    <t>13/11/2025 21:00</t>
  </si>
  <si>
    <t>13/11/2025 21:15</t>
  </si>
  <si>
    <t>13/11/2025 21:30</t>
  </si>
  <si>
    <t>13/11/2025 21:45</t>
  </si>
  <si>
    <t>13/11/2025 22:00</t>
  </si>
  <si>
    <t>13/11/2025 22:15</t>
  </si>
  <si>
    <t>13/11/2025 22:30</t>
  </si>
  <si>
    <t>13/11/2025 22:45</t>
  </si>
  <si>
    <t>13/11/2025 23:00</t>
  </si>
  <si>
    <t>13/11/2025 23:15</t>
  </si>
  <si>
    <t>13/11/2025 23:30</t>
  </si>
  <si>
    <t>13/11/2025 23:45</t>
  </si>
  <si>
    <t>13/11/2025 24:00</t>
  </si>
  <si>
    <t>14/11/2025 00:15</t>
  </si>
  <si>
    <t>14/11/2025 00:30</t>
  </si>
  <si>
    <t>14/11/2025 00:45</t>
  </si>
  <si>
    <t>14/11/2025 01:00</t>
  </si>
  <si>
    <t>14/11/2025 01:15</t>
  </si>
  <si>
    <t>14/11/2025 01:30</t>
  </si>
  <si>
    <t>14/11/2025 01:45</t>
  </si>
  <si>
    <t>14/11/2025 02:00</t>
  </si>
  <si>
    <t>14/11/2025 02:15</t>
  </si>
  <si>
    <t>14/11/2025 02:30</t>
  </si>
  <si>
    <t>14/11/2025 02:45</t>
  </si>
  <si>
    <t>14/11/2025 03:00</t>
  </si>
  <si>
    <t>14/11/2025 03:15</t>
  </si>
  <si>
    <t>14/11/2025 03:30</t>
  </si>
  <si>
    <t>14/11/2025 03:45</t>
  </si>
  <si>
    <t>14/11/2025 04:00</t>
  </si>
  <si>
    <t>14/11/2025 04:15</t>
  </si>
  <si>
    <t>14/11/2025 04:30</t>
  </si>
  <si>
    <t>14/11/2025 04:45</t>
  </si>
  <si>
    <t>14/11/2025 05:00</t>
  </si>
  <si>
    <t>14/11/2025 05:15</t>
  </si>
  <si>
    <t>14/11/2025 05:30</t>
  </si>
  <si>
    <t>14/11/2025 05:45</t>
  </si>
  <si>
    <t>14/11/2025 06:00</t>
  </si>
  <si>
    <t>14/11/2025 06:15</t>
  </si>
  <si>
    <t>14/11/2025 06:30</t>
  </si>
  <si>
    <t>14/11/2025 06:45</t>
  </si>
  <si>
    <t>14/11/2025 07:00</t>
  </si>
  <si>
    <t>14/11/2025 07:15</t>
  </si>
  <si>
    <t>14/11/2025 07:30</t>
  </si>
  <si>
    <t>14/11/2025 07:45</t>
  </si>
  <si>
    <t>14/11/2025 08:00</t>
  </si>
  <si>
    <t>14/11/2025 08:15</t>
  </si>
  <si>
    <t>14/11/2025 08:30</t>
  </si>
  <si>
    <t>14/11/2025 08:45</t>
  </si>
  <si>
    <t>14/11/2025 09:00</t>
  </si>
  <si>
    <t>14/11/2025 09:15</t>
  </si>
  <si>
    <t>14/11/2025 09:30</t>
  </si>
  <si>
    <t>14/11/2025 09:45</t>
  </si>
  <si>
    <t>14/11/2025 10:00</t>
  </si>
  <si>
    <t>14/11/2025 10:15</t>
  </si>
  <si>
    <t>14/11/2025 10:30</t>
  </si>
  <si>
    <t>14/11/2025 10:45</t>
  </si>
  <si>
    <t>14/11/2025 11:00</t>
  </si>
  <si>
    <t>14/11/2025 11:15</t>
  </si>
  <si>
    <t>14/11/2025 11:30</t>
  </si>
  <si>
    <t>14/11/2025 11:45</t>
  </si>
  <si>
    <t>14/11/2025 12:00</t>
  </si>
  <si>
    <t>14/11/2025 12:15</t>
  </si>
  <si>
    <t>14/11/2025 12:30</t>
  </si>
  <si>
    <t>14/11/2025 12:45</t>
  </si>
  <si>
    <t>14/11/2025 13:00</t>
  </si>
  <si>
    <t>14/11/2025 13:15</t>
  </si>
  <si>
    <t>14/11/2025 13:30</t>
  </si>
  <si>
    <t>14/11/2025 13:45</t>
  </si>
  <si>
    <t>14/11/2025 14:00</t>
  </si>
  <si>
    <t>14/11/2025 14:15</t>
  </si>
  <si>
    <t>14/11/2025 14:30</t>
  </si>
  <si>
    <t>14/11/2025 14:45</t>
  </si>
  <si>
    <t>14/11/2025 15:00</t>
  </si>
  <si>
    <t>14/11/2025 15:15</t>
  </si>
  <si>
    <t>14/11/2025 15:30</t>
  </si>
  <si>
    <t>14/11/2025 15:45</t>
  </si>
  <si>
    <t>14/11/2025 16:00</t>
  </si>
  <si>
    <t>14/11/2025 16:15</t>
  </si>
  <si>
    <t>14/11/2025 16:30</t>
  </si>
  <si>
    <t>14/11/2025 16:45</t>
  </si>
  <si>
    <t>14/11/2025 17:00</t>
  </si>
  <si>
    <t>14/11/2025 17:15</t>
  </si>
  <si>
    <t>14/11/2025 17:30</t>
  </si>
  <si>
    <t>14/11/2025 17:45</t>
  </si>
  <si>
    <t>14/11/2025 18:00</t>
  </si>
  <si>
    <t>14/11/2025 18:15</t>
  </si>
  <si>
    <t>14/11/2025 18:30</t>
  </si>
  <si>
    <t>14/11/2025 18:45</t>
  </si>
  <si>
    <t>14/11/2025 19:00</t>
  </si>
  <si>
    <t>14/11/2025 19:15</t>
  </si>
  <si>
    <t>14/11/2025 19:30</t>
  </si>
  <si>
    <t>14/11/2025 19:45</t>
  </si>
  <si>
    <t>14/11/2025 20:00</t>
  </si>
  <si>
    <t>14/11/2025 20:15</t>
  </si>
  <si>
    <t>14/11/2025 20:30</t>
  </si>
  <si>
    <t>14/11/2025 20:45</t>
  </si>
  <si>
    <t>14/11/2025 21:00</t>
  </si>
  <si>
    <t>14/11/2025 21:15</t>
  </si>
  <si>
    <t>14/11/2025 21:30</t>
  </si>
  <si>
    <t>14/11/2025 21:45</t>
  </si>
  <si>
    <t>14/11/2025 22:00</t>
  </si>
  <si>
    <t>14/11/2025 22:15</t>
  </si>
  <si>
    <t>14/11/2025 22:30</t>
  </si>
  <si>
    <t>14/11/2025 22:45</t>
  </si>
  <si>
    <t>14/11/2025 23:00</t>
  </si>
  <si>
    <t>14/11/2025 23:15</t>
  </si>
  <si>
    <t>14/11/2025 23:30</t>
  </si>
  <si>
    <t>14/11/2025 23:45</t>
  </si>
  <si>
    <t>14/11/2025 24:00</t>
  </si>
  <si>
    <t>15/11/2025 00:15</t>
  </si>
  <si>
    <t>15/11/2025 00:30</t>
  </si>
  <si>
    <t>15/11/2025 00:45</t>
  </si>
  <si>
    <t>15/11/2025 01:00</t>
  </si>
  <si>
    <t>15/11/2025 01:15</t>
  </si>
  <si>
    <t>15/11/2025 01:30</t>
  </si>
  <si>
    <t>15/11/2025 01:45</t>
  </si>
  <si>
    <t>15/11/2025 02:00</t>
  </si>
  <si>
    <t>15/11/2025 02:15</t>
  </si>
  <si>
    <t>15/11/2025 02:30</t>
  </si>
  <si>
    <t>15/11/2025 02:45</t>
  </si>
  <si>
    <t>15/11/2025 03:00</t>
  </si>
  <si>
    <t>15/11/2025 03:15</t>
  </si>
  <si>
    <t>15/11/2025 03:30</t>
  </si>
  <si>
    <t>15/11/2025 03:45</t>
  </si>
  <si>
    <t>15/11/2025 04:00</t>
  </si>
  <si>
    <t>15/11/2025 04:15</t>
  </si>
  <si>
    <t>15/11/2025 04:30</t>
  </si>
  <si>
    <t>15/11/2025 04:45</t>
  </si>
  <si>
    <t>15/11/2025 05:00</t>
  </si>
  <si>
    <t>15/11/2025 05:15</t>
  </si>
  <si>
    <t>15/11/2025 05:30</t>
  </si>
  <si>
    <t>15/11/2025 05:45</t>
  </si>
  <si>
    <t>15/11/2025 06:00</t>
  </si>
  <si>
    <t>15/11/2025 06:15</t>
  </si>
  <si>
    <t>15/11/2025 06:30</t>
  </si>
  <si>
    <t>15/11/2025 06:45</t>
  </si>
  <si>
    <t>15/11/2025 07:00</t>
  </si>
  <si>
    <t>15/11/2025 07:15</t>
  </si>
  <si>
    <t>15/11/2025 07:30</t>
  </si>
  <si>
    <t>15/11/2025 07:45</t>
  </si>
  <si>
    <t>15/11/2025 08:00</t>
  </si>
  <si>
    <t>15/11/2025 08:15</t>
  </si>
  <si>
    <t>15/11/2025 08:30</t>
  </si>
  <si>
    <t>15/11/2025 08:45</t>
  </si>
  <si>
    <t>15/11/2025 09:00</t>
  </si>
  <si>
    <t>15/11/2025 09:15</t>
  </si>
  <si>
    <t>15/11/2025 09:30</t>
  </si>
  <si>
    <t>15/11/2025 09:45</t>
  </si>
  <si>
    <t>15/11/2025 10:00</t>
  </si>
  <si>
    <t>15/11/2025 10:15</t>
  </si>
  <si>
    <t>15/11/2025 10:30</t>
  </si>
  <si>
    <t>15/11/2025 10:45</t>
  </si>
  <si>
    <t>15/11/2025 11:00</t>
  </si>
  <si>
    <t>15/11/2025 11:15</t>
  </si>
  <si>
    <t>15/11/2025 11:30</t>
  </si>
  <si>
    <t>15/11/2025 11:45</t>
  </si>
  <si>
    <t>15/11/2025 12:00</t>
  </si>
  <si>
    <t>15/11/2025 12:15</t>
  </si>
  <si>
    <t>15/11/2025 12:30</t>
  </si>
  <si>
    <t>15/11/2025 12:45</t>
  </si>
  <si>
    <t>15/11/2025 13:00</t>
  </si>
  <si>
    <t>15/11/2025 13:15</t>
  </si>
  <si>
    <t>15/11/2025 13:30</t>
  </si>
  <si>
    <t>15/11/2025 13:45</t>
  </si>
  <si>
    <t>15/11/2025 14:00</t>
  </si>
  <si>
    <t>15/11/2025 14:15</t>
  </si>
  <si>
    <t>15/11/2025 14:30</t>
  </si>
  <si>
    <t>15/11/2025 14:45</t>
  </si>
  <si>
    <t>15/11/2025 15:00</t>
  </si>
  <si>
    <t>15/11/2025 15:15</t>
  </si>
  <si>
    <t>15/11/2025 15:30</t>
  </si>
  <si>
    <t>15/11/2025 15:45</t>
  </si>
  <si>
    <t>15/11/2025 16:00</t>
  </si>
  <si>
    <t>15/11/2025 16:15</t>
  </si>
  <si>
    <t>15/11/2025 16:30</t>
  </si>
  <si>
    <t>15/11/2025 16:45</t>
  </si>
  <si>
    <t>15/11/2025 17:00</t>
  </si>
  <si>
    <t>15/11/2025 17:15</t>
  </si>
  <si>
    <t>15/11/2025 17:30</t>
  </si>
  <si>
    <t>15/11/2025 17:45</t>
  </si>
  <si>
    <t>15/11/2025 18:00</t>
  </si>
  <si>
    <t>15/11/2025 18:15</t>
  </si>
  <si>
    <t>15/11/2025 18:30</t>
  </si>
  <si>
    <t>15/11/2025 18:45</t>
  </si>
  <si>
    <t>15/11/2025 19:00</t>
  </si>
  <si>
    <t>15/11/2025 19:15</t>
  </si>
  <si>
    <t>15/11/2025 19:30</t>
  </si>
  <si>
    <t>15/11/2025 19:45</t>
  </si>
  <si>
    <t>15/11/2025 20:00</t>
  </si>
  <si>
    <t>15/11/2025 20:15</t>
  </si>
  <si>
    <t>15/11/2025 20:30</t>
  </si>
  <si>
    <t>15/11/2025 20:45</t>
  </si>
  <si>
    <t>15/11/2025 21:00</t>
  </si>
  <si>
    <t>15/11/2025 21:15</t>
  </si>
  <si>
    <t>15/11/2025 21:30</t>
  </si>
  <si>
    <t>15/11/2025 21:45</t>
  </si>
  <si>
    <t>15/11/2025 22:00</t>
  </si>
  <si>
    <t>15/11/2025 22:15</t>
  </si>
  <si>
    <t>15/11/2025 22:30</t>
  </si>
  <si>
    <t>15/11/2025 22:45</t>
  </si>
  <si>
    <t>15/11/2025 23:00</t>
  </si>
  <si>
    <t>15/11/2025 23:15</t>
  </si>
  <si>
    <t>15/11/2025 23:30</t>
  </si>
  <si>
    <t>15/11/2025 23:45</t>
  </si>
  <si>
    <t>15/11/2025 24:00</t>
  </si>
  <si>
    <t>16/11/2025 00:15</t>
  </si>
  <si>
    <t>16/11/2025 00:30</t>
  </si>
  <si>
    <t>16/11/2025 00:45</t>
  </si>
  <si>
    <t>16/11/2025 01:00</t>
  </si>
  <si>
    <t>16/11/2025 01:15</t>
  </si>
  <si>
    <t>16/11/2025 01:30</t>
  </si>
  <si>
    <t>16/11/2025 01:45</t>
  </si>
  <si>
    <t>16/11/2025 02:00</t>
  </si>
  <si>
    <t>16/11/2025 02:15</t>
  </si>
  <si>
    <t>16/11/2025 02:30</t>
  </si>
  <si>
    <t>16/11/2025 02:45</t>
  </si>
  <si>
    <t>16/11/2025 03:00</t>
  </si>
  <si>
    <t>16/11/2025 03:15</t>
  </si>
  <si>
    <t>16/11/2025 03:30</t>
  </si>
  <si>
    <t>16/11/2025 03:45</t>
  </si>
  <si>
    <t>16/11/2025 04:00</t>
  </si>
  <si>
    <t>16/11/2025 04:15</t>
  </si>
  <si>
    <t>16/11/2025 04:30</t>
  </si>
  <si>
    <t>16/11/2025 04:45</t>
  </si>
  <si>
    <t>16/11/2025 05:00</t>
  </si>
  <si>
    <t>16/11/2025 05:15</t>
  </si>
  <si>
    <t>16/11/2025 05:30</t>
  </si>
  <si>
    <t>16/11/2025 05:45</t>
  </si>
  <si>
    <t>16/11/2025 06:00</t>
  </si>
  <si>
    <t>16/11/2025 06:15</t>
  </si>
  <si>
    <t>16/11/2025 06:30</t>
  </si>
  <si>
    <t>16/11/2025 06:45</t>
  </si>
  <si>
    <t>16/11/2025 07:00</t>
  </si>
  <si>
    <t>16/11/2025 07:15</t>
  </si>
  <si>
    <t>16/11/2025 07:30</t>
  </si>
  <si>
    <t>16/11/2025 07:45</t>
  </si>
  <si>
    <t>16/11/2025 08:00</t>
  </si>
  <si>
    <t>16/11/2025 08:15</t>
  </si>
  <si>
    <t>16/11/2025 08:30</t>
  </si>
  <si>
    <t>16/11/2025 08:45</t>
  </si>
  <si>
    <t>16/11/2025 09:00</t>
  </si>
  <si>
    <t>16/11/2025 09:15</t>
  </si>
  <si>
    <t>16/11/2025 09:30</t>
  </si>
  <si>
    <t>16/11/2025 09:45</t>
  </si>
  <si>
    <t>16/11/2025 10:00</t>
  </si>
  <si>
    <t>16/11/2025 10:15</t>
  </si>
  <si>
    <t>16/11/2025 10:30</t>
  </si>
  <si>
    <t>16/11/2025 10:45</t>
  </si>
  <si>
    <t>16/11/2025 11:00</t>
  </si>
  <si>
    <t>16/11/2025 11:15</t>
  </si>
  <si>
    <t>16/11/2025 11:30</t>
  </si>
  <si>
    <t>16/11/2025 11:45</t>
  </si>
  <si>
    <t>16/11/2025 12:00</t>
  </si>
  <si>
    <t>16/11/2025 12:15</t>
  </si>
  <si>
    <t>16/11/2025 12:30</t>
  </si>
  <si>
    <t>16/11/2025 12:45</t>
  </si>
  <si>
    <t>16/11/2025 13:00</t>
  </si>
  <si>
    <t>16/11/2025 13:15</t>
  </si>
  <si>
    <t>16/11/2025 13:30</t>
  </si>
  <si>
    <t>16/11/2025 13:45</t>
  </si>
  <si>
    <t>16/11/2025 14:00</t>
  </si>
  <si>
    <t>16/11/2025 14:15</t>
  </si>
  <si>
    <t>16/11/2025 14:30</t>
  </si>
  <si>
    <t>16/11/2025 14:45</t>
  </si>
  <si>
    <t>16/11/2025 15:00</t>
  </si>
  <si>
    <t>16/11/2025 15:15</t>
  </si>
  <si>
    <t>16/11/2025 15:30</t>
  </si>
  <si>
    <t>16/11/2025 15:45</t>
  </si>
  <si>
    <t>16/11/2025 16:00</t>
  </si>
  <si>
    <t>16/11/2025 16:15</t>
  </si>
  <si>
    <t>16/11/2025 16:30</t>
  </si>
  <si>
    <t>16/11/2025 16:45</t>
  </si>
  <si>
    <t>16/11/2025 17:00</t>
  </si>
  <si>
    <t>16/11/2025 17:15</t>
  </si>
  <si>
    <t>16/11/2025 17:30</t>
  </si>
  <si>
    <t>16/11/2025 17:45</t>
  </si>
  <si>
    <t>16/11/2025 18:00</t>
  </si>
  <si>
    <t>16/11/2025 18:15</t>
  </si>
  <si>
    <t>16/11/2025 18:30</t>
  </si>
  <si>
    <t>16/11/2025 18:45</t>
  </si>
  <si>
    <t>16/11/2025 19:00</t>
  </si>
  <si>
    <t>16/11/2025 19:15</t>
  </si>
  <si>
    <t>16/11/2025 19:30</t>
  </si>
  <si>
    <t>16/11/2025 19:45</t>
  </si>
  <si>
    <t>16/11/2025 20:00</t>
  </si>
  <si>
    <t>16/11/2025 20:15</t>
  </si>
  <si>
    <t>16/11/2025 20:30</t>
  </si>
  <si>
    <t>16/11/2025 20:45</t>
  </si>
  <si>
    <t>16/11/2025 21:00</t>
  </si>
  <si>
    <t>16/11/2025 21:15</t>
  </si>
  <si>
    <t>16/11/2025 21:30</t>
  </si>
  <si>
    <t>16/11/2025 21:45</t>
  </si>
  <si>
    <t>16/11/2025 22:00</t>
  </si>
  <si>
    <t>16/11/2025 22:15</t>
  </si>
  <si>
    <t>16/11/2025 22:30</t>
  </si>
  <si>
    <t>16/11/2025 22:45</t>
  </si>
  <si>
    <t>16/11/2025 23:00</t>
  </si>
  <si>
    <t>16/11/2025 23:15</t>
  </si>
  <si>
    <t>16/11/2025 23:30</t>
  </si>
  <si>
    <t>16/11/2025 23:45</t>
  </si>
  <si>
    <t>16/11/2025 24:00</t>
  </si>
  <si>
    <t>17/11/2025 00:15</t>
  </si>
  <si>
    <t>17/11/2025 00:30</t>
  </si>
  <si>
    <t>17/11/2025 00:45</t>
  </si>
  <si>
    <t>17/11/2025 01:00</t>
  </si>
  <si>
    <t>17/11/2025 01:15</t>
  </si>
  <si>
    <t>17/11/2025 01:30</t>
  </si>
  <si>
    <t>17/11/2025 01:45</t>
  </si>
  <si>
    <t>17/11/2025 02:00</t>
  </si>
  <si>
    <t>17/11/2025 02:15</t>
  </si>
  <si>
    <t>17/11/2025 02:30</t>
  </si>
  <si>
    <t>17/11/2025 02:45</t>
  </si>
  <si>
    <t>17/11/2025 03:00</t>
  </si>
  <si>
    <t>17/11/2025 03:15</t>
  </si>
  <si>
    <t>17/11/2025 03:30</t>
  </si>
  <si>
    <t>17/11/2025 03:45</t>
  </si>
  <si>
    <t>17/11/2025 04:00</t>
  </si>
  <si>
    <t>17/11/2025 04:15</t>
  </si>
  <si>
    <t>17/11/2025 04:30</t>
  </si>
  <si>
    <t>17/11/2025 04:45</t>
  </si>
  <si>
    <t>17/11/2025 05:00</t>
  </si>
  <si>
    <t>17/11/2025 05:15</t>
  </si>
  <si>
    <t>17/11/2025 05:30</t>
  </si>
  <si>
    <t>17/11/2025 05:45</t>
  </si>
  <si>
    <t>17/11/2025 06:00</t>
  </si>
  <si>
    <t>17/11/2025 06:15</t>
  </si>
  <si>
    <t>17/11/2025 06:30</t>
  </si>
  <si>
    <t>17/11/2025 06:45</t>
  </si>
  <si>
    <t>17/11/2025 07:00</t>
  </si>
  <si>
    <t>17/11/2025 07:15</t>
  </si>
  <si>
    <t>17/11/2025 07:30</t>
  </si>
  <si>
    <t>17/11/2025 07:45</t>
  </si>
  <si>
    <t>17/11/2025 08:00</t>
  </si>
  <si>
    <t>17/11/2025 08:15</t>
  </si>
  <si>
    <t>17/11/2025 08:30</t>
  </si>
  <si>
    <t>17/11/2025 08:45</t>
  </si>
  <si>
    <t>17/11/2025 09:00</t>
  </si>
  <si>
    <t>17/11/2025 09:15</t>
  </si>
  <si>
    <t>17/11/2025 09:30</t>
  </si>
  <si>
    <t>17/11/2025 09:45</t>
  </si>
  <si>
    <t>17/11/2025 10:00</t>
  </si>
  <si>
    <t>17/11/2025 10:15</t>
  </si>
  <si>
    <t>17/11/2025 10:30</t>
  </si>
  <si>
    <t>17/11/2025 10:45</t>
  </si>
  <si>
    <t>17/11/2025 11:00</t>
  </si>
  <si>
    <t>17/11/2025 11:15</t>
  </si>
  <si>
    <t>17/11/2025 11:30</t>
  </si>
  <si>
    <t>17/11/2025 11:45</t>
  </si>
  <si>
    <t>17/11/2025 12:00</t>
  </si>
  <si>
    <t>17/11/2025 12:15</t>
  </si>
  <si>
    <t>17/11/2025 12:30</t>
  </si>
  <si>
    <t>17/11/2025 12:45</t>
  </si>
  <si>
    <t>17/11/2025 13:00</t>
  </si>
  <si>
    <t>17/11/2025 13:15</t>
  </si>
  <si>
    <t>17/11/2025 13:30</t>
  </si>
  <si>
    <t>17/11/2025 13:45</t>
  </si>
  <si>
    <t>17/11/2025 14:00</t>
  </si>
  <si>
    <t>17/11/2025 14:15</t>
  </si>
  <si>
    <t>17/11/2025 14:30</t>
  </si>
  <si>
    <t>17/11/2025 14:45</t>
  </si>
  <si>
    <t>17/11/2025 15:00</t>
  </si>
  <si>
    <t>17/11/2025 15:15</t>
  </si>
  <si>
    <t>17/11/2025 15:30</t>
  </si>
  <si>
    <t>17/11/2025 15:45</t>
  </si>
  <si>
    <t>17/11/2025 16:00</t>
  </si>
  <si>
    <t>17/11/2025 16:15</t>
  </si>
  <si>
    <t>17/11/2025 16:30</t>
  </si>
  <si>
    <t>17/11/2025 16:45</t>
  </si>
  <si>
    <t>17/11/2025 17:00</t>
  </si>
  <si>
    <t>17/11/2025 17:15</t>
  </si>
  <si>
    <t>17/11/2025 17:30</t>
  </si>
  <si>
    <t>17/11/2025 17:45</t>
  </si>
  <si>
    <t>17/11/2025 18:00</t>
  </si>
  <si>
    <t>17/11/2025 18:15</t>
  </si>
  <si>
    <t>17/11/2025 18:30</t>
  </si>
  <si>
    <t>17/11/2025 18:45</t>
  </si>
  <si>
    <t>17/11/2025 19:00</t>
  </si>
  <si>
    <t>17/11/2025 19:15</t>
  </si>
  <si>
    <t>17/11/2025 19:30</t>
  </si>
  <si>
    <t>17/11/2025 19:45</t>
  </si>
  <si>
    <t>17/11/2025 20:00</t>
  </si>
  <si>
    <t>17/11/2025 20:15</t>
  </si>
  <si>
    <t>17/11/2025 20:30</t>
  </si>
  <si>
    <t>17/11/2025 20:45</t>
  </si>
  <si>
    <t>17/11/2025 21:00</t>
  </si>
  <si>
    <t>17/11/2025 21:15</t>
  </si>
  <si>
    <t>17/11/2025 21:30</t>
  </si>
  <si>
    <t>17/11/2025 21:45</t>
  </si>
  <si>
    <t>17/11/2025 22:00</t>
  </si>
  <si>
    <t>17/11/2025 22:15</t>
  </si>
  <si>
    <t>17/11/2025 22:30</t>
  </si>
  <si>
    <t>17/11/2025 22:45</t>
  </si>
  <si>
    <t>17/11/2025 23:00</t>
  </si>
  <si>
    <t>17/11/2025 23:15</t>
  </si>
  <si>
    <t>17/11/2025 23:30</t>
  </si>
  <si>
    <t>17/11/2025 23:45</t>
  </si>
  <si>
    <t>17/11/2025 24:00</t>
  </si>
  <si>
    <t>18/11/2025 00:15</t>
  </si>
  <si>
    <t>18/11/2025 00:30</t>
  </si>
  <si>
    <t>18/11/2025 00:45</t>
  </si>
  <si>
    <t>18/11/2025 01:00</t>
  </si>
  <si>
    <t>18/11/2025 01:15</t>
  </si>
  <si>
    <t>18/11/2025 01:30</t>
  </si>
  <si>
    <t>18/11/2025 01:45</t>
  </si>
  <si>
    <t>18/11/2025 02:00</t>
  </si>
  <si>
    <t>18/11/2025 02:15</t>
  </si>
  <si>
    <t>18/11/2025 02:30</t>
  </si>
  <si>
    <t>18/11/2025 02:45</t>
  </si>
  <si>
    <t>18/11/2025 03:00</t>
  </si>
  <si>
    <t>18/11/2025 03:15</t>
  </si>
  <si>
    <t>18/11/2025 03:30</t>
  </si>
  <si>
    <t>18/11/2025 03:45</t>
  </si>
  <si>
    <t>18/11/2025 04:00</t>
  </si>
  <si>
    <t>18/11/2025 04:15</t>
  </si>
  <si>
    <t>18/11/2025 04:30</t>
  </si>
  <si>
    <t>18/11/2025 04:45</t>
  </si>
  <si>
    <t>18/11/2025 05:00</t>
  </si>
  <si>
    <t>18/11/2025 05:15</t>
  </si>
  <si>
    <t>18/11/2025 05:30</t>
  </si>
  <si>
    <t>18/11/2025 05:45</t>
  </si>
  <si>
    <t>18/11/2025 06:00</t>
  </si>
  <si>
    <t>18/11/2025 06:15</t>
  </si>
  <si>
    <t>18/11/2025 06:30</t>
  </si>
  <si>
    <t>18/11/2025 06:45</t>
  </si>
  <si>
    <t>18/11/2025 07:00</t>
  </si>
  <si>
    <t>18/11/2025 07:15</t>
  </si>
  <si>
    <t>18/11/2025 07:30</t>
  </si>
  <si>
    <t>18/11/2025 07:45</t>
  </si>
  <si>
    <t>18/11/2025 08:00</t>
  </si>
  <si>
    <t>18/11/2025 08:15</t>
  </si>
  <si>
    <t>18/11/2025 08:30</t>
  </si>
  <si>
    <t>18/11/2025 08:45</t>
  </si>
  <si>
    <t>18/11/2025 09:00</t>
  </si>
  <si>
    <t>18/11/2025 09:15</t>
  </si>
  <si>
    <t>18/11/2025 09:30</t>
  </si>
  <si>
    <t>18/11/2025 09:45</t>
  </si>
  <si>
    <t>18/11/2025 10:00</t>
  </si>
  <si>
    <t>18/11/2025 10:15</t>
  </si>
  <si>
    <t>18/11/2025 10:30</t>
  </si>
  <si>
    <t>18/11/2025 10:45</t>
  </si>
  <si>
    <t>18/11/2025 11:00</t>
  </si>
  <si>
    <t>18/11/2025 11:15</t>
  </si>
  <si>
    <t>18/11/2025 11:30</t>
  </si>
  <si>
    <t>18/11/2025 11:45</t>
  </si>
  <si>
    <t>18/11/2025 12:00</t>
  </si>
  <si>
    <t>18/11/2025 12:15</t>
  </si>
  <si>
    <t>18/11/2025 12:30</t>
  </si>
  <si>
    <t>18/11/2025 12:45</t>
  </si>
  <si>
    <t>18/11/2025 13:00</t>
  </si>
  <si>
    <t>18/11/2025 13:15</t>
  </si>
  <si>
    <t>18/11/2025 13:30</t>
  </si>
  <si>
    <t>18/11/2025 13:45</t>
  </si>
  <si>
    <t>18/11/2025 14:00</t>
  </si>
  <si>
    <t>18/11/2025 14:15</t>
  </si>
  <si>
    <t>18/11/2025 14:30</t>
  </si>
  <si>
    <t>18/11/2025 14:45</t>
  </si>
  <si>
    <t>18/11/2025 15:00</t>
  </si>
  <si>
    <t>18/11/2025 15:15</t>
  </si>
  <si>
    <t>18/11/2025 15:30</t>
  </si>
  <si>
    <t>18/11/2025 15:45</t>
  </si>
  <si>
    <t>18/11/2025 16:00</t>
  </si>
  <si>
    <t>18/11/2025 16:15</t>
  </si>
  <si>
    <t>18/11/2025 16:30</t>
  </si>
  <si>
    <t>18/11/2025 16:45</t>
  </si>
  <si>
    <t>18/11/2025 17:00</t>
  </si>
  <si>
    <t>18/11/2025 17:15</t>
  </si>
  <si>
    <t>18/11/2025 17:30</t>
  </si>
  <si>
    <t>18/11/2025 17:45</t>
  </si>
  <si>
    <t>18/11/2025 18:00</t>
  </si>
  <si>
    <t>18/11/2025 18:15</t>
  </si>
  <si>
    <t>18/11/2025 18:30</t>
  </si>
  <si>
    <t>18/11/2025 18:45</t>
  </si>
  <si>
    <t>18/11/2025 19:00</t>
  </si>
  <si>
    <t>18/11/2025 19:15</t>
  </si>
  <si>
    <t>18/11/2025 19:30</t>
  </si>
  <si>
    <t>18/11/2025 19:45</t>
  </si>
  <si>
    <t>18/11/2025 20:00</t>
  </si>
  <si>
    <t>18/11/2025 20:15</t>
  </si>
  <si>
    <t>18/11/2025 20:30</t>
  </si>
  <si>
    <t>18/11/2025 20:45</t>
  </si>
  <si>
    <t>18/11/2025 21:00</t>
  </si>
  <si>
    <t>18/11/2025 21:15</t>
  </si>
  <si>
    <t>18/11/2025 21:30</t>
  </si>
  <si>
    <t>18/11/2025 21:45</t>
  </si>
  <si>
    <t>18/11/2025 22:00</t>
  </si>
  <si>
    <t>18/11/2025 22:15</t>
  </si>
  <si>
    <t>18/11/2025 22:30</t>
  </si>
  <si>
    <t>18/11/2025 22:45</t>
  </si>
  <si>
    <t>18/11/2025 23:00</t>
  </si>
  <si>
    <t>18/11/2025 23:15</t>
  </si>
  <si>
    <t>18/11/2025 23:30</t>
  </si>
  <si>
    <t>18/11/2025 23:45</t>
  </si>
  <si>
    <t>18/11/2025 24:00</t>
  </si>
  <si>
    <t>19/11/2025 00:15</t>
  </si>
  <si>
    <t>19/11/2025 00:30</t>
  </si>
  <si>
    <t>19/11/2025 00:45</t>
  </si>
  <si>
    <t>19/11/2025 01:00</t>
  </si>
  <si>
    <t>19/11/2025 01:15</t>
  </si>
  <si>
    <t>19/11/2025 01:30</t>
  </si>
  <si>
    <t>19/11/2025 01:45</t>
  </si>
  <si>
    <t>19/11/2025 02:00</t>
  </si>
  <si>
    <t>19/11/2025 02:15</t>
  </si>
  <si>
    <t>19/11/2025 02:30</t>
  </si>
  <si>
    <t>19/11/2025 02:45</t>
  </si>
  <si>
    <t>19/11/2025 03:00</t>
  </si>
  <si>
    <t>19/11/2025 03:15</t>
  </si>
  <si>
    <t>19/11/2025 03:30</t>
  </si>
  <si>
    <t>19/11/2025 03:45</t>
  </si>
  <si>
    <t>19/11/2025 04:00</t>
  </si>
  <si>
    <t>19/11/2025 04:15</t>
  </si>
  <si>
    <t>19/11/2025 04:30</t>
  </si>
  <si>
    <t>19/11/2025 04:45</t>
  </si>
  <si>
    <t>19/11/2025 05:00</t>
  </si>
  <si>
    <t>19/11/2025 05:15</t>
  </si>
  <si>
    <t>19/11/2025 05:30</t>
  </si>
  <si>
    <t>19/11/2025 05:45</t>
  </si>
  <si>
    <t>19/11/2025 06:00</t>
  </si>
  <si>
    <t>19/11/2025 06:15</t>
  </si>
  <si>
    <t>19/11/2025 06:30</t>
  </si>
  <si>
    <t>19/11/2025 06:45</t>
  </si>
  <si>
    <t>19/11/2025 07:00</t>
  </si>
  <si>
    <t>19/11/2025 07:15</t>
  </si>
  <si>
    <t>19/11/2025 07:30</t>
  </si>
  <si>
    <t>19/11/2025 07:45</t>
  </si>
  <si>
    <t>19/11/2025 08:00</t>
  </si>
  <si>
    <t>19/11/2025 08:15</t>
  </si>
  <si>
    <t>19/11/2025 08:30</t>
  </si>
  <si>
    <t>19/11/2025 08:45</t>
  </si>
  <si>
    <t>19/11/2025 09:00</t>
  </si>
  <si>
    <t>19/11/2025 09:15</t>
  </si>
  <si>
    <t>19/11/2025 09:30</t>
  </si>
  <si>
    <t>19/11/2025 09:45</t>
  </si>
  <si>
    <t>19/11/2025 10:00</t>
  </si>
  <si>
    <t>19/11/2025 10:15</t>
  </si>
  <si>
    <t>19/11/2025 10:30</t>
  </si>
  <si>
    <t>19/11/2025 10:45</t>
  </si>
  <si>
    <t>19/11/2025 11:00</t>
  </si>
  <si>
    <t>19/11/2025 11:15</t>
  </si>
  <si>
    <t>19/11/2025 11:30</t>
  </si>
  <si>
    <t>19/11/2025 11:45</t>
  </si>
  <si>
    <t>19/11/2025 12:00</t>
  </si>
  <si>
    <t>19/11/2025 12:15</t>
  </si>
  <si>
    <t>19/11/2025 12:30</t>
  </si>
  <si>
    <t>19/11/2025 12:45</t>
  </si>
  <si>
    <t>19/11/2025 13:00</t>
  </si>
  <si>
    <t>19/11/2025 13:15</t>
  </si>
  <si>
    <t>19/11/2025 13:30</t>
  </si>
  <si>
    <t>19/11/2025 13:45</t>
  </si>
  <si>
    <t>19/11/2025 14:00</t>
  </si>
  <si>
    <t>19/11/2025 14:15</t>
  </si>
  <si>
    <t>19/11/2025 14:30</t>
  </si>
  <si>
    <t>19/11/2025 14:45</t>
  </si>
  <si>
    <t>19/11/2025 15:00</t>
  </si>
  <si>
    <t>19/11/2025 15:15</t>
  </si>
  <si>
    <t>19/11/2025 15:30</t>
  </si>
  <si>
    <t>19/11/2025 15:45</t>
  </si>
  <si>
    <t>19/11/2025 16:00</t>
  </si>
  <si>
    <t>19/11/2025 16:15</t>
  </si>
  <si>
    <t>19/11/2025 16:30</t>
  </si>
  <si>
    <t>19/11/2025 16:45</t>
  </si>
  <si>
    <t>19/11/2025 17:00</t>
  </si>
  <si>
    <t>19/11/2025 17:15</t>
  </si>
  <si>
    <t>19/11/2025 17:30</t>
  </si>
  <si>
    <t>19/11/2025 17:45</t>
  </si>
  <si>
    <t>19/11/2025 18:00</t>
  </si>
  <si>
    <t>19/11/2025 18:15</t>
  </si>
  <si>
    <t>19/11/2025 18:30</t>
  </si>
  <si>
    <t>19/11/2025 18:45</t>
  </si>
  <si>
    <t>19/11/2025 19:00</t>
  </si>
  <si>
    <t>19/11/2025 19:15</t>
  </si>
  <si>
    <t>19/11/2025 19:30</t>
  </si>
  <si>
    <t>19/11/2025 19:45</t>
  </si>
  <si>
    <t>19/11/2025 20:00</t>
  </si>
  <si>
    <t>19/11/2025 20:15</t>
  </si>
  <si>
    <t>19/11/2025 20:30</t>
  </si>
  <si>
    <t>19/11/2025 20:45</t>
  </si>
  <si>
    <t>19/11/2025 21:00</t>
  </si>
  <si>
    <t>19/11/2025 21:15</t>
  </si>
  <si>
    <t>19/11/2025 21:30</t>
  </si>
  <si>
    <t>19/11/2025 21:45</t>
  </si>
  <si>
    <t>19/11/2025 22:00</t>
  </si>
  <si>
    <t>19/11/2025 22:15</t>
  </si>
  <si>
    <t>19/11/2025 22:30</t>
  </si>
  <si>
    <t>19/11/2025 22:45</t>
  </si>
  <si>
    <t>19/11/2025 23:00</t>
  </si>
  <si>
    <t>19/11/2025 23:15</t>
  </si>
  <si>
    <t>19/11/2025 23:30</t>
  </si>
  <si>
    <t>19/11/2025 23:45</t>
  </si>
  <si>
    <t>19/11/2025 24:00</t>
  </si>
  <si>
    <t>20/11/2025 00:15</t>
  </si>
  <si>
    <t>20/11/2025 00:30</t>
  </si>
  <si>
    <t>20/11/2025 00:45</t>
  </si>
  <si>
    <t>20/11/2025 01:00</t>
  </si>
  <si>
    <t>20/11/2025 01:15</t>
  </si>
  <si>
    <t>20/11/2025 01:30</t>
  </si>
  <si>
    <t>20/11/2025 01:45</t>
  </si>
  <si>
    <t>20/11/2025 02:00</t>
  </si>
  <si>
    <t>20/11/2025 02:15</t>
  </si>
  <si>
    <t>20/11/2025 02:30</t>
  </si>
  <si>
    <t>20/11/2025 02:45</t>
  </si>
  <si>
    <t>20/11/2025 03:00</t>
  </si>
  <si>
    <t>20/11/2025 03:15</t>
  </si>
  <si>
    <t>20/11/2025 03:30</t>
  </si>
  <si>
    <t>20/11/2025 03:45</t>
  </si>
  <si>
    <t>20/11/2025 04:00</t>
  </si>
  <si>
    <t>20/11/2025 04:15</t>
  </si>
  <si>
    <t>20/11/2025 04:30</t>
  </si>
  <si>
    <t>20/11/2025 04:45</t>
  </si>
  <si>
    <t>20/11/2025 05:00</t>
  </si>
  <si>
    <t>20/11/2025 05:15</t>
  </si>
  <si>
    <t>20/11/2025 05:30</t>
  </si>
  <si>
    <t>20/11/2025 05:45</t>
  </si>
  <si>
    <t>20/11/2025 06:00</t>
  </si>
  <si>
    <t>20/11/2025 06:15</t>
  </si>
  <si>
    <t>20/11/2025 06:30</t>
  </si>
  <si>
    <t>20/11/2025 06:45</t>
  </si>
  <si>
    <t>20/11/2025 07:00</t>
  </si>
  <si>
    <t>20/11/2025 07:15</t>
  </si>
  <si>
    <t>20/11/2025 07:30</t>
  </si>
  <si>
    <t>20/11/2025 07:45</t>
  </si>
  <si>
    <t>20/11/2025 08:00</t>
  </si>
  <si>
    <t>20/11/2025 08:15</t>
  </si>
  <si>
    <t>20/11/2025 08:30</t>
  </si>
  <si>
    <t>20/11/2025 08:45</t>
  </si>
  <si>
    <t>20/11/2025 09:00</t>
  </si>
  <si>
    <t>20/11/2025 09:15</t>
  </si>
  <si>
    <t>20/11/2025 09:30</t>
  </si>
  <si>
    <t>20/11/2025 09:45</t>
  </si>
  <si>
    <t>20/11/2025 10:00</t>
  </si>
  <si>
    <t>20/11/2025 10:15</t>
  </si>
  <si>
    <t>20/11/2025 10:30</t>
  </si>
  <si>
    <t>20/11/2025 10:45</t>
  </si>
  <si>
    <t>20/11/2025 11:00</t>
  </si>
  <si>
    <t>20/11/2025 11:15</t>
  </si>
  <si>
    <t>20/11/2025 11:30</t>
  </si>
  <si>
    <t>20/11/2025 11:45</t>
  </si>
  <si>
    <t>20/11/2025 12:00</t>
  </si>
  <si>
    <t>20/11/2025 12:15</t>
  </si>
  <si>
    <t>20/11/2025 12:30</t>
  </si>
  <si>
    <t>20/11/2025 12:45</t>
  </si>
  <si>
    <t>20/11/2025 13:00</t>
  </si>
  <si>
    <t>20/11/2025 13:15</t>
  </si>
  <si>
    <t>20/11/2025 13:30</t>
  </si>
  <si>
    <t>20/11/2025 13:45</t>
  </si>
  <si>
    <t>20/11/2025 14:00</t>
  </si>
  <si>
    <t>20/11/2025 14:15</t>
  </si>
  <si>
    <t>20/11/2025 14:30</t>
  </si>
  <si>
    <t>20/11/2025 14:45</t>
  </si>
  <si>
    <t>20/11/2025 15:00</t>
  </si>
  <si>
    <t>20/11/2025 15:15</t>
  </si>
  <si>
    <t>20/11/2025 15:30</t>
  </si>
  <si>
    <t>20/11/2025 15:45</t>
  </si>
  <si>
    <t>20/11/2025 16:00</t>
  </si>
  <si>
    <t>20/11/2025 16:15</t>
  </si>
  <si>
    <t>20/11/2025 16:30</t>
  </si>
  <si>
    <t>20/11/2025 16:45</t>
  </si>
  <si>
    <t>20/11/2025 17:00</t>
  </si>
  <si>
    <t>20/11/2025 17:15</t>
  </si>
  <si>
    <t>20/11/2025 17:30</t>
  </si>
  <si>
    <t>20/11/2025 17:45</t>
  </si>
  <si>
    <t>20/11/2025 18:00</t>
  </si>
  <si>
    <t>20/11/2025 18:15</t>
  </si>
  <si>
    <t>20/11/2025 18:30</t>
  </si>
  <si>
    <t>20/11/2025 18:45</t>
  </si>
  <si>
    <t>20/11/2025 19:00</t>
  </si>
  <si>
    <t>20/11/2025 19:15</t>
  </si>
  <si>
    <t>20/11/2025 19:30</t>
  </si>
  <si>
    <t>20/11/2025 19:45</t>
  </si>
  <si>
    <t>20/11/2025 20:00</t>
  </si>
  <si>
    <t>20/11/2025 20:15</t>
  </si>
  <si>
    <t>20/11/2025 20:30</t>
  </si>
  <si>
    <t>20/11/2025 20:45</t>
  </si>
  <si>
    <t>20/11/2025 21:00</t>
  </si>
  <si>
    <t>20/11/2025 21:15</t>
  </si>
  <si>
    <t>20/11/2025 21:30</t>
  </si>
  <si>
    <t>20/11/2025 21:45</t>
  </si>
  <si>
    <t>20/11/2025 22:00</t>
  </si>
  <si>
    <t>20/11/2025 22:15</t>
  </si>
  <si>
    <t>20/11/2025 22:30</t>
  </si>
  <si>
    <t>20/11/2025 22:45</t>
  </si>
  <si>
    <t>20/11/2025 23:00</t>
  </si>
  <si>
    <t>20/11/2025 23:15</t>
  </si>
  <si>
    <t>20/11/2025 23:30</t>
  </si>
  <si>
    <t>20/11/2025 23:45</t>
  </si>
  <si>
    <t>20/11/2025 24:00</t>
  </si>
  <si>
    <t>21/11/2025 00:15</t>
  </si>
  <si>
    <t>21/11/2025 00:30</t>
  </si>
  <si>
    <t>21/11/2025 00:45</t>
  </si>
  <si>
    <t>21/11/2025 01:00</t>
  </si>
  <si>
    <t>21/11/2025 01:15</t>
  </si>
  <si>
    <t>21/11/2025 01:30</t>
  </si>
  <si>
    <t>21/11/2025 01:45</t>
  </si>
  <si>
    <t>21/11/2025 02:00</t>
  </si>
  <si>
    <t>21/11/2025 02:15</t>
  </si>
  <si>
    <t>21/11/2025 02:30</t>
  </si>
  <si>
    <t>21/11/2025 02:45</t>
  </si>
  <si>
    <t>21/11/2025 03:00</t>
  </si>
  <si>
    <t>21/11/2025 03:15</t>
  </si>
  <si>
    <t>21/11/2025 03:30</t>
  </si>
  <si>
    <t>21/11/2025 03:45</t>
  </si>
  <si>
    <t>21/11/2025 04:00</t>
  </si>
  <si>
    <t>21/11/2025 04:15</t>
  </si>
  <si>
    <t>21/11/2025 04:30</t>
  </si>
  <si>
    <t>21/11/2025 04:45</t>
  </si>
  <si>
    <t>21/11/2025 05:00</t>
  </si>
  <si>
    <t>21/11/2025 05:15</t>
  </si>
  <si>
    <t>21/11/2025 05:30</t>
  </si>
  <si>
    <t>21/11/2025 05:45</t>
  </si>
  <si>
    <t>21/11/2025 06:00</t>
  </si>
  <si>
    <t>21/11/2025 06:15</t>
  </si>
  <si>
    <t>21/11/2025 06:30</t>
  </si>
  <si>
    <t>21/11/2025 06:45</t>
  </si>
  <si>
    <t>21/11/2025 07:00</t>
  </si>
  <si>
    <t>21/11/2025 07:15</t>
  </si>
  <si>
    <t>21/11/2025 07:30</t>
  </si>
  <si>
    <t>21/11/2025 07:45</t>
  </si>
  <si>
    <t>21/11/2025 08:00</t>
  </si>
  <si>
    <t>21/11/2025 08:15</t>
  </si>
  <si>
    <t>21/11/2025 08:30</t>
  </si>
  <si>
    <t>21/11/2025 08:45</t>
  </si>
  <si>
    <t>21/11/2025 09:00</t>
  </si>
  <si>
    <t>21/11/2025 09:15</t>
  </si>
  <si>
    <t>21/11/2025 09:30</t>
  </si>
  <si>
    <t>21/11/2025 09:45</t>
  </si>
  <si>
    <t>21/11/2025 10:00</t>
  </si>
  <si>
    <t>21/11/2025 10:15</t>
  </si>
  <si>
    <t>21/11/2025 10:30</t>
  </si>
  <si>
    <t>21/11/2025 10:45</t>
  </si>
  <si>
    <t>21/11/2025 11:00</t>
  </si>
  <si>
    <t>21/11/2025 11:15</t>
  </si>
  <si>
    <t>21/11/2025 11:30</t>
  </si>
  <si>
    <t>21/11/2025 11:45</t>
  </si>
  <si>
    <t>21/11/2025 12:00</t>
  </si>
  <si>
    <t>21/11/2025 12:15</t>
  </si>
  <si>
    <t>21/11/2025 12:30</t>
  </si>
  <si>
    <t>21/11/2025 12:45</t>
  </si>
  <si>
    <t>21/11/2025 13:00</t>
  </si>
  <si>
    <t>21/11/2025 13:15</t>
  </si>
  <si>
    <t>21/11/2025 13:30</t>
  </si>
  <si>
    <t>21/11/2025 13:45</t>
  </si>
  <si>
    <t>21/11/2025 14:00</t>
  </si>
  <si>
    <t>21/11/2025 14:15</t>
  </si>
  <si>
    <t>21/11/2025 14:30</t>
  </si>
  <si>
    <t>21/11/2025 14:45</t>
  </si>
  <si>
    <t>21/11/2025 15:00</t>
  </si>
  <si>
    <t>21/11/2025 15:15</t>
  </si>
  <si>
    <t>21/11/2025 15:30</t>
  </si>
  <si>
    <t>21/11/2025 15:45</t>
  </si>
  <si>
    <t>21/11/2025 16:00</t>
  </si>
  <si>
    <t>21/11/2025 16:15</t>
  </si>
  <si>
    <t>21/11/2025 16:30</t>
  </si>
  <si>
    <t>21/11/2025 16:45</t>
  </si>
  <si>
    <t>21/11/2025 17:00</t>
  </si>
  <si>
    <t>21/11/2025 17:15</t>
  </si>
  <si>
    <t>21/11/2025 17:30</t>
  </si>
  <si>
    <t>21/11/2025 17:45</t>
  </si>
  <si>
    <t>21/11/2025 18:00</t>
  </si>
  <si>
    <t>21/11/2025 18:15</t>
  </si>
  <si>
    <t>21/11/2025 18:30</t>
  </si>
  <si>
    <t>21/11/2025 18:45</t>
  </si>
  <si>
    <t>21/11/2025 19:00</t>
  </si>
  <si>
    <t>21/11/2025 19:15</t>
  </si>
  <si>
    <t>21/11/2025 19:30</t>
  </si>
  <si>
    <t>21/11/2025 19:45</t>
  </si>
  <si>
    <t>21/11/2025 20:00</t>
  </si>
  <si>
    <t>21/11/2025 20:15</t>
  </si>
  <si>
    <t>21/11/2025 20:30</t>
  </si>
  <si>
    <t>21/11/2025 20:45</t>
  </si>
  <si>
    <t>21/11/2025 21:00</t>
  </si>
  <si>
    <t>21/11/2025 21:15</t>
  </si>
  <si>
    <t>21/11/2025 21:30</t>
  </si>
  <si>
    <t>21/11/2025 21:45</t>
  </si>
  <si>
    <t>21/11/2025 22:00</t>
  </si>
  <si>
    <t>21/11/2025 22:15</t>
  </si>
  <si>
    <t>21/11/2025 22:30</t>
  </si>
  <si>
    <t>21/11/2025 22:45</t>
  </si>
  <si>
    <t>21/11/2025 23:00</t>
  </si>
  <si>
    <t>21/11/2025 23:15</t>
  </si>
  <si>
    <t>21/11/2025 23:30</t>
  </si>
  <si>
    <t>21/11/2025 23:45</t>
  </si>
  <si>
    <t>21/11/2025 24:00</t>
  </si>
  <si>
    <t>22/11/2025 00:15</t>
  </si>
  <si>
    <t>22/11/2025 00:30</t>
  </si>
  <si>
    <t>22/11/2025 00:45</t>
  </si>
  <si>
    <t>22/11/2025 01:00</t>
  </si>
  <si>
    <t>22/11/2025 01:15</t>
  </si>
  <si>
    <t>22/11/2025 01:30</t>
  </si>
  <si>
    <t>22/11/2025 01:45</t>
  </si>
  <si>
    <t>22/11/2025 02:00</t>
  </si>
  <si>
    <t>22/11/2025 02:15</t>
  </si>
  <si>
    <t>22/11/2025 02:30</t>
  </si>
  <si>
    <t>22/11/2025 02:45</t>
  </si>
  <si>
    <t>22/11/2025 03:00</t>
  </si>
  <si>
    <t>22/11/2025 03:15</t>
  </si>
  <si>
    <t>22/11/2025 03:30</t>
  </si>
  <si>
    <t>22/11/2025 03:45</t>
  </si>
  <si>
    <t>22/11/2025 04:00</t>
  </si>
  <si>
    <t>22/11/2025 04:15</t>
  </si>
  <si>
    <t>22/11/2025 04:30</t>
  </si>
  <si>
    <t>22/11/2025 04:45</t>
  </si>
  <si>
    <t>22/11/2025 05:00</t>
  </si>
  <si>
    <t>22/11/2025 05:15</t>
  </si>
  <si>
    <t>22/11/2025 05:30</t>
  </si>
  <si>
    <t>22/11/2025 05:45</t>
  </si>
  <si>
    <t>22/11/2025 06:00</t>
  </si>
  <si>
    <t>22/11/2025 06:15</t>
  </si>
  <si>
    <t>22/11/2025 06:30</t>
  </si>
  <si>
    <t>22/11/2025 06:45</t>
  </si>
  <si>
    <t>22/11/2025 07:00</t>
  </si>
  <si>
    <t>22/11/2025 07:15</t>
  </si>
  <si>
    <t>22/11/2025 07:30</t>
  </si>
  <si>
    <t>22/11/2025 07:45</t>
  </si>
  <si>
    <t>22/11/2025 08:00</t>
  </si>
  <si>
    <t>22/11/2025 08:15</t>
  </si>
  <si>
    <t>22/11/2025 08:30</t>
  </si>
  <si>
    <t>22/11/2025 08:45</t>
  </si>
  <si>
    <t>22/11/2025 09:00</t>
  </si>
  <si>
    <t>22/11/2025 09:15</t>
  </si>
  <si>
    <t>22/11/2025 09:30</t>
  </si>
  <si>
    <t>22/11/2025 09:45</t>
  </si>
  <si>
    <t>22/11/2025 10:00</t>
  </si>
  <si>
    <t>22/11/2025 10:15</t>
  </si>
  <si>
    <t>22/11/2025 10:30</t>
  </si>
  <si>
    <t>22/11/2025 10:45</t>
  </si>
  <si>
    <t>22/11/2025 11:00</t>
  </si>
  <si>
    <t>22/11/2025 11:15</t>
  </si>
  <si>
    <t>22/11/2025 11:30</t>
  </si>
  <si>
    <t>22/11/2025 11:45</t>
  </si>
  <si>
    <t>22/11/2025 12:00</t>
  </si>
  <si>
    <t>22/11/2025 12:15</t>
  </si>
  <si>
    <t>22/11/2025 12:30</t>
  </si>
  <si>
    <t>22/11/2025 12:45</t>
  </si>
  <si>
    <t>22/11/2025 13:00</t>
  </si>
  <si>
    <t>22/11/2025 13:15</t>
  </si>
  <si>
    <t>22/11/2025 13:30</t>
  </si>
  <si>
    <t>22/11/2025 13:45</t>
  </si>
  <si>
    <t>22/11/2025 14:00</t>
  </si>
  <si>
    <t>22/11/2025 14:15</t>
  </si>
  <si>
    <t>22/11/2025 14:30</t>
  </si>
  <si>
    <t>22/11/2025 14:45</t>
  </si>
  <si>
    <t>22/11/2025 15:00</t>
  </si>
  <si>
    <t>22/11/2025 15:15</t>
  </si>
  <si>
    <t>22/11/2025 15:30</t>
  </si>
  <si>
    <t>22/11/2025 15:45</t>
  </si>
  <si>
    <t>22/11/2025 16:00</t>
  </si>
  <si>
    <t>22/11/2025 16:15</t>
  </si>
  <si>
    <t>22/11/2025 16:30</t>
  </si>
  <si>
    <t>22/11/2025 16:45</t>
  </si>
  <si>
    <t>22/11/2025 17:00</t>
  </si>
  <si>
    <t>22/11/2025 17:15</t>
  </si>
  <si>
    <t>22/11/2025 17:30</t>
  </si>
  <si>
    <t>22/11/2025 17:45</t>
  </si>
  <si>
    <t>22/11/2025 18:00</t>
  </si>
  <si>
    <t>22/11/2025 18:15</t>
  </si>
  <si>
    <t>22/11/2025 18:30</t>
  </si>
  <si>
    <t>22/11/2025 18:45</t>
  </si>
  <si>
    <t>22/11/2025 19:00</t>
  </si>
  <si>
    <t>22/11/2025 19:15</t>
  </si>
  <si>
    <t>22/11/2025 19:30</t>
  </si>
  <si>
    <t>22/11/2025 19:45</t>
  </si>
  <si>
    <t>22/11/2025 20:00</t>
  </si>
  <si>
    <t>22/11/2025 20:15</t>
  </si>
  <si>
    <t>22/11/2025 20:30</t>
  </si>
  <si>
    <t>22/11/2025 20:45</t>
  </si>
  <si>
    <t>22/11/2025 21:00</t>
  </si>
  <si>
    <t>22/11/2025 21:15</t>
  </si>
  <si>
    <t>22/11/2025 21:30</t>
  </si>
  <si>
    <t>22/11/2025 21:45</t>
  </si>
  <si>
    <t>22/11/2025 22:00</t>
  </si>
  <si>
    <t>22/11/2025 22:15</t>
  </si>
  <si>
    <t>22/11/2025 22:30</t>
  </si>
  <si>
    <t>22/11/2025 22:45</t>
  </si>
  <si>
    <t>22/11/2025 23:00</t>
  </si>
  <si>
    <t>22/11/2025 23:15</t>
  </si>
  <si>
    <t>22/11/2025 23:30</t>
  </si>
  <si>
    <t>22/11/2025 23:45</t>
  </si>
  <si>
    <t>22/11/2025 24:00</t>
  </si>
  <si>
    <t>23/11/2025 00:15</t>
  </si>
  <si>
    <t>23/11/2025 00:30</t>
  </si>
  <si>
    <t>23/11/2025 00:45</t>
  </si>
  <si>
    <t>23/11/2025 01:00</t>
  </si>
  <si>
    <t>23/11/2025 01:15</t>
  </si>
  <si>
    <t>23/11/2025 01:30</t>
  </si>
  <si>
    <t>23/11/2025 01:45</t>
  </si>
  <si>
    <t>23/11/2025 02:00</t>
  </si>
  <si>
    <t>23/11/2025 02:15</t>
  </si>
  <si>
    <t>23/11/2025 02:30</t>
  </si>
  <si>
    <t>23/11/2025 02:45</t>
  </si>
  <si>
    <t>23/11/2025 03:00</t>
  </si>
  <si>
    <t>23/11/2025 03:15</t>
  </si>
  <si>
    <t>23/11/2025 03:30</t>
  </si>
  <si>
    <t>23/11/2025 03:45</t>
  </si>
  <si>
    <t>23/11/2025 04:00</t>
  </si>
  <si>
    <t>23/11/2025 04:15</t>
  </si>
  <si>
    <t>23/11/2025 04:30</t>
  </si>
  <si>
    <t>23/11/2025 04:45</t>
  </si>
  <si>
    <t>23/11/2025 05:00</t>
  </si>
  <si>
    <t>23/11/2025 05:15</t>
  </si>
  <si>
    <t>23/11/2025 05:30</t>
  </si>
  <si>
    <t>23/11/2025 05:45</t>
  </si>
  <si>
    <t>23/11/2025 06:00</t>
  </si>
  <si>
    <t>23/11/2025 06:15</t>
  </si>
  <si>
    <t>23/11/2025 06:30</t>
  </si>
  <si>
    <t>23/11/2025 06:45</t>
  </si>
  <si>
    <t>23/11/2025 07:00</t>
  </si>
  <si>
    <t>23/11/2025 07:15</t>
  </si>
  <si>
    <t>23/11/2025 07:30</t>
  </si>
  <si>
    <t>23/11/2025 07:45</t>
  </si>
  <si>
    <t>23/11/2025 08:00</t>
  </si>
  <si>
    <t>23/11/2025 08:15</t>
  </si>
  <si>
    <t>23/11/2025 08:30</t>
  </si>
  <si>
    <t>23/11/2025 08:45</t>
  </si>
  <si>
    <t>23/11/2025 09:00</t>
  </si>
  <si>
    <t>23/11/2025 09:15</t>
  </si>
  <si>
    <t>23/11/2025 09:30</t>
  </si>
  <si>
    <t>23/11/2025 09:45</t>
  </si>
  <si>
    <t>23/11/2025 10:00</t>
  </si>
  <si>
    <t>23/11/2025 10:15</t>
  </si>
  <si>
    <t>23/11/2025 10:30</t>
  </si>
  <si>
    <t>23/11/2025 10:45</t>
  </si>
  <si>
    <t>23/11/2025 11:00</t>
  </si>
  <si>
    <t>23/11/2025 11:15</t>
  </si>
  <si>
    <t>23/11/2025 11:30</t>
  </si>
  <si>
    <t>23/11/2025 11:45</t>
  </si>
  <si>
    <t>23/11/2025 12:00</t>
  </si>
  <si>
    <t>23/11/2025 12:15</t>
  </si>
  <si>
    <t>23/11/2025 12:30</t>
  </si>
  <si>
    <t>23/11/2025 12:45</t>
  </si>
  <si>
    <t>23/11/2025 13:00</t>
  </si>
  <si>
    <t>23/11/2025 13:15</t>
  </si>
  <si>
    <t>23/11/2025 13:30</t>
  </si>
  <si>
    <t>23/11/2025 13:45</t>
  </si>
  <si>
    <t>23/11/2025 14:00</t>
  </si>
  <si>
    <t>23/11/2025 14:15</t>
  </si>
  <si>
    <t>23/11/2025 14:30</t>
  </si>
  <si>
    <t>23/11/2025 14:45</t>
  </si>
  <si>
    <t>23/11/2025 15:00</t>
  </si>
  <si>
    <t>23/11/2025 15:15</t>
  </si>
  <si>
    <t>23/11/2025 15:30</t>
  </si>
  <si>
    <t>23/11/2025 15:45</t>
  </si>
  <si>
    <t>23/11/2025 16:00</t>
  </si>
  <si>
    <t>23/11/2025 16:15</t>
  </si>
  <si>
    <t>23/11/2025 16:30</t>
  </si>
  <si>
    <t>23/11/2025 16:45</t>
  </si>
  <si>
    <t>23/11/2025 17:00</t>
  </si>
  <si>
    <t>23/11/2025 17:15</t>
  </si>
  <si>
    <t>23/11/2025 17:30</t>
  </si>
  <si>
    <t>23/11/2025 17:45</t>
  </si>
  <si>
    <t>23/11/2025 18:00</t>
  </si>
  <si>
    <t>23/11/2025 18:15</t>
  </si>
  <si>
    <t>23/11/2025 18:30</t>
  </si>
  <si>
    <t>23/11/2025 18:45</t>
  </si>
  <si>
    <t>23/11/2025 19:00</t>
  </si>
  <si>
    <t>23/11/2025 19:15</t>
  </si>
  <si>
    <t>23/11/2025 19:30</t>
  </si>
  <si>
    <t>23/11/2025 19:45</t>
  </si>
  <si>
    <t>23/11/2025 20:00</t>
  </si>
  <si>
    <t>23/11/2025 20:15</t>
  </si>
  <si>
    <t>23/11/2025 20:30</t>
  </si>
  <si>
    <t>23/11/2025 20:45</t>
  </si>
  <si>
    <t>23/11/2025 21:00</t>
  </si>
  <si>
    <t>23/11/2025 21:15</t>
  </si>
  <si>
    <t>23/11/2025 21:30</t>
  </si>
  <si>
    <t>23/11/2025 21:45</t>
  </si>
  <si>
    <t>23/11/2025 22:00</t>
  </si>
  <si>
    <t>23/11/2025 22:15</t>
  </si>
  <si>
    <t>23/11/2025 22:30</t>
  </si>
  <si>
    <t>23/11/2025 22:45</t>
  </si>
  <si>
    <t>23/11/2025 23:00</t>
  </si>
  <si>
    <t>23/11/2025 23:15</t>
  </si>
  <si>
    <t>23/11/2025 23:30</t>
  </si>
  <si>
    <t>23/11/2025 23:45</t>
  </si>
  <si>
    <t>23/11/2025 24:00</t>
  </si>
  <si>
    <t>24/11/2025 00:15</t>
  </si>
  <si>
    <t>24/11/2025 00:30</t>
  </si>
  <si>
    <t>24/11/2025 00:45</t>
  </si>
  <si>
    <t>24/11/2025 01:00</t>
  </si>
  <si>
    <t>24/11/2025 01:15</t>
  </si>
  <si>
    <t>24/11/2025 01:30</t>
  </si>
  <si>
    <t>24/11/2025 01:45</t>
  </si>
  <si>
    <t>24/11/2025 02:00</t>
  </si>
  <si>
    <t>24/11/2025 02:15</t>
  </si>
  <si>
    <t>24/11/2025 02:30</t>
  </si>
  <si>
    <t>24/11/2025 02:45</t>
  </si>
  <si>
    <t>24/11/2025 03:00</t>
  </si>
  <si>
    <t>24/11/2025 03:15</t>
  </si>
  <si>
    <t>24/11/2025 03:30</t>
  </si>
  <si>
    <t>24/11/2025 03:45</t>
  </si>
  <si>
    <t>24/11/2025 04:00</t>
  </si>
  <si>
    <t>24/11/2025 04:15</t>
  </si>
  <si>
    <t>24/11/2025 04:30</t>
  </si>
  <si>
    <t>24/11/2025 04:45</t>
  </si>
  <si>
    <t>24/11/2025 05:00</t>
  </si>
  <si>
    <t>24/11/2025 05:15</t>
  </si>
  <si>
    <t>24/11/2025 05:30</t>
  </si>
  <si>
    <t>24/11/2025 05:45</t>
  </si>
  <si>
    <t>24/11/2025 06:00</t>
  </si>
  <si>
    <t>24/11/2025 06:15</t>
  </si>
  <si>
    <t>24/11/2025 06:30</t>
  </si>
  <si>
    <t>24/11/2025 06:45</t>
  </si>
  <si>
    <t>24/11/2025 07:00</t>
  </si>
  <si>
    <t>24/11/2025 07:15</t>
  </si>
  <si>
    <t>24/11/2025 07:30</t>
  </si>
  <si>
    <t>24/11/2025 07:45</t>
  </si>
  <si>
    <t>24/11/2025 08:00</t>
  </si>
  <si>
    <t>24/11/2025 08:15</t>
  </si>
  <si>
    <t>24/11/2025 08:30</t>
  </si>
  <si>
    <t>24/11/2025 08:45</t>
  </si>
  <si>
    <t>24/11/2025 09:00</t>
  </si>
  <si>
    <t>24/11/2025 09:15</t>
  </si>
  <si>
    <t>24/11/2025 09:30</t>
  </si>
  <si>
    <t>24/11/2025 09:45</t>
  </si>
  <si>
    <t>24/11/2025 10:00</t>
  </si>
  <si>
    <t>24/11/2025 10:15</t>
  </si>
  <si>
    <t>24/11/2025 10:30</t>
  </si>
  <si>
    <t>24/11/2025 10:45</t>
  </si>
  <si>
    <t>24/11/2025 11:00</t>
  </si>
  <si>
    <t>24/11/2025 11:15</t>
  </si>
  <si>
    <t>24/11/2025 11:30</t>
  </si>
  <si>
    <t>24/11/2025 11:45</t>
  </si>
  <si>
    <t>24/11/2025 12:00</t>
  </si>
  <si>
    <t>24/11/2025 12:15</t>
  </si>
  <si>
    <t>24/11/2025 12:30</t>
  </si>
  <si>
    <t>24/11/2025 12:45</t>
  </si>
  <si>
    <t>24/11/2025 13:00</t>
  </si>
  <si>
    <t>24/11/2025 13:15</t>
  </si>
  <si>
    <t>24/11/2025 13:30</t>
  </si>
  <si>
    <t>24/11/2025 13:45</t>
  </si>
  <si>
    <t>24/11/2025 14:00</t>
  </si>
  <si>
    <t>24/11/2025 14:15</t>
  </si>
  <si>
    <t>24/11/2025 14:30</t>
  </si>
  <si>
    <t>24/11/2025 14:45</t>
  </si>
  <si>
    <t>24/11/2025 15:00</t>
  </si>
  <si>
    <t>24/11/2025 15:15</t>
  </si>
  <si>
    <t>24/11/2025 15:30</t>
  </si>
  <si>
    <t>24/11/2025 15:45</t>
  </si>
  <si>
    <t>24/11/2025 16:00</t>
  </si>
  <si>
    <t>24/11/2025 16:15</t>
  </si>
  <si>
    <t>24/11/2025 16:30</t>
  </si>
  <si>
    <t>24/11/2025 16:45</t>
  </si>
  <si>
    <t>24/11/2025 17:00</t>
  </si>
  <si>
    <t>24/11/2025 17:15</t>
  </si>
  <si>
    <t>24/11/2025 17:30</t>
  </si>
  <si>
    <t>24/11/2025 17:45</t>
  </si>
  <si>
    <t>24/11/2025 18:00</t>
  </si>
  <si>
    <t>24/11/2025 18:15</t>
  </si>
  <si>
    <t>24/11/2025 18:30</t>
  </si>
  <si>
    <t>24/11/2025 18:45</t>
  </si>
  <si>
    <t>24/11/2025 19:00</t>
  </si>
  <si>
    <t>24/11/2025 19:15</t>
  </si>
  <si>
    <t>24/11/2025 19:30</t>
  </si>
  <si>
    <t>24/11/2025 19:45</t>
  </si>
  <si>
    <t>24/11/2025 20:00</t>
  </si>
  <si>
    <t>24/11/2025 20:15</t>
  </si>
  <si>
    <t>24/11/2025 20:30</t>
  </si>
  <si>
    <t>24/11/2025 20:45</t>
  </si>
  <si>
    <t>24/11/2025 21:00</t>
  </si>
  <si>
    <t>24/11/2025 21:15</t>
  </si>
  <si>
    <t>24/11/2025 21:30</t>
  </si>
  <si>
    <t>24/11/2025 21:45</t>
  </si>
  <si>
    <t>24/11/2025 22:00</t>
  </si>
  <si>
    <t>24/11/2025 22:15</t>
  </si>
  <si>
    <t>24/11/2025 22:30</t>
  </si>
  <si>
    <t>24/11/2025 22:45</t>
  </si>
  <si>
    <t>24/11/2025 23:00</t>
  </si>
  <si>
    <t>24/11/2025 23:15</t>
  </si>
  <si>
    <t>24/11/2025 23:30</t>
  </si>
  <si>
    <t>24/11/2025 23:45</t>
  </si>
  <si>
    <t>24/11/2025 24:00</t>
  </si>
  <si>
    <t>25/11/2025 00:15</t>
  </si>
  <si>
    <t>25/11/2025 00:30</t>
  </si>
  <si>
    <t>25/11/2025 00:45</t>
  </si>
  <si>
    <t>25/11/2025 01:00</t>
  </si>
  <si>
    <t>25/11/2025 01:15</t>
  </si>
  <si>
    <t>25/11/2025 01:30</t>
  </si>
  <si>
    <t>25/11/2025 01:45</t>
  </si>
  <si>
    <t>25/11/2025 02:00</t>
  </si>
  <si>
    <t>25/11/2025 02:15</t>
  </si>
  <si>
    <t>25/11/2025 02:30</t>
  </si>
  <si>
    <t>25/11/2025 02:45</t>
  </si>
  <si>
    <t>25/11/2025 03:00</t>
  </si>
  <si>
    <t>25/11/2025 03:15</t>
  </si>
  <si>
    <t>25/11/2025 03:30</t>
  </si>
  <si>
    <t>25/11/2025 03:45</t>
  </si>
  <si>
    <t>25/11/2025 04:00</t>
  </si>
  <si>
    <t>25/11/2025 04:15</t>
  </si>
  <si>
    <t>25/11/2025 04:30</t>
  </si>
  <si>
    <t>25/11/2025 04:45</t>
  </si>
  <si>
    <t>25/11/2025 05:00</t>
  </si>
  <si>
    <t>25/11/2025 05:15</t>
  </si>
  <si>
    <t>25/11/2025 05:30</t>
  </si>
  <si>
    <t>25/11/2025 05:45</t>
  </si>
  <si>
    <t>25/11/2025 06:00</t>
  </si>
  <si>
    <t>25/11/2025 06:15</t>
  </si>
  <si>
    <t>25/11/2025 06:30</t>
  </si>
  <si>
    <t>25/11/2025 06:45</t>
  </si>
  <si>
    <t>25/11/2025 07:00</t>
  </si>
  <si>
    <t>25/11/2025 07:15</t>
  </si>
  <si>
    <t>25/11/2025 07:30</t>
  </si>
  <si>
    <t>25/11/2025 07:45</t>
  </si>
  <si>
    <t>25/11/2025 08:00</t>
  </si>
  <si>
    <t>25/11/2025 08:15</t>
  </si>
  <si>
    <t>25/11/2025 08:30</t>
  </si>
  <si>
    <t>25/11/2025 08:45</t>
  </si>
  <si>
    <t>25/11/2025 09:00</t>
  </si>
  <si>
    <t>25/11/2025 09:15</t>
  </si>
  <si>
    <t>25/11/2025 09:30</t>
  </si>
  <si>
    <t>25/11/2025 09:45</t>
  </si>
  <si>
    <t>25/11/2025 10:00</t>
  </si>
  <si>
    <t>25/11/2025 10:15</t>
  </si>
  <si>
    <t>25/11/2025 10:30</t>
  </si>
  <si>
    <t>25/11/2025 10:45</t>
  </si>
  <si>
    <t>25/11/2025 11:00</t>
  </si>
  <si>
    <t>25/11/2025 11:15</t>
  </si>
  <si>
    <t>25/11/2025 11:30</t>
  </si>
  <si>
    <t>25/11/2025 11:45</t>
  </si>
  <si>
    <t>25/11/2025 12:00</t>
  </si>
  <si>
    <t>25/11/2025 12:15</t>
  </si>
  <si>
    <t>25/11/2025 12:30</t>
  </si>
  <si>
    <t>25/11/2025 12:45</t>
  </si>
  <si>
    <t>25/11/2025 13:00</t>
  </si>
  <si>
    <t>25/11/2025 13:15</t>
  </si>
  <si>
    <t>25/11/2025 13:30</t>
  </si>
  <si>
    <t>25/11/2025 13:45</t>
  </si>
  <si>
    <t>25/11/2025 14:00</t>
  </si>
  <si>
    <t>25/11/2025 14:15</t>
  </si>
  <si>
    <t>25/11/2025 14:30</t>
  </si>
  <si>
    <t>25/11/2025 14:45</t>
  </si>
  <si>
    <t>25/11/2025 15:00</t>
  </si>
  <si>
    <t>25/11/2025 15:15</t>
  </si>
  <si>
    <t>25/11/2025 15:30</t>
  </si>
  <si>
    <t>25/11/2025 15:45</t>
  </si>
  <si>
    <t>25/11/2025 16:00</t>
  </si>
  <si>
    <t>25/11/2025 16:15</t>
  </si>
  <si>
    <t>25/11/2025 16:30</t>
  </si>
  <si>
    <t>25/11/2025 16:45</t>
  </si>
  <si>
    <t>25/11/2025 17:00</t>
  </si>
  <si>
    <t>25/11/2025 17:15</t>
  </si>
  <si>
    <t>25/11/2025 17:30</t>
  </si>
  <si>
    <t>25/11/2025 17:45</t>
  </si>
  <si>
    <t>25/11/2025 18:00</t>
  </si>
  <si>
    <t>25/11/2025 18:15</t>
  </si>
  <si>
    <t>25/11/2025 18:30</t>
  </si>
  <si>
    <t>25/11/2025 18:45</t>
  </si>
  <si>
    <t>25/11/2025 19:00</t>
  </si>
  <si>
    <t>25/11/2025 19:15</t>
  </si>
  <si>
    <t>25/11/2025 19:30</t>
  </si>
  <si>
    <t>25/11/2025 19:45</t>
  </si>
  <si>
    <t>25/11/2025 20:00</t>
  </si>
  <si>
    <t>25/11/2025 20:15</t>
  </si>
  <si>
    <t>25/11/2025 20:30</t>
  </si>
  <si>
    <t>25/11/2025 20:45</t>
  </si>
  <si>
    <t>25/11/2025 21:00</t>
  </si>
  <si>
    <t>25/11/2025 21:15</t>
  </si>
  <si>
    <t>25/11/2025 21:30</t>
  </si>
  <si>
    <t>25/11/2025 21:45</t>
  </si>
  <si>
    <t>25/11/2025 22:00</t>
  </si>
  <si>
    <t>25/11/2025 22:15</t>
  </si>
  <si>
    <t>25/11/2025 22:30</t>
  </si>
  <si>
    <t>25/11/2025 22:45</t>
  </si>
  <si>
    <t>25/11/2025 23:00</t>
  </si>
  <si>
    <t>25/11/2025 23:15</t>
  </si>
  <si>
    <t>25/11/2025 23:30</t>
  </si>
  <si>
    <t>25/11/2025 23:45</t>
  </si>
  <si>
    <t>25/11/2025 24:00</t>
  </si>
  <si>
    <t>26/11/2025 00:15</t>
  </si>
  <si>
    <t>26/11/2025 00:30</t>
  </si>
  <si>
    <t>26/11/2025 00:45</t>
  </si>
  <si>
    <t>26/11/2025 01:00</t>
  </si>
  <si>
    <t>26/11/2025 01:15</t>
  </si>
  <si>
    <t>26/11/2025 01:30</t>
  </si>
  <si>
    <t>26/11/2025 01:45</t>
  </si>
  <si>
    <t>26/11/2025 02:00</t>
  </si>
  <si>
    <t>26/11/2025 02:15</t>
  </si>
  <si>
    <t>26/11/2025 02:30</t>
  </si>
  <si>
    <t>26/11/2025 02:45</t>
  </si>
  <si>
    <t>26/11/2025 03:00</t>
  </si>
  <si>
    <t>26/11/2025 03:15</t>
  </si>
  <si>
    <t>26/11/2025 03:30</t>
  </si>
  <si>
    <t>26/11/2025 03:45</t>
  </si>
  <si>
    <t>26/11/2025 04:00</t>
  </si>
  <si>
    <t>26/11/2025 04:15</t>
  </si>
  <si>
    <t>26/11/2025 04:30</t>
  </si>
  <si>
    <t>26/11/2025 04:45</t>
  </si>
  <si>
    <t>26/11/2025 05:00</t>
  </si>
  <si>
    <t>26/11/2025 05:15</t>
  </si>
  <si>
    <t>26/11/2025 05:30</t>
  </si>
  <si>
    <t>26/11/2025 05:45</t>
  </si>
  <si>
    <t>26/11/2025 06:00</t>
  </si>
  <si>
    <t>26/11/2025 06:15</t>
  </si>
  <si>
    <t>26/11/2025 06:30</t>
  </si>
  <si>
    <t>26/11/2025 06:45</t>
  </si>
  <si>
    <t>26/11/2025 07:00</t>
  </si>
  <si>
    <t>26/11/2025 07:15</t>
  </si>
  <si>
    <t>26/11/2025 07:30</t>
  </si>
  <si>
    <t>26/11/2025 07:45</t>
  </si>
  <si>
    <t>26/11/2025 08:00</t>
  </si>
  <si>
    <t>26/11/2025 08:15</t>
  </si>
  <si>
    <t>26/11/2025 08:30</t>
  </si>
  <si>
    <t>26/11/2025 08:45</t>
  </si>
  <si>
    <t>26/11/2025 09:00</t>
  </si>
  <si>
    <t>26/11/2025 09:15</t>
  </si>
  <si>
    <t>26/11/2025 09:30</t>
  </si>
  <si>
    <t>26/11/2025 09:45</t>
  </si>
  <si>
    <t>26/11/2025 10:00</t>
  </si>
  <si>
    <t>26/11/2025 10:15</t>
  </si>
  <si>
    <t>26/11/2025 10:30</t>
  </si>
  <si>
    <t>26/11/2025 10:45</t>
  </si>
  <si>
    <t>26/11/2025 11:00</t>
  </si>
  <si>
    <t>26/11/2025 11:15</t>
  </si>
  <si>
    <t>26/11/2025 11:30</t>
  </si>
  <si>
    <t>26/11/2025 11:45</t>
  </si>
  <si>
    <t>26/11/2025 12:00</t>
  </si>
  <si>
    <t>26/11/2025 12:15</t>
  </si>
  <si>
    <t>26/11/2025 12:30</t>
  </si>
  <si>
    <t>26/11/2025 12:45</t>
  </si>
  <si>
    <t>26/11/2025 13:00</t>
  </si>
  <si>
    <t>26/11/2025 13:15</t>
  </si>
  <si>
    <t>26/11/2025 13:30</t>
  </si>
  <si>
    <t>26/11/2025 13:45</t>
  </si>
  <si>
    <t>26/11/2025 14:00</t>
  </si>
  <si>
    <t>26/11/2025 14:15</t>
  </si>
  <si>
    <t>26/11/2025 14:30</t>
  </si>
  <si>
    <t>26/11/2025 14:45</t>
  </si>
  <si>
    <t>26/11/2025 15:00</t>
  </si>
  <si>
    <t>26/11/2025 15:15</t>
  </si>
  <si>
    <t>26/11/2025 15:30</t>
  </si>
  <si>
    <t>26/11/2025 15:45</t>
  </si>
  <si>
    <t>26/11/2025 16:00</t>
  </si>
  <si>
    <t>26/11/2025 16:15</t>
  </si>
  <si>
    <t>26/11/2025 16:30</t>
  </si>
  <si>
    <t>26/11/2025 16:45</t>
  </si>
  <si>
    <t>26/11/2025 17:00</t>
  </si>
  <si>
    <t>26/11/2025 17:15</t>
  </si>
  <si>
    <t>26/11/2025 17:30</t>
  </si>
  <si>
    <t>26/11/2025 17:45</t>
  </si>
  <si>
    <t>26/11/2025 18:00</t>
  </si>
  <si>
    <t>26/11/2025 18:15</t>
  </si>
  <si>
    <t>26/11/2025 18:30</t>
  </si>
  <si>
    <t>26/11/2025 18:45</t>
  </si>
  <si>
    <t>26/11/2025 19:00</t>
  </si>
  <si>
    <t>26/11/2025 19:15</t>
  </si>
  <si>
    <t>26/11/2025 19:30</t>
  </si>
  <si>
    <t>26/11/2025 19:45</t>
  </si>
  <si>
    <t>26/11/2025 20:00</t>
  </si>
  <si>
    <t>26/11/2025 20:15</t>
  </si>
  <si>
    <t>26/11/2025 20:30</t>
  </si>
  <si>
    <t>26/11/2025 20:45</t>
  </si>
  <si>
    <t>26/11/2025 21:00</t>
  </si>
  <si>
    <t>26/11/2025 21:15</t>
  </si>
  <si>
    <t>26/11/2025 21:30</t>
  </si>
  <si>
    <t>26/11/2025 21:45</t>
  </si>
  <si>
    <t>26/11/2025 22:00</t>
  </si>
  <si>
    <t>26/11/2025 22:15</t>
  </si>
  <si>
    <t>26/11/2025 22:30</t>
  </si>
  <si>
    <t>26/11/2025 22:45</t>
  </si>
  <si>
    <t>26/11/2025 23:00</t>
  </si>
  <si>
    <t>26/11/2025 23:15</t>
  </si>
  <si>
    <t>26/11/2025 23:30</t>
  </si>
  <si>
    <t>26/11/2025 23:45</t>
  </si>
  <si>
    <t>26/11/2025 24:00</t>
  </si>
  <si>
    <t>27/11/2025 00:15</t>
  </si>
  <si>
    <t>27/11/2025 00:30</t>
  </si>
  <si>
    <t>27/11/2025 00:45</t>
  </si>
  <si>
    <t>27/11/2025 01:00</t>
  </si>
  <si>
    <t>27/11/2025 01:15</t>
  </si>
  <si>
    <t>27/11/2025 01:30</t>
  </si>
  <si>
    <t>27/11/2025 01:45</t>
  </si>
  <si>
    <t>27/11/2025 02:00</t>
  </si>
  <si>
    <t>27/11/2025 02:15</t>
  </si>
  <si>
    <t>27/11/2025 02:30</t>
  </si>
  <si>
    <t>27/11/2025 02:45</t>
  </si>
  <si>
    <t>27/11/2025 03:00</t>
  </si>
  <si>
    <t>27/11/2025 03:15</t>
  </si>
  <si>
    <t>27/11/2025 03:30</t>
  </si>
  <si>
    <t>27/11/2025 03:45</t>
  </si>
  <si>
    <t>27/11/2025 04:00</t>
  </si>
  <si>
    <t>27/11/2025 04:15</t>
  </si>
  <si>
    <t>27/11/2025 04:30</t>
  </si>
  <si>
    <t>27/11/2025 04:45</t>
  </si>
  <si>
    <t>27/11/2025 05:00</t>
  </si>
  <si>
    <t>27/11/2025 05:15</t>
  </si>
  <si>
    <t>27/11/2025 05:30</t>
  </si>
  <si>
    <t>27/11/2025 05:45</t>
  </si>
  <si>
    <t>27/11/2025 06:00</t>
  </si>
  <si>
    <t>27/11/2025 06:15</t>
  </si>
  <si>
    <t>27/11/2025 06:30</t>
  </si>
  <si>
    <t>27/11/2025 06:45</t>
  </si>
  <si>
    <t>27/11/2025 07:00</t>
  </si>
  <si>
    <t>27/11/2025 07:15</t>
  </si>
  <si>
    <t>27/11/2025 07:30</t>
  </si>
  <si>
    <t>27/11/2025 07:45</t>
  </si>
  <si>
    <t>27/11/2025 08:00</t>
  </si>
  <si>
    <t>27/11/2025 08:15</t>
  </si>
  <si>
    <t>27/11/2025 08:30</t>
  </si>
  <si>
    <t>27/11/2025 08:45</t>
  </si>
  <si>
    <t>27/11/2025 09:00</t>
  </si>
  <si>
    <t>27/11/2025 09:15</t>
  </si>
  <si>
    <t>27/11/2025 09:30</t>
  </si>
  <si>
    <t>27/11/2025 09:45</t>
  </si>
  <si>
    <t>27/11/2025 10:00</t>
  </si>
  <si>
    <t>27/11/2025 10:15</t>
  </si>
  <si>
    <t>27/11/2025 10:30</t>
  </si>
  <si>
    <t>27/11/2025 10:45</t>
  </si>
  <si>
    <t>27/11/2025 11:00</t>
  </si>
  <si>
    <t>27/11/2025 11:15</t>
  </si>
  <si>
    <t>27/11/2025 11:30</t>
  </si>
  <si>
    <t>27/11/2025 11:45</t>
  </si>
  <si>
    <t>27/11/2025 12:00</t>
  </si>
  <si>
    <t>27/11/2025 12:15</t>
  </si>
  <si>
    <t>27/11/2025 12:30</t>
  </si>
  <si>
    <t>27/11/2025 12:45</t>
  </si>
  <si>
    <t>27/11/2025 13:00</t>
  </si>
  <si>
    <t>27/11/2025 13:15</t>
  </si>
  <si>
    <t>27/11/2025 13:30</t>
  </si>
  <si>
    <t>27/11/2025 13:45</t>
  </si>
  <si>
    <t>27/11/2025 14:00</t>
  </si>
  <si>
    <t>27/11/2025 14:15</t>
  </si>
  <si>
    <t>27/11/2025 14:30</t>
  </si>
  <si>
    <t>27/11/2025 14:45</t>
  </si>
  <si>
    <t>27/11/2025 15:00</t>
  </si>
  <si>
    <t>27/11/2025 15:15</t>
  </si>
  <si>
    <t>27/11/2025 15:30</t>
  </si>
  <si>
    <t>27/11/2025 15:45</t>
  </si>
  <si>
    <t>27/11/2025 16:00</t>
  </si>
  <si>
    <t>27/11/2025 16:15</t>
  </si>
  <si>
    <t>27/11/2025 16:30</t>
  </si>
  <si>
    <t>27/11/2025 16:45</t>
  </si>
  <si>
    <t>27/11/2025 17:00</t>
  </si>
  <si>
    <t>27/11/2025 17:15</t>
  </si>
  <si>
    <t>27/11/2025 17:30</t>
  </si>
  <si>
    <t>27/11/2025 17:45</t>
  </si>
  <si>
    <t>27/11/2025 18:00</t>
  </si>
  <si>
    <t>27/11/2025 18:15</t>
  </si>
  <si>
    <t>27/11/2025 18:30</t>
  </si>
  <si>
    <t>27/11/2025 18:45</t>
  </si>
  <si>
    <t>27/11/2025 19:00</t>
  </si>
  <si>
    <t>27/11/2025 19:15</t>
  </si>
  <si>
    <t>27/11/2025 19:30</t>
  </si>
  <si>
    <t>27/11/2025 19:45</t>
  </si>
  <si>
    <t>27/11/2025 20:00</t>
  </si>
  <si>
    <t>27/11/2025 20:15</t>
  </si>
  <si>
    <t>27/11/2025 20:30</t>
  </si>
  <si>
    <t>27/11/2025 20:45</t>
  </si>
  <si>
    <t>27/11/2025 21:00</t>
  </si>
  <si>
    <t>27/11/2025 21:15</t>
  </si>
  <si>
    <t>27/11/2025 21:30</t>
  </si>
  <si>
    <t>27/11/2025 21:45</t>
  </si>
  <si>
    <t>27/11/2025 22:00</t>
  </si>
  <si>
    <t>27/11/2025 22:15</t>
  </si>
  <si>
    <t>27/11/2025 22:30</t>
  </si>
  <si>
    <t>27/11/2025 22:45</t>
  </si>
  <si>
    <t>27/11/2025 23:00</t>
  </si>
  <si>
    <t>27/11/2025 23:15</t>
  </si>
  <si>
    <t>27/11/2025 23:30</t>
  </si>
  <si>
    <t>27/11/2025 23:45</t>
  </si>
  <si>
    <t>27/11/2025 24:00</t>
  </si>
  <si>
    <t>28/11/2025 00:15</t>
  </si>
  <si>
    <t>28/11/2025 00:30</t>
  </si>
  <si>
    <t>28/11/2025 00:45</t>
  </si>
  <si>
    <t>28/11/2025 01:00</t>
  </si>
  <si>
    <t>28/11/2025 01:15</t>
  </si>
  <si>
    <t>28/11/2025 01:30</t>
  </si>
  <si>
    <t>28/11/2025 01:45</t>
  </si>
  <si>
    <t>28/11/2025 02:00</t>
  </si>
  <si>
    <t>28/11/2025 02:15</t>
  </si>
  <si>
    <t>28/11/2025 02:30</t>
  </si>
  <si>
    <t>28/11/2025 02:45</t>
  </si>
  <si>
    <t>28/11/2025 03:00</t>
  </si>
  <si>
    <t>28/11/2025 03:15</t>
  </si>
  <si>
    <t>28/11/2025 03:30</t>
  </si>
  <si>
    <t>28/11/2025 03:45</t>
  </si>
  <si>
    <t>28/11/2025 04:00</t>
  </si>
  <si>
    <t>28/11/2025 04:15</t>
  </si>
  <si>
    <t>28/11/2025 04:30</t>
  </si>
  <si>
    <t>28/11/2025 04:45</t>
  </si>
  <si>
    <t>28/11/2025 05:00</t>
  </si>
  <si>
    <t>28/11/2025 05:15</t>
  </si>
  <si>
    <t>28/11/2025 05:30</t>
  </si>
  <si>
    <t>28/11/2025 05:45</t>
  </si>
  <si>
    <t>28/11/2025 06:00</t>
  </si>
  <si>
    <t>28/11/2025 06:15</t>
  </si>
  <si>
    <t>28/11/2025 06:30</t>
  </si>
  <si>
    <t>28/11/2025 06:45</t>
  </si>
  <si>
    <t>28/11/2025 07:00</t>
  </si>
  <si>
    <t>28/11/2025 07:15</t>
  </si>
  <si>
    <t>28/11/2025 07:30</t>
  </si>
  <si>
    <t>28/11/2025 07:45</t>
  </si>
  <si>
    <t>28/11/2025 08:00</t>
  </si>
  <si>
    <t>28/11/2025 08:15</t>
  </si>
  <si>
    <t>28/11/2025 08:30</t>
  </si>
  <si>
    <t>28/11/2025 08:45</t>
  </si>
  <si>
    <t>28/11/2025 09:00</t>
  </si>
  <si>
    <t>28/11/2025 09:15</t>
  </si>
  <si>
    <t>28/11/2025 09:30</t>
  </si>
  <si>
    <t>28/11/2025 09:45</t>
  </si>
  <si>
    <t>28/11/2025 10:00</t>
  </si>
  <si>
    <t>28/11/2025 10:15</t>
  </si>
  <si>
    <t>28/11/2025 10:30</t>
  </si>
  <si>
    <t>28/11/2025 10:45</t>
  </si>
  <si>
    <t>28/11/2025 11:00</t>
  </si>
  <si>
    <t>28/11/2025 11:15</t>
  </si>
  <si>
    <t>28/11/2025 11:30</t>
  </si>
  <si>
    <t>28/11/2025 11:45</t>
  </si>
  <si>
    <t>28/11/2025 12:00</t>
  </si>
  <si>
    <t>28/11/2025 12:15</t>
  </si>
  <si>
    <t>28/11/2025 12:30</t>
  </si>
  <si>
    <t>28/11/2025 12:45</t>
  </si>
  <si>
    <t>28/11/2025 13:00</t>
  </si>
  <si>
    <t>28/11/2025 13:15</t>
  </si>
  <si>
    <t>28/11/2025 13:30</t>
  </si>
  <si>
    <t>28/11/2025 13:45</t>
  </si>
  <si>
    <t>28/11/2025 14:00</t>
  </si>
  <si>
    <t>28/11/2025 14:15</t>
  </si>
  <si>
    <t>28/11/2025 14:30</t>
  </si>
  <si>
    <t>28/11/2025 14:45</t>
  </si>
  <si>
    <t>28/11/2025 15:00</t>
  </si>
  <si>
    <t>28/11/2025 15:15</t>
  </si>
  <si>
    <t>28/11/2025 15:30</t>
  </si>
  <si>
    <t>28/11/2025 15:45</t>
  </si>
  <si>
    <t>28/11/2025 16:00</t>
  </si>
  <si>
    <t>28/11/2025 16:15</t>
  </si>
  <si>
    <t>28/11/2025 16:30</t>
  </si>
  <si>
    <t>28/11/2025 16:45</t>
  </si>
  <si>
    <t>28/11/2025 17:00</t>
  </si>
  <si>
    <t>28/11/2025 17:15</t>
  </si>
  <si>
    <t>28/11/2025 17:30</t>
  </si>
  <si>
    <t>28/11/2025 17:45</t>
  </si>
  <si>
    <t>28/11/2025 18:00</t>
  </si>
  <si>
    <t>28/11/2025 18:15</t>
  </si>
  <si>
    <t>28/11/2025 18:30</t>
  </si>
  <si>
    <t>28/11/2025 18:45</t>
  </si>
  <si>
    <t>28/11/2025 19:00</t>
  </si>
  <si>
    <t>28/11/2025 19:15</t>
  </si>
  <si>
    <t>28/11/2025 19:30</t>
  </si>
  <si>
    <t>28/11/2025 19:45</t>
  </si>
  <si>
    <t>28/11/2025 20:00</t>
  </si>
  <si>
    <t>28/11/2025 20:15</t>
  </si>
  <si>
    <t>28/11/2025 20:30</t>
  </si>
  <si>
    <t>28/11/2025 20:45</t>
  </si>
  <si>
    <t>28/11/2025 21:00</t>
  </si>
  <si>
    <t>28/11/2025 21:15</t>
  </si>
  <si>
    <t>28/11/2025 21:30</t>
  </si>
  <si>
    <t>28/11/2025 21:45</t>
  </si>
  <si>
    <t>28/11/2025 22:00</t>
  </si>
  <si>
    <t>28/11/2025 22:15</t>
  </si>
  <si>
    <t>28/11/2025 22:30</t>
  </si>
  <si>
    <t>28/11/2025 22:45</t>
  </si>
  <si>
    <t>28/11/2025 23:00</t>
  </si>
  <si>
    <t>28/11/2025 23:15</t>
  </si>
  <si>
    <t>28/11/2025 23:30</t>
  </si>
  <si>
    <t>28/11/2025 23:45</t>
  </si>
  <si>
    <t>28/11/2025 24:00</t>
  </si>
  <si>
    <t>29/11/2025 00:15</t>
  </si>
  <si>
    <t>29/11/2025 00:30</t>
  </si>
  <si>
    <t>29/11/2025 00:45</t>
  </si>
  <si>
    <t>29/11/2025 01:00</t>
  </si>
  <si>
    <t>29/11/2025 01:15</t>
  </si>
  <si>
    <t>29/11/2025 01:30</t>
  </si>
  <si>
    <t>29/11/2025 01:45</t>
  </si>
  <si>
    <t>29/11/2025 02:00</t>
  </si>
  <si>
    <t>29/11/2025 02:15</t>
  </si>
  <si>
    <t>29/11/2025 02:30</t>
  </si>
  <si>
    <t>29/11/2025 02:45</t>
  </si>
  <si>
    <t>29/11/2025 03:00</t>
  </si>
  <si>
    <t>29/11/2025 03:15</t>
  </si>
  <si>
    <t>29/11/2025 03:30</t>
  </si>
  <si>
    <t>29/11/2025 03:45</t>
  </si>
  <si>
    <t>29/11/2025 04:00</t>
  </si>
  <si>
    <t>29/11/2025 04:15</t>
  </si>
  <si>
    <t>29/11/2025 04:30</t>
  </si>
  <si>
    <t>29/11/2025 04:45</t>
  </si>
  <si>
    <t>29/11/2025 05:00</t>
  </si>
  <si>
    <t>29/11/2025 05:15</t>
  </si>
  <si>
    <t>29/11/2025 05:30</t>
  </si>
  <si>
    <t>29/11/2025 05:45</t>
  </si>
  <si>
    <t>29/11/2025 06:00</t>
  </si>
  <si>
    <t>29/11/2025 06:15</t>
  </si>
  <si>
    <t>29/11/2025 06:30</t>
  </si>
  <si>
    <t>29/11/2025 06:45</t>
  </si>
  <si>
    <t>29/11/2025 07:00</t>
  </si>
  <si>
    <t>29/11/2025 07:15</t>
  </si>
  <si>
    <t>29/11/2025 07:30</t>
  </si>
  <si>
    <t>29/11/2025 07:45</t>
  </si>
  <si>
    <t>29/11/2025 08:00</t>
  </si>
  <si>
    <t>29/11/2025 08:15</t>
  </si>
  <si>
    <t>29/11/2025 08:30</t>
  </si>
  <si>
    <t>29/11/2025 08:45</t>
  </si>
  <si>
    <t>29/11/2025 09:00</t>
  </si>
  <si>
    <t>29/11/2025 09:15</t>
  </si>
  <si>
    <t>29/11/2025 09:30</t>
  </si>
  <si>
    <t>29/11/2025 09:45</t>
  </si>
  <si>
    <t>29/11/2025 10:00</t>
  </si>
  <si>
    <t>29/11/2025 10:15</t>
  </si>
  <si>
    <t>29/11/2025 10:30</t>
  </si>
  <si>
    <t>29/11/2025 10:45</t>
  </si>
  <si>
    <t>29/11/2025 11:00</t>
  </si>
  <si>
    <t>29/11/2025 11:15</t>
  </si>
  <si>
    <t>29/11/2025 11:30</t>
  </si>
  <si>
    <t>29/11/2025 11:45</t>
  </si>
  <si>
    <t>29/11/2025 12:00</t>
  </si>
  <si>
    <t>29/11/2025 12:15</t>
  </si>
  <si>
    <t>29/11/2025 12:30</t>
  </si>
  <si>
    <t>29/11/2025 12:45</t>
  </si>
  <si>
    <t>29/11/2025 13:00</t>
  </si>
  <si>
    <t>29/11/2025 13:15</t>
  </si>
  <si>
    <t>29/11/2025 13:30</t>
  </si>
  <si>
    <t>29/11/2025 13:45</t>
  </si>
  <si>
    <t>29/11/2025 14:00</t>
  </si>
  <si>
    <t>29/11/2025 14:15</t>
  </si>
  <si>
    <t>29/11/2025 14:30</t>
  </si>
  <si>
    <t>29/11/2025 14:45</t>
  </si>
  <si>
    <t>29/11/2025 15:00</t>
  </si>
  <si>
    <t>29/11/2025 15:15</t>
  </si>
  <si>
    <t>29/11/2025 15:30</t>
  </si>
  <si>
    <t>29/11/2025 15:45</t>
  </si>
  <si>
    <t>29/11/2025 16:00</t>
  </si>
  <si>
    <t>29/11/2025 16:15</t>
  </si>
  <si>
    <t>29/11/2025 16:30</t>
  </si>
  <si>
    <t>29/11/2025 16:45</t>
  </si>
  <si>
    <t>29/11/2025 17:00</t>
  </si>
  <si>
    <t>29/11/2025 17:15</t>
  </si>
  <si>
    <t>29/11/2025 17:30</t>
  </si>
  <si>
    <t>29/11/2025 17:45</t>
  </si>
  <si>
    <t>29/11/2025 18:00</t>
  </si>
  <si>
    <t>29/11/2025 18:15</t>
  </si>
  <si>
    <t>29/11/2025 18:30</t>
  </si>
  <si>
    <t>29/11/2025 18:45</t>
  </si>
  <si>
    <t>29/11/2025 19:00</t>
  </si>
  <si>
    <t>29/11/2025 19:15</t>
  </si>
  <si>
    <t>29/11/2025 19:30</t>
  </si>
  <si>
    <t>29/11/2025 19:45</t>
  </si>
  <si>
    <t>29/11/2025 20:00</t>
  </si>
  <si>
    <t>29/11/2025 20:15</t>
  </si>
  <si>
    <t>29/11/2025 20:30</t>
  </si>
  <si>
    <t>29/11/2025 20:45</t>
  </si>
  <si>
    <t>29/11/2025 21:00</t>
  </si>
  <si>
    <t>29/11/2025 21:15</t>
  </si>
  <si>
    <t>29/11/2025 21:30</t>
  </si>
  <si>
    <t>29/11/2025 21:45</t>
  </si>
  <si>
    <t>29/11/2025 22:00</t>
  </si>
  <si>
    <t>29/11/2025 22:15</t>
  </si>
  <si>
    <t>29/11/2025 22:30</t>
  </si>
  <si>
    <t>29/11/2025 22:45</t>
  </si>
  <si>
    <t>29/11/2025 23:00</t>
  </si>
  <si>
    <t>29/11/2025 23:15</t>
  </si>
  <si>
    <t>29/11/2025 23:30</t>
  </si>
  <si>
    <t>29/11/2025 23:45</t>
  </si>
  <si>
    <t>29/11/2025 24:00</t>
  </si>
  <si>
    <t>30/11/2025 00:15</t>
  </si>
  <si>
    <t>30/11/2025 00:30</t>
  </si>
  <si>
    <t>30/11/2025 00:45</t>
  </si>
  <si>
    <t>30/11/2025 01:00</t>
  </si>
  <si>
    <t>30/11/2025 01:15</t>
  </si>
  <si>
    <t>30/11/2025 01:30</t>
  </si>
  <si>
    <t>30/11/2025 01:45</t>
  </si>
  <si>
    <t>30/11/2025 02:00</t>
  </si>
  <si>
    <t>30/11/2025 02:15</t>
  </si>
  <si>
    <t>30/11/2025 02:30</t>
  </si>
  <si>
    <t>30/11/2025 02:45</t>
  </si>
  <si>
    <t>30/11/2025 03:00</t>
  </si>
  <si>
    <t>30/11/2025 03:15</t>
  </si>
  <si>
    <t>30/11/2025 03:30</t>
  </si>
  <si>
    <t>30/11/2025 03:45</t>
  </si>
  <si>
    <t>30/11/2025 04:00</t>
  </si>
  <si>
    <t>30/11/2025 04:15</t>
  </si>
  <si>
    <t>30/11/2025 04:30</t>
  </si>
  <si>
    <t>30/11/2025 04:45</t>
  </si>
  <si>
    <t>30/11/2025 05:00</t>
  </si>
  <si>
    <t>30/11/2025 05:15</t>
  </si>
  <si>
    <t>30/11/2025 05:30</t>
  </si>
  <si>
    <t>30/11/2025 05:45</t>
  </si>
  <si>
    <t>30/11/2025 06:00</t>
  </si>
  <si>
    <t>30/11/2025 06:15</t>
  </si>
  <si>
    <t>30/11/2025 06:30</t>
  </si>
  <si>
    <t>30/11/2025 06:45</t>
  </si>
  <si>
    <t>30/11/2025 07:00</t>
  </si>
  <si>
    <t>30/11/2025 07:15</t>
  </si>
  <si>
    <t>30/11/2025 07:30</t>
  </si>
  <si>
    <t>30/11/2025 07:45</t>
  </si>
  <si>
    <t>30/11/2025 08:00</t>
  </si>
  <si>
    <t>30/11/2025 08:15</t>
  </si>
  <si>
    <t>30/11/2025 08:30</t>
  </si>
  <si>
    <t>30/11/2025 08:45</t>
  </si>
  <si>
    <t>30/11/2025 09:00</t>
  </si>
  <si>
    <t>30/11/2025 09:15</t>
  </si>
  <si>
    <t>30/11/2025 09:30</t>
  </si>
  <si>
    <t>30/11/2025 09:45</t>
  </si>
  <si>
    <t>30/11/2025 10:00</t>
  </si>
  <si>
    <t>30/11/2025 10:15</t>
  </si>
  <si>
    <t>30/11/2025 10:30</t>
  </si>
  <si>
    <t>30/11/2025 10:45</t>
  </si>
  <si>
    <t>30/11/2025 11:00</t>
  </si>
  <si>
    <t>30/11/2025 11:15</t>
  </si>
  <si>
    <t>30/11/2025 11:30</t>
  </si>
  <si>
    <t>30/11/2025 11:45</t>
  </si>
  <si>
    <t>30/11/2025 12:00</t>
  </si>
  <si>
    <t>30/11/2025 12:15</t>
  </si>
  <si>
    <t>30/11/2025 12:30</t>
  </si>
  <si>
    <t>30/11/2025 12:45</t>
  </si>
  <si>
    <t>30/11/2025 13:00</t>
  </si>
  <si>
    <t>30/11/2025 13:15</t>
  </si>
  <si>
    <t>30/11/2025 13:30</t>
  </si>
  <si>
    <t>30/11/2025 13:45</t>
  </si>
  <si>
    <t>30/11/2025 14:00</t>
  </si>
  <si>
    <t>30/11/2025 14:15</t>
  </si>
  <si>
    <t>30/11/2025 14:30</t>
  </si>
  <si>
    <t>30/11/2025 14:45</t>
  </si>
  <si>
    <t>30/11/2025 15:00</t>
  </si>
  <si>
    <t>30/11/2025 15:15</t>
  </si>
  <si>
    <t>30/11/2025 15:30</t>
  </si>
  <si>
    <t>30/11/2025 15:45</t>
  </si>
  <si>
    <t>30/11/2025 16:00</t>
  </si>
  <si>
    <t>30/11/2025 16:15</t>
  </si>
  <si>
    <t>30/11/2025 16:30</t>
  </si>
  <si>
    <t>30/11/2025 16:45</t>
  </si>
  <si>
    <t>30/11/2025 17:00</t>
  </si>
  <si>
    <t>30/11/2025 17:15</t>
  </si>
  <si>
    <t>30/11/2025 17:30</t>
  </si>
  <si>
    <t>30/11/2025 17:45</t>
  </si>
  <si>
    <t>30/11/2025 18:00</t>
  </si>
  <si>
    <t>30/11/2025 18:15</t>
  </si>
  <si>
    <t>30/11/2025 18:30</t>
  </si>
  <si>
    <t>30/11/2025 18:45</t>
  </si>
  <si>
    <t>30/11/2025 19:00</t>
  </si>
  <si>
    <t>30/11/2025 19:15</t>
  </si>
  <si>
    <t>30/11/2025 19:30</t>
  </si>
  <si>
    <t>30/11/2025 19:45</t>
  </si>
  <si>
    <t>30/11/2025 20:00</t>
  </si>
  <si>
    <t>30/11/2025 20:15</t>
  </si>
  <si>
    <t>30/11/2025 20:30</t>
  </si>
  <si>
    <t>30/11/2025 20:45</t>
  </si>
  <si>
    <t>30/11/2025 21:00</t>
  </si>
  <si>
    <t>30/11/2025 21:15</t>
  </si>
  <si>
    <t>30/11/2025 21:30</t>
  </si>
  <si>
    <t>30/11/2025 21:45</t>
  </si>
  <si>
    <t>30/11/2025 22:00</t>
  </si>
  <si>
    <t>30/11/2025 22:15</t>
  </si>
  <si>
    <t>30/11/2025 22:30</t>
  </si>
  <si>
    <t>30/11/2025 22:45</t>
  </si>
  <si>
    <t>30/11/2025 23:00</t>
  </si>
  <si>
    <t>30/11/2025 23:15</t>
  </si>
  <si>
    <t>30/11/2025 23:30</t>
  </si>
  <si>
    <t>30/11/2025 23:45</t>
  </si>
  <si>
    <t>30/11/2025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</si>
</sst>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16" sqref="G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248</v>
      </c>
      <c r="B9" s="64">
        <v>10.18</v>
      </c>
      <c r="C9" s="64">
        <v>5.39</v>
      </c>
      <c r="D9" s="64">
        <v>10.98</v>
      </c>
      <c r="E9" s="64">
        <v>4.37</v>
      </c>
      <c r="F9" s="64">
        <v>4.84</v>
      </c>
      <c r="G9" s="64">
        <v>35.21</v>
      </c>
      <c r="H9" s="64">
        <v>8.0399999999999991</v>
      </c>
      <c r="I9" s="64">
        <v>1.48</v>
      </c>
      <c r="J9" s="64">
        <v>0.01</v>
      </c>
      <c r="K9" s="64">
        <v>287.68</v>
      </c>
      <c r="L9" s="64">
        <v>22.31</v>
      </c>
      <c r="M9" s="64">
        <v>98.22</v>
      </c>
      <c r="N9" s="64">
        <v>39.6</v>
      </c>
      <c r="O9" s="64">
        <v>0</v>
      </c>
      <c r="P9" s="64">
        <v>0.54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1" t="s">
        <v>249</v>
      </c>
      <c r="B10" s="64">
        <v>8.56</v>
      </c>
      <c r="C10" s="64">
        <v>5.33</v>
      </c>
      <c r="D10" s="64">
        <v>9.65</v>
      </c>
      <c r="E10" s="64">
        <v>4.22</v>
      </c>
      <c r="F10" s="64">
        <v>5.5</v>
      </c>
      <c r="G10" s="64">
        <v>32.049999999999997</v>
      </c>
      <c r="H10" s="64">
        <v>7.94</v>
      </c>
      <c r="I10" s="64">
        <v>1.46</v>
      </c>
      <c r="J10" s="64">
        <v>0.09</v>
      </c>
      <c r="K10" s="64">
        <v>168.18</v>
      </c>
      <c r="L10" s="64">
        <v>22.29</v>
      </c>
      <c r="M10" s="64">
        <v>98.2</v>
      </c>
      <c r="N10" s="64">
        <v>39.700000000000003</v>
      </c>
      <c r="O10" s="64">
        <v>0</v>
      </c>
      <c r="P10" s="64">
        <v>0.4</v>
      </c>
      <c r="Q10" s="64">
        <v>9.16</v>
      </c>
      <c r="R10" s="198"/>
      <c r="S10" s="198"/>
      <c r="T10" s="198"/>
      <c r="U10" s="198"/>
    </row>
    <row r="11" spans="1:21" s="12" customFormat="1" x14ac:dyDescent="0.25">
      <c r="A11" s="211" t="s">
        <v>250</v>
      </c>
      <c r="B11" s="64">
        <v>9.42</v>
      </c>
      <c r="C11" s="64">
        <v>4.55</v>
      </c>
      <c r="D11" s="64">
        <v>9.93</v>
      </c>
      <c r="E11" s="64">
        <v>3.96</v>
      </c>
      <c r="F11" s="64">
        <v>5.13</v>
      </c>
      <c r="G11" s="64">
        <v>30.77</v>
      </c>
      <c r="H11" s="64">
        <v>7.93</v>
      </c>
      <c r="I11" s="64">
        <v>1.44</v>
      </c>
      <c r="J11" s="64">
        <v>0.1</v>
      </c>
      <c r="K11" s="64">
        <v>160.71</v>
      </c>
      <c r="L11" s="64">
        <v>22.26</v>
      </c>
      <c r="M11" s="64">
        <v>98.21</v>
      </c>
      <c r="N11" s="64">
        <v>39.799999999999997</v>
      </c>
      <c r="O11" s="64">
        <v>0</v>
      </c>
      <c r="P11" s="64">
        <v>0.51</v>
      </c>
      <c r="Q11" s="64">
        <v>9.15</v>
      </c>
      <c r="R11" s="198"/>
      <c r="S11" s="198"/>
      <c r="T11" s="198"/>
      <c r="U11" s="198"/>
    </row>
    <row r="12" spans="1:21" s="12" customFormat="1" x14ac:dyDescent="0.25">
      <c r="A12" s="211" t="s">
        <v>251</v>
      </c>
      <c r="B12" s="64">
        <v>10.210000000000001</v>
      </c>
      <c r="C12" s="64">
        <v>4.29</v>
      </c>
      <c r="D12" s="64">
        <v>10.43</v>
      </c>
      <c r="E12" s="64">
        <v>4</v>
      </c>
      <c r="F12" s="64">
        <v>4.3099999999999996</v>
      </c>
      <c r="G12" s="64">
        <v>30.77</v>
      </c>
      <c r="H12" s="64">
        <v>7.93</v>
      </c>
      <c r="I12" s="64">
        <v>1.43</v>
      </c>
      <c r="J12" s="64">
        <v>0.05</v>
      </c>
      <c r="K12" s="64">
        <v>190.38</v>
      </c>
      <c r="L12" s="64">
        <v>22.27</v>
      </c>
      <c r="M12" s="64">
        <v>98.22</v>
      </c>
      <c r="N12" s="64">
        <v>39.700000000000003</v>
      </c>
      <c r="O12" s="64">
        <v>0</v>
      </c>
      <c r="P12" s="64">
        <v>0.46</v>
      </c>
      <c r="Q12" s="64">
        <v>9.15</v>
      </c>
      <c r="R12" s="198"/>
      <c r="S12" s="198"/>
      <c r="T12" s="198"/>
      <c r="U12" s="198"/>
    </row>
    <row r="13" spans="1:21" s="12" customFormat="1" x14ac:dyDescent="0.25">
      <c r="A13" s="211" t="s">
        <v>252</v>
      </c>
      <c r="B13" s="64">
        <v>9.3000000000000007</v>
      </c>
      <c r="C13" s="64">
        <v>5.09</v>
      </c>
      <c r="D13" s="64">
        <v>10.11</v>
      </c>
      <c r="E13" s="64">
        <v>3.91</v>
      </c>
      <c r="F13" s="64">
        <v>5.44</v>
      </c>
      <c r="G13" s="64">
        <v>30.77</v>
      </c>
      <c r="H13" s="64">
        <v>7.93</v>
      </c>
      <c r="I13" s="64">
        <v>1.41</v>
      </c>
      <c r="J13" s="64">
        <v>0.03</v>
      </c>
      <c r="K13" s="64">
        <v>203.28</v>
      </c>
      <c r="L13" s="64">
        <v>22.44</v>
      </c>
      <c r="M13" s="64">
        <v>98.19</v>
      </c>
      <c r="N13" s="64">
        <v>39.9</v>
      </c>
      <c r="O13" s="64">
        <v>0</v>
      </c>
      <c r="P13" s="64">
        <v>0.38</v>
      </c>
      <c r="Q13" s="64">
        <v>9.15</v>
      </c>
      <c r="R13" s="198"/>
      <c r="S13" s="198"/>
      <c r="T13" s="198"/>
      <c r="U13" s="198"/>
    </row>
    <row r="14" spans="1:21" s="12" customFormat="1" x14ac:dyDescent="0.25">
      <c r="A14" s="211" t="s">
        <v>253</v>
      </c>
      <c r="B14" s="64">
        <v>10.8</v>
      </c>
      <c r="C14" s="64">
        <v>3.71</v>
      </c>
      <c r="D14" s="64">
        <v>10.61</v>
      </c>
      <c r="E14" s="64">
        <v>4.01</v>
      </c>
      <c r="F14" s="64">
        <v>4.1500000000000004</v>
      </c>
      <c r="G14" s="64">
        <v>26.98</v>
      </c>
      <c r="H14" s="64">
        <v>6.62</v>
      </c>
      <c r="I14" s="64">
        <v>1.4</v>
      </c>
      <c r="J14" s="64">
        <v>0.03</v>
      </c>
      <c r="K14" s="64">
        <v>225.33</v>
      </c>
      <c r="L14" s="64">
        <v>22.47</v>
      </c>
      <c r="M14" s="64">
        <v>98.19</v>
      </c>
      <c r="N14" s="64">
        <v>39.9</v>
      </c>
      <c r="O14" s="64">
        <v>0</v>
      </c>
      <c r="P14" s="64">
        <v>0.43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1" t="s">
        <v>254</v>
      </c>
      <c r="B15" s="64">
        <v>8.16</v>
      </c>
      <c r="C15" s="64">
        <v>5.63</v>
      </c>
      <c r="D15" s="64">
        <v>9.48</v>
      </c>
      <c r="E15" s="64">
        <v>4.04</v>
      </c>
      <c r="F15" s="64">
        <v>6.8</v>
      </c>
      <c r="G15" s="64">
        <v>25.36</v>
      </c>
      <c r="H15" s="64">
        <v>6.53</v>
      </c>
      <c r="I15" s="64">
        <v>1.38</v>
      </c>
      <c r="J15" s="64">
        <v>0.1</v>
      </c>
      <c r="K15" s="64">
        <v>151.52000000000001</v>
      </c>
      <c r="L15" s="64">
        <v>22.39</v>
      </c>
      <c r="M15" s="64">
        <v>98.18</v>
      </c>
      <c r="N15" s="64">
        <v>40</v>
      </c>
      <c r="O15" s="64">
        <v>0</v>
      </c>
      <c r="P15" s="64">
        <v>0.31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11" t="s">
        <v>255</v>
      </c>
      <c r="B16" s="64">
        <v>7.79</v>
      </c>
      <c r="C16" s="64">
        <v>5.62</v>
      </c>
      <c r="D16" s="64">
        <v>9.18</v>
      </c>
      <c r="E16" s="64">
        <v>4.0199999999999996</v>
      </c>
      <c r="F16" s="64">
        <v>7.31</v>
      </c>
      <c r="G16" s="64">
        <v>25.36</v>
      </c>
      <c r="H16" s="64">
        <v>6.53</v>
      </c>
      <c r="I16" s="64">
        <v>1.36</v>
      </c>
      <c r="J16" s="64">
        <v>0.04</v>
      </c>
      <c r="K16" s="64">
        <v>216.49</v>
      </c>
      <c r="L16" s="64">
        <v>22.27</v>
      </c>
      <c r="M16" s="64">
        <v>98.18</v>
      </c>
      <c r="N16" s="64">
        <v>40</v>
      </c>
      <c r="O16" s="64">
        <v>0</v>
      </c>
      <c r="P16" s="64">
        <v>0.33</v>
      </c>
      <c r="Q16" s="64">
        <v>9.16</v>
      </c>
      <c r="R16" s="198"/>
      <c r="S16" s="198"/>
      <c r="T16" s="198"/>
      <c r="U16" s="198"/>
    </row>
    <row r="17" spans="1:21" s="12" customFormat="1" x14ac:dyDescent="0.25">
      <c r="A17" s="211" t="s">
        <v>256</v>
      </c>
      <c r="B17" s="64">
        <v>7.97</v>
      </c>
      <c r="C17" s="64">
        <v>5.32</v>
      </c>
      <c r="D17" s="64">
        <v>9.17</v>
      </c>
      <c r="E17" s="64">
        <v>4</v>
      </c>
      <c r="F17" s="64">
        <v>6.97</v>
      </c>
      <c r="G17" s="64">
        <v>25.36</v>
      </c>
      <c r="H17" s="64">
        <v>6.53</v>
      </c>
      <c r="I17" s="64">
        <v>1.36</v>
      </c>
      <c r="J17" s="64">
        <v>7.0000000000000007E-2</v>
      </c>
      <c r="K17" s="64">
        <v>159.65</v>
      </c>
      <c r="L17" s="64">
        <v>22.11</v>
      </c>
      <c r="M17" s="64">
        <v>98.2</v>
      </c>
      <c r="N17" s="64">
        <v>39.799999999999997</v>
      </c>
      <c r="O17" s="64">
        <v>0</v>
      </c>
      <c r="P17" s="64">
        <v>0.33</v>
      </c>
      <c r="Q17" s="64">
        <v>9.17</v>
      </c>
      <c r="R17" s="198"/>
      <c r="S17" s="198"/>
      <c r="T17" s="198"/>
      <c r="U17" s="198"/>
    </row>
    <row r="18" spans="1:21" s="12" customFormat="1" x14ac:dyDescent="0.25">
      <c r="A18" s="211" t="s">
        <v>257</v>
      </c>
      <c r="B18" s="64">
        <v>8.5</v>
      </c>
      <c r="C18" s="64">
        <v>5.15</v>
      </c>
      <c r="D18" s="64">
        <v>9.51</v>
      </c>
      <c r="E18" s="64">
        <v>4.0999999999999996</v>
      </c>
      <c r="F18" s="64">
        <v>6.29</v>
      </c>
      <c r="G18" s="64">
        <v>24.07</v>
      </c>
      <c r="H18" s="64">
        <v>5.39</v>
      </c>
      <c r="I18" s="64">
        <v>1.35</v>
      </c>
      <c r="J18" s="64">
        <v>0.06</v>
      </c>
      <c r="K18" s="64">
        <v>307.77</v>
      </c>
      <c r="L18" s="64">
        <v>22.06</v>
      </c>
      <c r="M18" s="64">
        <v>98.2</v>
      </c>
      <c r="N18" s="64">
        <v>39.6</v>
      </c>
      <c r="O18" s="64">
        <v>0</v>
      </c>
      <c r="P18" s="64">
        <v>0.34</v>
      </c>
      <c r="Q18" s="64">
        <v>9.17</v>
      </c>
      <c r="R18" s="198"/>
      <c r="S18" s="198"/>
      <c r="T18" s="198"/>
      <c r="U18" s="198"/>
    </row>
    <row r="19" spans="1:21" s="12" customFormat="1" x14ac:dyDescent="0.25">
      <c r="A19" s="211" t="s">
        <v>258</v>
      </c>
      <c r="B19" s="64">
        <v>9.11</v>
      </c>
      <c r="C19" s="64">
        <v>4.7699999999999996</v>
      </c>
      <c r="D19" s="64">
        <v>9.7899999999999991</v>
      </c>
      <c r="E19" s="64">
        <v>4.05</v>
      </c>
      <c r="F19" s="64">
        <v>4.96</v>
      </c>
      <c r="G19" s="64">
        <v>23.54</v>
      </c>
      <c r="H19" s="64">
        <v>5.32</v>
      </c>
      <c r="I19" s="64">
        <v>1.33</v>
      </c>
      <c r="J19" s="64">
        <v>0.08</v>
      </c>
      <c r="K19" s="64">
        <v>263.04000000000002</v>
      </c>
      <c r="L19" s="64">
        <v>22.05</v>
      </c>
      <c r="M19" s="64">
        <v>98.2</v>
      </c>
      <c r="N19" s="64">
        <v>39.6</v>
      </c>
      <c r="O19" s="64">
        <v>0</v>
      </c>
      <c r="P19" s="64">
        <v>0.38</v>
      </c>
      <c r="Q19" s="64">
        <v>9.17</v>
      </c>
      <c r="R19" s="198"/>
      <c r="S19" s="198"/>
      <c r="T19" s="198"/>
      <c r="U19" s="198"/>
    </row>
    <row r="20" spans="1:21" s="12" customFormat="1" x14ac:dyDescent="0.25">
      <c r="A20" s="211" t="s">
        <v>259</v>
      </c>
      <c r="B20" s="64">
        <v>9.06</v>
      </c>
      <c r="C20" s="64">
        <v>4.71</v>
      </c>
      <c r="D20" s="64">
        <v>9.73</v>
      </c>
      <c r="E20" s="64">
        <v>3.97</v>
      </c>
      <c r="F20" s="64">
        <v>5.33</v>
      </c>
      <c r="G20" s="64">
        <v>23.54</v>
      </c>
      <c r="H20" s="64">
        <v>5.32</v>
      </c>
      <c r="I20" s="64">
        <v>1.31</v>
      </c>
      <c r="J20" s="64">
        <v>7.0000000000000007E-2</v>
      </c>
      <c r="K20" s="64">
        <v>290.19</v>
      </c>
      <c r="L20" s="64">
        <v>22.01</v>
      </c>
      <c r="M20" s="64">
        <v>98.2</v>
      </c>
      <c r="N20" s="64">
        <v>39.6</v>
      </c>
      <c r="O20" s="64">
        <v>0</v>
      </c>
      <c r="P20" s="64">
        <v>0.35</v>
      </c>
      <c r="Q20" s="64">
        <v>9.16</v>
      </c>
      <c r="R20" s="198"/>
      <c r="S20" s="198"/>
      <c r="T20" s="198"/>
      <c r="U20" s="198"/>
    </row>
    <row r="21" spans="1:21" s="12" customFormat="1" x14ac:dyDescent="0.25">
      <c r="A21" s="211" t="s">
        <v>260</v>
      </c>
      <c r="B21" s="64">
        <v>9.3699999999999992</v>
      </c>
      <c r="C21" s="64">
        <v>4.43</v>
      </c>
      <c r="D21" s="64">
        <v>9.83</v>
      </c>
      <c r="E21" s="64">
        <v>4.21</v>
      </c>
      <c r="F21" s="64">
        <v>5.12</v>
      </c>
      <c r="G21" s="64">
        <v>23.54</v>
      </c>
      <c r="H21" s="64">
        <v>5.32</v>
      </c>
      <c r="I21" s="64">
        <v>1.29</v>
      </c>
      <c r="J21" s="64">
        <v>0.12</v>
      </c>
      <c r="K21" s="64">
        <v>298.92</v>
      </c>
      <c r="L21" s="64">
        <v>21.99</v>
      </c>
      <c r="M21" s="64">
        <v>98.22</v>
      </c>
      <c r="N21" s="64">
        <v>39.6</v>
      </c>
      <c r="O21" s="64">
        <v>0</v>
      </c>
      <c r="P21" s="64">
        <v>0.37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1" t="s">
        <v>261</v>
      </c>
      <c r="B22" s="64">
        <v>9.51</v>
      </c>
      <c r="C22" s="64">
        <v>4.3099999999999996</v>
      </c>
      <c r="D22" s="64">
        <v>9.8800000000000008</v>
      </c>
      <c r="E22" s="64">
        <v>4.01</v>
      </c>
      <c r="F22" s="64">
        <v>4.75</v>
      </c>
      <c r="G22" s="64">
        <v>18.62</v>
      </c>
      <c r="H22" s="64">
        <v>5.74</v>
      </c>
      <c r="I22" s="64">
        <v>1.27</v>
      </c>
      <c r="J22" s="64">
        <v>0.11</v>
      </c>
      <c r="K22" s="64">
        <v>302.95999999999998</v>
      </c>
      <c r="L22" s="64">
        <v>22.08</v>
      </c>
      <c r="M22" s="64">
        <v>98.22</v>
      </c>
      <c r="N22" s="64">
        <v>39.6</v>
      </c>
      <c r="O22" s="64">
        <v>0</v>
      </c>
      <c r="P22" s="64">
        <v>0.39</v>
      </c>
      <c r="Q22" s="64">
        <v>9.15</v>
      </c>
      <c r="R22" s="198"/>
      <c r="S22" s="198"/>
      <c r="T22" s="198"/>
      <c r="U22" s="198"/>
    </row>
    <row r="23" spans="1:21" s="12" customFormat="1" x14ac:dyDescent="0.25">
      <c r="A23" s="211" t="s">
        <v>262</v>
      </c>
      <c r="B23" s="64">
        <v>10.08</v>
      </c>
      <c r="C23" s="64">
        <v>3.82</v>
      </c>
      <c r="D23" s="64">
        <v>10.08</v>
      </c>
      <c r="E23" s="64">
        <v>4.2</v>
      </c>
      <c r="F23" s="64">
        <v>3.71</v>
      </c>
      <c r="G23" s="64">
        <v>16.61</v>
      </c>
      <c r="H23" s="64">
        <v>5.78</v>
      </c>
      <c r="I23" s="64">
        <v>1.34</v>
      </c>
      <c r="J23" s="64">
        <v>0.1</v>
      </c>
      <c r="K23" s="64">
        <v>311.29000000000002</v>
      </c>
      <c r="L23" s="64">
        <v>22.05</v>
      </c>
      <c r="M23" s="64">
        <v>98.23</v>
      </c>
      <c r="N23" s="64">
        <v>39.6</v>
      </c>
      <c r="O23" s="64">
        <v>0</v>
      </c>
      <c r="P23" s="64">
        <v>0.39</v>
      </c>
      <c r="Q23" s="64">
        <v>9.1199999999999992</v>
      </c>
      <c r="R23" s="198"/>
      <c r="S23" s="198"/>
      <c r="T23" s="198"/>
      <c r="U23" s="198"/>
    </row>
    <row r="24" spans="1:21" s="12" customFormat="1" x14ac:dyDescent="0.25">
      <c r="A24" s="211" t="s">
        <v>263</v>
      </c>
      <c r="B24" s="64">
        <v>9.83</v>
      </c>
      <c r="C24" s="64">
        <v>3.89</v>
      </c>
      <c r="D24" s="64">
        <v>9.91</v>
      </c>
      <c r="E24" s="64">
        <v>4.13</v>
      </c>
      <c r="F24" s="64">
        <v>4.76</v>
      </c>
      <c r="G24" s="64">
        <v>16.61</v>
      </c>
      <c r="H24" s="64">
        <v>5.78</v>
      </c>
      <c r="I24" s="64">
        <v>1.28</v>
      </c>
      <c r="J24" s="64">
        <v>0.1</v>
      </c>
      <c r="K24" s="64">
        <v>307.63</v>
      </c>
      <c r="L24" s="64">
        <v>21.95</v>
      </c>
      <c r="M24" s="64">
        <v>98.23</v>
      </c>
      <c r="N24" s="64">
        <v>39.6</v>
      </c>
      <c r="O24" s="64">
        <v>0</v>
      </c>
      <c r="P24" s="64">
        <v>0.37</v>
      </c>
      <c r="Q24" s="64">
        <v>9.11</v>
      </c>
      <c r="R24" s="198"/>
      <c r="S24" s="198"/>
      <c r="T24" s="198"/>
      <c r="U24" s="198"/>
    </row>
    <row r="25" spans="1:21" s="12" customFormat="1" x14ac:dyDescent="0.25">
      <c r="A25" s="211" t="s">
        <v>264</v>
      </c>
      <c r="B25" s="64">
        <v>9.67</v>
      </c>
      <c r="C25" s="64">
        <v>3.95</v>
      </c>
      <c r="D25" s="64">
        <v>9.81</v>
      </c>
      <c r="E25" s="64">
        <v>4.25</v>
      </c>
      <c r="F25" s="64">
        <v>2.9</v>
      </c>
      <c r="G25" s="64">
        <v>16.61</v>
      </c>
      <c r="H25" s="64">
        <v>5.78</v>
      </c>
      <c r="I25" s="64">
        <v>1.18</v>
      </c>
      <c r="J25" s="64">
        <v>0.1</v>
      </c>
      <c r="K25" s="64">
        <v>317.3</v>
      </c>
      <c r="L25" s="64">
        <v>21.93</v>
      </c>
      <c r="M25" s="64">
        <v>98.23</v>
      </c>
      <c r="N25" s="64">
        <v>39.6</v>
      </c>
      <c r="O25" s="64">
        <v>0</v>
      </c>
      <c r="P25" s="64">
        <v>0.36</v>
      </c>
      <c r="Q25" s="64">
        <v>9.09</v>
      </c>
      <c r="R25" s="198"/>
      <c r="S25" s="198"/>
      <c r="T25" s="198"/>
      <c r="U25" s="198"/>
    </row>
    <row r="26" spans="1:21" s="12" customFormat="1" x14ac:dyDescent="0.25">
      <c r="A26" s="211" t="s">
        <v>265</v>
      </c>
      <c r="B26" s="64">
        <v>9.3699999999999992</v>
      </c>
      <c r="C26" s="64">
        <v>4.08</v>
      </c>
      <c r="D26" s="64">
        <v>9.64</v>
      </c>
      <c r="E26" s="64">
        <v>4.1399999999999997</v>
      </c>
      <c r="F26" s="64">
        <v>3.39</v>
      </c>
      <c r="G26" s="64">
        <v>13.66</v>
      </c>
      <c r="H26" s="64">
        <v>5.05</v>
      </c>
      <c r="I26" s="64">
        <v>1.25</v>
      </c>
      <c r="J26" s="64">
        <v>7.0000000000000007E-2</v>
      </c>
      <c r="K26" s="64">
        <v>319.64</v>
      </c>
      <c r="L26" s="64">
        <v>21.97</v>
      </c>
      <c r="M26" s="64">
        <v>98.23</v>
      </c>
      <c r="N26" s="64">
        <v>39.6</v>
      </c>
      <c r="O26" s="64">
        <v>0</v>
      </c>
      <c r="P26" s="64">
        <v>0.36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1" t="s">
        <v>266</v>
      </c>
      <c r="B27" s="64">
        <v>8.1999999999999993</v>
      </c>
      <c r="C27" s="64">
        <v>5.27</v>
      </c>
      <c r="D27" s="64">
        <v>9.33</v>
      </c>
      <c r="E27" s="64">
        <v>4.33</v>
      </c>
      <c r="F27" s="64">
        <v>3.75</v>
      </c>
      <c r="G27" s="64">
        <v>12.39</v>
      </c>
      <c r="H27" s="64">
        <v>5</v>
      </c>
      <c r="I27" s="64">
        <v>1.29</v>
      </c>
      <c r="J27" s="64">
        <v>0.05</v>
      </c>
      <c r="K27" s="64">
        <v>178.84</v>
      </c>
      <c r="L27" s="64">
        <v>21.93</v>
      </c>
      <c r="M27" s="64">
        <v>98.23</v>
      </c>
      <c r="N27" s="64">
        <v>39.700000000000003</v>
      </c>
      <c r="O27" s="64">
        <v>0</v>
      </c>
      <c r="P27" s="64">
        <v>0.31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1" t="s">
        <v>267</v>
      </c>
      <c r="B28" s="64">
        <v>9.3699999999999992</v>
      </c>
      <c r="C28" s="64">
        <v>4.8899999999999997</v>
      </c>
      <c r="D28" s="64">
        <v>10.07</v>
      </c>
      <c r="E28" s="64">
        <v>4.0199999999999996</v>
      </c>
      <c r="F28" s="64">
        <v>3.16</v>
      </c>
      <c r="G28" s="64">
        <v>12.39</v>
      </c>
      <c r="H28" s="64">
        <v>5</v>
      </c>
      <c r="I28" s="64">
        <v>1.27</v>
      </c>
      <c r="J28" s="64">
        <v>0.11</v>
      </c>
      <c r="K28" s="64">
        <v>321.14</v>
      </c>
      <c r="L28" s="64">
        <v>21.89</v>
      </c>
      <c r="M28" s="64">
        <v>98.23</v>
      </c>
      <c r="N28" s="64">
        <v>39.799999999999997</v>
      </c>
      <c r="O28" s="64">
        <v>0</v>
      </c>
      <c r="P28" s="64">
        <v>0.33</v>
      </c>
      <c r="Q28" s="64">
        <v>9.08</v>
      </c>
      <c r="R28" s="198"/>
      <c r="S28" s="198"/>
      <c r="T28" s="198"/>
      <c r="U28" s="198"/>
    </row>
    <row r="29" spans="1:21" s="12" customFormat="1" x14ac:dyDescent="0.25">
      <c r="A29" s="211" t="s">
        <v>268</v>
      </c>
      <c r="B29" s="64">
        <v>9.6199999999999992</v>
      </c>
      <c r="C29" s="64">
        <v>4.16</v>
      </c>
      <c r="D29" s="64">
        <v>9.89</v>
      </c>
      <c r="E29" s="64">
        <v>4.05</v>
      </c>
      <c r="F29" s="64">
        <v>3.53</v>
      </c>
      <c r="G29" s="64">
        <v>12.39</v>
      </c>
      <c r="H29" s="64">
        <v>5</v>
      </c>
      <c r="I29" s="64">
        <v>1.26</v>
      </c>
      <c r="J29" s="64">
        <v>0.08</v>
      </c>
      <c r="K29" s="64">
        <v>307.77999999999997</v>
      </c>
      <c r="L29" s="64">
        <v>21.86</v>
      </c>
      <c r="M29" s="64">
        <v>98.23</v>
      </c>
      <c r="N29" s="64">
        <v>40</v>
      </c>
      <c r="O29" s="64">
        <v>0</v>
      </c>
      <c r="P29" s="64">
        <v>0.34</v>
      </c>
      <c r="Q29" s="64">
        <v>9.07</v>
      </c>
      <c r="R29" s="198"/>
      <c r="S29" s="198"/>
      <c r="T29" s="198"/>
      <c r="U29" s="198"/>
    </row>
    <row r="30" spans="1:21" s="12" customFormat="1" x14ac:dyDescent="0.25">
      <c r="A30" s="211" t="s">
        <v>269</v>
      </c>
      <c r="B30" s="64">
        <v>11.94</v>
      </c>
      <c r="C30" s="64">
        <v>5.25</v>
      </c>
      <c r="D30" s="64">
        <v>12.31</v>
      </c>
      <c r="E30" s="64">
        <v>3.77</v>
      </c>
      <c r="F30" s="64">
        <v>3.41</v>
      </c>
      <c r="G30" s="64">
        <v>15.87</v>
      </c>
      <c r="H30" s="64">
        <v>4.53</v>
      </c>
      <c r="I30" s="64">
        <v>1.25</v>
      </c>
      <c r="J30" s="64">
        <v>0.06</v>
      </c>
      <c r="K30" s="64">
        <v>291.22000000000003</v>
      </c>
      <c r="L30" s="64">
        <v>21.77</v>
      </c>
      <c r="M30" s="64">
        <v>98.25</v>
      </c>
      <c r="N30" s="64">
        <v>39.6</v>
      </c>
      <c r="O30" s="64">
        <v>0</v>
      </c>
      <c r="P30" s="64">
        <v>0.35</v>
      </c>
      <c r="Q30" s="64">
        <v>9.07</v>
      </c>
      <c r="R30" s="198"/>
      <c r="S30" s="198"/>
      <c r="T30" s="198"/>
      <c r="U30" s="198"/>
    </row>
    <row r="31" spans="1:21" s="12" customFormat="1" x14ac:dyDescent="0.25">
      <c r="A31" s="211" t="s">
        <v>270</v>
      </c>
      <c r="B31" s="64">
        <v>9.8800000000000008</v>
      </c>
      <c r="C31" s="64">
        <v>5.69</v>
      </c>
      <c r="D31" s="64">
        <v>10.9</v>
      </c>
      <c r="E31" s="64">
        <v>4.03</v>
      </c>
      <c r="F31" s="64">
        <v>4.32</v>
      </c>
      <c r="G31" s="64">
        <v>17.37</v>
      </c>
      <c r="H31" s="64">
        <v>4.5</v>
      </c>
      <c r="I31" s="64">
        <v>1.24</v>
      </c>
      <c r="J31" s="64">
        <v>0.08</v>
      </c>
      <c r="K31" s="64">
        <v>261.45</v>
      </c>
      <c r="L31" s="64">
        <v>21.77</v>
      </c>
      <c r="M31" s="64">
        <v>98.28</v>
      </c>
      <c r="N31" s="64">
        <v>39.6</v>
      </c>
      <c r="O31" s="64">
        <v>0</v>
      </c>
      <c r="P31" s="64">
        <v>0.33</v>
      </c>
      <c r="Q31" s="64">
        <v>9.08</v>
      </c>
      <c r="R31" s="198"/>
      <c r="S31" s="198"/>
      <c r="T31" s="198"/>
      <c r="U31" s="198"/>
    </row>
    <row r="32" spans="1:21" s="12" customFormat="1" x14ac:dyDescent="0.25">
      <c r="A32" s="211" t="s">
        <v>271</v>
      </c>
      <c r="B32" s="64">
        <v>9.4</v>
      </c>
      <c r="C32" s="64">
        <v>4.67</v>
      </c>
      <c r="D32" s="64">
        <v>9.98</v>
      </c>
      <c r="E32" s="64">
        <v>3.91</v>
      </c>
      <c r="F32" s="64">
        <v>3.68</v>
      </c>
      <c r="G32" s="64">
        <v>17.37</v>
      </c>
      <c r="H32" s="64">
        <v>4.5</v>
      </c>
      <c r="I32" s="64">
        <v>1.25</v>
      </c>
      <c r="J32" s="64">
        <v>7.0000000000000007E-2</v>
      </c>
      <c r="K32" s="64">
        <v>271.63</v>
      </c>
      <c r="L32" s="64">
        <v>21.77</v>
      </c>
      <c r="M32" s="64">
        <v>98.28</v>
      </c>
      <c r="N32" s="64">
        <v>40.9</v>
      </c>
      <c r="O32" s="64">
        <v>0</v>
      </c>
      <c r="P32" s="64">
        <v>0.34</v>
      </c>
      <c r="Q32" s="64">
        <v>9.09</v>
      </c>
      <c r="R32" s="198"/>
      <c r="S32" s="198"/>
      <c r="T32" s="198"/>
      <c r="U32" s="198"/>
    </row>
    <row r="33" spans="1:21" s="12" customFormat="1" x14ac:dyDescent="0.25">
      <c r="A33" s="211" t="s">
        <v>272</v>
      </c>
      <c r="B33" s="64">
        <v>10.58</v>
      </c>
      <c r="C33" s="64">
        <v>5.39</v>
      </c>
      <c r="D33" s="64">
        <v>11.3</v>
      </c>
      <c r="E33" s="64">
        <v>3.81</v>
      </c>
      <c r="F33" s="64">
        <v>4.3899999999999997</v>
      </c>
      <c r="G33" s="64">
        <v>17.37</v>
      </c>
      <c r="H33" s="64">
        <v>4.5</v>
      </c>
      <c r="I33" s="64">
        <v>1.25</v>
      </c>
      <c r="J33" s="64">
        <v>0.05</v>
      </c>
      <c r="K33" s="64">
        <v>290.43</v>
      </c>
      <c r="L33" s="64">
        <v>21.78</v>
      </c>
      <c r="M33" s="64">
        <v>98.28</v>
      </c>
      <c r="N33" s="64">
        <v>48.9</v>
      </c>
      <c r="O33" s="64">
        <v>0</v>
      </c>
      <c r="P33" s="64">
        <v>0.34</v>
      </c>
      <c r="Q33" s="64">
        <v>9.1199999999999992</v>
      </c>
      <c r="R33" s="198"/>
      <c r="S33" s="198"/>
      <c r="T33" s="198"/>
      <c r="U33" s="198"/>
    </row>
    <row r="34" spans="1:21" s="12" customFormat="1" x14ac:dyDescent="0.25">
      <c r="A34" s="211" t="s">
        <v>273</v>
      </c>
      <c r="B34" s="64">
        <v>10.76</v>
      </c>
      <c r="C34" s="64">
        <v>5.61</v>
      </c>
      <c r="D34" s="64">
        <v>11.57</v>
      </c>
      <c r="E34" s="64">
        <v>4.01</v>
      </c>
      <c r="F34" s="64">
        <v>4.59</v>
      </c>
      <c r="G34" s="64">
        <v>16.809999999999999</v>
      </c>
      <c r="H34" s="64">
        <v>6.46</v>
      </c>
      <c r="I34" s="64">
        <v>1.24</v>
      </c>
      <c r="J34" s="64">
        <v>0.08</v>
      </c>
      <c r="K34" s="64">
        <v>308.64</v>
      </c>
      <c r="L34" s="64">
        <v>21.93</v>
      </c>
      <c r="M34" s="64">
        <v>98.27</v>
      </c>
      <c r="N34" s="64">
        <v>70.400000000000006</v>
      </c>
      <c r="O34" s="64">
        <v>0</v>
      </c>
      <c r="P34" s="64">
        <v>0.35</v>
      </c>
      <c r="Q34" s="64">
        <v>9.1300000000000008</v>
      </c>
      <c r="R34" s="198"/>
      <c r="S34" s="198"/>
      <c r="T34" s="198"/>
      <c r="U34" s="198"/>
    </row>
    <row r="35" spans="1:21" s="12" customFormat="1" x14ac:dyDescent="0.25">
      <c r="A35" s="211" t="s">
        <v>274</v>
      </c>
      <c r="B35" s="64">
        <v>11.11</v>
      </c>
      <c r="C35" s="64">
        <v>5.67</v>
      </c>
      <c r="D35" s="64">
        <v>11.87</v>
      </c>
      <c r="E35" s="64">
        <v>4.01</v>
      </c>
      <c r="F35" s="64">
        <v>4.67</v>
      </c>
      <c r="G35" s="64">
        <v>16.57</v>
      </c>
      <c r="H35" s="64">
        <v>6.59</v>
      </c>
      <c r="I35" s="64">
        <v>1.25</v>
      </c>
      <c r="J35" s="64">
        <v>0.06</v>
      </c>
      <c r="K35" s="64">
        <v>284.79000000000002</v>
      </c>
      <c r="L35" s="64">
        <v>22.26</v>
      </c>
      <c r="M35" s="64">
        <v>98.23</v>
      </c>
      <c r="N35" s="64">
        <v>80.8</v>
      </c>
      <c r="O35" s="64">
        <v>0</v>
      </c>
      <c r="P35" s="64">
        <v>0.37</v>
      </c>
      <c r="Q35" s="64">
        <v>9.16</v>
      </c>
      <c r="R35" s="198"/>
      <c r="S35" s="198"/>
      <c r="T35" s="198"/>
      <c r="U35" s="198"/>
    </row>
    <row r="36" spans="1:21" s="12" customFormat="1" x14ac:dyDescent="0.25">
      <c r="A36" s="211" t="s">
        <v>275</v>
      </c>
      <c r="B36" s="64">
        <v>10.4</v>
      </c>
      <c r="C36" s="64">
        <v>5.24</v>
      </c>
      <c r="D36" s="64">
        <v>11.07</v>
      </c>
      <c r="E36" s="64">
        <v>4.01</v>
      </c>
      <c r="F36" s="64">
        <v>4.87</v>
      </c>
      <c r="G36" s="64">
        <v>16.57</v>
      </c>
      <c r="H36" s="64">
        <v>6.59</v>
      </c>
      <c r="I36" s="64">
        <v>1.26</v>
      </c>
      <c r="J36" s="64">
        <v>0.08</v>
      </c>
      <c r="K36" s="64">
        <v>266.94</v>
      </c>
      <c r="L36" s="64">
        <v>22.41</v>
      </c>
      <c r="M36" s="64">
        <v>98.23</v>
      </c>
      <c r="N36" s="64">
        <v>86.4</v>
      </c>
      <c r="O36" s="64">
        <v>0</v>
      </c>
      <c r="P36" s="64">
        <v>0.35</v>
      </c>
      <c r="Q36" s="64">
        <v>9.16</v>
      </c>
      <c r="R36" s="198"/>
      <c r="S36" s="198"/>
      <c r="T36" s="198"/>
      <c r="U36" s="198"/>
    </row>
    <row r="37" spans="1:21" s="12" customFormat="1" x14ac:dyDescent="0.25">
      <c r="A37" s="211" t="s">
        <v>276</v>
      </c>
      <c r="B37" s="64">
        <v>10.83</v>
      </c>
      <c r="C37" s="64">
        <v>5.23</v>
      </c>
      <c r="D37" s="64">
        <v>11.42</v>
      </c>
      <c r="E37" s="64">
        <v>4.25</v>
      </c>
      <c r="F37" s="64">
        <v>4.21</v>
      </c>
      <c r="G37" s="64">
        <v>16.57</v>
      </c>
      <c r="H37" s="64">
        <v>6.59</v>
      </c>
      <c r="I37" s="64">
        <v>1.27</v>
      </c>
      <c r="J37" s="64">
        <v>0.14000000000000001</v>
      </c>
      <c r="K37" s="64">
        <v>168.37</v>
      </c>
      <c r="L37" s="64">
        <v>22.6</v>
      </c>
      <c r="M37" s="64">
        <v>98.23</v>
      </c>
      <c r="N37" s="64">
        <v>108.2</v>
      </c>
      <c r="O37" s="64">
        <v>0</v>
      </c>
      <c r="P37" s="64">
        <v>0.37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1" t="s">
        <v>277</v>
      </c>
      <c r="B38" s="64">
        <v>10.8</v>
      </c>
      <c r="C38" s="64">
        <v>5.67</v>
      </c>
      <c r="D38" s="64">
        <v>11.63</v>
      </c>
      <c r="E38" s="64">
        <v>4.38</v>
      </c>
      <c r="F38" s="64">
        <v>5.23</v>
      </c>
      <c r="G38" s="64">
        <v>19.489999999999998</v>
      </c>
      <c r="H38" s="64">
        <v>6.34</v>
      </c>
      <c r="I38" s="64">
        <v>1.29</v>
      </c>
      <c r="J38" s="64">
        <v>0.16</v>
      </c>
      <c r="K38" s="64">
        <v>183.45</v>
      </c>
      <c r="L38" s="64">
        <v>23.44</v>
      </c>
      <c r="M38" s="64">
        <v>98.17</v>
      </c>
      <c r="N38" s="64">
        <v>234.7</v>
      </c>
      <c r="O38" s="64">
        <v>0</v>
      </c>
      <c r="P38" s="64">
        <v>0.36</v>
      </c>
      <c r="Q38" s="64">
        <v>9.16</v>
      </c>
      <c r="R38" s="198"/>
      <c r="S38" s="198"/>
      <c r="T38" s="198"/>
      <c r="U38" s="198"/>
    </row>
    <row r="39" spans="1:21" s="12" customFormat="1" x14ac:dyDescent="0.25">
      <c r="A39" s="211" t="s">
        <v>278</v>
      </c>
      <c r="B39" s="64">
        <v>9.4700000000000006</v>
      </c>
      <c r="C39" s="64">
        <v>4.8600000000000003</v>
      </c>
      <c r="D39" s="64">
        <v>10.130000000000001</v>
      </c>
      <c r="E39" s="64">
        <v>4.22</v>
      </c>
      <c r="F39" s="64">
        <v>5.31</v>
      </c>
      <c r="G39" s="64">
        <v>20.67</v>
      </c>
      <c r="H39" s="64">
        <v>6.32</v>
      </c>
      <c r="I39" s="64">
        <v>1.32</v>
      </c>
      <c r="J39" s="64">
        <v>0.21</v>
      </c>
      <c r="K39" s="64">
        <v>148.74</v>
      </c>
      <c r="L39" s="64">
        <v>23.94</v>
      </c>
      <c r="M39" s="64">
        <v>98.12</v>
      </c>
      <c r="N39" s="64">
        <v>159.5</v>
      </c>
      <c r="O39" s="64">
        <v>0</v>
      </c>
      <c r="P39" s="64">
        <v>0.35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279</v>
      </c>
      <c r="B40" s="64">
        <v>10.14</v>
      </c>
      <c r="C40" s="64">
        <v>3.98</v>
      </c>
      <c r="D40" s="64">
        <v>10.210000000000001</v>
      </c>
      <c r="E40" s="64">
        <v>5.28</v>
      </c>
      <c r="F40" s="64">
        <v>4.2699999999999996</v>
      </c>
      <c r="G40" s="64">
        <v>20.67</v>
      </c>
      <c r="H40" s="64">
        <v>6.32</v>
      </c>
      <c r="I40" s="64">
        <v>1.33</v>
      </c>
      <c r="J40" s="64">
        <v>0.08</v>
      </c>
      <c r="K40" s="64">
        <v>303.69</v>
      </c>
      <c r="L40" s="64">
        <v>24.18</v>
      </c>
      <c r="M40" s="64">
        <v>98.1</v>
      </c>
      <c r="N40" s="64">
        <v>147.6</v>
      </c>
      <c r="O40" s="64">
        <v>0</v>
      </c>
      <c r="P40" s="64">
        <v>0.37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1" t="s">
        <v>280</v>
      </c>
      <c r="B41" s="64">
        <v>10.47</v>
      </c>
      <c r="C41" s="64">
        <v>3.79</v>
      </c>
      <c r="D41" s="64">
        <v>10.37</v>
      </c>
      <c r="E41" s="64">
        <v>4.49</v>
      </c>
      <c r="F41" s="64">
        <v>3.31</v>
      </c>
      <c r="G41" s="64">
        <v>20.67</v>
      </c>
      <c r="H41" s="64">
        <v>6.32</v>
      </c>
      <c r="I41" s="64">
        <v>1.34</v>
      </c>
      <c r="J41" s="64">
        <v>0.12</v>
      </c>
      <c r="K41" s="64">
        <v>267.3</v>
      </c>
      <c r="L41" s="64">
        <v>24.11</v>
      </c>
      <c r="M41" s="64">
        <v>98.12</v>
      </c>
      <c r="N41" s="64">
        <v>220.9</v>
      </c>
      <c r="O41" s="64">
        <v>0</v>
      </c>
      <c r="P41" s="64">
        <v>0.38</v>
      </c>
      <c r="Q41" s="64">
        <v>9.11</v>
      </c>
      <c r="R41" s="198"/>
      <c r="S41" s="198"/>
      <c r="T41" s="198"/>
      <c r="U41" s="198"/>
    </row>
    <row r="42" spans="1:21" s="12" customFormat="1" x14ac:dyDescent="0.25">
      <c r="A42" s="211" t="s">
        <v>281</v>
      </c>
      <c r="B42" s="64">
        <v>12.22</v>
      </c>
      <c r="C42" s="64">
        <v>5.13</v>
      </c>
      <c r="D42" s="64">
        <v>12.48</v>
      </c>
      <c r="E42" s="64">
        <v>4.45</v>
      </c>
      <c r="F42" s="64">
        <v>5.0599999999999996</v>
      </c>
      <c r="G42" s="64">
        <v>19.84</v>
      </c>
      <c r="H42" s="64">
        <v>5.47</v>
      </c>
      <c r="I42" s="64">
        <v>1.35</v>
      </c>
      <c r="J42" s="64">
        <v>0.15</v>
      </c>
      <c r="K42" s="64">
        <v>307.39</v>
      </c>
      <c r="L42" s="64">
        <v>26.08</v>
      </c>
      <c r="M42" s="64">
        <v>97.77</v>
      </c>
      <c r="N42" s="64">
        <v>457.6</v>
      </c>
      <c r="O42" s="64">
        <v>0</v>
      </c>
      <c r="P42" s="64">
        <v>0.4</v>
      </c>
      <c r="Q42" s="64">
        <v>9.11</v>
      </c>
      <c r="R42" s="198"/>
      <c r="S42" s="198"/>
      <c r="T42" s="198"/>
      <c r="U42" s="198"/>
    </row>
    <row r="43" spans="1:21" s="12" customFormat="1" x14ac:dyDescent="0.25">
      <c r="A43" s="211" t="s">
        <v>282</v>
      </c>
      <c r="B43" s="64">
        <v>11.96</v>
      </c>
      <c r="C43" s="64">
        <v>5.94</v>
      </c>
      <c r="D43" s="64">
        <v>12.69</v>
      </c>
      <c r="E43" s="64">
        <v>4.6100000000000003</v>
      </c>
      <c r="F43" s="64">
        <v>3.93</v>
      </c>
      <c r="G43" s="64">
        <v>19.5</v>
      </c>
      <c r="H43" s="64">
        <v>5.42</v>
      </c>
      <c r="I43" s="64">
        <v>1.39</v>
      </c>
      <c r="J43" s="64">
        <v>0.14000000000000001</v>
      </c>
      <c r="K43" s="64">
        <v>265.68</v>
      </c>
      <c r="L43" s="64">
        <v>27.76</v>
      </c>
      <c r="M43" s="64">
        <v>90.95</v>
      </c>
      <c r="N43" s="64">
        <v>542.5</v>
      </c>
      <c r="O43" s="64">
        <v>0</v>
      </c>
      <c r="P43" s="64">
        <v>0.43</v>
      </c>
      <c r="Q43" s="64">
        <v>9.1199999999999992</v>
      </c>
      <c r="R43" s="198"/>
      <c r="S43" s="198"/>
      <c r="T43" s="198"/>
      <c r="U43" s="198"/>
    </row>
    <row r="44" spans="1:21" s="12" customFormat="1" x14ac:dyDescent="0.25">
      <c r="A44" s="211" t="s">
        <v>283</v>
      </c>
      <c r="B44" s="64">
        <v>10.9</v>
      </c>
      <c r="C44" s="64">
        <v>4.84</v>
      </c>
      <c r="D44" s="64">
        <v>11.27</v>
      </c>
      <c r="E44" s="64">
        <v>4.0599999999999996</v>
      </c>
      <c r="F44" s="64">
        <v>5.34</v>
      </c>
      <c r="G44" s="64">
        <v>19.5</v>
      </c>
      <c r="H44" s="64">
        <v>5.42</v>
      </c>
      <c r="I44" s="64">
        <v>1.49</v>
      </c>
      <c r="J44" s="64">
        <v>0.35</v>
      </c>
      <c r="K44" s="64">
        <v>323.02999999999997</v>
      </c>
      <c r="L44" s="64">
        <v>29</v>
      </c>
      <c r="M44" s="64">
        <v>83.66</v>
      </c>
      <c r="N44" s="64">
        <v>632.29999999999995</v>
      </c>
      <c r="O44" s="64">
        <v>0</v>
      </c>
      <c r="P44" s="64">
        <v>0.43</v>
      </c>
      <c r="Q44" s="64">
        <v>9.11</v>
      </c>
      <c r="R44" s="198"/>
      <c r="S44" s="198"/>
      <c r="T44" s="198"/>
      <c r="U44" s="198"/>
    </row>
    <row r="45" spans="1:21" s="12" customFormat="1" x14ac:dyDescent="0.25">
      <c r="A45" s="211" t="s">
        <v>284</v>
      </c>
      <c r="B45" s="64">
        <v>11.3</v>
      </c>
      <c r="C45" s="64">
        <v>5.05</v>
      </c>
      <c r="D45" s="64">
        <v>11.7</v>
      </c>
      <c r="E45" s="64">
        <v>4.53</v>
      </c>
      <c r="F45" s="64">
        <v>5.17</v>
      </c>
      <c r="G45" s="64">
        <v>19.5</v>
      </c>
      <c r="H45" s="64">
        <v>5.42</v>
      </c>
      <c r="I45" s="64">
        <v>1.68</v>
      </c>
      <c r="J45" s="64">
        <v>0.4</v>
      </c>
      <c r="K45" s="64">
        <v>323.08</v>
      </c>
      <c r="L45" s="64">
        <v>31.11</v>
      </c>
      <c r="M45" s="64">
        <v>70.61</v>
      </c>
      <c r="N45" s="64">
        <v>488.2</v>
      </c>
      <c r="O45" s="64">
        <v>0</v>
      </c>
      <c r="P45" s="64">
        <v>0.49</v>
      </c>
      <c r="Q45" s="64">
        <v>9.11</v>
      </c>
      <c r="R45" s="198"/>
      <c r="S45" s="198"/>
      <c r="T45" s="198"/>
      <c r="U45" s="198"/>
    </row>
    <row r="46" spans="1:21" s="12" customFormat="1" x14ac:dyDescent="0.25">
      <c r="A46" s="211" t="s">
        <v>285</v>
      </c>
      <c r="B46" s="64">
        <v>11.76</v>
      </c>
      <c r="C46" s="64">
        <v>5.82</v>
      </c>
      <c r="D46" s="64">
        <v>12.47</v>
      </c>
      <c r="E46" s="64">
        <v>4.6399999999999997</v>
      </c>
      <c r="F46" s="64">
        <v>5.31</v>
      </c>
      <c r="G46" s="64">
        <v>23.37</v>
      </c>
      <c r="H46" s="64">
        <v>9.7200000000000006</v>
      </c>
      <c r="I46" s="64">
        <v>1.87</v>
      </c>
      <c r="J46" s="64">
        <v>0.46</v>
      </c>
      <c r="K46" s="64">
        <v>328.52</v>
      </c>
      <c r="L46" s="64">
        <v>31.97</v>
      </c>
      <c r="M46" s="64">
        <v>65.989999999999995</v>
      </c>
      <c r="N46" s="64">
        <v>649.20000000000005</v>
      </c>
      <c r="O46" s="64">
        <v>0</v>
      </c>
      <c r="P46" s="64">
        <v>0.47</v>
      </c>
      <c r="Q46" s="64">
        <v>9.1199999999999992</v>
      </c>
      <c r="R46" s="198"/>
      <c r="S46" s="198"/>
      <c r="T46" s="198"/>
      <c r="U46" s="198"/>
    </row>
    <row r="47" spans="1:21" s="12" customFormat="1" x14ac:dyDescent="0.25">
      <c r="A47" s="211" t="s">
        <v>286</v>
      </c>
      <c r="B47" s="64">
        <v>10.55</v>
      </c>
      <c r="C47" s="64">
        <v>6.25</v>
      </c>
      <c r="D47" s="64">
        <v>11.72</v>
      </c>
      <c r="E47" s="64">
        <v>4.5</v>
      </c>
      <c r="F47" s="64">
        <v>5.89</v>
      </c>
      <c r="G47" s="64">
        <v>24.94</v>
      </c>
      <c r="H47" s="64">
        <v>10</v>
      </c>
      <c r="I47" s="64">
        <v>1.98</v>
      </c>
      <c r="J47" s="64">
        <v>0.33</v>
      </c>
      <c r="K47" s="64">
        <v>329.06</v>
      </c>
      <c r="L47" s="64">
        <v>31.47</v>
      </c>
      <c r="M47" s="64">
        <v>68.67</v>
      </c>
      <c r="N47" s="64">
        <v>622.4</v>
      </c>
      <c r="O47" s="64">
        <v>0</v>
      </c>
      <c r="P47" s="64">
        <v>0.52</v>
      </c>
      <c r="Q47" s="64">
        <v>9.1199999999999992</v>
      </c>
      <c r="R47" s="198"/>
      <c r="S47" s="198"/>
      <c r="T47" s="198"/>
      <c r="U47" s="198"/>
    </row>
    <row r="48" spans="1:21" s="12" customFormat="1" x14ac:dyDescent="0.25">
      <c r="A48" s="211" t="s">
        <v>287</v>
      </c>
      <c r="B48" s="64">
        <v>10.08</v>
      </c>
      <c r="C48" s="64">
        <v>9</v>
      </c>
      <c r="D48" s="64">
        <v>13.57</v>
      </c>
      <c r="E48" s="64">
        <v>4.55</v>
      </c>
      <c r="F48" s="64">
        <v>10</v>
      </c>
      <c r="G48" s="64">
        <v>0</v>
      </c>
      <c r="H48" s="64">
        <v>10</v>
      </c>
      <c r="I48" s="64">
        <v>2.1</v>
      </c>
      <c r="J48" s="64">
        <v>0.34</v>
      </c>
      <c r="K48" s="64">
        <v>323.24</v>
      </c>
      <c r="L48" s="64">
        <v>4.7</v>
      </c>
      <c r="M48" s="64">
        <v>66.73</v>
      </c>
      <c r="N48" s="64">
        <v>321.10000000000002</v>
      </c>
      <c r="O48" s="64">
        <v>0</v>
      </c>
      <c r="P48" s="64">
        <v>0.56999999999999995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1" t="s">
        <v>288</v>
      </c>
      <c r="B49" s="64">
        <v>8.33</v>
      </c>
      <c r="C49" s="64">
        <v>14.27</v>
      </c>
      <c r="D49" s="64">
        <v>14.13</v>
      </c>
      <c r="E49" s="64">
        <v>4.68</v>
      </c>
      <c r="F49" s="64">
        <v>8.94</v>
      </c>
      <c r="G49" s="64">
        <v>24.94</v>
      </c>
      <c r="H49" s="64">
        <v>10</v>
      </c>
      <c r="I49" s="64">
        <v>2.19</v>
      </c>
      <c r="J49" s="64">
        <v>0.79</v>
      </c>
      <c r="K49" s="64">
        <v>335.13</v>
      </c>
      <c r="L49" s="64">
        <v>30.89</v>
      </c>
      <c r="M49" s="64">
        <v>69.36</v>
      </c>
      <c r="N49" s="64">
        <v>320.39999999999998</v>
      </c>
      <c r="O49" s="64">
        <v>0</v>
      </c>
      <c r="P49" s="64">
        <v>0.65</v>
      </c>
      <c r="Q49" s="64">
        <v>9.07</v>
      </c>
      <c r="R49" s="198"/>
      <c r="S49" s="198"/>
      <c r="T49" s="198"/>
      <c r="U49" s="198"/>
    </row>
    <row r="50" spans="1:21" s="12" customFormat="1" x14ac:dyDescent="0.25">
      <c r="A50" s="211" t="s">
        <v>289</v>
      </c>
      <c r="B50" s="64">
        <v>9.14</v>
      </c>
      <c r="C50" s="64">
        <v>13.05</v>
      </c>
      <c r="D50" s="64">
        <v>14.15</v>
      </c>
      <c r="E50" s="64">
        <v>4.41</v>
      </c>
      <c r="F50" s="64">
        <v>9.0500000000000007</v>
      </c>
      <c r="G50" s="64">
        <v>22.57</v>
      </c>
      <c r="H50" s="64">
        <v>8.16</v>
      </c>
      <c r="I50" s="64">
        <v>2.7</v>
      </c>
      <c r="J50" s="64">
        <v>0.38</v>
      </c>
      <c r="K50" s="64">
        <v>324.93</v>
      </c>
      <c r="L50" s="64">
        <v>30.5</v>
      </c>
      <c r="M50" s="64">
        <v>67.09</v>
      </c>
      <c r="N50" s="64">
        <v>421.6</v>
      </c>
      <c r="O50" s="64">
        <v>0</v>
      </c>
      <c r="P50" s="64">
        <v>0.56999999999999995</v>
      </c>
      <c r="Q50" s="64">
        <v>9.07</v>
      </c>
      <c r="R50" s="198"/>
      <c r="S50" s="198"/>
      <c r="T50" s="198"/>
      <c r="U50" s="198"/>
    </row>
    <row r="51" spans="1:21" s="12" customFormat="1" x14ac:dyDescent="0.25">
      <c r="A51" s="211" t="s">
        <v>290</v>
      </c>
      <c r="B51" s="64">
        <v>7.46</v>
      </c>
      <c r="C51" s="64">
        <v>11.56</v>
      </c>
      <c r="D51" s="64">
        <v>12.02</v>
      </c>
      <c r="E51" s="64">
        <v>4.97</v>
      </c>
      <c r="F51" s="64">
        <v>12.45</v>
      </c>
      <c r="G51" s="64">
        <v>21.55</v>
      </c>
      <c r="H51" s="64">
        <v>8.0399999999999991</v>
      </c>
      <c r="I51" s="64">
        <v>3.12</v>
      </c>
      <c r="J51" s="64">
        <v>1.01</v>
      </c>
      <c r="K51" s="64">
        <v>336.23</v>
      </c>
      <c r="L51" s="64">
        <v>31.98</v>
      </c>
      <c r="M51" s="64">
        <v>60.66</v>
      </c>
      <c r="N51" s="64">
        <v>793.5</v>
      </c>
      <c r="O51" s="64">
        <v>0</v>
      </c>
      <c r="P51" s="64">
        <v>0.56000000000000005</v>
      </c>
      <c r="Q51" s="64">
        <v>9.08</v>
      </c>
      <c r="R51" s="198"/>
      <c r="S51" s="198"/>
      <c r="T51" s="198"/>
      <c r="U51" s="198"/>
    </row>
    <row r="52" spans="1:21" s="12" customFormat="1" x14ac:dyDescent="0.25">
      <c r="A52" s="211" t="s">
        <v>291</v>
      </c>
      <c r="B52" s="64">
        <v>8.5399999999999991</v>
      </c>
      <c r="C52" s="64">
        <v>12.63</v>
      </c>
      <c r="D52" s="64">
        <v>13.45</v>
      </c>
      <c r="E52" s="64">
        <v>5.01</v>
      </c>
      <c r="F52" s="64">
        <v>9.1300000000000008</v>
      </c>
      <c r="G52" s="64">
        <v>21.55</v>
      </c>
      <c r="H52" s="64">
        <v>8.0399999999999991</v>
      </c>
      <c r="I52" s="64">
        <v>3.13</v>
      </c>
      <c r="J52" s="64">
        <v>1.03</v>
      </c>
      <c r="K52" s="64">
        <v>333.12</v>
      </c>
      <c r="L52" s="64">
        <v>31.98</v>
      </c>
      <c r="M52" s="64">
        <v>60.07</v>
      </c>
      <c r="N52" s="64">
        <v>329.9</v>
      </c>
      <c r="O52" s="64">
        <v>0</v>
      </c>
      <c r="P52" s="64">
        <v>0.56999999999999995</v>
      </c>
      <c r="Q52" s="64">
        <v>9.09</v>
      </c>
      <c r="R52" s="198"/>
      <c r="S52" s="198"/>
      <c r="T52" s="198"/>
      <c r="U52" s="198"/>
    </row>
    <row r="53" spans="1:21" s="12" customFormat="1" x14ac:dyDescent="0.25">
      <c r="A53" s="211" t="s">
        <v>292</v>
      </c>
      <c r="B53" s="64">
        <v>7.6</v>
      </c>
      <c r="C53" s="64">
        <v>10.91</v>
      </c>
      <c r="D53" s="64">
        <v>11.8</v>
      </c>
      <c r="E53" s="64">
        <v>4.96</v>
      </c>
      <c r="F53" s="64">
        <v>13.09</v>
      </c>
      <c r="G53" s="64">
        <v>21.55</v>
      </c>
      <c r="H53" s="64">
        <v>8.0399999999999991</v>
      </c>
      <c r="I53" s="64">
        <v>3.05</v>
      </c>
      <c r="J53" s="64">
        <v>0.68</v>
      </c>
      <c r="K53" s="64">
        <v>337.94</v>
      </c>
      <c r="L53" s="64">
        <v>31.38</v>
      </c>
      <c r="M53" s="64">
        <v>62.15</v>
      </c>
      <c r="N53" s="64">
        <v>505.9</v>
      </c>
      <c r="O53" s="64">
        <v>0</v>
      </c>
      <c r="P53" s="64">
        <v>0.5</v>
      </c>
      <c r="Q53" s="64">
        <v>9.1</v>
      </c>
      <c r="R53" s="198"/>
      <c r="S53" s="198"/>
      <c r="T53" s="198"/>
      <c r="U53" s="198"/>
    </row>
    <row r="54" spans="1:21" s="12" customFormat="1" x14ac:dyDescent="0.25">
      <c r="A54" s="211" t="s">
        <v>293</v>
      </c>
      <c r="B54" s="64">
        <v>6.24</v>
      </c>
      <c r="C54" s="64">
        <v>12.48</v>
      </c>
      <c r="D54" s="64">
        <v>11.53</v>
      </c>
      <c r="E54" s="64">
        <v>5</v>
      </c>
      <c r="F54" s="64">
        <v>12.23</v>
      </c>
      <c r="G54" s="64">
        <v>34.92</v>
      </c>
      <c r="H54" s="64">
        <v>10.050000000000001</v>
      </c>
      <c r="I54" s="64">
        <v>2.97</v>
      </c>
      <c r="J54" s="64">
        <v>0.4</v>
      </c>
      <c r="K54" s="64">
        <v>325.49</v>
      </c>
      <c r="L54" s="64">
        <v>30.63</v>
      </c>
      <c r="M54" s="64">
        <v>64.930000000000007</v>
      </c>
      <c r="N54" s="64">
        <v>296.8</v>
      </c>
      <c r="O54" s="64">
        <v>0</v>
      </c>
      <c r="P54" s="64">
        <v>0.44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1" t="s">
        <v>294</v>
      </c>
      <c r="B55" s="64">
        <v>8.35</v>
      </c>
      <c r="C55" s="64">
        <v>14.13</v>
      </c>
      <c r="D55" s="64">
        <v>14.07</v>
      </c>
      <c r="E55" s="64">
        <v>4.78</v>
      </c>
      <c r="F55" s="64">
        <v>15.64</v>
      </c>
      <c r="G55" s="64">
        <v>40.35</v>
      </c>
      <c r="H55" s="64">
        <v>10.24</v>
      </c>
      <c r="I55" s="64">
        <v>2.69</v>
      </c>
      <c r="J55" s="64">
        <v>0.63</v>
      </c>
      <c r="K55" s="64">
        <v>341.85</v>
      </c>
      <c r="L55" s="64">
        <v>30.17</v>
      </c>
      <c r="M55" s="64">
        <v>67.489999999999995</v>
      </c>
      <c r="N55" s="64">
        <v>444</v>
      </c>
      <c r="O55" s="64">
        <v>0</v>
      </c>
      <c r="P55" s="64">
        <v>0.48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1" t="s">
        <v>295</v>
      </c>
      <c r="B56" s="64">
        <v>5.71</v>
      </c>
      <c r="C56" s="64">
        <v>13.55</v>
      </c>
      <c r="D56" s="64">
        <v>11.66</v>
      </c>
      <c r="E56" s="64">
        <v>4.55</v>
      </c>
      <c r="F56" s="64">
        <v>11.68</v>
      </c>
      <c r="G56" s="64">
        <v>40.35</v>
      </c>
      <c r="H56" s="64">
        <v>10.24</v>
      </c>
      <c r="I56" s="64">
        <v>2.09</v>
      </c>
      <c r="J56" s="64">
        <v>0.03</v>
      </c>
      <c r="K56" s="64">
        <v>282.76</v>
      </c>
      <c r="L56" s="64">
        <v>30.2</v>
      </c>
      <c r="M56" s="64">
        <v>67.73</v>
      </c>
      <c r="N56" s="64">
        <v>513.9</v>
      </c>
      <c r="O56" s="64">
        <v>0</v>
      </c>
      <c r="P56" s="64">
        <v>0.43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1" t="s">
        <v>296</v>
      </c>
      <c r="B57" s="64">
        <v>3.89</v>
      </c>
      <c r="C57" s="64">
        <v>12.92</v>
      </c>
      <c r="D57" s="64">
        <v>9.8699999999999992</v>
      </c>
      <c r="E57" s="64">
        <v>4.8600000000000003</v>
      </c>
      <c r="F57" s="64">
        <v>10.1</v>
      </c>
      <c r="G57" s="64">
        <v>40.35</v>
      </c>
      <c r="H57" s="64">
        <v>10.24</v>
      </c>
      <c r="I57" s="64">
        <v>1.78</v>
      </c>
      <c r="J57" s="64">
        <v>0.16</v>
      </c>
      <c r="K57" s="64">
        <v>163.82</v>
      </c>
      <c r="L57" s="64">
        <v>28.41</v>
      </c>
      <c r="M57" s="64">
        <v>75.23</v>
      </c>
      <c r="N57" s="64">
        <v>266.7</v>
      </c>
      <c r="O57" s="64">
        <v>0</v>
      </c>
      <c r="P57" s="64">
        <v>0.37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1" t="s">
        <v>297</v>
      </c>
      <c r="B58" s="64">
        <v>5.82</v>
      </c>
      <c r="C58" s="64">
        <v>13.51</v>
      </c>
      <c r="D58" s="64">
        <v>11.73</v>
      </c>
      <c r="E58" s="64">
        <v>4.76</v>
      </c>
      <c r="F58" s="64">
        <v>7.4</v>
      </c>
      <c r="G58" s="64">
        <v>34.07</v>
      </c>
      <c r="H58" s="64">
        <v>8.4700000000000006</v>
      </c>
      <c r="I58" s="64">
        <v>1.73</v>
      </c>
      <c r="J58" s="64">
        <v>0.41</v>
      </c>
      <c r="K58" s="64">
        <v>336.58</v>
      </c>
      <c r="L58" s="64">
        <v>29.47</v>
      </c>
      <c r="M58" s="64">
        <v>72.010000000000005</v>
      </c>
      <c r="N58" s="64">
        <v>642.6</v>
      </c>
      <c r="O58" s="64">
        <v>0</v>
      </c>
      <c r="P58" s="64">
        <v>0.47</v>
      </c>
      <c r="Q58" s="64">
        <v>9.07</v>
      </c>
      <c r="R58" s="198"/>
      <c r="S58" s="198"/>
      <c r="T58" s="198"/>
      <c r="U58" s="198"/>
    </row>
    <row r="59" spans="1:21" s="12" customFormat="1" x14ac:dyDescent="0.25">
      <c r="A59" s="211" t="s">
        <v>298</v>
      </c>
      <c r="B59" s="64">
        <v>7.33</v>
      </c>
      <c r="C59" s="64">
        <v>12.92</v>
      </c>
      <c r="D59" s="64">
        <v>12.63</v>
      </c>
      <c r="E59" s="64">
        <v>5.01</v>
      </c>
      <c r="F59" s="64">
        <v>12.81</v>
      </c>
      <c r="G59" s="64">
        <v>31.51</v>
      </c>
      <c r="H59" s="64">
        <v>8.36</v>
      </c>
      <c r="I59" s="64">
        <v>1.63</v>
      </c>
      <c r="J59" s="64">
        <v>0.49</v>
      </c>
      <c r="K59" s="64">
        <v>347.59</v>
      </c>
      <c r="L59" s="64">
        <v>30.2</v>
      </c>
      <c r="M59" s="64">
        <v>66.900000000000006</v>
      </c>
      <c r="N59" s="64">
        <v>314.3</v>
      </c>
      <c r="O59" s="64">
        <v>0</v>
      </c>
      <c r="P59" s="64">
        <v>0.47</v>
      </c>
      <c r="Q59" s="64">
        <v>9.0500000000000007</v>
      </c>
      <c r="R59" s="198"/>
      <c r="S59" s="198"/>
      <c r="T59" s="198"/>
      <c r="U59" s="198"/>
    </row>
    <row r="60" spans="1:21" s="12" customFormat="1" x14ac:dyDescent="0.25">
      <c r="A60" s="211" t="s">
        <v>299</v>
      </c>
      <c r="B60" s="64">
        <v>7.66</v>
      </c>
      <c r="C60" s="64">
        <v>13.08</v>
      </c>
      <c r="D60" s="64">
        <v>12.98</v>
      </c>
      <c r="E60" s="64">
        <v>4.83</v>
      </c>
      <c r="F60" s="64">
        <v>9.5500000000000007</v>
      </c>
      <c r="G60" s="64">
        <v>31.51</v>
      </c>
      <c r="H60" s="64">
        <v>8.36</v>
      </c>
      <c r="I60" s="64">
        <v>1.58</v>
      </c>
      <c r="J60" s="64">
        <v>0.04</v>
      </c>
      <c r="K60" s="64">
        <v>265.92</v>
      </c>
      <c r="L60" s="64">
        <v>29.23</v>
      </c>
      <c r="M60" s="64">
        <v>71.540000000000006</v>
      </c>
      <c r="N60" s="64">
        <v>165.2</v>
      </c>
      <c r="O60" s="64">
        <v>0</v>
      </c>
      <c r="P60" s="64">
        <v>0.47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1" t="s">
        <v>300</v>
      </c>
      <c r="B61" s="64">
        <v>5.88</v>
      </c>
      <c r="C61" s="64">
        <v>12.27</v>
      </c>
      <c r="D61" s="64">
        <v>11.12</v>
      </c>
      <c r="E61" s="64">
        <v>4.71</v>
      </c>
      <c r="F61" s="64">
        <v>7.56</v>
      </c>
      <c r="G61" s="64">
        <v>31.51</v>
      </c>
      <c r="H61" s="64">
        <v>8.36</v>
      </c>
      <c r="I61" s="64">
        <v>1.59</v>
      </c>
      <c r="J61" s="64">
        <v>0.25</v>
      </c>
      <c r="K61" s="64">
        <v>318.62</v>
      </c>
      <c r="L61" s="64">
        <v>28.99</v>
      </c>
      <c r="M61" s="64">
        <v>72.569999999999993</v>
      </c>
      <c r="N61" s="64">
        <v>158.1</v>
      </c>
      <c r="O61" s="64">
        <v>0</v>
      </c>
      <c r="P61" s="64">
        <v>0.4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1" t="s">
        <v>301</v>
      </c>
      <c r="B62" s="64">
        <v>7.75</v>
      </c>
      <c r="C62" s="64">
        <v>11.63</v>
      </c>
      <c r="D62" s="64">
        <v>12.29</v>
      </c>
      <c r="E62" s="64">
        <v>4.8899999999999997</v>
      </c>
      <c r="F62" s="64">
        <v>11.89</v>
      </c>
      <c r="G62" s="64">
        <v>36.1</v>
      </c>
      <c r="H62" s="64">
        <v>6.89</v>
      </c>
      <c r="I62" s="64">
        <v>1.58</v>
      </c>
      <c r="J62" s="64">
        <v>0.2</v>
      </c>
      <c r="K62" s="64">
        <v>326.33999999999997</v>
      </c>
      <c r="L62" s="64">
        <v>29.59</v>
      </c>
      <c r="M62" s="64">
        <v>70.23</v>
      </c>
      <c r="N62" s="64">
        <v>279.2</v>
      </c>
      <c r="O62" s="64">
        <v>0</v>
      </c>
      <c r="P62" s="64">
        <v>0.43</v>
      </c>
      <c r="Q62" s="64">
        <v>9.02</v>
      </c>
      <c r="R62" s="198"/>
      <c r="S62" s="198"/>
      <c r="T62" s="198"/>
      <c r="U62" s="198"/>
    </row>
    <row r="63" spans="1:21" s="12" customFormat="1" x14ac:dyDescent="0.25">
      <c r="A63" s="211" t="s">
        <v>302</v>
      </c>
      <c r="B63" s="64">
        <v>8.91</v>
      </c>
      <c r="C63" s="64">
        <v>13.07</v>
      </c>
      <c r="D63" s="64">
        <v>13.98</v>
      </c>
      <c r="E63" s="64">
        <v>4.84</v>
      </c>
      <c r="F63" s="64">
        <v>13.81</v>
      </c>
      <c r="G63" s="64">
        <v>38.06</v>
      </c>
      <c r="H63" s="64">
        <v>6.8</v>
      </c>
      <c r="I63" s="64">
        <v>1.55</v>
      </c>
      <c r="J63" s="64">
        <v>0.34</v>
      </c>
      <c r="K63" s="64">
        <v>338.48</v>
      </c>
      <c r="L63" s="64">
        <v>30.47</v>
      </c>
      <c r="M63" s="64">
        <v>64.02</v>
      </c>
      <c r="N63" s="64">
        <v>250.8</v>
      </c>
      <c r="O63" s="64">
        <v>0</v>
      </c>
      <c r="P63" s="64">
        <v>0.44</v>
      </c>
      <c r="Q63" s="64">
        <v>9.02</v>
      </c>
      <c r="R63" s="198"/>
      <c r="S63" s="198"/>
      <c r="T63" s="198"/>
      <c r="U63" s="198"/>
    </row>
    <row r="64" spans="1:21" s="12" customFormat="1" x14ac:dyDescent="0.25">
      <c r="A64" s="211" t="s">
        <v>303</v>
      </c>
      <c r="B64" s="64">
        <v>6.94</v>
      </c>
      <c r="C64" s="64">
        <v>12.61</v>
      </c>
      <c r="D64" s="64">
        <v>12.15</v>
      </c>
      <c r="E64" s="64">
        <v>4.8499999999999996</v>
      </c>
      <c r="F64" s="64">
        <v>12.99</v>
      </c>
      <c r="G64" s="64">
        <v>38.06</v>
      </c>
      <c r="H64" s="64">
        <v>6.8</v>
      </c>
      <c r="I64" s="64">
        <v>1.42</v>
      </c>
      <c r="J64" s="64">
        <v>0.56999999999999995</v>
      </c>
      <c r="K64" s="64">
        <v>342.74</v>
      </c>
      <c r="L64" s="64">
        <v>30.16</v>
      </c>
      <c r="M64" s="64">
        <v>67.05</v>
      </c>
      <c r="N64" s="64">
        <v>186.7</v>
      </c>
      <c r="O64" s="64">
        <v>0</v>
      </c>
      <c r="P64" s="64">
        <v>0.43</v>
      </c>
      <c r="Q64" s="64">
        <v>9.02</v>
      </c>
      <c r="R64" s="198"/>
      <c r="S64" s="198"/>
      <c r="T64" s="198"/>
      <c r="U64" s="198"/>
    </row>
    <row r="65" spans="1:21" s="12" customFormat="1" x14ac:dyDescent="0.25">
      <c r="A65" s="211" t="s">
        <v>304</v>
      </c>
      <c r="B65" s="64">
        <v>11.58</v>
      </c>
      <c r="C65" s="64">
        <v>12.82</v>
      </c>
      <c r="D65" s="64">
        <v>15.98</v>
      </c>
      <c r="E65" s="64">
        <v>4.8899999999999997</v>
      </c>
      <c r="F65" s="64">
        <v>11.79</v>
      </c>
      <c r="G65" s="64">
        <v>38.06</v>
      </c>
      <c r="H65" s="64">
        <v>6.8</v>
      </c>
      <c r="I65" s="64">
        <v>1.31</v>
      </c>
      <c r="J65" s="64">
        <v>0.6</v>
      </c>
      <c r="K65" s="64">
        <v>337.92</v>
      </c>
      <c r="L65" s="64">
        <v>29.87</v>
      </c>
      <c r="M65" s="64">
        <v>66.72</v>
      </c>
      <c r="N65" s="64">
        <v>141.69999999999999</v>
      </c>
      <c r="O65" s="64">
        <v>0</v>
      </c>
      <c r="P65" s="64">
        <v>0.52</v>
      </c>
      <c r="Q65" s="64">
        <v>9.0399999999999991</v>
      </c>
      <c r="R65" s="198"/>
      <c r="S65" s="198"/>
      <c r="T65" s="198"/>
      <c r="U65" s="198"/>
    </row>
    <row r="66" spans="1:21" s="12" customFormat="1" x14ac:dyDescent="0.25">
      <c r="A66" s="211" t="s">
        <v>305</v>
      </c>
      <c r="B66" s="64">
        <v>10.52</v>
      </c>
      <c r="C66" s="64">
        <v>12.53</v>
      </c>
      <c r="D66" s="64">
        <v>14.98</v>
      </c>
      <c r="E66" s="64">
        <v>5.0199999999999996</v>
      </c>
      <c r="F66" s="64">
        <v>11.7</v>
      </c>
      <c r="G66" s="64">
        <v>33.96</v>
      </c>
      <c r="H66" s="64">
        <v>6</v>
      </c>
      <c r="I66" s="64">
        <v>1.3</v>
      </c>
      <c r="J66" s="64">
        <v>0.4</v>
      </c>
      <c r="K66" s="64">
        <v>336.71</v>
      </c>
      <c r="L66" s="64">
        <v>29.62</v>
      </c>
      <c r="M66" s="64">
        <v>66.150000000000006</v>
      </c>
      <c r="N66" s="64">
        <v>164.2</v>
      </c>
      <c r="O66" s="64">
        <v>0</v>
      </c>
      <c r="P66" s="64">
        <v>0.48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1" t="s">
        <v>306</v>
      </c>
      <c r="B67" s="64">
        <v>10.28</v>
      </c>
      <c r="C67" s="64">
        <v>13.53</v>
      </c>
      <c r="D67" s="64">
        <v>15.32</v>
      </c>
      <c r="E67" s="64">
        <v>4.59</v>
      </c>
      <c r="F67" s="64">
        <v>8.4600000000000009</v>
      </c>
      <c r="G67" s="64">
        <v>32.29</v>
      </c>
      <c r="H67" s="64">
        <v>5.95</v>
      </c>
      <c r="I67" s="64">
        <v>1.32</v>
      </c>
      <c r="J67" s="64">
        <v>0.3</v>
      </c>
      <c r="K67" s="64">
        <v>333.42</v>
      </c>
      <c r="L67" s="64">
        <v>29.57</v>
      </c>
      <c r="M67" s="64">
        <v>68.239999999999995</v>
      </c>
      <c r="N67" s="64">
        <v>158.69999999999999</v>
      </c>
      <c r="O67" s="64">
        <v>0</v>
      </c>
      <c r="P67" s="64">
        <v>0.56000000000000005</v>
      </c>
      <c r="Q67" s="64">
        <v>9.0500000000000007</v>
      </c>
      <c r="R67" s="198"/>
      <c r="S67" s="198"/>
      <c r="T67" s="198"/>
      <c r="U67" s="198"/>
    </row>
    <row r="68" spans="1:21" s="12" customFormat="1" x14ac:dyDescent="0.25">
      <c r="A68" s="211" t="s">
        <v>307</v>
      </c>
      <c r="B68" s="64">
        <v>10.74</v>
      </c>
      <c r="C68" s="64">
        <v>15.16</v>
      </c>
      <c r="D68" s="64">
        <v>16.53</v>
      </c>
      <c r="E68" s="64">
        <v>5.0599999999999996</v>
      </c>
      <c r="F68" s="64">
        <v>12.8</v>
      </c>
      <c r="G68" s="64">
        <v>32.29</v>
      </c>
      <c r="H68" s="64">
        <v>5.95</v>
      </c>
      <c r="I68" s="64">
        <v>1.31</v>
      </c>
      <c r="J68" s="64">
        <v>0.2</v>
      </c>
      <c r="K68" s="64">
        <v>325.26</v>
      </c>
      <c r="L68" s="64">
        <v>29.32</v>
      </c>
      <c r="M68" s="64">
        <v>71.69</v>
      </c>
      <c r="N68" s="64">
        <v>128.4</v>
      </c>
      <c r="O68" s="64">
        <v>0</v>
      </c>
      <c r="P68" s="64">
        <v>0.59</v>
      </c>
      <c r="Q68" s="64">
        <v>9.08</v>
      </c>
      <c r="R68" s="198"/>
      <c r="S68" s="198"/>
      <c r="T68" s="198"/>
      <c r="U68" s="198"/>
    </row>
    <row r="69" spans="1:21" s="12" customFormat="1" x14ac:dyDescent="0.25">
      <c r="A69" s="211" t="s">
        <v>308</v>
      </c>
      <c r="B69" s="64">
        <v>11.66</v>
      </c>
      <c r="C69" s="64">
        <v>13.1</v>
      </c>
      <c r="D69" s="64">
        <v>16.190000000000001</v>
      </c>
      <c r="E69" s="64">
        <v>4.9400000000000004</v>
      </c>
      <c r="F69" s="64">
        <v>12.89</v>
      </c>
      <c r="G69" s="64">
        <v>32.29</v>
      </c>
      <c r="H69" s="64">
        <v>5.95</v>
      </c>
      <c r="I69" s="64">
        <v>1.3</v>
      </c>
      <c r="J69" s="64">
        <v>0.12</v>
      </c>
      <c r="K69" s="64">
        <v>269.87</v>
      </c>
      <c r="L69" s="64">
        <v>28.29</v>
      </c>
      <c r="M69" s="64">
        <v>76.180000000000007</v>
      </c>
      <c r="N69" s="64">
        <v>137.5</v>
      </c>
      <c r="O69" s="64">
        <v>0</v>
      </c>
      <c r="P69" s="64">
        <v>0.42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1" t="s">
        <v>309</v>
      </c>
      <c r="B70" s="64">
        <v>11.77</v>
      </c>
      <c r="C70" s="64">
        <v>14.34</v>
      </c>
      <c r="D70" s="64">
        <v>16.93</v>
      </c>
      <c r="E70" s="64">
        <v>4.7300000000000004</v>
      </c>
      <c r="F70" s="64">
        <v>13.96</v>
      </c>
      <c r="G70" s="64">
        <v>33.39</v>
      </c>
      <c r="H70" s="64">
        <v>5.72</v>
      </c>
      <c r="I70" s="64">
        <v>1.33</v>
      </c>
      <c r="J70" s="64">
        <v>0.39</v>
      </c>
      <c r="K70" s="64">
        <v>335.47</v>
      </c>
      <c r="L70" s="64">
        <v>28.52</v>
      </c>
      <c r="M70" s="64">
        <v>76.48</v>
      </c>
      <c r="N70" s="64">
        <v>108.5</v>
      </c>
      <c r="O70" s="64">
        <v>0</v>
      </c>
      <c r="P70" s="64">
        <v>0.54</v>
      </c>
      <c r="Q70" s="64">
        <v>9.09</v>
      </c>
      <c r="R70" s="198"/>
      <c r="S70" s="198"/>
      <c r="T70" s="198"/>
      <c r="U70" s="198"/>
    </row>
    <row r="71" spans="1:21" s="12" customFormat="1" x14ac:dyDescent="0.25">
      <c r="A71" s="211" t="s">
        <v>310</v>
      </c>
      <c r="B71" s="64">
        <v>13.1</v>
      </c>
      <c r="C71" s="64">
        <v>13.33</v>
      </c>
      <c r="D71" s="64">
        <v>17.47</v>
      </c>
      <c r="E71" s="64">
        <v>5.17</v>
      </c>
      <c r="F71" s="64">
        <v>13.95</v>
      </c>
      <c r="G71" s="64">
        <v>33.86</v>
      </c>
      <c r="H71" s="64">
        <v>5.7</v>
      </c>
      <c r="I71" s="64">
        <v>1.31</v>
      </c>
      <c r="J71" s="64">
        <v>0.64</v>
      </c>
      <c r="K71" s="64">
        <v>341.08</v>
      </c>
      <c r="L71" s="64">
        <v>28.72</v>
      </c>
      <c r="M71" s="64">
        <v>75.34</v>
      </c>
      <c r="N71" s="64">
        <v>105.7</v>
      </c>
      <c r="O71" s="64">
        <v>0</v>
      </c>
      <c r="P71" s="64">
        <v>0.63</v>
      </c>
      <c r="Q71" s="64">
        <v>9.09</v>
      </c>
      <c r="R71" s="198"/>
      <c r="S71" s="198"/>
      <c r="T71" s="198"/>
      <c r="U71" s="198"/>
    </row>
    <row r="72" spans="1:21" s="12" customFormat="1" x14ac:dyDescent="0.25">
      <c r="A72" s="211" t="s">
        <v>311</v>
      </c>
      <c r="B72" s="64">
        <v>15.56</v>
      </c>
      <c r="C72" s="64">
        <v>13.4</v>
      </c>
      <c r="D72" s="64">
        <v>19.48</v>
      </c>
      <c r="E72" s="64">
        <v>4.6500000000000004</v>
      </c>
      <c r="F72" s="64">
        <v>12.2</v>
      </c>
      <c r="G72" s="64">
        <v>33.86</v>
      </c>
      <c r="H72" s="64">
        <v>5.7</v>
      </c>
      <c r="I72" s="64">
        <v>1.3</v>
      </c>
      <c r="J72" s="64">
        <v>0.44</v>
      </c>
      <c r="K72" s="64">
        <v>337.86</v>
      </c>
      <c r="L72" s="64">
        <v>28.76</v>
      </c>
      <c r="M72" s="64">
        <v>74.09</v>
      </c>
      <c r="N72" s="64">
        <v>105.6</v>
      </c>
      <c r="O72" s="64">
        <v>0</v>
      </c>
      <c r="P72" s="64">
        <v>0.63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1" t="s">
        <v>312</v>
      </c>
      <c r="B73" s="64">
        <v>15.43</v>
      </c>
      <c r="C73" s="64">
        <v>16.7</v>
      </c>
      <c r="D73" s="64">
        <v>21.1</v>
      </c>
      <c r="E73" s="64">
        <v>5.1100000000000003</v>
      </c>
      <c r="F73" s="64">
        <v>11.63</v>
      </c>
      <c r="G73" s="64">
        <v>33.86</v>
      </c>
      <c r="H73" s="64">
        <v>5.7</v>
      </c>
      <c r="I73" s="64">
        <v>1.32</v>
      </c>
      <c r="J73" s="64">
        <v>0.36</v>
      </c>
      <c r="K73" s="64">
        <v>333.63</v>
      </c>
      <c r="L73" s="64">
        <v>28.64</v>
      </c>
      <c r="M73" s="64">
        <v>76.47</v>
      </c>
      <c r="N73" s="64">
        <v>94.7</v>
      </c>
      <c r="O73" s="64">
        <v>0</v>
      </c>
      <c r="P73" s="64">
        <v>0.73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313</v>
      </c>
      <c r="B74" s="64">
        <v>7.01</v>
      </c>
      <c r="C74" s="64">
        <v>15.17</v>
      </c>
      <c r="D74" s="64">
        <v>13.55</v>
      </c>
      <c r="E74" s="64">
        <v>4.99</v>
      </c>
      <c r="F74" s="64">
        <v>13.45</v>
      </c>
      <c r="G74" s="64">
        <v>25.56</v>
      </c>
      <c r="H74" s="64">
        <v>5.13</v>
      </c>
      <c r="I74" s="64">
        <v>1.34</v>
      </c>
      <c r="J74" s="64">
        <v>0.33</v>
      </c>
      <c r="K74" s="64">
        <v>119.17</v>
      </c>
      <c r="L74" s="64">
        <v>28.03</v>
      </c>
      <c r="M74" s="64">
        <v>78.28</v>
      </c>
      <c r="N74" s="64">
        <v>79</v>
      </c>
      <c r="O74" s="64">
        <v>0</v>
      </c>
      <c r="P74" s="64">
        <v>0.45</v>
      </c>
      <c r="Q74" s="64">
        <v>9.1300000000000008</v>
      </c>
      <c r="R74" s="198"/>
      <c r="S74" s="198"/>
      <c r="T74" s="198"/>
      <c r="U74" s="198"/>
    </row>
    <row r="75" spans="1:21" s="12" customFormat="1" x14ac:dyDescent="0.25">
      <c r="A75" s="211" t="s">
        <v>314</v>
      </c>
      <c r="B75" s="64">
        <v>13.66</v>
      </c>
      <c r="C75" s="64">
        <v>14.56</v>
      </c>
      <c r="D75" s="64">
        <v>18.559999999999999</v>
      </c>
      <c r="E75" s="64">
        <v>5.34</v>
      </c>
      <c r="F75" s="64">
        <v>10.53</v>
      </c>
      <c r="G75" s="64">
        <v>22.01</v>
      </c>
      <c r="H75" s="64">
        <v>5.09</v>
      </c>
      <c r="I75" s="64">
        <v>1.39</v>
      </c>
      <c r="J75" s="64">
        <v>0.08</v>
      </c>
      <c r="K75" s="64">
        <v>68.510000000000005</v>
      </c>
      <c r="L75" s="64">
        <v>27.42</v>
      </c>
      <c r="M75" s="64">
        <v>84.02</v>
      </c>
      <c r="N75" s="64">
        <v>60.5</v>
      </c>
      <c r="O75" s="64">
        <v>0</v>
      </c>
      <c r="P75" s="64">
        <v>0.67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1" t="s">
        <v>315</v>
      </c>
      <c r="B76" s="64">
        <v>32.659999999999997</v>
      </c>
      <c r="C76" s="64">
        <v>17.48</v>
      </c>
      <c r="D76" s="64">
        <v>35.32</v>
      </c>
      <c r="E76" s="64">
        <v>5.96</v>
      </c>
      <c r="F76" s="64">
        <v>7.75</v>
      </c>
      <c r="G76" s="64">
        <v>22.01</v>
      </c>
      <c r="H76" s="64">
        <v>5.09</v>
      </c>
      <c r="I76" s="64">
        <v>1.45</v>
      </c>
      <c r="J76" s="64">
        <v>0.01</v>
      </c>
      <c r="K76" s="64">
        <v>315.52999999999997</v>
      </c>
      <c r="L76" s="64">
        <v>27.34</v>
      </c>
      <c r="M76" s="64">
        <v>86.13</v>
      </c>
      <c r="N76" s="64">
        <v>48.7</v>
      </c>
      <c r="O76" s="64">
        <v>0</v>
      </c>
      <c r="P76" s="64">
        <v>1.05</v>
      </c>
      <c r="Q76" s="64">
        <v>9.1</v>
      </c>
      <c r="R76" s="198"/>
      <c r="S76" s="198"/>
      <c r="T76" s="198"/>
      <c r="U76" s="198"/>
    </row>
    <row r="77" spans="1:21" s="12" customFormat="1" x14ac:dyDescent="0.25">
      <c r="A77" s="211" t="s">
        <v>316</v>
      </c>
      <c r="B77" s="64">
        <v>13.17</v>
      </c>
      <c r="C77" s="64">
        <v>11.7</v>
      </c>
      <c r="D77" s="64">
        <v>16.68</v>
      </c>
      <c r="E77" s="64">
        <v>5.38</v>
      </c>
      <c r="F77" s="64">
        <v>8.5</v>
      </c>
      <c r="G77" s="64">
        <v>22.01</v>
      </c>
      <c r="H77" s="64">
        <v>5.09</v>
      </c>
      <c r="I77" s="64">
        <v>1.48</v>
      </c>
      <c r="J77" s="64">
        <v>0.42</v>
      </c>
      <c r="K77" s="64">
        <v>337.84</v>
      </c>
      <c r="L77" s="64">
        <v>26.84</v>
      </c>
      <c r="M77" s="64">
        <v>88.39</v>
      </c>
      <c r="N77" s="64">
        <v>44.3</v>
      </c>
      <c r="O77" s="64">
        <v>0</v>
      </c>
      <c r="P77" s="64">
        <v>0.66</v>
      </c>
      <c r="Q77" s="64">
        <v>9.1199999999999992</v>
      </c>
      <c r="R77" s="198"/>
      <c r="S77" s="198"/>
      <c r="T77" s="198"/>
      <c r="U77" s="198"/>
    </row>
    <row r="78" spans="1:21" s="12" customFormat="1" x14ac:dyDescent="0.25">
      <c r="A78" s="211" t="s">
        <v>317</v>
      </c>
      <c r="B78" s="64">
        <v>15.41</v>
      </c>
      <c r="C78" s="64">
        <v>8.06</v>
      </c>
      <c r="D78" s="64">
        <v>16.57</v>
      </c>
      <c r="E78" s="64">
        <v>5.1100000000000003</v>
      </c>
      <c r="F78" s="64">
        <v>11.61</v>
      </c>
      <c r="G78" s="64">
        <v>41.15</v>
      </c>
      <c r="H78" s="64">
        <v>4.79</v>
      </c>
      <c r="I78" s="64">
        <v>1.53</v>
      </c>
      <c r="J78" s="64">
        <v>0.77</v>
      </c>
      <c r="K78" s="64">
        <v>333.87</v>
      </c>
      <c r="L78" s="64">
        <v>26.58</v>
      </c>
      <c r="M78" s="64">
        <v>88.82</v>
      </c>
      <c r="N78" s="64">
        <v>43</v>
      </c>
      <c r="O78" s="64">
        <v>0</v>
      </c>
      <c r="P78" s="64">
        <v>0.63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1" t="s">
        <v>318</v>
      </c>
      <c r="B79" s="64">
        <v>14.05</v>
      </c>
      <c r="C79" s="64">
        <v>9.9700000000000006</v>
      </c>
      <c r="D79" s="64">
        <v>16.48</v>
      </c>
      <c r="E79" s="64">
        <v>5.19</v>
      </c>
      <c r="F79" s="64">
        <v>9.82</v>
      </c>
      <c r="G79" s="64">
        <v>49.36</v>
      </c>
      <c r="H79" s="64">
        <v>4.7699999999999996</v>
      </c>
      <c r="I79" s="64">
        <v>1.61</v>
      </c>
      <c r="J79" s="64">
        <v>0.5</v>
      </c>
      <c r="K79" s="64">
        <v>332.24</v>
      </c>
      <c r="L79" s="64">
        <v>26.22</v>
      </c>
      <c r="M79" s="64">
        <v>89.99</v>
      </c>
      <c r="N79" s="64">
        <v>41.4</v>
      </c>
      <c r="O79" s="64">
        <v>0</v>
      </c>
      <c r="P79" s="64">
        <v>0.76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1" t="s">
        <v>319</v>
      </c>
      <c r="B80" s="64">
        <v>14.29</v>
      </c>
      <c r="C80" s="64">
        <v>14.26</v>
      </c>
      <c r="D80" s="64">
        <v>18.91</v>
      </c>
      <c r="E80" s="64">
        <v>5.35</v>
      </c>
      <c r="F80" s="64">
        <v>10.39</v>
      </c>
      <c r="G80" s="64">
        <v>49.36</v>
      </c>
      <c r="H80" s="64">
        <v>4.7699999999999996</v>
      </c>
      <c r="I80" s="64">
        <v>1.68</v>
      </c>
      <c r="J80" s="64">
        <v>0.46</v>
      </c>
      <c r="K80" s="64">
        <v>329.6</v>
      </c>
      <c r="L80" s="64">
        <v>26.12</v>
      </c>
      <c r="M80" s="64">
        <v>89.56</v>
      </c>
      <c r="N80" s="64">
        <v>41.5</v>
      </c>
      <c r="O80" s="64">
        <v>0</v>
      </c>
      <c r="P80" s="64">
        <v>0.86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1" t="s">
        <v>320</v>
      </c>
      <c r="B81" s="64">
        <v>20.010000000000002</v>
      </c>
      <c r="C81" s="64">
        <v>14.84</v>
      </c>
      <c r="D81" s="64">
        <v>23.8</v>
      </c>
      <c r="E81" s="64">
        <v>5.73</v>
      </c>
      <c r="F81" s="64">
        <v>7.27</v>
      </c>
      <c r="G81" s="64">
        <v>49.36</v>
      </c>
      <c r="H81" s="64">
        <v>4.7699999999999996</v>
      </c>
      <c r="I81" s="64">
        <v>1.83</v>
      </c>
      <c r="J81" s="64">
        <v>0.86</v>
      </c>
      <c r="K81" s="64">
        <v>337.07</v>
      </c>
      <c r="L81" s="64">
        <v>25.95</v>
      </c>
      <c r="M81" s="64">
        <v>90.56</v>
      </c>
      <c r="N81" s="64">
        <v>41.2</v>
      </c>
      <c r="O81" s="64">
        <v>0.2</v>
      </c>
      <c r="P81" s="64">
        <v>1.0900000000000001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1" t="s">
        <v>321</v>
      </c>
      <c r="B82" s="64">
        <v>17.309999999999999</v>
      </c>
      <c r="C82" s="64">
        <v>14.67</v>
      </c>
      <c r="D82" s="64">
        <v>21.55</v>
      </c>
      <c r="E82" s="64">
        <v>6.16</v>
      </c>
      <c r="F82" s="64">
        <v>11.34</v>
      </c>
      <c r="G82" s="64">
        <v>46.35</v>
      </c>
      <c r="H82" s="64">
        <v>8.41</v>
      </c>
      <c r="I82" s="64">
        <v>2.04</v>
      </c>
      <c r="J82" s="64">
        <v>1.01</v>
      </c>
      <c r="K82" s="64">
        <v>333.63</v>
      </c>
      <c r="L82" s="64">
        <v>25.88</v>
      </c>
      <c r="M82" s="64">
        <v>88.59</v>
      </c>
      <c r="N82" s="64">
        <v>41.1</v>
      </c>
      <c r="O82" s="64">
        <v>0</v>
      </c>
      <c r="P82" s="64">
        <v>1.19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1" t="s">
        <v>322</v>
      </c>
      <c r="B83" s="64">
        <v>15.34</v>
      </c>
      <c r="C83" s="64">
        <v>10.73</v>
      </c>
      <c r="D83" s="64">
        <v>17.91</v>
      </c>
      <c r="E83" s="64">
        <v>6.14</v>
      </c>
      <c r="F83" s="64">
        <v>5.37</v>
      </c>
      <c r="G83" s="64">
        <v>45.13</v>
      </c>
      <c r="H83" s="64">
        <v>8.64</v>
      </c>
      <c r="I83" s="64">
        <v>2.19</v>
      </c>
      <c r="J83" s="64">
        <v>2</v>
      </c>
      <c r="K83" s="64">
        <v>335.59</v>
      </c>
      <c r="L83" s="64">
        <v>25.68</v>
      </c>
      <c r="M83" s="64">
        <v>88.67</v>
      </c>
      <c r="N83" s="64">
        <v>41.8</v>
      </c>
      <c r="O83" s="64">
        <v>0</v>
      </c>
      <c r="P83" s="64">
        <v>0.93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11" t="s">
        <v>323</v>
      </c>
      <c r="B84" s="64">
        <v>14.72</v>
      </c>
      <c r="C84" s="64">
        <v>10.09</v>
      </c>
      <c r="D84" s="64">
        <v>17.07</v>
      </c>
      <c r="E84" s="64">
        <v>5.61</v>
      </c>
      <c r="F84" s="64">
        <v>3.97</v>
      </c>
      <c r="G84" s="64">
        <v>45.13</v>
      </c>
      <c r="H84" s="64">
        <v>8.64</v>
      </c>
      <c r="I84" s="64">
        <v>2.2400000000000002</v>
      </c>
      <c r="J84" s="64">
        <v>2.5</v>
      </c>
      <c r="K84" s="64">
        <v>334.54</v>
      </c>
      <c r="L84" s="64">
        <v>25.04</v>
      </c>
      <c r="M84" s="64">
        <v>95.41</v>
      </c>
      <c r="N84" s="64">
        <v>43</v>
      </c>
      <c r="O84" s="64">
        <v>0</v>
      </c>
      <c r="P84" s="64">
        <v>0.87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1" t="s">
        <v>324</v>
      </c>
      <c r="B85" s="64">
        <v>15.12</v>
      </c>
      <c r="C85" s="64">
        <v>9.25</v>
      </c>
      <c r="D85" s="64">
        <v>16.96</v>
      </c>
      <c r="E85" s="64">
        <v>5.68</v>
      </c>
      <c r="F85" s="64">
        <v>9.11</v>
      </c>
      <c r="G85" s="64">
        <v>45.13</v>
      </c>
      <c r="H85" s="64">
        <v>8.64</v>
      </c>
      <c r="I85" s="64">
        <v>2.2000000000000002</v>
      </c>
      <c r="J85" s="64">
        <v>1.49</v>
      </c>
      <c r="K85" s="64">
        <v>334.99</v>
      </c>
      <c r="L85" s="64">
        <v>24.45</v>
      </c>
      <c r="M85" s="64">
        <v>97.98</v>
      </c>
      <c r="N85" s="64">
        <v>41.8</v>
      </c>
      <c r="O85" s="64">
        <v>0</v>
      </c>
      <c r="P85" s="64">
        <v>0.79</v>
      </c>
      <c r="Q85" s="64">
        <v>9.33</v>
      </c>
      <c r="R85" s="198"/>
      <c r="S85" s="198"/>
      <c r="T85" s="198"/>
      <c r="U85" s="198"/>
    </row>
    <row r="86" spans="1:26" s="12" customFormat="1" x14ac:dyDescent="0.25">
      <c r="A86" s="211" t="s">
        <v>325</v>
      </c>
      <c r="B86" s="64">
        <v>12.36</v>
      </c>
      <c r="C86" s="64">
        <v>10.43</v>
      </c>
      <c r="D86" s="64">
        <v>15.36</v>
      </c>
      <c r="E86" s="64">
        <v>5.37</v>
      </c>
      <c r="F86" s="64">
        <v>9.8800000000000008</v>
      </c>
      <c r="G86" s="64">
        <v>48.61</v>
      </c>
      <c r="H86" s="64">
        <v>7.45</v>
      </c>
      <c r="I86" s="64">
        <v>2.13</v>
      </c>
      <c r="J86" s="64">
        <v>1.04</v>
      </c>
      <c r="K86" s="64">
        <v>334.77</v>
      </c>
      <c r="L86" s="64">
        <v>24.3</v>
      </c>
      <c r="M86" s="64">
        <v>97.86</v>
      </c>
      <c r="N86" s="64">
        <v>41.4</v>
      </c>
      <c r="O86" s="64">
        <v>0</v>
      </c>
      <c r="P86" s="64">
        <v>0.73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1" t="s">
        <v>326</v>
      </c>
      <c r="B87" s="64">
        <v>17.34</v>
      </c>
      <c r="C87" s="64">
        <v>11.85</v>
      </c>
      <c r="D87" s="64">
        <v>20.100000000000001</v>
      </c>
      <c r="E87" s="64">
        <v>5.51</v>
      </c>
      <c r="F87" s="64">
        <v>7.83</v>
      </c>
      <c r="G87" s="64">
        <v>50.1</v>
      </c>
      <c r="H87" s="64">
        <v>7.34</v>
      </c>
      <c r="I87" s="64">
        <v>2.0699999999999998</v>
      </c>
      <c r="J87" s="64">
        <v>0.25</v>
      </c>
      <c r="K87" s="64">
        <v>324.75</v>
      </c>
      <c r="L87" s="64">
        <v>24.12</v>
      </c>
      <c r="M87" s="64">
        <v>97.98</v>
      </c>
      <c r="N87" s="64">
        <v>41.2</v>
      </c>
      <c r="O87" s="64">
        <v>0</v>
      </c>
      <c r="P87" s="64">
        <v>0.83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1" t="s">
        <v>327</v>
      </c>
      <c r="B88" s="64">
        <v>14.05</v>
      </c>
      <c r="C88" s="64">
        <v>12.69</v>
      </c>
      <c r="D88" s="64">
        <v>17.89</v>
      </c>
      <c r="E88" s="64">
        <v>5.65</v>
      </c>
      <c r="F88" s="64">
        <v>7.89</v>
      </c>
      <c r="G88" s="64">
        <v>50.1</v>
      </c>
      <c r="H88" s="64">
        <v>7.34</v>
      </c>
      <c r="I88" s="64">
        <v>2.0699999999999998</v>
      </c>
      <c r="J88" s="64">
        <v>0.13</v>
      </c>
      <c r="K88" s="64">
        <v>135.53</v>
      </c>
      <c r="L88" s="64">
        <v>23.71</v>
      </c>
      <c r="M88" s="64">
        <v>98.03</v>
      </c>
      <c r="N88" s="64">
        <v>41.1</v>
      </c>
      <c r="O88" s="64">
        <v>0</v>
      </c>
      <c r="P88" s="64">
        <v>0.82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1" t="s">
        <v>328</v>
      </c>
      <c r="B89" s="64">
        <v>27.91</v>
      </c>
      <c r="C89" s="64">
        <v>10.79</v>
      </c>
      <c r="D89" s="64">
        <v>28.02</v>
      </c>
      <c r="E89" s="64">
        <v>6.2</v>
      </c>
      <c r="F89" s="64">
        <v>6.56</v>
      </c>
      <c r="G89" s="64">
        <v>50.1</v>
      </c>
      <c r="H89" s="64">
        <v>7.34</v>
      </c>
      <c r="I89" s="64">
        <v>2.08</v>
      </c>
      <c r="J89" s="64">
        <v>0.15</v>
      </c>
      <c r="K89" s="64">
        <v>336.67</v>
      </c>
      <c r="L89" s="64">
        <v>23.58</v>
      </c>
      <c r="M89" s="64">
        <v>98.03</v>
      </c>
      <c r="N89" s="64">
        <v>41</v>
      </c>
      <c r="O89" s="64">
        <v>0</v>
      </c>
      <c r="P89" s="64">
        <v>1.0900000000000001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11" t="s">
        <v>329</v>
      </c>
      <c r="B90" s="64">
        <v>34.89</v>
      </c>
      <c r="C90" s="64">
        <v>10.54</v>
      </c>
      <c r="D90" s="64">
        <v>33.49</v>
      </c>
      <c r="E90" s="64">
        <v>6.65</v>
      </c>
      <c r="F90" s="64">
        <v>6.48</v>
      </c>
      <c r="G90" s="64">
        <v>48.76</v>
      </c>
      <c r="H90" s="64">
        <v>6.04</v>
      </c>
      <c r="I90" s="64">
        <v>2.1</v>
      </c>
      <c r="J90" s="64">
        <v>0.33</v>
      </c>
      <c r="K90" s="64">
        <v>339.21</v>
      </c>
      <c r="L90" s="64">
        <v>23.59</v>
      </c>
      <c r="M90" s="64">
        <v>98.05</v>
      </c>
      <c r="N90" s="64">
        <v>41.1</v>
      </c>
      <c r="O90" s="64">
        <v>0</v>
      </c>
      <c r="P90" s="64">
        <v>1.17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1" t="s">
        <v>330</v>
      </c>
      <c r="B91" s="64">
        <v>39.659999999999997</v>
      </c>
      <c r="C91" s="64">
        <v>7.66</v>
      </c>
      <c r="D91" s="64">
        <v>35.81</v>
      </c>
      <c r="E91" s="64">
        <v>6.81</v>
      </c>
      <c r="F91" s="64">
        <v>6.63</v>
      </c>
      <c r="G91" s="64">
        <v>48.21</v>
      </c>
      <c r="H91" s="64">
        <v>5.96</v>
      </c>
      <c r="I91" s="64">
        <v>2.14</v>
      </c>
      <c r="J91" s="64">
        <v>0.05</v>
      </c>
      <c r="K91" s="64">
        <v>66.39</v>
      </c>
      <c r="L91" s="64">
        <v>23.54</v>
      </c>
      <c r="M91" s="64">
        <v>98.05</v>
      </c>
      <c r="N91" s="64">
        <v>41.1</v>
      </c>
      <c r="O91" s="64">
        <v>0</v>
      </c>
      <c r="P91" s="64">
        <v>1.21</v>
      </c>
      <c r="Q91" s="64">
        <v>9.4</v>
      </c>
      <c r="R91" s="198"/>
      <c r="S91" s="198"/>
      <c r="T91" s="198"/>
      <c r="U91" s="198"/>
    </row>
    <row r="92" spans="1:26" s="12" customFormat="1" x14ac:dyDescent="0.25">
      <c r="A92" s="211" t="s">
        <v>331</v>
      </c>
      <c r="B92" s="64">
        <v>43.41</v>
      </c>
      <c r="C92" s="64">
        <v>7.35</v>
      </c>
      <c r="D92" s="64">
        <v>38.65</v>
      </c>
      <c r="E92" s="64">
        <v>7.87</v>
      </c>
      <c r="F92" s="64">
        <v>8.6999999999999993</v>
      </c>
      <c r="G92" s="64">
        <v>48.21</v>
      </c>
      <c r="H92" s="64">
        <v>5.96</v>
      </c>
      <c r="I92" s="64">
        <v>2.19</v>
      </c>
      <c r="J92" s="64">
        <v>0.22</v>
      </c>
      <c r="K92" s="64">
        <v>327.06</v>
      </c>
      <c r="L92" s="64">
        <v>23.56</v>
      </c>
      <c r="M92" s="64">
        <v>98.07</v>
      </c>
      <c r="N92" s="64">
        <v>40.700000000000003</v>
      </c>
      <c r="O92" s="64">
        <v>0</v>
      </c>
      <c r="P92" s="64">
        <v>1.61</v>
      </c>
      <c r="Q92" s="64">
        <v>9.43</v>
      </c>
      <c r="R92" s="198"/>
      <c r="S92" s="198"/>
      <c r="T92" s="198"/>
      <c r="U92" s="198"/>
    </row>
    <row r="93" spans="1:26" s="12" customFormat="1" x14ac:dyDescent="0.25">
      <c r="A93" s="211" t="s">
        <v>332</v>
      </c>
      <c r="B93" s="64">
        <v>31.51</v>
      </c>
      <c r="C93" s="64">
        <v>5.42</v>
      </c>
      <c r="D93" s="64">
        <v>28.1</v>
      </c>
      <c r="E93" s="64">
        <v>7.66</v>
      </c>
      <c r="F93" s="64">
        <v>5.41</v>
      </c>
      <c r="G93" s="64">
        <v>48.21</v>
      </c>
      <c r="H93" s="64">
        <v>5.96</v>
      </c>
      <c r="I93" s="64">
        <v>2.2400000000000002</v>
      </c>
      <c r="J93" s="64">
        <v>0.2</v>
      </c>
      <c r="K93" s="64">
        <v>337.23</v>
      </c>
      <c r="L93" s="64">
        <v>23.67</v>
      </c>
      <c r="M93" s="64">
        <v>98.07</v>
      </c>
      <c r="N93" s="64">
        <v>41</v>
      </c>
      <c r="O93" s="64">
        <v>0</v>
      </c>
      <c r="P93" s="64">
        <v>1.1599999999999999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1" t="s">
        <v>333</v>
      </c>
      <c r="B94" s="64">
        <v>51.04</v>
      </c>
      <c r="C94" s="64">
        <v>1.27</v>
      </c>
      <c r="D94" s="64">
        <v>41.59</v>
      </c>
      <c r="E94" s="64">
        <v>7.18</v>
      </c>
      <c r="F94" s="64">
        <v>6.74</v>
      </c>
      <c r="G94" s="64">
        <v>69.069999999999993</v>
      </c>
      <c r="H94" s="64">
        <v>19.010000000000002</v>
      </c>
      <c r="I94" s="64">
        <v>2.33</v>
      </c>
      <c r="J94" s="64">
        <v>0.09</v>
      </c>
      <c r="K94" s="64">
        <v>334.3</v>
      </c>
      <c r="L94" s="64">
        <v>23.63</v>
      </c>
      <c r="M94" s="64">
        <v>98.08</v>
      </c>
      <c r="N94" s="64">
        <v>41.1</v>
      </c>
      <c r="O94" s="64">
        <v>0</v>
      </c>
      <c r="P94" s="64">
        <v>1.42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1" t="s">
        <v>334</v>
      </c>
      <c r="B95" s="64">
        <v>36.590000000000003</v>
      </c>
      <c r="C95" s="64">
        <v>8.9700000000000006</v>
      </c>
      <c r="D95" s="64">
        <v>34.03</v>
      </c>
      <c r="E95" s="64">
        <v>9.16</v>
      </c>
      <c r="F95" s="64">
        <v>7.58</v>
      </c>
      <c r="G95" s="64">
        <v>77.55</v>
      </c>
      <c r="H95" s="64">
        <v>19.829999999999998</v>
      </c>
      <c r="I95" s="64">
        <v>2.38</v>
      </c>
      <c r="J95" s="64">
        <v>0.1</v>
      </c>
      <c r="K95" s="64">
        <v>197.03</v>
      </c>
      <c r="L95" s="64">
        <v>23.48</v>
      </c>
      <c r="M95" s="64">
        <v>98.07</v>
      </c>
      <c r="N95" s="64">
        <v>41.1</v>
      </c>
      <c r="O95" s="64">
        <v>0</v>
      </c>
      <c r="P95" s="64">
        <v>1.37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11" t="s">
        <v>335</v>
      </c>
      <c r="B96" s="64">
        <v>26.8</v>
      </c>
      <c r="C96" s="64">
        <v>1.52</v>
      </c>
      <c r="D96" s="64">
        <v>22.29</v>
      </c>
      <c r="E96" s="64">
        <v>7.92</v>
      </c>
      <c r="F96" s="64">
        <v>5.8</v>
      </c>
      <c r="G96" s="64">
        <v>77.55</v>
      </c>
      <c r="H96" s="64">
        <v>19.829999999999998</v>
      </c>
      <c r="I96" s="64">
        <v>2.46</v>
      </c>
      <c r="J96" s="64">
        <v>0.09</v>
      </c>
      <c r="K96" s="64">
        <v>207.04</v>
      </c>
      <c r="L96" s="64">
        <v>23.3</v>
      </c>
      <c r="M96" s="64">
        <v>98.11</v>
      </c>
      <c r="N96" s="64">
        <v>41</v>
      </c>
      <c r="O96" s="64">
        <v>0</v>
      </c>
      <c r="P96" s="64">
        <v>1</v>
      </c>
      <c r="Q96" s="64">
        <v>9.49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336</v>
      </c>
      <c r="B97" s="64">
        <v>28.93</v>
      </c>
      <c r="C97" s="64">
        <v>6.71</v>
      </c>
      <c r="D97" s="64">
        <v>26.71</v>
      </c>
      <c r="E97" s="64">
        <v>8.65</v>
      </c>
      <c r="F97" s="64">
        <v>6.83</v>
      </c>
      <c r="G97" s="64">
        <v>77.55</v>
      </c>
      <c r="H97" s="64">
        <v>19.829999999999998</v>
      </c>
      <c r="I97" s="64">
        <v>2.56</v>
      </c>
      <c r="J97" s="64">
        <v>0.04</v>
      </c>
      <c r="K97" s="64">
        <v>267.51</v>
      </c>
      <c r="L97" s="64">
        <v>23.14</v>
      </c>
      <c r="M97" s="64">
        <v>98.14</v>
      </c>
      <c r="N97" s="64">
        <v>41.1</v>
      </c>
      <c r="O97" s="64">
        <v>0</v>
      </c>
      <c r="P97" s="64">
        <v>1.02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1" t="s">
        <v>337</v>
      </c>
      <c r="B98" s="64">
        <v>29.59</v>
      </c>
      <c r="C98" s="64">
        <v>5.3</v>
      </c>
      <c r="D98" s="64">
        <v>26.5</v>
      </c>
      <c r="E98" s="64">
        <v>8.68</v>
      </c>
      <c r="F98" s="64">
        <v>6.22</v>
      </c>
      <c r="G98" s="64">
        <v>218.41</v>
      </c>
      <c r="H98" s="64">
        <v>41.84</v>
      </c>
      <c r="I98" s="64">
        <v>2.6</v>
      </c>
      <c r="J98" s="64">
        <v>0.09</v>
      </c>
      <c r="K98" s="64">
        <v>206.98</v>
      </c>
      <c r="L98" s="64">
        <v>22.98</v>
      </c>
      <c r="M98" s="64">
        <v>98.14</v>
      </c>
      <c r="N98" s="64">
        <v>40.9</v>
      </c>
      <c r="O98" s="64">
        <v>0</v>
      </c>
      <c r="P98" s="64">
        <v>0.97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1" t="s">
        <v>338</v>
      </c>
      <c r="B99" s="64">
        <v>25.59</v>
      </c>
      <c r="C99" s="64">
        <v>2.57</v>
      </c>
      <c r="D99" s="64">
        <v>21.87</v>
      </c>
      <c r="E99" s="64">
        <v>7.05</v>
      </c>
      <c r="F99" s="64">
        <v>5.18</v>
      </c>
      <c r="G99" s="64">
        <v>278.79000000000002</v>
      </c>
      <c r="H99" s="64">
        <v>43.24</v>
      </c>
      <c r="I99" s="64">
        <v>2.63</v>
      </c>
      <c r="J99" s="64">
        <v>0.08</v>
      </c>
      <c r="K99" s="64">
        <v>182.42</v>
      </c>
      <c r="L99" s="64">
        <v>22.77</v>
      </c>
      <c r="M99" s="64">
        <v>98.18</v>
      </c>
      <c r="N99" s="64">
        <v>41</v>
      </c>
      <c r="O99" s="64">
        <v>0</v>
      </c>
      <c r="P99" s="64">
        <v>0.91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11" t="s">
        <v>339</v>
      </c>
      <c r="B100" s="64">
        <v>23.93</v>
      </c>
      <c r="C100" s="64">
        <v>9.83</v>
      </c>
      <c r="D100" s="64">
        <v>24.32</v>
      </c>
      <c r="E100" s="64">
        <v>7.38</v>
      </c>
      <c r="F100" s="64">
        <v>5.48</v>
      </c>
      <c r="G100" s="64">
        <v>278.73</v>
      </c>
      <c r="H100" s="64">
        <v>43.11</v>
      </c>
      <c r="I100" s="64">
        <v>2.65</v>
      </c>
      <c r="J100" s="64">
        <v>0.09</v>
      </c>
      <c r="K100" s="64">
        <v>353.41</v>
      </c>
      <c r="L100" s="64">
        <v>22.56</v>
      </c>
      <c r="M100" s="64">
        <v>98.18</v>
      </c>
      <c r="N100" s="64">
        <v>41.1</v>
      </c>
      <c r="O100" s="64">
        <v>0</v>
      </c>
      <c r="P100" s="64">
        <v>0.78</v>
      </c>
      <c r="Q100" s="64">
        <v>9.5299999999999994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340</v>
      </c>
      <c r="B101" s="64">
        <v>25.07</v>
      </c>
      <c r="C101" s="64">
        <v>4</v>
      </c>
      <c r="D101" s="64">
        <v>22.19</v>
      </c>
      <c r="E101" s="64">
        <v>6.92</v>
      </c>
      <c r="F101" s="64">
        <v>5.09</v>
      </c>
      <c r="G101" s="64">
        <v>277.79000000000002</v>
      </c>
      <c r="H101" s="64">
        <v>40.24</v>
      </c>
      <c r="I101" s="64">
        <v>2.66</v>
      </c>
      <c r="J101" s="64">
        <v>0.05</v>
      </c>
      <c r="K101" s="64">
        <v>266.48</v>
      </c>
      <c r="L101" s="64">
        <v>22.43</v>
      </c>
      <c r="M101" s="64">
        <v>98.2</v>
      </c>
      <c r="N101" s="64">
        <v>41</v>
      </c>
      <c r="O101" s="64">
        <v>0</v>
      </c>
      <c r="P101" s="64">
        <v>0.95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1" t="s">
        <v>341</v>
      </c>
      <c r="B102" s="64">
        <v>32.29</v>
      </c>
      <c r="C102" s="64">
        <v>6.76</v>
      </c>
      <c r="D102" s="64">
        <v>29.43</v>
      </c>
      <c r="E102" s="64">
        <v>6.82</v>
      </c>
      <c r="F102" s="64">
        <v>6.25</v>
      </c>
      <c r="G102" s="64">
        <v>148.36000000000001</v>
      </c>
      <c r="H102" s="64">
        <v>24.76</v>
      </c>
      <c r="I102" s="64">
        <v>2.66</v>
      </c>
      <c r="J102" s="64">
        <v>0.05</v>
      </c>
      <c r="K102" s="64">
        <v>188.37</v>
      </c>
      <c r="L102" s="64">
        <v>22.4</v>
      </c>
      <c r="M102" s="64">
        <v>98.18</v>
      </c>
      <c r="N102" s="64">
        <v>40.799999999999997</v>
      </c>
      <c r="O102" s="64">
        <v>0</v>
      </c>
      <c r="P102" s="64">
        <v>0.9</v>
      </c>
      <c r="Q102" s="64">
        <v>9.5399999999999991</v>
      </c>
      <c r="R102" s="198"/>
      <c r="S102" s="198"/>
      <c r="T102" s="198"/>
      <c r="U102" s="198"/>
    </row>
    <row r="103" spans="1:33" s="12" customFormat="1" x14ac:dyDescent="0.25">
      <c r="A103" s="211" t="s">
        <v>342</v>
      </c>
      <c r="B103" s="64">
        <v>21.53</v>
      </c>
      <c r="C103" s="64">
        <v>4.33</v>
      </c>
      <c r="D103" s="64">
        <v>19.53</v>
      </c>
      <c r="E103" s="64">
        <v>6.85</v>
      </c>
      <c r="F103" s="64">
        <v>5.84</v>
      </c>
      <c r="G103" s="64">
        <v>95.78</v>
      </c>
      <c r="H103" s="64">
        <v>23.22</v>
      </c>
      <c r="I103" s="64">
        <v>2.66</v>
      </c>
      <c r="J103" s="64">
        <v>0.1</v>
      </c>
      <c r="K103" s="64">
        <v>213.73</v>
      </c>
      <c r="L103" s="64">
        <v>22.36</v>
      </c>
      <c r="M103" s="64">
        <v>98.21</v>
      </c>
      <c r="N103" s="64">
        <v>40.799999999999997</v>
      </c>
      <c r="O103" s="64">
        <v>0</v>
      </c>
      <c r="P103" s="64">
        <v>0.82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1" t="s">
        <v>343</v>
      </c>
      <c r="B104" s="64">
        <v>20.63</v>
      </c>
      <c r="C104" s="64">
        <v>2.9</v>
      </c>
      <c r="D104" s="64">
        <v>18.059999999999999</v>
      </c>
      <c r="E104" s="64">
        <v>6.38</v>
      </c>
      <c r="F104" s="64">
        <v>6.36</v>
      </c>
      <c r="G104" s="64">
        <v>95.78</v>
      </c>
      <c r="H104" s="64">
        <v>23.22</v>
      </c>
      <c r="I104" s="64">
        <v>2.67</v>
      </c>
      <c r="J104" s="64">
        <v>0.06</v>
      </c>
      <c r="K104" s="64">
        <v>139.80000000000001</v>
      </c>
      <c r="L104" s="64">
        <v>22.22</v>
      </c>
      <c r="M104" s="64">
        <v>98.23</v>
      </c>
      <c r="N104" s="64">
        <v>40.9</v>
      </c>
      <c r="O104" s="64">
        <v>0</v>
      </c>
      <c r="P104" s="64">
        <v>0.76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3.89</v>
      </c>
      <c r="C106" s="67">
        <f>MIN(C9:C104)</f>
        <v>1.27</v>
      </c>
      <c r="D106" s="67">
        <f t="shared" ref="D106:Q106" si="0">MIN(D9:D104)</f>
        <v>9.17</v>
      </c>
      <c r="E106" s="67">
        <f t="shared" si="0"/>
        <v>3.77</v>
      </c>
      <c r="F106" s="67">
        <f t="shared" si="0"/>
        <v>2.9</v>
      </c>
      <c r="G106" s="67">
        <f t="shared" si="0"/>
        <v>0</v>
      </c>
      <c r="H106" s="67">
        <f t="shared" si="0"/>
        <v>4.5</v>
      </c>
      <c r="I106" s="67">
        <f t="shared" si="0"/>
        <v>1.18</v>
      </c>
      <c r="J106" s="67">
        <f t="shared" si="0"/>
        <v>0.01</v>
      </c>
      <c r="K106" s="67">
        <f t="shared" si="0"/>
        <v>66.39</v>
      </c>
      <c r="L106" s="67">
        <f t="shared" si="0"/>
        <v>4.7</v>
      </c>
      <c r="M106" s="67">
        <f t="shared" si="0"/>
        <v>60.07</v>
      </c>
      <c r="N106" s="67">
        <f t="shared" si="0"/>
        <v>39.6</v>
      </c>
      <c r="O106" s="67">
        <f t="shared" si="0"/>
        <v>0</v>
      </c>
      <c r="P106" s="67">
        <f t="shared" si="0"/>
        <v>0.31</v>
      </c>
      <c r="Q106" s="67">
        <f t="shared" si="0"/>
        <v>9.01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51.04</v>
      </c>
      <c r="C107" s="66">
        <f t="shared" ref="C107:Q107" si="1">MAX(C9:C104)</f>
        <v>17.48</v>
      </c>
      <c r="D107" s="66">
        <f t="shared" si="1"/>
        <v>41.59</v>
      </c>
      <c r="E107" s="66">
        <f t="shared" si="1"/>
        <v>9.16</v>
      </c>
      <c r="F107" s="66">
        <f t="shared" si="1"/>
        <v>15.64</v>
      </c>
      <c r="G107" s="66">
        <f t="shared" si="1"/>
        <v>278.79000000000002</v>
      </c>
      <c r="H107" s="66">
        <f t="shared" si="1"/>
        <v>43.24</v>
      </c>
      <c r="I107" s="66">
        <f t="shared" si="1"/>
        <v>3.13</v>
      </c>
      <c r="J107" s="66">
        <f t="shared" si="1"/>
        <v>2.5</v>
      </c>
      <c r="K107" s="66">
        <f t="shared" si="1"/>
        <v>353.41</v>
      </c>
      <c r="L107" s="66">
        <f t="shared" si="1"/>
        <v>31.98</v>
      </c>
      <c r="M107" s="66">
        <f t="shared" si="1"/>
        <v>98.28</v>
      </c>
      <c r="N107" s="66">
        <f t="shared" si="1"/>
        <v>793.5</v>
      </c>
      <c r="O107" s="66">
        <f t="shared" si="1"/>
        <v>0.2</v>
      </c>
      <c r="P107" s="66">
        <f t="shared" si="1"/>
        <v>1.61</v>
      </c>
      <c r="Q107" s="66">
        <f t="shared" si="1"/>
        <v>9.58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14.17385416666666</v>
      </c>
      <c r="C108" s="67">
        <f t="shared" ref="C108:Q108" si="2">AVERAGE(C9:C104)</f>
        <v>8.4646875000000001</v>
      </c>
      <c r="D108" s="67">
        <f t="shared" si="2"/>
        <v>15.796979166666665</v>
      </c>
      <c r="E108" s="67">
        <f t="shared" si="2"/>
        <v>5.1054166666666676</v>
      </c>
      <c r="F108" s="67">
        <f t="shared" si="2"/>
        <v>7.4856250000000024</v>
      </c>
      <c r="G108" s="67">
        <f t="shared" si="2"/>
        <v>43.565416666666664</v>
      </c>
      <c r="H108" s="67">
        <f t="shared" si="2"/>
        <v>9.2435416666666708</v>
      </c>
      <c r="I108" s="67">
        <f t="shared" si="2"/>
        <v>1.7515624999999997</v>
      </c>
      <c r="J108" s="67">
        <f t="shared" si="2"/>
        <v>0.3065624999999999</v>
      </c>
      <c r="K108" s="67">
        <f t="shared" si="2"/>
        <v>279.33739583333323</v>
      </c>
      <c r="L108" s="67">
        <f t="shared" si="2"/>
        <v>25.219583333333333</v>
      </c>
      <c r="M108" s="67">
        <f t="shared" si="2"/>
        <v>87.979479166666636</v>
      </c>
      <c r="N108" s="67">
        <f t="shared" si="2"/>
        <v>147.98333333333338</v>
      </c>
      <c r="O108" s="67">
        <f t="shared" si="2"/>
        <v>2.0833333333333333E-3</v>
      </c>
      <c r="P108" s="67">
        <f t="shared" si="2"/>
        <v>0.60208333333333319</v>
      </c>
      <c r="Q108" s="67">
        <f t="shared" si="2"/>
        <v>9.1886458333333341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9.0296811588859853</v>
      </c>
      <c r="C109" s="67">
        <f t="shared" ref="C109:Q109" si="3">STDEV(C9:C104)</f>
        <v>4.1865893550277367</v>
      </c>
      <c r="D109" s="67">
        <f t="shared" si="3"/>
        <v>7.2954484902057724</v>
      </c>
      <c r="E109" s="67">
        <f t="shared" si="3"/>
        <v>1.2072072308620443</v>
      </c>
      <c r="F109" s="67">
        <f t="shared" si="3"/>
        <v>3.2585940825357222</v>
      </c>
      <c r="G109" s="67">
        <f t="shared" si="3"/>
        <v>50.842491179113615</v>
      </c>
      <c r="H109" s="67">
        <f t="shared" si="3"/>
        <v>8.0496353600535535</v>
      </c>
      <c r="I109" s="67">
        <f t="shared" si="3"/>
        <v>0.54222995340392333</v>
      </c>
      <c r="J109" s="67">
        <f t="shared" si="3"/>
        <v>0.40320512769556893</v>
      </c>
      <c r="K109" s="67">
        <f t="shared" si="3"/>
        <v>70.978056004652927</v>
      </c>
      <c r="L109" s="67">
        <f t="shared" si="3"/>
        <v>3.9953053810340049</v>
      </c>
      <c r="M109" s="67">
        <f t="shared" si="3"/>
        <v>13.294481987081456</v>
      </c>
      <c r="N109" s="67">
        <f t="shared" si="3"/>
        <v>178.28063133378208</v>
      </c>
      <c r="O109" s="67">
        <f t="shared" si="3"/>
        <v>2.0412414523193152E-2</v>
      </c>
      <c r="P109" s="67">
        <f t="shared" si="3"/>
        <v>0.29041863310769284</v>
      </c>
      <c r="Q109" s="67">
        <f t="shared" si="3"/>
        <v>0.15175894869421019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A9" sqref="A9:U104"/>
      <selection pane="topRight" activeCell="A9" sqref="A9:U104"/>
      <selection pane="bottomLeft" activeCell="A9" sqref="A9:U104"/>
      <selection pane="bottomRight" activeCell="D107" sqref="D10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344</v>
      </c>
      <c r="B9" s="64">
        <v>19.579999999999998</v>
      </c>
      <c r="C9" s="64">
        <v>3.3</v>
      </c>
      <c r="D9" s="64">
        <v>17.43</v>
      </c>
      <c r="E9" s="64">
        <v>6.27</v>
      </c>
      <c r="F9" s="64">
        <v>6.28</v>
      </c>
      <c r="G9" s="64">
        <v>95.78</v>
      </c>
      <c r="H9" s="64">
        <v>23.22</v>
      </c>
      <c r="I9" s="64">
        <v>2.66</v>
      </c>
      <c r="J9" s="64">
        <v>7.0000000000000007E-2</v>
      </c>
      <c r="K9" s="64">
        <v>166.18</v>
      </c>
      <c r="L9" s="64">
        <v>22.17</v>
      </c>
      <c r="M9" s="64">
        <v>98.23</v>
      </c>
      <c r="N9" s="64">
        <v>40.9</v>
      </c>
      <c r="O9" s="64">
        <v>0</v>
      </c>
      <c r="P9" s="64">
        <v>0.72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1" t="s">
        <v>345</v>
      </c>
      <c r="B10" s="64">
        <v>18.07</v>
      </c>
      <c r="C10" s="64">
        <v>4.58</v>
      </c>
      <c r="D10" s="64">
        <v>16.88</v>
      </c>
      <c r="E10" s="64">
        <v>5.84</v>
      </c>
      <c r="F10" s="64">
        <v>7.09</v>
      </c>
      <c r="G10" s="64">
        <v>55.16</v>
      </c>
      <c r="H10" s="64">
        <v>16.850000000000001</v>
      </c>
      <c r="I10" s="64">
        <v>2.63</v>
      </c>
      <c r="J10" s="64">
        <v>0.06</v>
      </c>
      <c r="K10" s="64">
        <v>164.37</v>
      </c>
      <c r="L10" s="64">
        <v>22.14</v>
      </c>
      <c r="M10" s="64">
        <v>98.23</v>
      </c>
      <c r="N10" s="64">
        <v>41.1</v>
      </c>
      <c r="O10" s="64">
        <v>0</v>
      </c>
      <c r="P10" s="64">
        <v>0.66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1" t="s">
        <v>346</v>
      </c>
      <c r="B11" s="64">
        <v>20.079999999999998</v>
      </c>
      <c r="C11" s="64">
        <v>4.05</v>
      </c>
      <c r="D11" s="64">
        <v>18.22</v>
      </c>
      <c r="E11" s="64">
        <v>6.09</v>
      </c>
      <c r="F11" s="64">
        <v>6.08</v>
      </c>
      <c r="G11" s="64">
        <v>38.659999999999997</v>
      </c>
      <c r="H11" s="64">
        <v>16.45</v>
      </c>
      <c r="I11" s="64">
        <v>2.59</v>
      </c>
      <c r="J11" s="64">
        <v>0.13</v>
      </c>
      <c r="K11" s="64">
        <v>139.25</v>
      </c>
      <c r="L11" s="64">
        <v>22.25</v>
      </c>
      <c r="M11" s="64">
        <v>98.23</v>
      </c>
      <c r="N11" s="64">
        <v>40.9</v>
      </c>
      <c r="O11" s="64">
        <v>0</v>
      </c>
      <c r="P11" s="64">
        <v>0.7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1" t="s">
        <v>347</v>
      </c>
      <c r="B12" s="64">
        <v>19.18</v>
      </c>
      <c r="C12" s="64">
        <v>4.58</v>
      </c>
      <c r="D12" s="64">
        <v>17.77</v>
      </c>
      <c r="E12" s="64">
        <v>5.99</v>
      </c>
      <c r="F12" s="64">
        <v>5.85</v>
      </c>
      <c r="G12" s="64">
        <v>38.659999999999997</v>
      </c>
      <c r="H12" s="64">
        <v>16.45</v>
      </c>
      <c r="I12" s="64">
        <v>2.56</v>
      </c>
      <c r="J12" s="64">
        <v>0.22</v>
      </c>
      <c r="K12" s="64">
        <v>342.55</v>
      </c>
      <c r="L12" s="64">
        <v>22.29</v>
      </c>
      <c r="M12" s="64">
        <v>98.23</v>
      </c>
      <c r="N12" s="64">
        <v>41.1</v>
      </c>
      <c r="O12" s="64">
        <v>0</v>
      </c>
      <c r="P12" s="64">
        <v>0.72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1" t="s">
        <v>348</v>
      </c>
      <c r="B13" s="64">
        <v>18.309999999999999</v>
      </c>
      <c r="C13" s="64">
        <v>4.67</v>
      </c>
      <c r="D13" s="64">
        <v>17.12</v>
      </c>
      <c r="E13" s="64">
        <v>6.25</v>
      </c>
      <c r="F13" s="64">
        <v>5.62</v>
      </c>
      <c r="G13" s="64">
        <v>38.659999999999997</v>
      </c>
      <c r="H13" s="64">
        <v>16.45</v>
      </c>
      <c r="I13" s="64">
        <v>2.68</v>
      </c>
      <c r="J13" s="64">
        <v>0.1</v>
      </c>
      <c r="K13" s="64">
        <v>112.78</v>
      </c>
      <c r="L13" s="64">
        <v>22.03</v>
      </c>
      <c r="M13" s="64">
        <v>98.25</v>
      </c>
      <c r="N13" s="64">
        <v>41.1</v>
      </c>
      <c r="O13" s="64">
        <v>0</v>
      </c>
      <c r="P13" s="64">
        <v>0.55000000000000004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1" t="s">
        <v>349</v>
      </c>
      <c r="B14" s="64">
        <v>20.2</v>
      </c>
      <c r="C14" s="64">
        <v>4</v>
      </c>
      <c r="D14" s="64">
        <v>18.28</v>
      </c>
      <c r="E14" s="64">
        <v>5.7</v>
      </c>
      <c r="F14" s="64">
        <v>5.63</v>
      </c>
      <c r="G14" s="64">
        <v>31.95</v>
      </c>
      <c r="H14" s="64">
        <v>11.32</v>
      </c>
      <c r="I14" s="64">
        <v>2.63</v>
      </c>
      <c r="J14" s="64">
        <v>0.31</v>
      </c>
      <c r="K14" s="64">
        <v>334.19</v>
      </c>
      <c r="L14" s="64">
        <v>21.9</v>
      </c>
      <c r="M14" s="64">
        <v>98.27</v>
      </c>
      <c r="N14" s="64">
        <v>40.9</v>
      </c>
      <c r="O14" s="64">
        <v>0</v>
      </c>
      <c r="P14" s="64">
        <v>0.7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1" t="s">
        <v>350</v>
      </c>
      <c r="B15" s="64">
        <v>23.91</v>
      </c>
      <c r="C15" s="64">
        <v>4</v>
      </c>
      <c r="D15" s="64">
        <v>19.11</v>
      </c>
      <c r="E15" s="64">
        <v>5.75</v>
      </c>
      <c r="F15" s="64">
        <v>4.41</v>
      </c>
      <c r="G15" s="64">
        <v>29.07</v>
      </c>
      <c r="H15" s="64">
        <v>10.99</v>
      </c>
      <c r="I15" s="64">
        <v>2.5</v>
      </c>
      <c r="J15" s="64">
        <v>0.35</v>
      </c>
      <c r="K15" s="64">
        <v>335.03</v>
      </c>
      <c r="L15" s="64">
        <v>21.87</v>
      </c>
      <c r="M15" s="64">
        <v>98.3</v>
      </c>
      <c r="N15" s="64">
        <v>40.700000000000003</v>
      </c>
      <c r="O15" s="64">
        <v>0</v>
      </c>
      <c r="P15" s="64">
        <v>0.81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1" t="s">
        <v>351</v>
      </c>
      <c r="B16" s="64">
        <v>17.57</v>
      </c>
      <c r="C16" s="64">
        <v>5.45</v>
      </c>
      <c r="D16" s="64">
        <v>16.940000000000001</v>
      </c>
      <c r="E16" s="64">
        <v>5.43</v>
      </c>
      <c r="F16" s="64">
        <v>3.6</v>
      </c>
      <c r="G16" s="64">
        <v>29.07</v>
      </c>
      <c r="H16" s="64">
        <v>10.99</v>
      </c>
      <c r="I16" s="64">
        <v>2.4500000000000002</v>
      </c>
      <c r="J16" s="64">
        <v>0.17</v>
      </c>
      <c r="K16" s="64">
        <v>357.83</v>
      </c>
      <c r="L16" s="64">
        <v>21.91</v>
      </c>
      <c r="M16" s="64">
        <v>98.3</v>
      </c>
      <c r="N16" s="64">
        <v>40.9</v>
      </c>
      <c r="O16" s="64">
        <v>0</v>
      </c>
      <c r="P16" s="64">
        <v>0.59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11" t="s">
        <v>352</v>
      </c>
      <c r="B17" s="64">
        <v>22.73</v>
      </c>
      <c r="C17" s="64">
        <v>1.82</v>
      </c>
      <c r="D17" s="64">
        <v>19.18</v>
      </c>
      <c r="E17" s="64">
        <v>5.19</v>
      </c>
      <c r="F17" s="64">
        <v>5.22</v>
      </c>
      <c r="G17" s="64">
        <v>29.07</v>
      </c>
      <c r="H17" s="64">
        <v>10.99</v>
      </c>
      <c r="I17" s="64">
        <v>2.41</v>
      </c>
      <c r="J17" s="64">
        <v>0.34</v>
      </c>
      <c r="K17" s="64">
        <v>338.4</v>
      </c>
      <c r="L17" s="64">
        <v>21.88</v>
      </c>
      <c r="M17" s="64">
        <v>98.28</v>
      </c>
      <c r="N17" s="64">
        <v>40.799999999999997</v>
      </c>
      <c r="O17" s="64">
        <v>0</v>
      </c>
      <c r="P17" s="64">
        <v>0.76</v>
      </c>
      <c r="Q17" s="64">
        <v>9.4700000000000006</v>
      </c>
      <c r="R17" s="198"/>
      <c r="S17" s="198"/>
      <c r="T17" s="198"/>
      <c r="U17" s="198"/>
    </row>
    <row r="18" spans="1:21" s="12" customFormat="1" x14ac:dyDescent="0.25">
      <c r="A18" s="211" t="s">
        <v>353</v>
      </c>
      <c r="B18" s="64">
        <v>19.18</v>
      </c>
      <c r="C18" s="64">
        <v>3.15</v>
      </c>
      <c r="D18" s="64">
        <v>17.03</v>
      </c>
      <c r="E18" s="64">
        <v>4.97</v>
      </c>
      <c r="F18" s="64">
        <v>3.58</v>
      </c>
      <c r="G18" s="64">
        <v>29.22</v>
      </c>
      <c r="H18" s="64">
        <v>10.67</v>
      </c>
      <c r="I18" s="64">
        <v>2.4</v>
      </c>
      <c r="J18" s="64">
        <v>0.35</v>
      </c>
      <c r="K18" s="64">
        <v>331.96</v>
      </c>
      <c r="L18" s="64">
        <v>21.94</v>
      </c>
      <c r="M18" s="64">
        <v>98.28</v>
      </c>
      <c r="N18" s="64">
        <v>40.799999999999997</v>
      </c>
      <c r="O18" s="64">
        <v>0</v>
      </c>
      <c r="P18" s="64">
        <v>0.64</v>
      </c>
      <c r="Q18" s="64">
        <v>9.4499999999999993</v>
      </c>
      <c r="R18" s="198"/>
      <c r="S18" s="198"/>
      <c r="T18" s="198"/>
      <c r="U18" s="198"/>
    </row>
    <row r="19" spans="1:21" s="12" customFormat="1" x14ac:dyDescent="0.25">
      <c r="A19" s="211" t="s">
        <v>354</v>
      </c>
      <c r="B19" s="64">
        <v>22.65</v>
      </c>
      <c r="C19" s="64">
        <v>3.15</v>
      </c>
      <c r="D19" s="64">
        <v>18.100000000000001</v>
      </c>
      <c r="E19" s="64">
        <v>5.23</v>
      </c>
      <c r="F19" s="64">
        <v>5.03</v>
      </c>
      <c r="G19" s="64">
        <v>29.28</v>
      </c>
      <c r="H19" s="64">
        <v>10.65</v>
      </c>
      <c r="I19" s="64">
        <v>2.38</v>
      </c>
      <c r="J19" s="64">
        <v>0.43</v>
      </c>
      <c r="K19" s="64">
        <v>333.28</v>
      </c>
      <c r="L19" s="64">
        <v>21.87</v>
      </c>
      <c r="M19" s="64">
        <v>98.29</v>
      </c>
      <c r="N19" s="64">
        <v>40.799999999999997</v>
      </c>
      <c r="O19" s="64">
        <v>0</v>
      </c>
      <c r="P19" s="64">
        <v>0.72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1" t="s">
        <v>355</v>
      </c>
      <c r="B20" s="64">
        <v>20.27</v>
      </c>
      <c r="C20" s="64">
        <v>3</v>
      </c>
      <c r="D20" s="64">
        <v>17.829999999999998</v>
      </c>
      <c r="E20" s="64">
        <v>4.91</v>
      </c>
      <c r="F20" s="64">
        <v>3.54</v>
      </c>
      <c r="G20" s="64">
        <v>29.28</v>
      </c>
      <c r="H20" s="64">
        <v>10.65</v>
      </c>
      <c r="I20" s="64">
        <v>2.35</v>
      </c>
      <c r="J20" s="64">
        <v>0.47</v>
      </c>
      <c r="K20" s="64">
        <v>339.69</v>
      </c>
      <c r="L20" s="64">
        <v>21.87</v>
      </c>
      <c r="M20" s="64">
        <v>98.3</v>
      </c>
      <c r="N20" s="64">
        <v>40.799999999999997</v>
      </c>
      <c r="O20" s="64">
        <v>0</v>
      </c>
      <c r="P20" s="64">
        <v>0.57999999999999996</v>
      </c>
      <c r="Q20" s="64">
        <v>9.44</v>
      </c>
      <c r="R20" s="198"/>
      <c r="S20" s="198"/>
      <c r="T20" s="198"/>
      <c r="U20" s="198"/>
    </row>
    <row r="21" spans="1:21" s="12" customFormat="1" x14ac:dyDescent="0.25">
      <c r="A21" s="211" t="s">
        <v>356</v>
      </c>
      <c r="B21" s="64">
        <v>21.44</v>
      </c>
      <c r="C21" s="64">
        <v>0.91</v>
      </c>
      <c r="D21" s="64">
        <v>17.670000000000002</v>
      </c>
      <c r="E21" s="64">
        <v>5.21</v>
      </c>
      <c r="F21" s="64">
        <v>4.2</v>
      </c>
      <c r="G21" s="64">
        <v>29.28</v>
      </c>
      <c r="H21" s="64">
        <v>10.65</v>
      </c>
      <c r="I21" s="64">
        <v>2.31</v>
      </c>
      <c r="J21" s="64">
        <v>0.65</v>
      </c>
      <c r="K21" s="64">
        <v>339.37</v>
      </c>
      <c r="L21" s="64">
        <v>21.87</v>
      </c>
      <c r="M21" s="64">
        <v>98.25</v>
      </c>
      <c r="N21" s="64">
        <v>40.9</v>
      </c>
      <c r="O21" s="64">
        <v>0</v>
      </c>
      <c r="P21" s="64">
        <v>0.69</v>
      </c>
      <c r="Q21" s="64">
        <v>9.43</v>
      </c>
      <c r="R21" s="198"/>
      <c r="S21" s="198"/>
      <c r="T21" s="198"/>
      <c r="U21" s="198"/>
    </row>
    <row r="22" spans="1:21" s="12" customFormat="1" x14ac:dyDescent="0.25">
      <c r="A22" s="211" t="s">
        <v>357</v>
      </c>
      <c r="B22" s="64">
        <v>15.27</v>
      </c>
      <c r="C22" s="64">
        <v>5.01</v>
      </c>
      <c r="D22" s="64">
        <v>14.86</v>
      </c>
      <c r="E22" s="64">
        <v>5.28</v>
      </c>
      <c r="F22" s="64">
        <v>3.3</v>
      </c>
      <c r="G22" s="64">
        <v>28.54</v>
      </c>
      <c r="H22" s="64">
        <v>9</v>
      </c>
      <c r="I22" s="64">
        <v>2.27</v>
      </c>
      <c r="J22" s="64">
        <v>0.08</v>
      </c>
      <c r="K22" s="64">
        <v>108.87</v>
      </c>
      <c r="L22" s="64">
        <v>21.69</v>
      </c>
      <c r="M22" s="64">
        <v>98.21</v>
      </c>
      <c r="N22" s="64">
        <v>41.1</v>
      </c>
      <c r="O22" s="64">
        <v>0</v>
      </c>
      <c r="P22" s="64">
        <v>0.5</v>
      </c>
      <c r="Q22" s="64">
        <v>9.42</v>
      </c>
      <c r="R22" s="198"/>
      <c r="S22" s="198"/>
      <c r="T22" s="198"/>
      <c r="U22" s="198"/>
    </row>
    <row r="23" spans="1:21" s="12" customFormat="1" x14ac:dyDescent="0.25">
      <c r="A23" s="211" t="s">
        <v>358</v>
      </c>
      <c r="B23" s="64">
        <v>22.13</v>
      </c>
      <c r="C23" s="64">
        <v>5.01</v>
      </c>
      <c r="D23" s="64">
        <v>17.52</v>
      </c>
      <c r="E23" s="64">
        <v>5.13</v>
      </c>
      <c r="F23" s="64">
        <v>4.76</v>
      </c>
      <c r="G23" s="64">
        <v>28.24</v>
      </c>
      <c r="H23" s="64">
        <v>8.83</v>
      </c>
      <c r="I23" s="64">
        <v>2.2400000000000002</v>
      </c>
      <c r="J23" s="64">
        <v>0.01</v>
      </c>
      <c r="K23" s="64">
        <v>105.33</v>
      </c>
      <c r="L23" s="64">
        <v>21.57</v>
      </c>
      <c r="M23" s="64">
        <v>98.22</v>
      </c>
      <c r="N23" s="64">
        <v>41</v>
      </c>
      <c r="O23" s="64">
        <v>0.2</v>
      </c>
      <c r="P23" s="64">
        <v>0.68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1" t="s">
        <v>359</v>
      </c>
      <c r="B24" s="64">
        <v>19.14</v>
      </c>
      <c r="C24" s="64">
        <v>3.7</v>
      </c>
      <c r="D24" s="64">
        <v>17.29</v>
      </c>
      <c r="E24" s="64">
        <v>4.99</v>
      </c>
      <c r="F24" s="64">
        <v>4.2</v>
      </c>
      <c r="G24" s="64">
        <v>28.24</v>
      </c>
      <c r="H24" s="64">
        <v>8.83</v>
      </c>
      <c r="I24" s="64">
        <v>2.21</v>
      </c>
      <c r="J24" s="64">
        <v>7.0000000000000007E-2</v>
      </c>
      <c r="K24" s="64">
        <v>323.02</v>
      </c>
      <c r="L24" s="64">
        <v>21.43</v>
      </c>
      <c r="M24" s="64">
        <v>98.24</v>
      </c>
      <c r="N24" s="64">
        <v>40.799999999999997</v>
      </c>
      <c r="O24" s="64">
        <v>0</v>
      </c>
      <c r="P24" s="64">
        <v>0.52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1" t="s">
        <v>360</v>
      </c>
      <c r="B25" s="64">
        <v>21.84</v>
      </c>
      <c r="C25" s="64">
        <v>3.05</v>
      </c>
      <c r="D25" s="64">
        <v>19.11</v>
      </c>
      <c r="E25" s="64">
        <v>5.05</v>
      </c>
      <c r="F25" s="64">
        <v>5.69</v>
      </c>
      <c r="G25" s="64">
        <v>28.24</v>
      </c>
      <c r="H25" s="64">
        <v>8.83</v>
      </c>
      <c r="I25" s="64">
        <v>2.19</v>
      </c>
      <c r="J25" s="64">
        <v>0.09</v>
      </c>
      <c r="K25" s="64">
        <v>321.47000000000003</v>
      </c>
      <c r="L25" s="64">
        <v>21.36</v>
      </c>
      <c r="M25" s="64">
        <v>98.25</v>
      </c>
      <c r="N25" s="64">
        <v>41.1</v>
      </c>
      <c r="O25" s="64">
        <v>0</v>
      </c>
      <c r="P25" s="64">
        <v>0.53</v>
      </c>
      <c r="Q25" s="64">
        <v>9.41</v>
      </c>
      <c r="R25" s="198"/>
      <c r="S25" s="198"/>
      <c r="T25" s="198"/>
      <c r="U25" s="198"/>
    </row>
    <row r="26" spans="1:21" s="12" customFormat="1" x14ac:dyDescent="0.25">
      <c r="A26" s="211" t="s">
        <v>361</v>
      </c>
      <c r="B26" s="64">
        <v>24.32</v>
      </c>
      <c r="C26" s="64">
        <v>2.4700000000000002</v>
      </c>
      <c r="D26" s="64">
        <v>20.79</v>
      </c>
      <c r="E26" s="64">
        <v>5.17</v>
      </c>
      <c r="F26" s="64">
        <v>5.38</v>
      </c>
      <c r="G26" s="64">
        <v>25.13</v>
      </c>
      <c r="H26" s="64">
        <v>6.35</v>
      </c>
      <c r="I26" s="64">
        <v>2.16</v>
      </c>
      <c r="J26" s="64">
        <v>0.08</v>
      </c>
      <c r="K26" s="64">
        <v>330.61</v>
      </c>
      <c r="L26" s="64">
        <v>21.26</v>
      </c>
      <c r="M26" s="64">
        <v>98.25</v>
      </c>
      <c r="N26" s="64">
        <v>41</v>
      </c>
      <c r="O26" s="64">
        <v>0</v>
      </c>
      <c r="P26" s="64">
        <v>0.59</v>
      </c>
      <c r="Q26" s="64">
        <v>9.42</v>
      </c>
      <c r="R26" s="198"/>
      <c r="S26" s="198"/>
      <c r="T26" s="198"/>
      <c r="U26" s="198"/>
    </row>
    <row r="27" spans="1:21" s="12" customFormat="1" x14ac:dyDescent="0.25">
      <c r="A27" s="211" t="s">
        <v>362</v>
      </c>
      <c r="B27" s="64">
        <v>24.35</v>
      </c>
      <c r="C27" s="64">
        <v>3.83</v>
      </c>
      <c r="D27" s="64">
        <v>21.53</v>
      </c>
      <c r="E27" s="64">
        <v>5.1100000000000003</v>
      </c>
      <c r="F27" s="64">
        <v>4.84</v>
      </c>
      <c r="G27" s="64">
        <v>23.8</v>
      </c>
      <c r="H27" s="64">
        <v>6.19</v>
      </c>
      <c r="I27" s="64">
        <v>2.15</v>
      </c>
      <c r="J27" s="64">
        <v>0.11</v>
      </c>
      <c r="K27" s="64">
        <v>217.19</v>
      </c>
      <c r="L27" s="64">
        <v>21.27</v>
      </c>
      <c r="M27" s="64">
        <v>98.25</v>
      </c>
      <c r="N27" s="64">
        <v>40.700000000000003</v>
      </c>
      <c r="O27" s="64">
        <v>0</v>
      </c>
      <c r="P27" s="64">
        <v>0.54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11" t="s">
        <v>363</v>
      </c>
      <c r="B28" s="64">
        <v>20.170000000000002</v>
      </c>
      <c r="C28" s="64">
        <v>4.04</v>
      </c>
      <c r="D28" s="64">
        <v>18.29</v>
      </c>
      <c r="E28" s="64">
        <v>5.32</v>
      </c>
      <c r="F28" s="64">
        <v>5.3</v>
      </c>
      <c r="G28" s="64">
        <v>23.8</v>
      </c>
      <c r="H28" s="64">
        <v>6.19</v>
      </c>
      <c r="I28" s="64">
        <v>2.14</v>
      </c>
      <c r="J28" s="64">
        <v>0.04</v>
      </c>
      <c r="K28" s="64">
        <v>323.32</v>
      </c>
      <c r="L28" s="64">
        <v>21.36</v>
      </c>
      <c r="M28" s="64">
        <v>98.25</v>
      </c>
      <c r="N28" s="64">
        <v>40.799999999999997</v>
      </c>
      <c r="O28" s="64">
        <v>0</v>
      </c>
      <c r="P28" s="64">
        <v>0.55000000000000004</v>
      </c>
      <c r="Q28" s="64">
        <v>9.4499999999999993</v>
      </c>
      <c r="R28" s="198"/>
      <c r="S28" s="198"/>
      <c r="T28" s="198"/>
      <c r="U28" s="198"/>
    </row>
    <row r="29" spans="1:21" s="12" customFormat="1" x14ac:dyDescent="0.25">
      <c r="A29" s="211" t="s">
        <v>364</v>
      </c>
      <c r="B29" s="64">
        <v>19.190000000000001</v>
      </c>
      <c r="C29" s="64">
        <v>3.06</v>
      </c>
      <c r="D29" s="64">
        <v>16.989999999999998</v>
      </c>
      <c r="E29" s="64">
        <v>5.08</v>
      </c>
      <c r="F29" s="64">
        <v>4.8600000000000003</v>
      </c>
      <c r="G29" s="64">
        <v>23.8</v>
      </c>
      <c r="H29" s="64">
        <v>6.19</v>
      </c>
      <c r="I29" s="64">
        <v>2.13</v>
      </c>
      <c r="J29" s="64">
        <v>0.09</v>
      </c>
      <c r="K29" s="64">
        <v>211.17</v>
      </c>
      <c r="L29" s="64">
        <v>21.31</v>
      </c>
      <c r="M29" s="64">
        <v>98.25</v>
      </c>
      <c r="N29" s="64">
        <v>40.799999999999997</v>
      </c>
      <c r="O29" s="64">
        <v>0</v>
      </c>
      <c r="P29" s="64">
        <v>0.52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1" t="s">
        <v>365</v>
      </c>
      <c r="B30" s="64">
        <v>19.48</v>
      </c>
      <c r="C30" s="64">
        <v>2.0099999999999998</v>
      </c>
      <c r="D30" s="64">
        <v>16.670000000000002</v>
      </c>
      <c r="E30" s="64">
        <v>5.01</v>
      </c>
      <c r="F30" s="64">
        <v>5.15</v>
      </c>
      <c r="G30" s="64">
        <v>22.76</v>
      </c>
      <c r="H30" s="64">
        <v>4.6100000000000003</v>
      </c>
      <c r="I30" s="64">
        <v>2.12</v>
      </c>
      <c r="J30" s="64">
        <v>0.01</v>
      </c>
      <c r="K30" s="64">
        <v>232.2</v>
      </c>
      <c r="L30" s="64">
        <v>21.13</v>
      </c>
      <c r="M30" s="64">
        <v>98.25</v>
      </c>
      <c r="N30" s="64">
        <v>40.9</v>
      </c>
      <c r="O30" s="64">
        <v>0.2</v>
      </c>
      <c r="P30" s="64">
        <v>0.52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1" t="s">
        <v>366</v>
      </c>
      <c r="B31" s="64">
        <v>24.29</v>
      </c>
      <c r="C31" s="64">
        <v>1.05</v>
      </c>
      <c r="D31" s="64">
        <v>20.02</v>
      </c>
      <c r="E31" s="64">
        <v>5.23</v>
      </c>
      <c r="F31" s="64">
        <v>5.59</v>
      </c>
      <c r="G31" s="64">
        <v>22.31</v>
      </c>
      <c r="H31" s="64">
        <v>4.5</v>
      </c>
      <c r="I31" s="64">
        <v>2.1</v>
      </c>
      <c r="J31" s="64">
        <v>0.12</v>
      </c>
      <c r="K31" s="64">
        <v>350.57</v>
      </c>
      <c r="L31" s="64">
        <v>21.04</v>
      </c>
      <c r="M31" s="64">
        <v>98.26</v>
      </c>
      <c r="N31" s="64">
        <v>41.1</v>
      </c>
      <c r="O31" s="64">
        <v>0</v>
      </c>
      <c r="P31" s="64">
        <v>0.55000000000000004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1" t="s">
        <v>367</v>
      </c>
      <c r="B32" s="64">
        <v>25.09</v>
      </c>
      <c r="C32" s="64">
        <v>1.05</v>
      </c>
      <c r="D32" s="64">
        <v>19.66</v>
      </c>
      <c r="E32" s="64">
        <v>4.92</v>
      </c>
      <c r="F32" s="64">
        <v>4.41</v>
      </c>
      <c r="G32" s="64">
        <v>22.31</v>
      </c>
      <c r="H32" s="64">
        <v>4.5</v>
      </c>
      <c r="I32" s="64">
        <v>2.08</v>
      </c>
      <c r="J32" s="64">
        <v>0.04</v>
      </c>
      <c r="K32" s="64">
        <v>259.07</v>
      </c>
      <c r="L32" s="64">
        <v>21</v>
      </c>
      <c r="M32" s="64">
        <v>98.27</v>
      </c>
      <c r="N32" s="64">
        <v>42</v>
      </c>
      <c r="O32" s="64">
        <v>0</v>
      </c>
      <c r="P32" s="64">
        <v>0.62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1" t="s">
        <v>368</v>
      </c>
      <c r="B33" s="64">
        <v>23.48</v>
      </c>
      <c r="C33" s="64">
        <v>1.05</v>
      </c>
      <c r="D33" s="64">
        <v>18.23</v>
      </c>
      <c r="E33" s="64">
        <v>5.33</v>
      </c>
      <c r="F33" s="64">
        <v>3.36</v>
      </c>
      <c r="G33" s="64">
        <v>22.31</v>
      </c>
      <c r="H33" s="64">
        <v>4.5</v>
      </c>
      <c r="I33" s="64">
        <v>2.0699999999999998</v>
      </c>
      <c r="J33" s="64">
        <v>0.04</v>
      </c>
      <c r="K33" s="64">
        <v>223.43</v>
      </c>
      <c r="L33" s="64">
        <v>21.09</v>
      </c>
      <c r="M33" s="64">
        <v>98.28</v>
      </c>
      <c r="N33" s="64">
        <v>50.3</v>
      </c>
      <c r="O33" s="64">
        <v>0</v>
      </c>
      <c r="P33" s="64">
        <v>0.59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1" t="s">
        <v>369</v>
      </c>
      <c r="B34" s="64">
        <v>23.07</v>
      </c>
      <c r="C34" s="64">
        <v>1.05</v>
      </c>
      <c r="D34" s="64">
        <v>17.93</v>
      </c>
      <c r="E34" s="64">
        <v>5.09</v>
      </c>
      <c r="F34" s="64">
        <v>3.97</v>
      </c>
      <c r="G34" s="64">
        <v>26.68</v>
      </c>
      <c r="H34" s="64">
        <v>4.75</v>
      </c>
      <c r="I34" s="64">
        <v>2.0299999999999998</v>
      </c>
      <c r="J34" s="64">
        <v>0.06</v>
      </c>
      <c r="K34" s="64">
        <v>26</v>
      </c>
      <c r="L34" s="64">
        <v>21.25</v>
      </c>
      <c r="M34" s="64">
        <v>98.27</v>
      </c>
      <c r="N34" s="64">
        <v>66.2</v>
      </c>
      <c r="O34" s="64">
        <v>0</v>
      </c>
      <c r="P34" s="64">
        <v>0.6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1" t="s">
        <v>370</v>
      </c>
      <c r="B35" s="64">
        <v>23.45</v>
      </c>
      <c r="C35" s="64">
        <v>1.05</v>
      </c>
      <c r="D35" s="64">
        <v>18.02</v>
      </c>
      <c r="E35" s="64">
        <v>5</v>
      </c>
      <c r="F35" s="64">
        <v>4.59</v>
      </c>
      <c r="G35" s="64">
        <v>28.46</v>
      </c>
      <c r="H35" s="64">
        <v>4.7699999999999996</v>
      </c>
      <c r="I35" s="64">
        <v>2.0099999999999998</v>
      </c>
      <c r="J35" s="64">
        <v>0.09</v>
      </c>
      <c r="K35" s="64">
        <v>124.31</v>
      </c>
      <c r="L35" s="64">
        <v>21.49</v>
      </c>
      <c r="M35" s="64">
        <v>98.28</v>
      </c>
      <c r="N35" s="64">
        <v>83.4</v>
      </c>
      <c r="O35" s="64">
        <v>0</v>
      </c>
      <c r="P35" s="64">
        <v>0.59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1" t="s">
        <v>371</v>
      </c>
      <c r="B36" s="64">
        <v>23.43</v>
      </c>
      <c r="C36" s="64">
        <v>1.05</v>
      </c>
      <c r="D36" s="64">
        <v>18.03</v>
      </c>
      <c r="E36" s="64">
        <v>5.03</v>
      </c>
      <c r="F36" s="64">
        <v>4.3499999999999996</v>
      </c>
      <c r="G36" s="64">
        <v>28.46</v>
      </c>
      <c r="H36" s="64">
        <v>4.7699999999999996</v>
      </c>
      <c r="I36" s="64">
        <v>1.99</v>
      </c>
      <c r="J36" s="64">
        <v>0.05</v>
      </c>
      <c r="K36" s="64">
        <v>268.14999999999998</v>
      </c>
      <c r="L36" s="64">
        <v>22.06</v>
      </c>
      <c r="M36" s="64">
        <v>98.26</v>
      </c>
      <c r="N36" s="64">
        <v>115</v>
      </c>
      <c r="O36" s="64">
        <v>0</v>
      </c>
      <c r="P36" s="64">
        <v>0.59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1" t="s">
        <v>372</v>
      </c>
      <c r="B37" s="64">
        <v>23.79</v>
      </c>
      <c r="C37" s="64">
        <v>1.05</v>
      </c>
      <c r="D37" s="64">
        <v>18.37</v>
      </c>
      <c r="E37" s="64">
        <v>4.7699999999999996</v>
      </c>
      <c r="F37" s="64">
        <v>4.51</v>
      </c>
      <c r="G37" s="64">
        <v>28.46</v>
      </c>
      <c r="H37" s="64">
        <v>4.7699999999999996</v>
      </c>
      <c r="I37" s="64">
        <v>1.97</v>
      </c>
      <c r="J37" s="64">
        <v>0.13</v>
      </c>
      <c r="K37" s="64">
        <v>358.25</v>
      </c>
      <c r="L37" s="64">
        <v>23.3</v>
      </c>
      <c r="M37" s="64">
        <v>98.18</v>
      </c>
      <c r="N37" s="64">
        <v>185.5</v>
      </c>
      <c r="O37" s="64">
        <v>0</v>
      </c>
      <c r="P37" s="64">
        <v>0.6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1" t="s">
        <v>373</v>
      </c>
      <c r="B38" s="64">
        <v>24.48</v>
      </c>
      <c r="C38" s="64">
        <v>1.05</v>
      </c>
      <c r="D38" s="64">
        <v>18.93</v>
      </c>
      <c r="E38" s="64">
        <v>5.23</v>
      </c>
      <c r="F38" s="64">
        <v>4.42</v>
      </c>
      <c r="G38" s="64">
        <v>31.14</v>
      </c>
      <c r="H38" s="64">
        <v>4.92</v>
      </c>
      <c r="I38" s="64">
        <v>1.97</v>
      </c>
      <c r="J38" s="64">
        <v>0.16</v>
      </c>
      <c r="K38" s="64">
        <v>331.7</v>
      </c>
      <c r="L38" s="64">
        <v>25.52</v>
      </c>
      <c r="M38" s="64">
        <v>97.97</v>
      </c>
      <c r="N38" s="64">
        <v>244.7</v>
      </c>
      <c r="O38" s="64">
        <v>0</v>
      </c>
      <c r="P38" s="64">
        <v>0.63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1" t="s">
        <v>374</v>
      </c>
      <c r="B39" s="64">
        <v>25.06</v>
      </c>
      <c r="C39" s="64">
        <v>1.05</v>
      </c>
      <c r="D39" s="64">
        <v>19.43</v>
      </c>
      <c r="E39" s="64">
        <v>5.39</v>
      </c>
      <c r="F39" s="64">
        <v>4.7</v>
      </c>
      <c r="G39" s="64">
        <v>32.229999999999997</v>
      </c>
      <c r="H39" s="64">
        <v>4.93</v>
      </c>
      <c r="I39" s="64">
        <v>1.99</v>
      </c>
      <c r="J39" s="64">
        <v>0.21</v>
      </c>
      <c r="K39" s="64">
        <v>338.69</v>
      </c>
      <c r="L39" s="64">
        <v>27.39</v>
      </c>
      <c r="M39" s="64">
        <v>90.6</v>
      </c>
      <c r="N39" s="64">
        <v>286.89999999999998</v>
      </c>
      <c r="O39" s="64">
        <v>0</v>
      </c>
      <c r="P39" s="64">
        <v>0.62</v>
      </c>
      <c r="Q39" s="64">
        <v>9.41</v>
      </c>
      <c r="R39" s="198"/>
      <c r="S39" s="198"/>
      <c r="T39" s="198"/>
      <c r="U39" s="198"/>
    </row>
    <row r="40" spans="1:21" s="12" customFormat="1" x14ac:dyDescent="0.25">
      <c r="A40" s="211" t="s">
        <v>375</v>
      </c>
      <c r="B40" s="64">
        <v>25.47</v>
      </c>
      <c r="C40" s="64">
        <v>1.05</v>
      </c>
      <c r="D40" s="64">
        <v>19.84</v>
      </c>
      <c r="E40" s="64">
        <v>4.92</v>
      </c>
      <c r="F40" s="64">
        <v>4.67</v>
      </c>
      <c r="G40" s="64">
        <v>32.229999999999997</v>
      </c>
      <c r="H40" s="64">
        <v>4.93</v>
      </c>
      <c r="I40" s="64">
        <v>2.0099999999999998</v>
      </c>
      <c r="J40" s="64">
        <v>0.19</v>
      </c>
      <c r="K40" s="64">
        <v>325.88</v>
      </c>
      <c r="L40" s="64">
        <v>27.49</v>
      </c>
      <c r="M40" s="64">
        <v>90.17</v>
      </c>
      <c r="N40" s="64">
        <v>288.10000000000002</v>
      </c>
      <c r="O40" s="64">
        <v>0</v>
      </c>
      <c r="P40" s="64">
        <v>0.61</v>
      </c>
      <c r="Q40" s="64">
        <v>9.41</v>
      </c>
      <c r="R40" s="198"/>
      <c r="S40" s="198"/>
      <c r="T40" s="198"/>
      <c r="U40" s="198"/>
    </row>
    <row r="41" spans="1:21" s="12" customFormat="1" x14ac:dyDescent="0.25">
      <c r="A41" s="211" t="s">
        <v>376</v>
      </c>
      <c r="B41" s="64">
        <v>25.58</v>
      </c>
      <c r="C41" s="64">
        <v>1.05</v>
      </c>
      <c r="D41" s="64">
        <v>20.07</v>
      </c>
      <c r="E41" s="64">
        <v>5.08</v>
      </c>
      <c r="F41" s="64">
        <v>4.8099999999999996</v>
      </c>
      <c r="G41" s="64">
        <v>32.229999999999997</v>
      </c>
      <c r="H41" s="64">
        <v>4.93</v>
      </c>
      <c r="I41" s="64">
        <v>2.0499999999999998</v>
      </c>
      <c r="J41" s="64">
        <v>0.55000000000000004</v>
      </c>
      <c r="K41" s="64">
        <v>344.11</v>
      </c>
      <c r="L41" s="64">
        <v>28.42</v>
      </c>
      <c r="M41" s="64">
        <v>84.43</v>
      </c>
      <c r="N41" s="64">
        <v>344.3</v>
      </c>
      <c r="O41" s="64">
        <v>0</v>
      </c>
      <c r="P41" s="64">
        <v>0.61</v>
      </c>
      <c r="Q41" s="64">
        <v>9.41</v>
      </c>
      <c r="R41" s="198"/>
      <c r="S41" s="198"/>
      <c r="T41" s="198"/>
      <c r="U41" s="198"/>
    </row>
    <row r="42" spans="1:21" s="12" customFormat="1" x14ac:dyDescent="0.25">
      <c r="A42" s="211" t="s">
        <v>377</v>
      </c>
      <c r="B42" s="64">
        <v>25.72</v>
      </c>
      <c r="C42" s="64">
        <v>1.05</v>
      </c>
      <c r="D42" s="64">
        <v>20.41</v>
      </c>
      <c r="E42" s="64">
        <v>5.18</v>
      </c>
      <c r="F42" s="64">
        <v>3.01</v>
      </c>
      <c r="G42" s="64">
        <v>51.58</v>
      </c>
      <c r="H42" s="64">
        <v>6.4</v>
      </c>
      <c r="I42" s="64">
        <v>2.09</v>
      </c>
      <c r="J42" s="64">
        <v>0.04</v>
      </c>
      <c r="K42" s="64">
        <v>302</v>
      </c>
      <c r="L42" s="64">
        <v>27.98</v>
      </c>
      <c r="M42" s="64">
        <v>86.27</v>
      </c>
      <c r="N42" s="64">
        <v>317.3</v>
      </c>
      <c r="O42" s="64">
        <v>0</v>
      </c>
      <c r="P42" s="64">
        <v>0.6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1" t="s">
        <v>378</v>
      </c>
      <c r="B43" s="64">
        <v>25.78</v>
      </c>
      <c r="C43" s="64">
        <v>0.5</v>
      </c>
      <c r="D43" s="64">
        <v>20.93</v>
      </c>
      <c r="E43" s="64">
        <v>5.2</v>
      </c>
      <c r="F43" s="64">
        <v>3.95</v>
      </c>
      <c r="G43" s="64">
        <v>59.45</v>
      </c>
      <c r="H43" s="64">
        <v>6.49</v>
      </c>
      <c r="I43" s="64">
        <v>2.12</v>
      </c>
      <c r="J43" s="64">
        <v>0.3</v>
      </c>
      <c r="K43" s="64">
        <v>133.56</v>
      </c>
      <c r="L43" s="64">
        <v>27.76</v>
      </c>
      <c r="M43" s="64">
        <v>86.06</v>
      </c>
      <c r="N43" s="64">
        <v>513.4</v>
      </c>
      <c r="O43" s="64">
        <v>0</v>
      </c>
      <c r="P43" s="64">
        <v>0.61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11" t="s">
        <v>379</v>
      </c>
      <c r="B44" s="64">
        <v>21.46</v>
      </c>
      <c r="C44" s="64">
        <v>2.84</v>
      </c>
      <c r="D44" s="64">
        <v>18.7</v>
      </c>
      <c r="E44" s="64">
        <v>5.95</v>
      </c>
      <c r="F44" s="64">
        <v>6.73</v>
      </c>
      <c r="G44" s="64">
        <v>59.45</v>
      </c>
      <c r="H44" s="64">
        <v>6.49</v>
      </c>
      <c r="I44" s="64">
        <v>2.19</v>
      </c>
      <c r="J44" s="64">
        <v>0.32</v>
      </c>
      <c r="K44" s="64">
        <v>116.15</v>
      </c>
      <c r="L44" s="64">
        <v>27.65</v>
      </c>
      <c r="M44" s="64">
        <v>86.38</v>
      </c>
      <c r="N44" s="64">
        <v>499.1</v>
      </c>
      <c r="O44" s="64">
        <v>0</v>
      </c>
      <c r="P44" s="64">
        <v>0.57999999999999996</v>
      </c>
      <c r="Q44" s="64">
        <v>9.52</v>
      </c>
      <c r="R44" s="198"/>
      <c r="S44" s="198"/>
      <c r="T44" s="198"/>
      <c r="U44" s="198"/>
    </row>
    <row r="45" spans="1:21" s="12" customFormat="1" x14ac:dyDescent="0.25">
      <c r="A45" s="211" t="s">
        <v>380</v>
      </c>
      <c r="B45" s="64">
        <v>18.510000000000002</v>
      </c>
      <c r="C45" s="64">
        <v>5.44</v>
      </c>
      <c r="D45" s="64">
        <v>17.690000000000001</v>
      </c>
      <c r="E45" s="64">
        <v>6.18</v>
      </c>
      <c r="F45" s="64">
        <v>8.1</v>
      </c>
      <c r="G45" s="64">
        <v>59.45</v>
      </c>
      <c r="H45" s="64">
        <v>6.49</v>
      </c>
      <c r="I45" s="64">
        <v>2.2599999999999998</v>
      </c>
      <c r="J45" s="64">
        <v>0.32</v>
      </c>
      <c r="K45" s="64">
        <v>133.30000000000001</v>
      </c>
      <c r="L45" s="64">
        <v>27.86</v>
      </c>
      <c r="M45" s="64">
        <v>83.55</v>
      </c>
      <c r="N45" s="64">
        <v>532.79999999999995</v>
      </c>
      <c r="O45" s="64">
        <v>0</v>
      </c>
      <c r="P45" s="64">
        <v>0.57999999999999996</v>
      </c>
      <c r="Q45" s="64">
        <v>9.5399999999999991</v>
      </c>
      <c r="R45" s="198"/>
      <c r="S45" s="198"/>
      <c r="T45" s="198"/>
      <c r="U45" s="198"/>
    </row>
    <row r="46" spans="1:21" s="12" customFormat="1" x14ac:dyDescent="0.25">
      <c r="A46" s="211" t="s">
        <v>381</v>
      </c>
      <c r="B46" s="64">
        <v>21.19</v>
      </c>
      <c r="C46" s="64">
        <v>5.97</v>
      </c>
      <c r="D46" s="64">
        <v>20.11</v>
      </c>
      <c r="E46" s="64">
        <v>7.77</v>
      </c>
      <c r="F46" s="64">
        <v>8.44</v>
      </c>
      <c r="G46" s="64">
        <v>46.37</v>
      </c>
      <c r="H46" s="64">
        <v>8.42</v>
      </c>
      <c r="I46" s="64">
        <v>2.2799999999999998</v>
      </c>
      <c r="J46" s="64">
        <v>0.47</v>
      </c>
      <c r="K46" s="64">
        <v>346.29</v>
      </c>
      <c r="L46" s="64">
        <v>29.6</v>
      </c>
      <c r="M46" s="64">
        <v>74.25</v>
      </c>
      <c r="N46" s="64">
        <v>449.8</v>
      </c>
      <c r="O46" s="64">
        <v>0</v>
      </c>
      <c r="P46" s="64">
        <v>0.68</v>
      </c>
      <c r="Q46" s="64">
        <v>9.5299999999999994</v>
      </c>
      <c r="R46" s="198"/>
      <c r="S46" s="198"/>
      <c r="T46" s="198"/>
      <c r="U46" s="198"/>
    </row>
    <row r="47" spans="1:21" s="12" customFormat="1" x14ac:dyDescent="0.25">
      <c r="A47" s="211" t="s">
        <v>382</v>
      </c>
      <c r="B47" s="64">
        <v>19.309999999999999</v>
      </c>
      <c r="C47" s="64">
        <v>7.21</v>
      </c>
      <c r="D47" s="64">
        <v>19.25</v>
      </c>
      <c r="E47" s="64">
        <v>7.91</v>
      </c>
      <c r="F47" s="64">
        <v>9.86</v>
      </c>
      <c r="G47" s="64">
        <v>41.06</v>
      </c>
      <c r="H47" s="64">
        <v>8.5399999999999991</v>
      </c>
      <c r="I47" s="64">
        <v>2.2799999999999998</v>
      </c>
      <c r="J47" s="64">
        <v>0.16</v>
      </c>
      <c r="K47" s="64">
        <v>71.63</v>
      </c>
      <c r="L47" s="64">
        <v>29.91</v>
      </c>
      <c r="M47" s="64">
        <v>70.62</v>
      </c>
      <c r="N47" s="64">
        <v>461.9</v>
      </c>
      <c r="O47" s="64">
        <v>0</v>
      </c>
      <c r="P47" s="64">
        <v>0.64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11" t="s">
        <v>383</v>
      </c>
      <c r="B48" s="64">
        <v>20.49</v>
      </c>
      <c r="C48" s="64">
        <v>9.07</v>
      </c>
      <c r="D48" s="64">
        <v>21.17</v>
      </c>
      <c r="E48" s="64">
        <v>7.81</v>
      </c>
      <c r="F48" s="64">
        <v>8.6</v>
      </c>
      <c r="G48" s="64">
        <v>41.06</v>
      </c>
      <c r="H48" s="64">
        <v>8.5399999999999991</v>
      </c>
      <c r="I48" s="64">
        <v>2.2799999999999998</v>
      </c>
      <c r="J48" s="64">
        <v>0.03</v>
      </c>
      <c r="K48" s="64">
        <v>320.24</v>
      </c>
      <c r="L48" s="64">
        <v>28.36</v>
      </c>
      <c r="M48" s="64">
        <v>78.08</v>
      </c>
      <c r="N48" s="64">
        <v>328</v>
      </c>
      <c r="O48" s="64">
        <v>0</v>
      </c>
      <c r="P48" s="64">
        <v>0.69</v>
      </c>
      <c r="Q48" s="64">
        <v>9.5299999999999994</v>
      </c>
      <c r="R48" s="198"/>
      <c r="S48" s="198"/>
      <c r="T48" s="198"/>
      <c r="U48" s="198"/>
    </row>
    <row r="49" spans="1:21" s="12" customFormat="1" x14ac:dyDescent="0.25">
      <c r="A49" s="211" t="s">
        <v>384</v>
      </c>
      <c r="B49" s="64">
        <v>20.43</v>
      </c>
      <c r="C49" s="64">
        <v>5.04</v>
      </c>
      <c r="D49" s="64">
        <v>19.02</v>
      </c>
      <c r="E49" s="64">
        <v>7.58</v>
      </c>
      <c r="F49" s="64">
        <v>6.87</v>
      </c>
      <c r="G49" s="64">
        <v>41.06</v>
      </c>
      <c r="H49" s="64">
        <v>8.5399999999999991</v>
      </c>
      <c r="I49" s="64">
        <v>2.27</v>
      </c>
      <c r="J49" s="64">
        <v>0.49</v>
      </c>
      <c r="K49" s="64">
        <v>139.57</v>
      </c>
      <c r="L49" s="64">
        <v>28.57</v>
      </c>
      <c r="M49" s="64">
        <v>75.489999999999995</v>
      </c>
      <c r="N49" s="64">
        <v>647</v>
      </c>
      <c r="O49" s="64">
        <v>0</v>
      </c>
      <c r="P49" s="64">
        <v>0.65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1" t="s">
        <v>385</v>
      </c>
      <c r="B50" s="64">
        <v>19.98</v>
      </c>
      <c r="C50" s="64">
        <v>4.54</v>
      </c>
      <c r="D50" s="64">
        <v>18.39</v>
      </c>
      <c r="E50" s="64">
        <v>6.87</v>
      </c>
      <c r="F50" s="64">
        <v>8.27</v>
      </c>
      <c r="G50" s="64">
        <v>47.37</v>
      </c>
      <c r="H50" s="64">
        <v>7.51</v>
      </c>
      <c r="I50" s="64">
        <v>2.27</v>
      </c>
      <c r="J50" s="64">
        <v>0.17</v>
      </c>
      <c r="K50" s="64">
        <v>323.60000000000002</v>
      </c>
      <c r="L50" s="64">
        <v>28.44</v>
      </c>
      <c r="M50" s="64">
        <v>76.95</v>
      </c>
      <c r="N50" s="64">
        <v>294.2</v>
      </c>
      <c r="O50" s="64">
        <v>0</v>
      </c>
      <c r="P50" s="64">
        <v>0.66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11" t="s">
        <v>386</v>
      </c>
      <c r="B51" s="64">
        <v>16</v>
      </c>
      <c r="C51" s="64">
        <v>12.25</v>
      </c>
      <c r="D51" s="64">
        <v>19.23</v>
      </c>
      <c r="E51" s="64">
        <v>7.14</v>
      </c>
      <c r="F51" s="64">
        <v>12.94</v>
      </c>
      <c r="G51" s="64">
        <v>50.08</v>
      </c>
      <c r="H51" s="64">
        <v>7.45</v>
      </c>
      <c r="I51" s="64">
        <v>2.25</v>
      </c>
      <c r="J51" s="64">
        <v>0.41</v>
      </c>
      <c r="K51" s="64">
        <v>347.55</v>
      </c>
      <c r="L51" s="64">
        <v>28.53</v>
      </c>
      <c r="M51" s="64">
        <v>75.2</v>
      </c>
      <c r="N51" s="64">
        <v>227.1</v>
      </c>
      <c r="O51" s="64">
        <v>0</v>
      </c>
      <c r="P51" s="64">
        <v>0.64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1" t="s">
        <v>387</v>
      </c>
      <c r="B52" s="64">
        <v>14.88</v>
      </c>
      <c r="C52" s="64">
        <v>8.2799999999999994</v>
      </c>
      <c r="D52" s="64">
        <v>16.260000000000002</v>
      </c>
      <c r="E52" s="64">
        <v>7.06</v>
      </c>
      <c r="F52" s="64">
        <v>12.27</v>
      </c>
      <c r="G52" s="64">
        <v>50.08</v>
      </c>
      <c r="H52" s="64">
        <v>7.45</v>
      </c>
      <c r="I52" s="64">
        <v>2.2599999999999998</v>
      </c>
      <c r="J52" s="64">
        <v>0.6</v>
      </c>
      <c r="K52" s="64">
        <v>137.44</v>
      </c>
      <c r="L52" s="64">
        <v>28.72</v>
      </c>
      <c r="M52" s="64">
        <v>72.569999999999993</v>
      </c>
      <c r="N52" s="64">
        <v>739.2</v>
      </c>
      <c r="O52" s="64">
        <v>0</v>
      </c>
      <c r="P52" s="64">
        <v>0.56999999999999995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11" t="s">
        <v>388</v>
      </c>
      <c r="B53" s="64">
        <v>16.3</v>
      </c>
      <c r="C53" s="64">
        <v>5.01</v>
      </c>
      <c r="D53" s="64">
        <v>15.68</v>
      </c>
      <c r="E53" s="64">
        <v>6.96</v>
      </c>
      <c r="F53" s="64">
        <v>9.7200000000000006</v>
      </c>
      <c r="G53" s="64">
        <v>50.08</v>
      </c>
      <c r="H53" s="64">
        <v>7.45</v>
      </c>
      <c r="I53" s="64">
        <v>2.44</v>
      </c>
      <c r="J53" s="64">
        <v>0.19</v>
      </c>
      <c r="K53" s="64">
        <v>113.95</v>
      </c>
      <c r="L53" s="64">
        <v>28.82</v>
      </c>
      <c r="M53" s="64">
        <v>71.55</v>
      </c>
      <c r="N53" s="64">
        <v>372.8</v>
      </c>
      <c r="O53" s="64">
        <v>0</v>
      </c>
      <c r="P53" s="64">
        <v>0.6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11" t="s">
        <v>389</v>
      </c>
      <c r="B54" s="64">
        <v>13.58</v>
      </c>
      <c r="C54" s="64">
        <v>8.64</v>
      </c>
      <c r="D54" s="64">
        <v>15.4</v>
      </c>
      <c r="E54" s="64">
        <v>7.14</v>
      </c>
      <c r="F54" s="64">
        <v>11.21</v>
      </c>
      <c r="G54" s="64">
        <v>48.89</v>
      </c>
      <c r="H54" s="64">
        <v>7.91</v>
      </c>
      <c r="I54" s="64">
        <v>2.56</v>
      </c>
      <c r="J54" s="64">
        <v>0.14000000000000001</v>
      </c>
      <c r="K54" s="64">
        <v>163.85</v>
      </c>
      <c r="L54" s="64">
        <v>28.53</v>
      </c>
      <c r="M54" s="64">
        <v>72.22</v>
      </c>
      <c r="N54" s="64">
        <v>508.1</v>
      </c>
      <c r="O54" s="64">
        <v>0</v>
      </c>
      <c r="P54" s="64">
        <v>0.59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1" t="s">
        <v>390</v>
      </c>
      <c r="B55" s="64">
        <v>15.31</v>
      </c>
      <c r="C55" s="64">
        <v>5.87</v>
      </c>
      <c r="D55" s="64">
        <v>15.34</v>
      </c>
      <c r="E55" s="64">
        <v>6.19</v>
      </c>
      <c r="F55" s="64">
        <v>7.19</v>
      </c>
      <c r="G55" s="64">
        <v>48.4</v>
      </c>
      <c r="H55" s="64">
        <v>7.95</v>
      </c>
      <c r="I55" s="64">
        <v>2.54</v>
      </c>
      <c r="J55" s="64">
        <v>0.21</v>
      </c>
      <c r="K55" s="64">
        <v>154.66999999999999</v>
      </c>
      <c r="L55" s="64">
        <v>29.41</v>
      </c>
      <c r="M55" s="64">
        <v>67.349999999999994</v>
      </c>
      <c r="N55" s="64">
        <v>548.79999999999995</v>
      </c>
      <c r="O55" s="64">
        <v>0</v>
      </c>
      <c r="P55" s="64">
        <v>0.61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1" t="s">
        <v>391</v>
      </c>
      <c r="B56" s="64">
        <v>13.09</v>
      </c>
      <c r="C56" s="64">
        <v>7.24</v>
      </c>
      <c r="D56" s="64">
        <v>14.28</v>
      </c>
      <c r="E56" s="64">
        <v>6.08</v>
      </c>
      <c r="F56" s="64">
        <v>12.27</v>
      </c>
      <c r="G56" s="64">
        <v>48.4</v>
      </c>
      <c r="H56" s="64">
        <v>7.95</v>
      </c>
      <c r="I56" s="64">
        <v>2.5099999999999998</v>
      </c>
      <c r="J56" s="64">
        <v>0.08</v>
      </c>
      <c r="K56" s="64">
        <v>171.33</v>
      </c>
      <c r="L56" s="64">
        <v>29.38</v>
      </c>
      <c r="M56" s="64">
        <v>68.77</v>
      </c>
      <c r="N56" s="64">
        <v>536.5</v>
      </c>
      <c r="O56" s="64">
        <v>0</v>
      </c>
      <c r="P56" s="64">
        <v>0.56999999999999995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1" t="s">
        <v>392</v>
      </c>
      <c r="B57" s="64">
        <v>15.24</v>
      </c>
      <c r="C57" s="64">
        <v>8.6199999999999992</v>
      </c>
      <c r="D57" s="64">
        <v>16.73</v>
      </c>
      <c r="E57" s="64">
        <v>6.09</v>
      </c>
      <c r="F57" s="64">
        <v>7.8</v>
      </c>
      <c r="G57" s="64">
        <v>48.4</v>
      </c>
      <c r="H57" s="64">
        <v>7.95</v>
      </c>
      <c r="I57" s="64">
        <v>2.4700000000000002</v>
      </c>
      <c r="J57" s="64">
        <v>0.28000000000000003</v>
      </c>
      <c r="K57" s="64">
        <v>327.58999999999997</v>
      </c>
      <c r="L57" s="64">
        <v>31.01</v>
      </c>
      <c r="M57" s="64">
        <v>59.92</v>
      </c>
      <c r="N57" s="64">
        <v>340.5</v>
      </c>
      <c r="O57" s="64">
        <v>0</v>
      </c>
      <c r="P57" s="64">
        <v>0.62</v>
      </c>
      <c r="Q57" s="64">
        <v>9.26</v>
      </c>
      <c r="R57" s="198"/>
      <c r="S57" s="198"/>
      <c r="T57" s="198"/>
      <c r="U57" s="198"/>
    </row>
    <row r="58" spans="1:21" s="12" customFormat="1" x14ac:dyDescent="0.25">
      <c r="A58" s="211" t="s">
        <v>393</v>
      </c>
      <c r="B58" s="64">
        <v>11.43</v>
      </c>
      <c r="C58" s="64">
        <v>11.29</v>
      </c>
      <c r="D58" s="64">
        <v>15.07</v>
      </c>
      <c r="E58" s="64">
        <v>6.24</v>
      </c>
      <c r="F58" s="64">
        <v>15.66</v>
      </c>
      <c r="G58" s="64">
        <v>43.37</v>
      </c>
      <c r="H58" s="64">
        <v>6.88</v>
      </c>
      <c r="I58" s="64">
        <v>2.42</v>
      </c>
      <c r="J58" s="64">
        <v>0.22</v>
      </c>
      <c r="K58" s="64">
        <v>348.23</v>
      </c>
      <c r="L58" s="64">
        <v>30.68</v>
      </c>
      <c r="M58" s="64">
        <v>60.66</v>
      </c>
      <c r="N58" s="64">
        <v>482</v>
      </c>
      <c r="O58" s="64">
        <v>0</v>
      </c>
      <c r="P58" s="64">
        <v>0.62</v>
      </c>
      <c r="Q58" s="64">
        <v>9.23</v>
      </c>
      <c r="R58" s="198"/>
      <c r="S58" s="198"/>
      <c r="T58" s="198"/>
      <c r="U58" s="198"/>
    </row>
    <row r="59" spans="1:21" s="12" customFormat="1" x14ac:dyDescent="0.25">
      <c r="A59" s="211" t="s">
        <v>394</v>
      </c>
      <c r="B59" s="64">
        <v>11.53</v>
      </c>
      <c r="C59" s="64">
        <v>7.9</v>
      </c>
      <c r="D59" s="64">
        <v>13.37</v>
      </c>
      <c r="E59" s="64">
        <v>6.39</v>
      </c>
      <c r="F59" s="64">
        <v>8.14</v>
      </c>
      <c r="G59" s="64">
        <v>41.33</v>
      </c>
      <c r="H59" s="64">
        <v>6.81</v>
      </c>
      <c r="I59" s="64">
        <v>2.38</v>
      </c>
      <c r="J59" s="64">
        <v>0.33</v>
      </c>
      <c r="K59" s="64">
        <v>334.11</v>
      </c>
      <c r="L59" s="64">
        <v>30.49</v>
      </c>
      <c r="M59" s="64">
        <v>62.55</v>
      </c>
      <c r="N59" s="64">
        <v>582.1</v>
      </c>
      <c r="O59" s="64">
        <v>0</v>
      </c>
      <c r="P59" s="64">
        <v>0.6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1" t="s">
        <v>395</v>
      </c>
      <c r="B60" s="64">
        <v>14.05</v>
      </c>
      <c r="C60" s="64">
        <v>13.85</v>
      </c>
      <c r="D60" s="64">
        <v>18.5</v>
      </c>
      <c r="E60" s="64">
        <v>7.88</v>
      </c>
      <c r="F60" s="64">
        <v>15.33</v>
      </c>
      <c r="G60" s="64">
        <v>41.33</v>
      </c>
      <c r="H60" s="64">
        <v>6.81</v>
      </c>
      <c r="I60" s="64">
        <v>2.35</v>
      </c>
      <c r="J60" s="64">
        <v>0.44</v>
      </c>
      <c r="K60" s="64">
        <v>337.55</v>
      </c>
      <c r="L60" s="64">
        <v>32.07</v>
      </c>
      <c r="M60" s="64">
        <v>54.47</v>
      </c>
      <c r="N60" s="64">
        <v>669.9</v>
      </c>
      <c r="O60" s="64">
        <v>0</v>
      </c>
      <c r="P60" s="64">
        <v>0.65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1" t="s">
        <v>396</v>
      </c>
      <c r="B61" s="64">
        <v>11.22</v>
      </c>
      <c r="C61" s="64">
        <v>11.4</v>
      </c>
      <c r="D61" s="64">
        <v>14.96</v>
      </c>
      <c r="E61" s="64">
        <v>8.2200000000000006</v>
      </c>
      <c r="F61" s="64">
        <v>13.65</v>
      </c>
      <c r="G61" s="64">
        <v>41.33</v>
      </c>
      <c r="H61" s="64">
        <v>6.81</v>
      </c>
      <c r="I61" s="64">
        <v>2.2999999999999998</v>
      </c>
      <c r="J61" s="64">
        <v>0.39</v>
      </c>
      <c r="K61" s="64">
        <v>323.16000000000003</v>
      </c>
      <c r="L61" s="64">
        <v>31.99</v>
      </c>
      <c r="M61" s="64">
        <v>54.15</v>
      </c>
      <c r="N61" s="64">
        <v>256.39999999999998</v>
      </c>
      <c r="O61" s="64">
        <v>0</v>
      </c>
      <c r="P61" s="64">
        <v>0.54</v>
      </c>
      <c r="Q61" s="64">
        <v>9.24</v>
      </c>
      <c r="R61" s="198"/>
      <c r="S61" s="198"/>
      <c r="T61" s="198"/>
      <c r="U61" s="198"/>
    </row>
    <row r="62" spans="1:21" s="12" customFormat="1" x14ac:dyDescent="0.25">
      <c r="A62" s="211" t="s">
        <v>397</v>
      </c>
      <c r="B62" s="64">
        <v>11.51</v>
      </c>
      <c r="C62" s="64">
        <v>10.72</v>
      </c>
      <c r="D62" s="64">
        <v>14.83</v>
      </c>
      <c r="E62" s="64">
        <v>8.17</v>
      </c>
      <c r="F62" s="64">
        <v>15.3</v>
      </c>
      <c r="G62" s="64">
        <v>43.93</v>
      </c>
      <c r="H62" s="64">
        <v>7.86</v>
      </c>
      <c r="I62" s="64">
        <v>2.13</v>
      </c>
      <c r="J62" s="64">
        <v>0.39</v>
      </c>
      <c r="K62" s="64">
        <v>325.99</v>
      </c>
      <c r="L62" s="64">
        <v>30.93</v>
      </c>
      <c r="M62" s="64">
        <v>56.75</v>
      </c>
      <c r="N62" s="64">
        <v>177.9</v>
      </c>
      <c r="O62" s="64">
        <v>0</v>
      </c>
      <c r="P62" s="64">
        <v>0.56000000000000005</v>
      </c>
      <c r="Q62" s="64">
        <v>9.24</v>
      </c>
      <c r="R62" s="198"/>
      <c r="S62" s="198"/>
      <c r="T62" s="198"/>
      <c r="U62" s="198"/>
    </row>
    <row r="63" spans="1:21" s="12" customFormat="1" x14ac:dyDescent="0.25">
      <c r="A63" s="211" t="s">
        <v>398</v>
      </c>
      <c r="B63" s="64">
        <v>13.52</v>
      </c>
      <c r="C63" s="64">
        <v>14.11</v>
      </c>
      <c r="D63" s="64">
        <v>18.22</v>
      </c>
      <c r="E63" s="64">
        <v>6.76</v>
      </c>
      <c r="F63" s="64">
        <v>16.510000000000002</v>
      </c>
      <c r="G63" s="64">
        <v>44.98</v>
      </c>
      <c r="H63" s="64">
        <v>7.93</v>
      </c>
      <c r="I63" s="64">
        <v>2</v>
      </c>
      <c r="J63" s="64">
        <v>1.03</v>
      </c>
      <c r="K63" s="64">
        <v>339.38</v>
      </c>
      <c r="L63" s="64">
        <v>30.7</v>
      </c>
      <c r="M63" s="64">
        <v>58.21</v>
      </c>
      <c r="N63" s="64">
        <v>239.8</v>
      </c>
      <c r="O63" s="64">
        <v>0</v>
      </c>
      <c r="P63" s="64">
        <v>0.56000000000000005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11" t="s">
        <v>399</v>
      </c>
      <c r="B64" s="64">
        <v>9.77</v>
      </c>
      <c r="C64" s="64">
        <v>13.93</v>
      </c>
      <c r="D64" s="64">
        <v>15.11</v>
      </c>
      <c r="E64" s="64">
        <v>7.87</v>
      </c>
      <c r="F64" s="64">
        <v>17.16</v>
      </c>
      <c r="G64" s="64">
        <v>44.98</v>
      </c>
      <c r="H64" s="64">
        <v>7.93</v>
      </c>
      <c r="I64" s="64">
        <v>1.98</v>
      </c>
      <c r="J64" s="64">
        <v>0.53</v>
      </c>
      <c r="K64" s="64">
        <v>339.46</v>
      </c>
      <c r="L64" s="64">
        <v>30.51</v>
      </c>
      <c r="M64" s="64">
        <v>57.94</v>
      </c>
      <c r="N64" s="64">
        <v>163.30000000000001</v>
      </c>
      <c r="O64" s="64">
        <v>0</v>
      </c>
      <c r="P64" s="64">
        <v>0.6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1" t="s">
        <v>400</v>
      </c>
      <c r="B65" s="64">
        <v>12.42</v>
      </c>
      <c r="C65" s="64">
        <v>16.52</v>
      </c>
      <c r="D65" s="64">
        <v>18.59</v>
      </c>
      <c r="E65" s="64">
        <v>8.6999999999999993</v>
      </c>
      <c r="F65" s="64">
        <v>16.54</v>
      </c>
      <c r="G65" s="64">
        <v>44.98</v>
      </c>
      <c r="H65" s="64">
        <v>7.93</v>
      </c>
      <c r="I65" s="64">
        <v>1.95</v>
      </c>
      <c r="J65" s="64">
        <v>0.56999999999999995</v>
      </c>
      <c r="K65" s="64">
        <v>339.29</v>
      </c>
      <c r="L65" s="64">
        <v>29.43</v>
      </c>
      <c r="M65" s="64">
        <v>63.42</v>
      </c>
      <c r="N65" s="64">
        <v>108.5</v>
      </c>
      <c r="O65" s="64">
        <v>0</v>
      </c>
      <c r="P65" s="64">
        <v>0.71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1" t="s">
        <v>401</v>
      </c>
      <c r="B66" s="64">
        <v>15.65</v>
      </c>
      <c r="C66" s="64">
        <v>10.44</v>
      </c>
      <c r="D66" s="64">
        <v>18</v>
      </c>
      <c r="E66" s="64">
        <v>8.67</v>
      </c>
      <c r="F66" s="64">
        <v>16.27</v>
      </c>
      <c r="G66" s="64">
        <v>45.16</v>
      </c>
      <c r="H66" s="64">
        <v>6.11</v>
      </c>
      <c r="I66" s="64">
        <v>1.94</v>
      </c>
      <c r="J66" s="64">
        <v>0.83</v>
      </c>
      <c r="K66" s="64">
        <v>337.17</v>
      </c>
      <c r="L66" s="64">
        <v>29.59</v>
      </c>
      <c r="M66" s="64">
        <v>60.95</v>
      </c>
      <c r="N66" s="64">
        <v>200.8</v>
      </c>
      <c r="O66" s="64">
        <v>0</v>
      </c>
      <c r="P66" s="64">
        <v>0.57999999999999996</v>
      </c>
      <c r="Q66" s="64">
        <v>9.23</v>
      </c>
      <c r="R66" s="198"/>
      <c r="S66" s="198"/>
      <c r="T66" s="198"/>
      <c r="U66" s="198"/>
    </row>
    <row r="67" spans="1:21" s="12" customFormat="1" x14ac:dyDescent="0.25">
      <c r="A67" s="211" t="s">
        <v>402</v>
      </c>
      <c r="B67" s="64">
        <v>12.84</v>
      </c>
      <c r="C67" s="64">
        <v>9.99</v>
      </c>
      <c r="D67" s="64">
        <v>15.52</v>
      </c>
      <c r="E67" s="64">
        <v>8.4</v>
      </c>
      <c r="F67" s="64">
        <v>11.8</v>
      </c>
      <c r="G67" s="64">
        <v>45.23</v>
      </c>
      <c r="H67" s="64">
        <v>6</v>
      </c>
      <c r="I67" s="64">
        <v>1.92</v>
      </c>
      <c r="J67" s="64">
        <v>0.85</v>
      </c>
      <c r="K67" s="64">
        <v>334.6</v>
      </c>
      <c r="L67" s="64">
        <v>30.14</v>
      </c>
      <c r="M67" s="64">
        <v>57.22</v>
      </c>
      <c r="N67" s="64">
        <v>152.5</v>
      </c>
      <c r="O67" s="64">
        <v>0</v>
      </c>
      <c r="P67" s="64">
        <v>0.61</v>
      </c>
      <c r="Q67" s="64">
        <v>9.23</v>
      </c>
      <c r="R67" s="198"/>
      <c r="S67" s="198"/>
      <c r="T67" s="198"/>
      <c r="U67" s="198"/>
    </row>
    <row r="68" spans="1:21" s="12" customFormat="1" x14ac:dyDescent="0.25">
      <c r="A68" s="211" t="s">
        <v>403</v>
      </c>
      <c r="B68" s="64">
        <v>10.54</v>
      </c>
      <c r="C68" s="64">
        <v>11.21</v>
      </c>
      <c r="D68" s="64">
        <v>14.31</v>
      </c>
      <c r="E68" s="64">
        <v>7.65</v>
      </c>
      <c r="F68" s="64">
        <v>14.01</v>
      </c>
      <c r="G68" s="64">
        <v>45.23</v>
      </c>
      <c r="H68" s="64">
        <v>6</v>
      </c>
      <c r="I68" s="64">
        <v>1.91</v>
      </c>
      <c r="J68" s="64">
        <v>0.61</v>
      </c>
      <c r="K68" s="64">
        <v>332.78</v>
      </c>
      <c r="L68" s="64">
        <v>29.99</v>
      </c>
      <c r="M68" s="64">
        <v>57.61</v>
      </c>
      <c r="N68" s="64">
        <v>121.9</v>
      </c>
      <c r="O68" s="64">
        <v>0</v>
      </c>
      <c r="P68" s="64">
        <v>0.55000000000000004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1" t="s">
        <v>404</v>
      </c>
      <c r="B69" s="64">
        <v>13.21</v>
      </c>
      <c r="C69" s="64">
        <v>13.7</v>
      </c>
      <c r="D69" s="64">
        <v>17.75</v>
      </c>
      <c r="E69" s="64">
        <v>7.43</v>
      </c>
      <c r="F69" s="64">
        <v>11.74</v>
      </c>
      <c r="G69" s="64">
        <v>45.23</v>
      </c>
      <c r="H69" s="64">
        <v>6</v>
      </c>
      <c r="I69" s="64">
        <v>1.88</v>
      </c>
      <c r="J69" s="64">
        <v>0.22</v>
      </c>
      <c r="K69" s="64">
        <v>323.81</v>
      </c>
      <c r="L69" s="64">
        <v>29.63</v>
      </c>
      <c r="M69" s="64">
        <v>59.39</v>
      </c>
      <c r="N69" s="64">
        <v>127.7</v>
      </c>
      <c r="O69" s="64">
        <v>0.2</v>
      </c>
      <c r="P69" s="64">
        <v>0.55000000000000004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1" t="s">
        <v>405</v>
      </c>
      <c r="B70" s="64">
        <v>12.53</v>
      </c>
      <c r="C70" s="64">
        <v>11.16</v>
      </c>
      <c r="D70" s="64">
        <v>15.88</v>
      </c>
      <c r="E70" s="64">
        <v>6.87</v>
      </c>
      <c r="F70" s="64">
        <v>11.77</v>
      </c>
      <c r="G70" s="64">
        <v>38.99</v>
      </c>
      <c r="H70" s="64">
        <v>7.73</v>
      </c>
      <c r="I70" s="64">
        <v>1.86</v>
      </c>
      <c r="J70" s="64">
        <v>0.48</v>
      </c>
      <c r="K70" s="64">
        <v>326.20999999999998</v>
      </c>
      <c r="L70" s="64">
        <v>29.4</v>
      </c>
      <c r="M70" s="64">
        <v>59.51</v>
      </c>
      <c r="N70" s="64">
        <v>129.69999999999999</v>
      </c>
      <c r="O70" s="64">
        <v>0</v>
      </c>
      <c r="P70" s="64">
        <v>0.54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406</v>
      </c>
      <c r="B71" s="64">
        <v>12.71</v>
      </c>
      <c r="C71" s="64">
        <v>9.3699999999999992</v>
      </c>
      <c r="D71" s="64">
        <v>15.08</v>
      </c>
      <c r="E71" s="64">
        <v>6.41</v>
      </c>
      <c r="F71" s="64">
        <v>9.76</v>
      </c>
      <c r="G71" s="64">
        <v>36.31</v>
      </c>
      <c r="H71" s="64">
        <v>7.91</v>
      </c>
      <c r="I71" s="64">
        <v>1.86</v>
      </c>
      <c r="J71" s="64">
        <v>0.75</v>
      </c>
      <c r="K71" s="64">
        <v>330.32</v>
      </c>
      <c r="L71" s="64">
        <v>29.48</v>
      </c>
      <c r="M71" s="64">
        <v>60.83</v>
      </c>
      <c r="N71" s="64">
        <v>109.1</v>
      </c>
      <c r="O71" s="64">
        <v>0</v>
      </c>
      <c r="P71" s="64">
        <v>0.54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1" t="s">
        <v>407</v>
      </c>
      <c r="B72" s="64">
        <v>13.21</v>
      </c>
      <c r="C72" s="64">
        <v>7.36</v>
      </c>
      <c r="D72" s="64">
        <v>14.44</v>
      </c>
      <c r="E72" s="64">
        <v>5.85</v>
      </c>
      <c r="F72" s="64">
        <v>14.9</v>
      </c>
      <c r="G72" s="64">
        <v>36.31</v>
      </c>
      <c r="H72" s="64">
        <v>7.91</v>
      </c>
      <c r="I72" s="64">
        <v>1.84</v>
      </c>
      <c r="J72" s="64">
        <v>1.2</v>
      </c>
      <c r="K72" s="64">
        <v>338.59</v>
      </c>
      <c r="L72" s="64">
        <v>29.23</v>
      </c>
      <c r="M72" s="64">
        <v>61.02</v>
      </c>
      <c r="N72" s="64">
        <v>89.6</v>
      </c>
      <c r="O72" s="64">
        <v>0</v>
      </c>
      <c r="P72" s="64">
        <v>0.5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11" t="s">
        <v>408</v>
      </c>
      <c r="B73" s="64">
        <v>13.34</v>
      </c>
      <c r="C73" s="64">
        <v>8.39</v>
      </c>
      <c r="D73" s="64">
        <v>15.08</v>
      </c>
      <c r="E73" s="64">
        <v>6.32</v>
      </c>
      <c r="F73" s="64">
        <v>11</v>
      </c>
      <c r="G73" s="64">
        <v>36.31</v>
      </c>
      <c r="H73" s="64">
        <v>7.91</v>
      </c>
      <c r="I73" s="64">
        <v>1.8</v>
      </c>
      <c r="J73" s="64">
        <v>0.93</v>
      </c>
      <c r="K73" s="64">
        <v>337.64</v>
      </c>
      <c r="L73" s="64">
        <v>28.92</v>
      </c>
      <c r="M73" s="64">
        <v>62.44</v>
      </c>
      <c r="N73" s="64">
        <v>74.599999999999994</v>
      </c>
      <c r="O73" s="64">
        <v>0</v>
      </c>
      <c r="P73" s="64">
        <v>0.52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1" t="s">
        <v>409</v>
      </c>
      <c r="B74" s="64">
        <v>15.51</v>
      </c>
      <c r="C74" s="64">
        <v>11.61</v>
      </c>
      <c r="D74" s="64">
        <v>18.5</v>
      </c>
      <c r="E74" s="64">
        <v>6.15</v>
      </c>
      <c r="F74" s="64">
        <v>12.3</v>
      </c>
      <c r="G74" s="64">
        <v>24.58</v>
      </c>
      <c r="H74" s="64">
        <v>7.54</v>
      </c>
      <c r="I74" s="64">
        <v>1.75</v>
      </c>
      <c r="J74" s="64">
        <v>0.83</v>
      </c>
      <c r="K74" s="64">
        <v>336.84</v>
      </c>
      <c r="L74" s="64">
        <v>28.64</v>
      </c>
      <c r="M74" s="64">
        <v>64.47</v>
      </c>
      <c r="N74" s="64">
        <v>70.7</v>
      </c>
      <c r="O74" s="64">
        <v>0</v>
      </c>
      <c r="P74" s="64">
        <v>0.54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1" t="s">
        <v>410</v>
      </c>
      <c r="B75" s="64">
        <v>14.63</v>
      </c>
      <c r="C75" s="64">
        <v>9.6199999999999992</v>
      </c>
      <c r="D75" s="64">
        <v>16.760000000000002</v>
      </c>
      <c r="E75" s="64">
        <v>6.45</v>
      </c>
      <c r="F75" s="64">
        <v>10.42</v>
      </c>
      <c r="G75" s="64">
        <v>19.82</v>
      </c>
      <c r="H75" s="64">
        <v>7.52</v>
      </c>
      <c r="I75" s="64">
        <v>1.74</v>
      </c>
      <c r="J75" s="64">
        <v>0.96</v>
      </c>
      <c r="K75" s="64">
        <v>339.08</v>
      </c>
      <c r="L75" s="64">
        <v>28.27</v>
      </c>
      <c r="M75" s="64">
        <v>68.42</v>
      </c>
      <c r="N75" s="64">
        <v>65</v>
      </c>
      <c r="O75" s="64">
        <v>0</v>
      </c>
      <c r="P75" s="64">
        <v>0.6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1" t="s">
        <v>411</v>
      </c>
      <c r="B76" s="64">
        <v>13.56</v>
      </c>
      <c r="C76" s="64">
        <v>8.7799999999999994</v>
      </c>
      <c r="D76" s="64">
        <v>15.47</v>
      </c>
      <c r="E76" s="64">
        <v>6.49</v>
      </c>
      <c r="F76" s="64">
        <v>8.0500000000000007</v>
      </c>
      <c r="G76" s="64">
        <v>19.82</v>
      </c>
      <c r="H76" s="64">
        <v>7.52</v>
      </c>
      <c r="I76" s="64">
        <v>1.73</v>
      </c>
      <c r="J76" s="64">
        <v>1.06</v>
      </c>
      <c r="K76" s="64">
        <v>336.52</v>
      </c>
      <c r="L76" s="64">
        <v>27.87</v>
      </c>
      <c r="M76" s="64">
        <v>69.989999999999995</v>
      </c>
      <c r="N76" s="64">
        <v>60.6</v>
      </c>
      <c r="O76" s="64">
        <v>0</v>
      </c>
      <c r="P76" s="64">
        <v>0.56999999999999995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11" t="s">
        <v>412</v>
      </c>
      <c r="B77" s="64">
        <v>14.59</v>
      </c>
      <c r="C77" s="64">
        <v>12.97</v>
      </c>
      <c r="D77" s="64">
        <v>18.47</v>
      </c>
      <c r="E77" s="64">
        <v>6.07</v>
      </c>
      <c r="F77" s="64">
        <v>11.79</v>
      </c>
      <c r="G77" s="64">
        <v>19.82</v>
      </c>
      <c r="H77" s="64">
        <v>7.52</v>
      </c>
      <c r="I77" s="64">
        <v>1.73</v>
      </c>
      <c r="J77" s="64">
        <v>0.7</v>
      </c>
      <c r="K77" s="64">
        <v>338.02</v>
      </c>
      <c r="L77" s="64">
        <v>27.54</v>
      </c>
      <c r="M77" s="64">
        <v>72.84</v>
      </c>
      <c r="N77" s="64">
        <v>52.3</v>
      </c>
      <c r="O77" s="64">
        <v>0</v>
      </c>
      <c r="P77" s="64">
        <v>0.59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1" t="s">
        <v>413</v>
      </c>
      <c r="B78" s="64">
        <v>14.69</v>
      </c>
      <c r="C78" s="64">
        <v>13.74</v>
      </c>
      <c r="D78" s="64">
        <v>18.96</v>
      </c>
      <c r="E78" s="64">
        <v>6.5</v>
      </c>
      <c r="F78" s="64">
        <v>12.59</v>
      </c>
      <c r="G78" s="64">
        <v>25.3</v>
      </c>
      <c r="H78" s="64">
        <v>5.83</v>
      </c>
      <c r="I78" s="64">
        <v>1.74</v>
      </c>
      <c r="J78" s="64">
        <v>0.71</v>
      </c>
      <c r="K78" s="64">
        <v>337.38</v>
      </c>
      <c r="L78" s="64">
        <v>27.15</v>
      </c>
      <c r="M78" s="64">
        <v>75.17</v>
      </c>
      <c r="N78" s="64">
        <v>47.8</v>
      </c>
      <c r="O78" s="64">
        <v>0.2</v>
      </c>
      <c r="P78" s="64">
        <v>0.69</v>
      </c>
      <c r="Q78" s="64">
        <v>9.19</v>
      </c>
      <c r="R78" s="198"/>
      <c r="S78" s="198"/>
      <c r="T78" s="198"/>
      <c r="U78" s="198"/>
    </row>
    <row r="79" spans="1:21" s="12" customFormat="1" x14ac:dyDescent="0.25">
      <c r="A79" s="211" t="s">
        <v>414</v>
      </c>
      <c r="B79" s="64">
        <v>15.25</v>
      </c>
      <c r="C79" s="64">
        <v>13.98</v>
      </c>
      <c r="D79" s="64">
        <v>19.53</v>
      </c>
      <c r="E79" s="64">
        <v>6.79</v>
      </c>
      <c r="F79" s="64">
        <v>11.49</v>
      </c>
      <c r="G79" s="64">
        <v>27.53</v>
      </c>
      <c r="H79" s="64">
        <v>5.72</v>
      </c>
      <c r="I79" s="64">
        <v>1.73</v>
      </c>
      <c r="J79" s="64">
        <v>0.88</v>
      </c>
      <c r="K79" s="64">
        <v>341.53</v>
      </c>
      <c r="L79" s="64">
        <v>26.88</v>
      </c>
      <c r="M79" s="64">
        <v>77.72</v>
      </c>
      <c r="N79" s="64">
        <v>47</v>
      </c>
      <c r="O79" s="64">
        <v>0</v>
      </c>
      <c r="P79" s="64">
        <v>0.77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1" t="s">
        <v>415</v>
      </c>
      <c r="B80" s="64">
        <v>19.91</v>
      </c>
      <c r="C80" s="64">
        <v>16.45</v>
      </c>
      <c r="D80" s="64">
        <v>24.56</v>
      </c>
      <c r="E80" s="64">
        <v>7.57</v>
      </c>
      <c r="F80" s="64">
        <v>10.76</v>
      </c>
      <c r="G80" s="64">
        <v>27.53</v>
      </c>
      <c r="H80" s="64">
        <v>5.72</v>
      </c>
      <c r="I80" s="64">
        <v>1.73</v>
      </c>
      <c r="J80" s="64">
        <v>0.67</v>
      </c>
      <c r="K80" s="64">
        <v>338.84</v>
      </c>
      <c r="L80" s="64">
        <v>26.55</v>
      </c>
      <c r="M80" s="64">
        <v>80.510000000000005</v>
      </c>
      <c r="N80" s="64">
        <v>46.8</v>
      </c>
      <c r="O80" s="64">
        <v>0</v>
      </c>
      <c r="P80" s="64">
        <v>0.99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1" t="s">
        <v>416</v>
      </c>
      <c r="B81" s="64">
        <v>17.62</v>
      </c>
      <c r="C81" s="64">
        <v>18.88</v>
      </c>
      <c r="D81" s="64">
        <v>23.99</v>
      </c>
      <c r="E81" s="64">
        <v>8.08</v>
      </c>
      <c r="F81" s="64">
        <v>9.98</v>
      </c>
      <c r="G81" s="64">
        <v>27.53</v>
      </c>
      <c r="H81" s="64">
        <v>5.72</v>
      </c>
      <c r="I81" s="64">
        <v>1.76</v>
      </c>
      <c r="J81" s="64">
        <v>0.49</v>
      </c>
      <c r="K81" s="64">
        <v>341.85</v>
      </c>
      <c r="L81" s="64">
        <v>26.23</v>
      </c>
      <c r="M81" s="64">
        <v>82.38</v>
      </c>
      <c r="N81" s="64">
        <v>46.8</v>
      </c>
      <c r="O81" s="64">
        <v>0</v>
      </c>
      <c r="P81" s="64">
        <v>1.06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1" t="s">
        <v>417</v>
      </c>
      <c r="B82" s="64">
        <v>35.020000000000003</v>
      </c>
      <c r="C82" s="64">
        <v>19.68</v>
      </c>
      <c r="D82" s="64">
        <v>38.36</v>
      </c>
      <c r="E82" s="64">
        <v>8.5</v>
      </c>
      <c r="F82" s="64">
        <v>7.25</v>
      </c>
      <c r="G82" s="64">
        <v>38.380000000000003</v>
      </c>
      <c r="H82" s="64">
        <v>7.29</v>
      </c>
      <c r="I82" s="64">
        <v>1.8</v>
      </c>
      <c r="J82" s="64">
        <v>0.06</v>
      </c>
      <c r="K82" s="64">
        <v>6.47</v>
      </c>
      <c r="L82" s="64">
        <v>25.82</v>
      </c>
      <c r="M82" s="64">
        <v>85.93</v>
      </c>
      <c r="N82" s="64">
        <v>46.9</v>
      </c>
      <c r="O82" s="64">
        <v>0</v>
      </c>
      <c r="P82" s="64">
        <v>1.48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1" t="s">
        <v>418</v>
      </c>
      <c r="B83" s="64">
        <v>23.71</v>
      </c>
      <c r="C83" s="64">
        <v>13.21</v>
      </c>
      <c r="D83" s="64">
        <v>25.92</v>
      </c>
      <c r="E83" s="64">
        <v>8.18</v>
      </c>
      <c r="F83" s="64">
        <v>5.8</v>
      </c>
      <c r="G83" s="64">
        <v>42.79</v>
      </c>
      <c r="H83" s="64">
        <v>7.39</v>
      </c>
      <c r="I83" s="64">
        <v>1.86</v>
      </c>
      <c r="J83" s="64">
        <v>0.05</v>
      </c>
      <c r="K83" s="64">
        <v>286.35000000000002</v>
      </c>
      <c r="L83" s="64">
        <v>25.51</v>
      </c>
      <c r="M83" s="64">
        <v>88.8</v>
      </c>
      <c r="N83" s="64">
        <v>46.9</v>
      </c>
      <c r="O83" s="64">
        <v>0</v>
      </c>
      <c r="P83" s="64">
        <v>1.24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1" t="s">
        <v>419</v>
      </c>
      <c r="B84" s="64">
        <v>16.989999999999998</v>
      </c>
      <c r="C84" s="64">
        <v>10.63</v>
      </c>
      <c r="D84" s="64">
        <v>19.18</v>
      </c>
      <c r="E84" s="64">
        <v>7.37</v>
      </c>
      <c r="F84" s="64">
        <v>4.76</v>
      </c>
      <c r="G84" s="64">
        <v>42.79</v>
      </c>
      <c r="H84" s="64">
        <v>7.39</v>
      </c>
      <c r="I84" s="64">
        <v>1.95</v>
      </c>
      <c r="J84" s="64">
        <v>0.09</v>
      </c>
      <c r="K84" s="64">
        <v>224.23</v>
      </c>
      <c r="L84" s="64">
        <v>25.34</v>
      </c>
      <c r="M84" s="64">
        <v>91.63</v>
      </c>
      <c r="N84" s="64">
        <v>46.9</v>
      </c>
      <c r="O84" s="64">
        <v>0</v>
      </c>
      <c r="P84" s="64">
        <v>0.85</v>
      </c>
      <c r="Q84" s="64">
        <v>9.26</v>
      </c>
      <c r="R84" s="198"/>
      <c r="S84" s="198"/>
      <c r="T84" s="198"/>
      <c r="U84" s="198"/>
    </row>
    <row r="85" spans="1:26" s="12" customFormat="1" x14ac:dyDescent="0.25">
      <c r="A85" s="211" t="s">
        <v>420</v>
      </c>
      <c r="B85" s="64">
        <v>37.6</v>
      </c>
      <c r="C85" s="64">
        <v>19.2</v>
      </c>
      <c r="D85" s="64">
        <v>40.18</v>
      </c>
      <c r="E85" s="64">
        <v>7.52</v>
      </c>
      <c r="F85" s="64">
        <v>5.39</v>
      </c>
      <c r="G85" s="64">
        <v>42.79</v>
      </c>
      <c r="H85" s="64">
        <v>7.39</v>
      </c>
      <c r="I85" s="64">
        <v>2.0499999999999998</v>
      </c>
      <c r="J85" s="64">
        <v>0.06</v>
      </c>
      <c r="K85" s="64">
        <v>131.72999999999999</v>
      </c>
      <c r="L85" s="64">
        <v>25.18</v>
      </c>
      <c r="M85" s="64">
        <v>93.88</v>
      </c>
      <c r="N85" s="64">
        <v>46.6</v>
      </c>
      <c r="O85" s="64">
        <v>0</v>
      </c>
      <c r="P85" s="64">
        <v>1.05</v>
      </c>
      <c r="Q85" s="64">
        <v>9.26</v>
      </c>
      <c r="R85" s="198"/>
      <c r="S85" s="198"/>
      <c r="T85" s="198"/>
      <c r="U85" s="198"/>
    </row>
    <row r="86" spans="1:26" s="12" customFormat="1" x14ac:dyDescent="0.25">
      <c r="A86" s="211" t="s">
        <v>421</v>
      </c>
      <c r="B86" s="64">
        <v>11.78</v>
      </c>
      <c r="C86" s="64">
        <v>27.53</v>
      </c>
      <c r="D86" s="64">
        <v>23.82</v>
      </c>
      <c r="E86" s="64">
        <v>7.2</v>
      </c>
      <c r="F86" s="64">
        <v>7.1</v>
      </c>
      <c r="G86" s="64">
        <v>59.53</v>
      </c>
      <c r="H86" s="64">
        <v>10.06</v>
      </c>
      <c r="I86" s="64">
        <v>2.2400000000000002</v>
      </c>
      <c r="J86" s="64">
        <v>0.02</v>
      </c>
      <c r="K86" s="64">
        <v>171.13</v>
      </c>
      <c r="L86" s="64">
        <v>25.16</v>
      </c>
      <c r="M86" s="64">
        <v>91.9</v>
      </c>
      <c r="N86" s="64">
        <v>46.5</v>
      </c>
      <c r="O86" s="64">
        <v>0</v>
      </c>
      <c r="P86" s="64">
        <v>0.95</v>
      </c>
      <c r="Q86" s="64">
        <v>9.2899999999999991</v>
      </c>
      <c r="R86" s="198"/>
      <c r="S86" s="198"/>
      <c r="T86" s="198"/>
      <c r="U86" s="198"/>
    </row>
    <row r="87" spans="1:26" s="12" customFormat="1" x14ac:dyDescent="0.25">
      <c r="A87" s="211" t="s">
        <v>422</v>
      </c>
      <c r="B87" s="64">
        <v>53.81</v>
      </c>
      <c r="C87" s="64">
        <v>7.46</v>
      </c>
      <c r="D87" s="64">
        <v>47.05</v>
      </c>
      <c r="E87" s="64">
        <v>7.58</v>
      </c>
      <c r="F87" s="64">
        <v>6.4</v>
      </c>
      <c r="G87" s="64">
        <v>66.34</v>
      </c>
      <c r="H87" s="64">
        <v>10.33</v>
      </c>
      <c r="I87" s="64">
        <v>2.2999999999999998</v>
      </c>
      <c r="J87" s="64">
        <v>0.12</v>
      </c>
      <c r="K87" s="64">
        <v>340.49</v>
      </c>
      <c r="L87" s="64">
        <v>25.04</v>
      </c>
      <c r="M87" s="64">
        <v>96.46</v>
      </c>
      <c r="N87" s="64">
        <v>46.9</v>
      </c>
      <c r="O87" s="64">
        <v>0</v>
      </c>
      <c r="P87" s="64">
        <v>1.8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1" t="s">
        <v>423</v>
      </c>
      <c r="B88" s="64">
        <v>85.27</v>
      </c>
      <c r="C88" s="64">
        <v>1.85</v>
      </c>
      <c r="D88" s="64">
        <v>69.349999999999994</v>
      </c>
      <c r="E88" s="64">
        <v>7.96</v>
      </c>
      <c r="F88" s="64">
        <v>6.47</v>
      </c>
      <c r="G88" s="64">
        <v>66.34</v>
      </c>
      <c r="H88" s="64">
        <v>10.33</v>
      </c>
      <c r="I88" s="64">
        <v>2.34</v>
      </c>
      <c r="J88" s="64">
        <v>0.03</v>
      </c>
      <c r="K88" s="64">
        <v>315.62</v>
      </c>
      <c r="L88" s="64">
        <v>24.62</v>
      </c>
      <c r="M88" s="64">
        <v>98.02</v>
      </c>
      <c r="N88" s="64">
        <v>46.8</v>
      </c>
      <c r="O88" s="64">
        <v>0</v>
      </c>
      <c r="P88" s="64">
        <v>2.2400000000000002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1" t="s">
        <v>424</v>
      </c>
      <c r="B89" s="64">
        <v>60.62</v>
      </c>
      <c r="C89" s="64">
        <v>3.38</v>
      </c>
      <c r="D89" s="64">
        <v>50.38</v>
      </c>
      <c r="E89" s="64">
        <v>6.93</v>
      </c>
      <c r="F89" s="64">
        <v>5.87</v>
      </c>
      <c r="G89" s="64">
        <v>66.34</v>
      </c>
      <c r="H89" s="64">
        <v>10.33</v>
      </c>
      <c r="I89" s="64">
        <v>2.52</v>
      </c>
      <c r="J89" s="64">
        <v>0.08</v>
      </c>
      <c r="K89" s="64">
        <v>323.99</v>
      </c>
      <c r="L89" s="64">
        <v>24.42</v>
      </c>
      <c r="M89" s="64">
        <v>98.05</v>
      </c>
      <c r="N89" s="64">
        <v>46.7</v>
      </c>
      <c r="O89" s="64">
        <v>0</v>
      </c>
      <c r="P89" s="64">
        <v>1.53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1" t="s">
        <v>425</v>
      </c>
      <c r="B90" s="64">
        <v>92.49</v>
      </c>
      <c r="C90" s="64">
        <v>3.38</v>
      </c>
      <c r="D90" s="64">
        <v>73.680000000000007</v>
      </c>
      <c r="E90" s="64">
        <v>7.62</v>
      </c>
      <c r="F90" s="64">
        <v>5.55</v>
      </c>
      <c r="G90" s="64">
        <v>73.33</v>
      </c>
      <c r="H90" s="64">
        <v>11.38</v>
      </c>
      <c r="I90" s="64">
        <v>2.74</v>
      </c>
      <c r="J90" s="64">
        <v>0.1</v>
      </c>
      <c r="K90" s="64">
        <v>336.48</v>
      </c>
      <c r="L90" s="64">
        <v>24.39</v>
      </c>
      <c r="M90" s="64">
        <v>98.05</v>
      </c>
      <c r="N90" s="64">
        <v>46.8</v>
      </c>
      <c r="O90" s="64">
        <v>0</v>
      </c>
      <c r="P90" s="64">
        <v>2.2599999999999998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1" t="s">
        <v>426</v>
      </c>
      <c r="B91" s="64">
        <v>66.56</v>
      </c>
      <c r="C91" s="64">
        <v>3.38</v>
      </c>
      <c r="D91" s="64">
        <v>52.2</v>
      </c>
      <c r="E91" s="64">
        <v>7.16</v>
      </c>
      <c r="F91" s="64">
        <v>5</v>
      </c>
      <c r="G91" s="64">
        <v>76.17</v>
      </c>
      <c r="H91" s="64">
        <v>11.45</v>
      </c>
      <c r="I91" s="64">
        <v>2.92</v>
      </c>
      <c r="J91" s="64">
        <v>0.06</v>
      </c>
      <c r="K91" s="64">
        <v>332.68</v>
      </c>
      <c r="L91" s="64">
        <v>24.16</v>
      </c>
      <c r="M91" s="64">
        <v>98.06</v>
      </c>
      <c r="N91" s="64">
        <v>46.8</v>
      </c>
      <c r="O91" s="64">
        <v>0</v>
      </c>
      <c r="P91" s="64">
        <v>1.52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1" t="s">
        <v>427</v>
      </c>
      <c r="B92" s="64">
        <v>70.84</v>
      </c>
      <c r="C92" s="64">
        <v>1.62</v>
      </c>
      <c r="D92" s="64">
        <v>57.66</v>
      </c>
      <c r="E92" s="64">
        <v>7.44</v>
      </c>
      <c r="F92" s="64">
        <v>5.68</v>
      </c>
      <c r="G92" s="64">
        <v>76.17</v>
      </c>
      <c r="H92" s="64">
        <v>11.45</v>
      </c>
      <c r="I92" s="64">
        <v>3.1</v>
      </c>
      <c r="J92" s="64">
        <v>0.19</v>
      </c>
      <c r="K92" s="64">
        <v>347.21</v>
      </c>
      <c r="L92" s="64">
        <v>24.21</v>
      </c>
      <c r="M92" s="64">
        <v>98.1</v>
      </c>
      <c r="N92" s="64">
        <v>46.8</v>
      </c>
      <c r="O92" s="64">
        <v>0</v>
      </c>
      <c r="P92" s="64">
        <v>2.2400000000000002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1" t="s">
        <v>428</v>
      </c>
      <c r="B93" s="64">
        <v>52.58</v>
      </c>
      <c r="C93" s="64">
        <v>2.06</v>
      </c>
      <c r="D93" s="64">
        <v>43.24</v>
      </c>
      <c r="E93" s="64">
        <v>6.92</v>
      </c>
      <c r="F93" s="64">
        <v>5.53</v>
      </c>
      <c r="G93" s="64">
        <v>76.17</v>
      </c>
      <c r="H93" s="64">
        <v>11.45</v>
      </c>
      <c r="I93" s="64">
        <v>3.26</v>
      </c>
      <c r="J93" s="64">
        <v>0.02</v>
      </c>
      <c r="K93" s="64">
        <v>94.45</v>
      </c>
      <c r="L93" s="64">
        <v>24.24</v>
      </c>
      <c r="M93" s="64">
        <v>98.09</v>
      </c>
      <c r="N93" s="64">
        <v>46.9</v>
      </c>
      <c r="O93" s="64">
        <v>0</v>
      </c>
      <c r="P93" s="64">
        <v>1.58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1" t="s">
        <v>429</v>
      </c>
      <c r="B94" s="64">
        <v>92.65</v>
      </c>
      <c r="C94" s="64">
        <v>2.06</v>
      </c>
      <c r="D94" s="64">
        <v>73.27</v>
      </c>
      <c r="E94" s="64">
        <v>7.37</v>
      </c>
      <c r="F94" s="64">
        <v>7.27</v>
      </c>
      <c r="G94" s="64">
        <v>92.36</v>
      </c>
      <c r="H94" s="64">
        <v>14.72</v>
      </c>
      <c r="I94" s="64">
        <v>3.4</v>
      </c>
      <c r="J94" s="64">
        <v>0.01</v>
      </c>
      <c r="K94" s="64">
        <v>87.42</v>
      </c>
      <c r="L94" s="64">
        <v>24.4</v>
      </c>
      <c r="M94" s="64">
        <v>98.07</v>
      </c>
      <c r="N94" s="64">
        <v>46.8</v>
      </c>
      <c r="O94" s="64">
        <v>0</v>
      </c>
      <c r="P94" s="64">
        <v>1.67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1" t="s">
        <v>430</v>
      </c>
      <c r="B95" s="64">
        <v>42.8</v>
      </c>
      <c r="C95" s="64">
        <v>12.54</v>
      </c>
      <c r="D95" s="64">
        <v>40.869999999999997</v>
      </c>
      <c r="E95" s="64">
        <v>6.56</v>
      </c>
      <c r="F95" s="64">
        <v>8.15</v>
      </c>
      <c r="G95" s="64">
        <v>98.93</v>
      </c>
      <c r="H95" s="64">
        <v>14.93</v>
      </c>
      <c r="I95" s="64">
        <v>3.52</v>
      </c>
      <c r="J95" s="64">
        <v>0.04</v>
      </c>
      <c r="K95" s="64">
        <v>312.95</v>
      </c>
      <c r="L95" s="64">
        <v>24.47</v>
      </c>
      <c r="M95" s="64">
        <v>98.06</v>
      </c>
      <c r="N95" s="64">
        <v>46.7</v>
      </c>
      <c r="O95" s="64">
        <v>0</v>
      </c>
      <c r="P95" s="64">
        <v>1.18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1" t="s">
        <v>431</v>
      </c>
      <c r="B96" s="64">
        <v>52.39</v>
      </c>
      <c r="C96" s="64">
        <v>6.12</v>
      </c>
      <c r="D96" s="64">
        <v>45.21</v>
      </c>
      <c r="E96" s="64">
        <v>6.86</v>
      </c>
      <c r="F96" s="64">
        <v>7.97</v>
      </c>
      <c r="G96" s="64">
        <v>98.93</v>
      </c>
      <c r="H96" s="64">
        <v>14.93</v>
      </c>
      <c r="I96" s="64">
        <v>3.61</v>
      </c>
      <c r="J96" s="64">
        <v>0.12</v>
      </c>
      <c r="K96" s="64">
        <v>312.33</v>
      </c>
      <c r="L96" s="64">
        <v>24.44</v>
      </c>
      <c r="M96" s="64">
        <v>98.06</v>
      </c>
      <c r="N96" s="64">
        <v>47</v>
      </c>
      <c r="O96" s="64">
        <v>0</v>
      </c>
      <c r="P96" s="64">
        <v>1.48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432</v>
      </c>
      <c r="B97" s="64">
        <v>42.09</v>
      </c>
      <c r="C97" s="64">
        <v>8.51</v>
      </c>
      <c r="D97" s="64">
        <v>38.200000000000003</v>
      </c>
      <c r="E97" s="64">
        <v>6.79</v>
      </c>
      <c r="F97" s="64">
        <v>7.63</v>
      </c>
      <c r="G97" s="64">
        <v>98.93</v>
      </c>
      <c r="H97" s="64">
        <v>14.93</v>
      </c>
      <c r="I97" s="64">
        <v>3.68</v>
      </c>
      <c r="J97" s="64">
        <v>0.14000000000000001</v>
      </c>
      <c r="K97" s="64">
        <v>353.38</v>
      </c>
      <c r="L97" s="64">
        <v>24.24</v>
      </c>
      <c r="M97" s="64">
        <v>98.07</v>
      </c>
      <c r="N97" s="64">
        <v>47.2</v>
      </c>
      <c r="O97" s="64">
        <v>0</v>
      </c>
      <c r="P97" s="64">
        <v>1.34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1" t="s">
        <v>433</v>
      </c>
      <c r="B98" s="64">
        <v>36.79</v>
      </c>
      <c r="C98" s="64">
        <v>11.7</v>
      </c>
      <c r="D98" s="64">
        <v>35.619999999999997</v>
      </c>
      <c r="E98" s="64">
        <v>6.58</v>
      </c>
      <c r="F98" s="64">
        <v>6.24</v>
      </c>
      <c r="G98" s="64">
        <v>93.05</v>
      </c>
      <c r="H98" s="64">
        <v>16.649999999999999</v>
      </c>
      <c r="I98" s="64">
        <v>3.73</v>
      </c>
      <c r="J98" s="64">
        <v>7.0000000000000007E-2</v>
      </c>
      <c r="K98" s="64">
        <v>214.38</v>
      </c>
      <c r="L98" s="64">
        <v>23.95</v>
      </c>
      <c r="M98" s="64">
        <v>98.05</v>
      </c>
      <c r="N98" s="64">
        <v>47.1</v>
      </c>
      <c r="O98" s="64">
        <v>0</v>
      </c>
      <c r="P98" s="64">
        <v>1.07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1" t="s">
        <v>434</v>
      </c>
      <c r="B99" s="64">
        <v>29.27</v>
      </c>
      <c r="C99" s="64">
        <v>10.3</v>
      </c>
      <c r="D99" s="64">
        <v>28.86</v>
      </c>
      <c r="E99" s="64">
        <v>6.52</v>
      </c>
      <c r="F99" s="64">
        <v>7.37</v>
      </c>
      <c r="G99" s="64">
        <v>90.66</v>
      </c>
      <c r="H99" s="64">
        <v>16.760000000000002</v>
      </c>
      <c r="I99" s="64">
        <v>3.77</v>
      </c>
      <c r="J99" s="64">
        <v>0.09</v>
      </c>
      <c r="K99" s="64">
        <v>143.13</v>
      </c>
      <c r="L99" s="64">
        <v>23.94</v>
      </c>
      <c r="M99" s="64">
        <v>98.05</v>
      </c>
      <c r="N99" s="64">
        <v>46.9</v>
      </c>
      <c r="O99" s="64">
        <v>0</v>
      </c>
      <c r="P99" s="64">
        <v>0.93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1" t="s">
        <v>435</v>
      </c>
      <c r="B100" s="64">
        <v>23.12</v>
      </c>
      <c r="C100" s="64">
        <v>9.41</v>
      </c>
      <c r="D100" s="64">
        <v>23.46</v>
      </c>
      <c r="E100" s="64">
        <v>5.83</v>
      </c>
      <c r="F100" s="64">
        <v>7.81</v>
      </c>
      <c r="G100" s="64">
        <v>90.66</v>
      </c>
      <c r="H100" s="64">
        <v>16.760000000000002</v>
      </c>
      <c r="I100" s="64">
        <v>3.79</v>
      </c>
      <c r="J100" s="64">
        <v>0.18</v>
      </c>
      <c r="K100" s="64">
        <v>151.28</v>
      </c>
      <c r="L100" s="64">
        <v>23.91</v>
      </c>
      <c r="M100" s="64">
        <v>98.05</v>
      </c>
      <c r="N100" s="64">
        <v>46.8</v>
      </c>
      <c r="O100" s="64">
        <v>0</v>
      </c>
      <c r="P100" s="64">
        <v>0.86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436</v>
      </c>
      <c r="B101" s="64">
        <v>20.65</v>
      </c>
      <c r="C101" s="64">
        <v>10.039999999999999</v>
      </c>
      <c r="D101" s="64">
        <v>21.81</v>
      </c>
      <c r="E101" s="64">
        <v>6.14</v>
      </c>
      <c r="F101" s="64">
        <v>8.49</v>
      </c>
      <c r="G101" s="64">
        <v>90.66</v>
      </c>
      <c r="H101" s="64">
        <v>16.760000000000002</v>
      </c>
      <c r="I101" s="64">
        <v>3.78</v>
      </c>
      <c r="J101" s="64">
        <v>0.06</v>
      </c>
      <c r="K101" s="64">
        <v>126.87</v>
      </c>
      <c r="L101" s="64">
        <v>23.69</v>
      </c>
      <c r="M101" s="64">
        <v>98.07</v>
      </c>
      <c r="N101" s="64">
        <v>47</v>
      </c>
      <c r="O101" s="64">
        <v>0</v>
      </c>
      <c r="P101" s="64">
        <v>0.78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1" t="s">
        <v>437</v>
      </c>
      <c r="B102" s="64">
        <v>43.81</v>
      </c>
      <c r="C102" s="64">
        <v>2.75</v>
      </c>
      <c r="D102" s="64">
        <v>36.57</v>
      </c>
      <c r="E102" s="64">
        <v>6.28</v>
      </c>
      <c r="F102" s="64">
        <v>5.89</v>
      </c>
      <c r="G102" s="64">
        <v>81.75</v>
      </c>
      <c r="H102" s="64">
        <v>15.35</v>
      </c>
      <c r="I102" s="64">
        <v>3.75</v>
      </c>
      <c r="J102" s="64">
        <v>0.18</v>
      </c>
      <c r="K102" s="64">
        <v>338.41</v>
      </c>
      <c r="L102" s="64">
        <v>23.51</v>
      </c>
      <c r="M102" s="64">
        <v>98.1</v>
      </c>
      <c r="N102" s="64">
        <v>47.1</v>
      </c>
      <c r="O102" s="64">
        <v>0</v>
      </c>
      <c r="P102" s="64">
        <v>1.07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1" t="s">
        <v>438</v>
      </c>
      <c r="B103" s="64">
        <v>38.11</v>
      </c>
      <c r="C103" s="64">
        <v>2.75</v>
      </c>
      <c r="D103" s="64">
        <v>30.31</v>
      </c>
      <c r="E103" s="64">
        <v>6</v>
      </c>
      <c r="F103" s="64">
        <v>4.8600000000000003</v>
      </c>
      <c r="G103" s="64">
        <v>78.13</v>
      </c>
      <c r="H103" s="64">
        <v>15.2</v>
      </c>
      <c r="I103" s="64">
        <v>3.72</v>
      </c>
      <c r="J103" s="64">
        <v>0.08</v>
      </c>
      <c r="K103" s="64">
        <v>338.25</v>
      </c>
      <c r="L103" s="64">
        <v>23.17</v>
      </c>
      <c r="M103" s="64">
        <v>98.13</v>
      </c>
      <c r="N103" s="64">
        <v>47.1</v>
      </c>
      <c r="O103" s="64">
        <v>0</v>
      </c>
      <c r="P103" s="64">
        <v>1.0900000000000001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1" t="s">
        <v>439</v>
      </c>
      <c r="B104" s="64">
        <v>32.01</v>
      </c>
      <c r="C104" s="64">
        <v>8.0399999999999991</v>
      </c>
      <c r="D104" s="64">
        <v>29.87</v>
      </c>
      <c r="E104" s="64">
        <v>5.46</v>
      </c>
      <c r="F104" s="64">
        <v>4.66</v>
      </c>
      <c r="G104" s="64">
        <v>78.13</v>
      </c>
      <c r="H104" s="64">
        <v>15.2</v>
      </c>
      <c r="I104" s="64">
        <v>3.68</v>
      </c>
      <c r="J104" s="64">
        <v>0.13</v>
      </c>
      <c r="K104" s="64">
        <v>1.79</v>
      </c>
      <c r="L104" s="64">
        <v>23.01</v>
      </c>
      <c r="M104" s="64">
        <v>98.13</v>
      </c>
      <c r="N104" s="64">
        <v>47</v>
      </c>
      <c r="O104" s="64">
        <v>0</v>
      </c>
      <c r="P104" s="64">
        <v>0.97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9.77</v>
      </c>
      <c r="C106" s="67">
        <f>MIN(C9:C104)</f>
        <v>0.5</v>
      </c>
      <c r="D106" s="67">
        <f t="shared" ref="D106:Q106" si="0">MIN(D9:D104)</f>
        <v>13.37</v>
      </c>
      <c r="E106" s="67">
        <f t="shared" si="0"/>
        <v>4.7699999999999996</v>
      </c>
      <c r="F106" s="67">
        <f t="shared" si="0"/>
        <v>3.01</v>
      </c>
      <c r="G106" s="67">
        <f t="shared" si="0"/>
        <v>19.82</v>
      </c>
      <c r="H106" s="67">
        <f t="shared" si="0"/>
        <v>4.5</v>
      </c>
      <c r="I106" s="67">
        <f t="shared" si="0"/>
        <v>1.73</v>
      </c>
      <c r="J106" s="67">
        <f t="shared" si="0"/>
        <v>0.01</v>
      </c>
      <c r="K106" s="67">
        <f t="shared" si="0"/>
        <v>1.79</v>
      </c>
      <c r="L106" s="67">
        <f t="shared" si="0"/>
        <v>21</v>
      </c>
      <c r="M106" s="67">
        <f t="shared" si="0"/>
        <v>54.15</v>
      </c>
      <c r="N106" s="67">
        <f t="shared" si="0"/>
        <v>40.700000000000003</v>
      </c>
      <c r="O106" s="67">
        <f t="shared" si="0"/>
        <v>0</v>
      </c>
      <c r="P106" s="67">
        <f t="shared" si="0"/>
        <v>0.5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92.65</v>
      </c>
      <c r="C107" s="66">
        <f t="shared" ref="C107:Q107" si="1">MAX(C9:C104)</f>
        <v>27.53</v>
      </c>
      <c r="D107" s="66">
        <f t="shared" si="1"/>
        <v>73.680000000000007</v>
      </c>
      <c r="E107" s="66">
        <f t="shared" si="1"/>
        <v>8.6999999999999993</v>
      </c>
      <c r="F107" s="66">
        <f t="shared" si="1"/>
        <v>17.16</v>
      </c>
      <c r="G107" s="66">
        <f t="shared" si="1"/>
        <v>98.93</v>
      </c>
      <c r="H107" s="66">
        <f t="shared" si="1"/>
        <v>23.22</v>
      </c>
      <c r="I107" s="66">
        <f t="shared" si="1"/>
        <v>3.79</v>
      </c>
      <c r="J107" s="66">
        <f t="shared" si="1"/>
        <v>1.2</v>
      </c>
      <c r="K107" s="66">
        <f t="shared" si="1"/>
        <v>358.25</v>
      </c>
      <c r="L107" s="66">
        <f t="shared" si="1"/>
        <v>32.07</v>
      </c>
      <c r="M107" s="66">
        <f t="shared" si="1"/>
        <v>98.3</v>
      </c>
      <c r="N107" s="66">
        <f t="shared" si="1"/>
        <v>739.2</v>
      </c>
      <c r="O107" s="66">
        <f t="shared" si="1"/>
        <v>0.2</v>
      </c>
      <c r="P107" s="66">
        <f t="shared" si="1"/>
        <v>2.2599999999999998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24.997083333333332</v>
      </c>
      <c r="C108" s="67">
        <f t="shared" ref="C108:Q108" si="2">AVERAGE(C9:C104)</f>
        <v>7.0096874999999983</v>
      </c>
      <c r="D108" s="67">
        <f t="shared" si="2"/>
        <v>23.414062500000004</v>
      </c>
      <c r="E108" s="67">
        <f t="shared" si="2"/>
        <v>6.4038541666666653</v>
      </c>
      <c r="F108" s="67">
        <f t="shared" si="2"/>
        <v>7.8154166666666613</v>
      </c>
      <c r="G108" s="67">
        <f t="shared" si="2"/>
        <v>46.041145833333339</v>
      </c>
      <c r="H108" s="67">
        <f t="shared" si="2"/>
        <v>9.0750000000000011</v>
      </c>
      <c r="I108" s="67">
        <f t="shared" si="2"/>
        <v>2.3691666666666671</v>
      </c>
      <c r="J108" s="67">
        <f t="shared" si="2"/>
        <v>0.29302083333333323</v>
      </c>
      <c r="K108" s="67">
        <f t="shared" si="2"/>
        <v>264.6907291666667</v>
      </c>
      <c r="L108" s="67">
        <f t="shared" si="2"/>
        <v>25.646666666666672</v>
      </c>
      <c r="M108" s="67">
        <f t="shared" si="2"/>
        <v>85.12750000000004</v>
      </c>
      <c r="N108" s="67">
        <f t="shared" si="2"/>
        <v>157.96770833333326</v>
      </c>
      <c r="O108" s="67">
        <f t="shared" si="2"/>
        <v>8.3333333333333332E-3</v>
      </c>
      <c r="P108" s="67">
        <f t="shared" si="2"/>
        <v>0.7969791666666669</v>
      </c>
      <c r="Q108" s="67">
        <f t="shared" si="2"/>
        <v>9.4083333333333261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16.797985086981605</v>
      </c>
      <c r="C109" s="67">
        <f t="shared" ref="C109:Q109" si="3">STDEV(C9:C104)</f>
        <v>5.2911281163303023</v>
      </c>
      <c r="D109" s="67">
        <f t="shared" si="3"/>
        <v>12.719707343383154</v>
      </c>
      <c r="E109" s="67">
        <f t="shared" si="3"/>
        <v>1.0847714964735335</v>
      </c>
      <c r="F109" s="67">
        <f t="shared" si="3"/>
        <v>3.6786347343507755</v>
      </c>
      <c r="G109" s="67">
        <f t="shared" si="3"/>
        <v>21.658872054501021</v>
      </c>
      <c r="H109" s="67">
        <f t="shared" si="3"/>
        <v>3.8361724345196513</v>
      </c>
      <c r="I109" s="67">
        <f t="shared" si="3"/>
        <v>0.55933356334813145</v>
      </c>
      <c r="J109" s="67">
        <f t="shared" si="3"/>
        <v>0.28761860635101172</v>
      </c>
      <c r="K109" s="67">
        <f t="shared" si="3"/>
        <v>99.805725584571078</v>
      </c>
      <c r="L109" s="67">
        <f t="shared" si="3"/>
        <v>3.3427756089706948</v>
      </c>
      <c r="M109" s="67">
        <f t="shared" si="3"/>
        <v>15.521626949449765</v>
      </c>
      <c r="N109" s="67">
        <f t="shared" si="3"/>
        <v>180.67288410698254</v>
      </c>
      <c r="O109" s="67">
        <f t="shared" si="3"/>
        <v>4.0175055540960972E-2</v>
      </c>
      <c r="P109" s="67">
        <f t="shared" si="3"/>
        <v>0.3921334890641372</v>
      </c>
      <c r="Q109" s="67">
        <f t="shared" si="3"/>
        <v>0.15914684821964145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6" sqref="P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440</v>
      </c>
      <c r="B9" s="64">
        <v>36.4</v>
      </c>
      <c r="C9" s="64">
        <v>2.36</v>
      </c>
      <c r="D9" s="64">
        <v>27.95</v>
      </c>
      <c r="E9" s="64">
        <v>5.28</v>
      </c>
      <c r="F9" s="64">
        <v>5.25</v>
      </c>
      <c r="G9" s="64">
        <v>78.13</v>
      </c>
      <c r="H9" s="64">
        <v>15.2</v>
      </c>
      <c r="I9" s="64">
        <v>3.67</v>
      </c>
      <c r="J9" s="64">
        <v>0.04</v>
      </c>
      <c r="K9" s="64">
        <v>253.54</v>
      </c>
      <c r="L9" s="64">
        <v>22.83</v>
      </c>
      <c r="M9" s="64">
        <v>98.18</v>
      </c>
      <c r="N9" s="64">
        <v>46.9</v>
      </c>
      <c r="O9" s="64">
        <v>0</v>
      </c>
      <c r="P9" s="64">
        <v>1.1299999999999999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1" t="s">
        <v>441</v>
      </c>
      <c r="B10" s="64">
        <v>22.39</v>
      </c>
      <c r="C10" s="64">
        <v>11.69</v>
      </c>
      <c r="D10" s="64">
        <v>24.06</v>
      </c>
      <c r="E10" s="64">
        <v>5.32</v>
      </c>
      <c r="F10" s="64">
        <v>4.57</v>
      </c>
      <c r="G10" s="64">
        <v>68.22</v>
      </c>
      <c r="H10" s="64">
        <v>11.32</v>
      </c>
      <c r="I10" s="64">
        <v>3.67</v>
      </c>
      <c r="J10" s="64">
        <v>0.09</v>
      </c>
      <c r="K10" s="64">
        <v>254</v>
      </c>
      <c r="L10" s="64">
        <v>22.84</v>
      </c>
      <c r="M10" s="64">
        <v>98.19</v>
      </c>
      <c r="N10" s="64">
        <v>46.7</v>
      </c>
      <c r="O10" s="64">
        <v>0</v>
      </c>
      <c r="P10" s="64">
        <v>0.87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1" t="s">
        <v>442</v>
      </c>
      <c r="B11" s="64">
        <v>26.86</v>
      </c>
      <c r="C11" s="64">
        <v>6.74</v>
      </c>
      <c r="D11" s="64">
        <v>25.06</v>
      </c>
      <c r="E11" s="64">
        <v>5.14</v>
      </c>
      <c r="F11" s="64">
        <v>4.78</v>
      </c>
      <c r="G11" s="64">
        <v>64.2</v>
      </c>
      <c r="H11" s="64">
        <v>11.08</v>
      </c>
      <c r="I11" s="64">
        <v>3.65</v>
      </c>
      <c r="J11" s="64">
        <v>0.18</v>
      </c>
      <c r="K11" s="64">
        <v>326.75</v>
      </c>
      <c r="L11" s="64">
        <v>23.03</v>
      </c>
      <c r="M11" s="64">
        <v>98.21</v>
      </c>
      <c r="N11" s="64">
        <v>46.9</v>
      </c>
      <c r="O11" s="64">
        <v>0</v>
      </c>
      <c r="P11" s="64">
        <v>0.89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1" t="s">
        <v>443</v>
      </c>
      <c r="B12" s="64">
        <v>27.12</v>
      </c>
      <c r="C12" s="64">
        <v>6.81</v>
      </c>
      <c r="D12" s="64">
        <v>25.3</v>
      </c>
      <c r="E12" s="64">
        <v>5</v>
      </c>
      <c r="F12" s="64">
        <v>5.21</v>
      </c>
      <c r="G12" s="64">
        <v>64.2</v>
      </c>
      <c r="H12" s="64">
        <v>11.08</v>
      </c>
      <c r="I12" s="64">
        <v>3.64</v>
      </c>
      <c r="J12" s="64">
        <v>0.05</v>
      </c>
      <c r="K12" s="64">
        <v>8.14</v>
      </c>
      <c r="L12" s="64">
        <v>22.65</v>
      </c>
      <c r="M12" s="64">
        <v>98.26</v>
      </c>
      <c r="N12" s="64">
        <v>47.1</v>
      </c>
      <c r="O12" s="64">
        <v>0</v>
      </c>
      <c r="P12" s="64">
        <v>0.86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1" t="s">
        <v>444</v>
      </c>
      <c r="B13" s="64">
        <v>20.91</v>
      </c>
      <c r="C13" s="64">
        <v>8.81</v>
      </c>
      <c r="D13" s="64">
        <v>21.37</v>
      </c>
      <c r="E13" s="64">
        <v>4.9000000000000004</v>
      </c>
      <c r="F13" s="64">
        <v>5.82</v>
      </c>
      <c r="G13" s="64">
        <v>64.2</v>
      </c>
      <c r="H13" s="64">
        <v>11.08</v>
      </c>
      <c r="I13" s="64">
        <v>3.62</v>
      </c>
      <c r="J13" s="64">
        <v>0.06</v>
      </c>
      <c r="K13" s="64">
        <v>9.4499999999999993</v>
      </c>
      <c r="L13" s="64">
        <v>22.4</v>
      </c>
      <c r="M13" s="64">
        <v>98.27</v>
      </c>
      <c r="N13" s="64">
        <v>47.1</v>
      </c>
      <c r="O13" s="64">
        <v>0</v>
      </c>
      <c r="P13" s="64">
        <v>0.84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1" t="s">
        <v>445</v>
      </c>
      <c r="B14" s="64">
        <v>21.91</v>
      </c>
      <c r="C14" s="64">
        <v>7.94</v>
      </c>
      <c r="D14" s="64">
        <v>21.72</v>
      </c>
      <c r="E14" s="64">
        <v>4.8899999999999997</v>
      </c>
      <c r="F14" s="64">
        <v>5.71</v>
      </c>
      <c r="G14" s="64">
        <v>59.03</v>
      </c>
      <c r="H14" s="64">
        <v>11.39</v>
      </c>
      <c r="I14" s="64">
        <v>3.6</v>
      </c>
      <c r="J14" s="64">
        <v>0.05</v>
      </c>
      <c r="K14" s="64">
        <v>214.14</v>
      </c>
      <c r="L14" s="64">
        <v>22.33</v>
      </c>
      <c r="M14" s="64">
        <v>98.27</v>
      </c>
      <c r="N14" s="64">
        <v>47.1</v>
      </c>
      <c r="O14" s="64">
        <v>0</v>
      </c>
      <c r="P14" s="64">
        <v>0.73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1" t="s">
        <v>446</v>
      </c>
      <c r="B15" s="64">
        <v>30.89</v>
      </c>
      <c r="C15" s="64">
        <v>2.76</v>
      </c>
      <c r="D15" s="64">
        <v>26.21</v>
      </c>
      <c r="E15" s="64">
        <v>4.9400000000000004</v>
      </c>
      <c r="F15" s="64">
        <v>4.8600000000000003</v>
      </c>
      <c r="G15" s="64">
        <v>56.82</v>
      </c>
      <c r="H15" s="64">
        <v>11.41</v>
      </c>
      <c r="I15" s="64">
        <v>3.58</v>
      </c>
      <c r="J15" s="64">
        <v>0.08</v>
      </c>
      <c r="K15" s="64">
        <v>211.27</v>
      </c>
      <c r="L15" s="64">
        <v>22.42</v>
      </c>
      <c r="M15" s="64">
        <v>98.3</v>
      </c>
      <c r="N15" s="64">
        <v>47</v>
      </c>
      <c r="O15" s="64">
        <v>0</v>
      </c>
      <c r="P15" s="64">
        <v>0.8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1" t="s">
        <v>447</v>
      </c>
      <c r="B16" s="64">
        <v>27.26</v>
      </c>
      <c r="C16" s="64">
        <v>6.4</v>
      </c>
      <c r="D16" s="64">
        <v>25.2</v>
      </c>
      <c r="E16" s="64">
        <v>4.88</v>
      </c>
      <c r="F16" s="64">
        <v>6.19</v>
      </c>
      <c r="G16" s="64">
        <v>56.82</v>
      </c>
      <c r="H16" s="64">
        <v>11.41</v>
      </c>
      <c r="I16" s="64">
        <v>3.53</v>
      </c>
      <c r="J16" s="64">
        <v>0.06</v>
      </c>
      <c r="K16" s="64">
        <v>300.5</v>
      </c>
      <c r="L16" s="64">
        <v>22.61</v>
      </c>
      <c r="M16" s="64">
        <v>98.3</v>
      </c>
      <c r="N16" s="64">
        <v>47.2</v>
      </c>
      <c r="O16" s="64">
        <v>0</v>
      </c>
      <c r="P16" s="64">
        <v>0.68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1" t="s">
        <v>448</v>
      </c>
      <c r="B17" s="64">
        <v>25.63</v>
      </c>
      <c r="C17" s="64">
        <v>6.06</v>
      </c>
      <c r="D17" s="64">
        <v>23.72</v>
      </c>
      <c r="E17" s="64">
        <v>4.76</v>
      </c>
      <c r="F17" s="64">
        <v>7.63</v>
      </c>
      <c r="G17" s="64">
        <v>56.82</v>
      </c>
      <c r="H17" s="64">
        <v>11.41</v>
      </c>
      <c r="I17" s="64">
        <v>3.5</v>
      </c>
      <c r="J17" s="64">
        <v>0.13</v>
      </c>
      <c r="K17" s="64">
        <v>322.16000000000003</v>
      </c>
      <c r="L17" s="64">
        <v>22.5</v>
      </c>
      <c r="M17" s="64">
        <v>98.3</v>
      </c>
      <c r="N17" s="64">
        <v>47.2</v>
      </c>
      <c r="O17" s="64">
        <v>0</v>
      </c>
      <c r="P17" s="64">
        <v>0.65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1" t="s">
        <v>449</v>
      </c>
      <c r="B18" s="64">
        <v>25.73</v>
      </c>
      <c r="C18" s="64">
        <v>6.55</v>
      </c>
      <c r="D18" s="64">
        <v>24.06</v>
      </c>
      <c r="E18" s="64">
        <v>4.9800000000000004</v>
      </c>
      <c r="F18" s="64">
        <v>6.76</v>
      </c>
      <c r="G18" s="64">
        <v>51.29</v>
      </c>
      <c r="H18" s="64">
        <v>11.96</v>
      </c>
      <c r="I18" s="64">
        <v>3.49</v>
      </c>
      <c r="J18" s="64">
        <v>0.1</v>
      </c>
      <c r="K18" s="64">
        <v>2.21</v>
      </c>
      <c r="L18" s="64">
        <v>22.34</v>
      </c>
      <c r="M18" s="64">
        <v>98.31</v>
      </c>
      <c r="N18" s="64">
        <v>47.2</v>
      </c>
      <c r="O18" s="64">
        <v>0</v>
      </c>
      <c r="P18" s="64">
        <v>0.72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1" t="s">
        <v>450</v>
      </c>
      <c r="B19" s="64">
        <v>23.55</v>
      </c>
      <c r="C19" s="64">
        <v>5.83</v>
      </c>
      <c r="D19" s="64">
        <v>21.93</v>
      </c>
      <c r="E19" s="64">
        <v>4.91</v>
      </c>
      <c r="F19" s="64">
        <v>6.47</v>
      </c>
      <c r="G19" s="64">
        <v>49.04</v>
      </c>
      <c r="H19" s="64">
        <v>11.99</v>
      </c>
      <c r="I19" s="64">
        <v>3.47</v>
      </c>
      <c r="J19" s="64">
        <v>7.0000000000000007E-2</v>
      </c>
      <c r="K19" s="64">
        <v>2.5</v>
      </c>
      <c r="L19" s="64">
        <v>22.21</v>
      </c>
      <c r="M19" s="64">
        <v>98.35</v>
      </c>
      <c r="N19" s="64">
        <v>47.2</v>
      </c>
      <c r="O19" s="64">
        <v>0</v>
      </c>
      <c r="P19" s="64">
        <v>0.7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1" t="s">
        <v>451</v>
      </c>
      <c r="B20" s="64">
        <v>22.71</v>
      </c>
      <c r="C20" s="64">
        <v>6.19</v>
      </c>
      <c r="D20" s="64">
        <v>21.44</v>
      </c>
      <c r="E20" s="64">
        <v>4.8099999999999996</v>
      </c>
      <c r="F20" s="64">
        <v>6.85</v>
      </c>
      <c r="G20" s="64">
        <v>49.04</v>
      </c>
      <c r="H20" s="64">
        <v>11.99</v>
      </c>
      <c r="I20" s="64">
        <v>3.45</v>
      </c>
      <c r="J20" s="64">
        <v>0.09</v>
      </c>
      <c r="K20" s="64">
        <v>351.16</v>
      </c>
      <c r="L20" s="64">
        <v>22.14</v>
      </c>
      <c r="M20" s="64">
        <v>98.35</v>
      </c>
      <c r="N20" s="64">
        <v>47.1</v>
      </c>
      <c r="O20" s="64">
        <v>0</v>
      </c>
      <c r="P20" s="64">
        <v>0.6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1" t="s">
        <v>452</v>
      </c>
      <c r="B21" s="64">
        <v>22.27</v>
      </c>
      <c r="C21" s="64">
        <v>5.17</v>
      </c>
      <c r="D21" s="64">
        <v>20.56</v>
      </c>
      <c r="E21" s="64">
        <v>4.58</v>
      </c>
      <c r="F21" s="64">
        <v>6.48</v>
      </c>
      <c r="G21" s="64">
        <v>49.04</v>
      </c>
      <c r="H21" s="64">
        <v>11.99</v>
      </c>
      <c r="I21" s="64">
        <v>3.43</v>
      </c>
      <c r="J21" s="64">
        <v>0.05</v>
      </c>
      <c r="K21" s="64">
        <v>347.4</v>
      </c>
      <c r="L21" s="64">
        <v>22.1</v>
      </c>
      <c r="M21" s="64">
        <v>98.35</v>
      </c>
      <c r="N21" s="64">
        <v>47.2</v>
      </c>
      <c r="O21" s="64">
        <v>0</v>
      </c>
      <c r="P21" s="64">
        <v>0.6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1" t="s">
        <v>453</v>
      </c>
      <c r="B22" s="64">
        <v>25.31</v>
      </c>
      <c r="C22" s="64">
        <v>4.1500000000000004</v>
      </c>
      <c r="D22" s="64">
        <v>22.46</v>
      </c>
      <c r="E22" s="64">
        <v>4.68</v>
      </c>
      <c r="F22" s="64">
        <v>5.75</v>
      </c>
      <c r="G22" s="64">
        <v>46.96</v>
      </c>
      <c r="H22" s="64">
        <v>10.82</v>
      </c>
      <c r="I22" s="64">
        <v>3.41</v>
      </c>
      <c r="J22" s="64">
        <v>0.14000000000000001</v>
      </c>
      <c r="K22" s="64">
        <v>335.94</v>
      </c>
      <c r="L22" s="64">
        <v>22.07</v>
      </c>
      <c r="M22" s="64">
        <v>98.35</v>
      </c>
      <c r="N22" s="64">
        <v>47.1</v>
      </c>
      <c r="O22" s="64">
        <v>0</v>
      </c>
      <c r="P22" s="64">
        <v>0.62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1" t="s">
        <v>454</v>
      </c>
      <c r="B23" s="64">
        <v>23.57</v>
      </c>
      <c r="C23" s="64">
        <v>5.53</v>
      </c>
      <c r="D23" s="64">
        <v>21.79</v>
      </c>
      <c r="E23" s="64">
        <v>4.7</v>
      </c>
      <c r="F23" s="64">
        <v>6.68</v>
      </c>
      <c r="G23" s="64">
        <v>46.07</v>
      </c>
      <c r="H23" s="64">
        <v>10.71</v>
      </c>
      <c r="I23" s="64">
        <v>3.39</v>
      </c>
      <c r="J23" s="64">
        <v>7.0000000000000007E-2</v>
      </c>
      <c r="K23" s="64">
        <v>306.61</v>
      </c>
      <c r="L23" s="64">
        <v>21.98</v>
      </c>
      <c r="M23" s="64">
        <v>98.38</v>
      </c>
      <c r="N23" s="64">
        <v>47.1</v>
      </c>
      <c r="O23" s="64">
        <v>0</v>
      </c>
      <c r="P23" s="64">
        <v>0.6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1" t="s">
        <v>455</v>
      </c>
      <c r="B24" s="64">
        <v>34.619999999999997</v>
      </c>
      <c r="C24" s="64">
        <v>5.53</v>
      </c>
      <c r="D24" s="64">
        <v>27.25</v>
      </c>
      <c r="E24" s="64">
        <v>4.7</v>
      </c>
      <c r="F24" s="64">
        <v>5.09</v>
      </c>
      <c r="G24" s="64">
        <v>46.07</v>
      </c>
      <c r="H24" s="64">
        <v>10.71</v>
      </c>
      <c r="I24" s="64">
        <v>3.37</v>
      </c>
      <c r="J24" s="64">
        <v>7.0000000000000007E-2</v>
      </c>
      <c r="K24" s="64">
        <v>2.15</v>
      </c>
      <c r="L24" s="64">
        <v>21.89</v>
      </c>
      <c r="M24" s="64">
        <v>98.4</v>
      </c>
      <c r="N24" s="64">
        <v>47.2</v>
      </c>
      <c r="O24" s="64">
        <v>0</v>
      </c>
      <c r="P24" s="64">
        <v>0.81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1" t="s">
        <v>456</v>
      </c>
      <c r="B25" s="64">
        <v>26.03</v>
      </c>
      <c r="C25" s="64">
        <v>2.4</v>
      </c>
      <c r="D25" s="64">
        <v>22.13</v>
      </c>
      <c r="E25" s="64">
        <v>4.6399999999999997</v>
      </c>
      <c r="F25" s="64">
        <v>4.62</v>
      </c>
      <c r="G25" s="64">
        <v>46.07</v>
      </c>
      <c r="H25" s="64">
        <v>10.71</v>
      </c>
      <c r="I25" s="64">
        <v>3.34</v>
      </c>
      <c r="J25" s="64">
        <v>0.06</v>
      </c>
      <c r="K25" s="64">
        <v>93.1</v>
      </c>
      <c r="L25" s="64">
        <v>21.87</v>
      </c>
      <c r="M25" s="64">
        <v>98.36</v>
      </c>
      <c r="N25" s="64">
        <v>47.3</v>
      </c>
      <c r="O25" s="64">
        <v>0.2</v>
      </c>
      <c r="P25" s="64">
        <v>0.77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1" t="s">
        <v>457</v>
      </c>
      <c r="B26" s="64">
        <v>17.7</v>
      </c>
      <c r="C26" s="64">
        <v>9.08</v>
      </c>
      <c r="D26" s="64">
        <v>18.940000000000001</v>
      </c>
      <c r="E26" s="64">
        <v>4.76</v>
      </c>
      <c r="F26" s="64">
        <v>6.32</v>
      </c>
      <c r="G26" s="64">
        <v>51.82</v>
      </c>
      <c r="H26" s="64">
        <v>11.25</v>
      </c>
      <c r="I26" s="64">
        <v>3.29</v>
      </c>
      <c r="J26" s="64">
        <v>0.06</v>
      </c>
      <c r="K26" s="64">
        <v>98.54</v>
      </c>
      <c r="L26" s="64">
        <v>21.89</v>
      </c>
      <c r="M26" s="64">
        <v>98.33</v>
      </c>
      <c r="N26" s="64">
        <v>47.2</v>
      </c>
      <c r="O26" s="64">
        <v>0</v>
      </c>
      <c r="P26" s="64">
        <v>0.62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1" t="s">
        <v>458</v>
      </c>
      <c r="B27" s="64">
        <v>24.28</v>
      </c>
      <c r="C27" s="64">
        <v>3.31</v>
      </c>
      <c r="D27" s="64">
        <v>21.2</v>
      </c>
      <c r="E27" s="64">
        <v>4.88</v>
      </c>
      <c r="F27" s="64">
        <v>5.98</v>
      </c>
      <c r="G27" s="64">
        <v>54.28</v>
      </c>
      <c r="H27" s="64">
        <v>11.33</v>
      </c>
      <c r="I27" s="64">
        <v>3.29</v>
      </c>
      <c r="J27" s="64">
        <v>0.03</v>
      </c>
      <c r="K27" s="64">
        <v>253.73</v>
      </c>
      <c r="L27" s="64">
        <v>21.93</v>
      </c>
      <c r="M27" s="64">
        <v>98.33</v>
      </c>
      <c r="N27" s="64">
        <v>47.2</v>
      </c>
      <c r="O27" s="64">
        <v>0</v>
      </c>
      <c r="P27" s="64">
        <v>0.71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1" t="s">
        <v>459</v>
      </c>
      <c r="B28" s="64">
        <v>25.24</v>
      </c>
      <c r="C28" s="64">
        <v>2.41</v>
      </c>
      <c r="D28" s="64">
        <v>21.5</v>
      </c>
      <c r="E28" s="64">
        <v>4.59</v>
      </c>
      <c r="F28" s="64">
        <v>4.74</v>
      </c>
      <c r="G28" s="64">
        <v>54.28</v>
      </c>
      <c r="H28" s="64">
        <v>11.33</v>
      </c>
      <c r="I28" s="64">
        <v>3.3</v>
      </c>
      <c r="J28" s="64">
        <v>7.0000000000000007E-2</v>
      </c>
      <c r="K28" s="64">
        <v>359.91</v>
      </c>
      <c r="L28" s="64">
        <v>21.81</v>
      </c>
      <c r="M28" s="64">
        <v>98.32</v>
      </c>
      <c r="N28" s="64">
        <v>47.3</v>
      </c>
      <c r="O28" s="64">
        <v>0</v>
      </c>
      <c r="P28" s="64">
        <v>0.73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1" t="s">
        <v>460</v>
      </c>
      <c r="B29" s="64">
        <v>23.46</v>
      </c>
      <c r="C29" s="64">
        <v>7.14</v>
      </c>
      <c r="D29" s="64">
        <v>22.55</v>
      </c>
      <c r="E29" s="64">
        <v>4.25</v>
      </c>
      <c r="F29" s="64">
        <v>4.93</v>
      </c>
      <c r="G29" s="64">
        <v>54.28</v>
      </c>
      <c r="H29" s="64">
        <v>11.33</v>
      </c>
      <c r="I29" s="64">
        <v>3.26</v>
      </c>
      <c r="J29" s="64">
        <v>0.02</v>
      </c>
      <c r="K29" s="64">
        <v>324.60000000000002</v>
      </c>
      <c r="L29" s="64">
        <v>21.83</v>
      </c>
      <c r="M29" s="64">
        <v>98.29</v>
      </c>
      <c r="N29" s="64">
        <v>47.2</v>
      </c>
      <c r="O29" s="64">
        <v>0</v>
      </c>
      <c r="P29" s="64">
        <v>0.63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1" t="s">
        <v>461</v>
      </c>
      <c r="B30" s="64">
        <v>29.39</v>
      </c>
      <c r="C30" s="64">
        <v>7.14</v>
      </c>
      <c r="D30" s="64">
        <v>22.79</v>
      </c>
      <c r="E30" s="64">
        <v>4.45</v>
      </c>
      <c r="F30" s="64">
        <v>5.38</v>
      </c>
      <c r="G30" s="64">
        <v>46.84</v>
      </c>
      <c r="H30" s="64">
        <v>10.88</v>
      </c>
      <c r="I30" s="64">
        <v>3.23</v>
      </c>
      <c r="J30" s="64">
        <v>0.1</v>
      </c>
      <c r="K30" s="64">
        <v>118.64</v>
      </c>
      <c r="L30" s="64">
        <v>21.86</v>
      </c>
      <c r="M30" s="64">
        <v>98.27</v>
      </c>
      <c r="N30" s="64">
        <v>47.2</v>
      </c>
      <c r="O30" s="64">
        <v>0</v>
      </c>
      <c r="P30" s="64">
        <v>0.79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1" t="s">
        <v>462</v>
      </c>
      <c r="B31" s="64">
        <v>18.91</v>
      </c>
      <c r="C31" s="64">
        <v>7.99</v>
      </c>
      <c r="D31" s="64">
        <v>19.34</v>
      </c>
      <c r="E31" s="64">
        <v>4.71</v>
      </c>
      <c r="F31" s="64">
        <v>5.42</v>
      </c>
      <c r="G31" s="64">
        <v>43.65</v>
      </c>
      <c r="H31" s="64">
        <v>10.85</v>
      </c>
      <c r="I31" s="64">
        <v>3.21</v>
      </c>
      <c r="J31" s="64">
        <v>0.05</v>
      </c>
      <c r="K31" s="64">
        <v>133</v>
      </c>
      <c r="L31" s="64">
        <v>21.83</v>
      </c>
      <c r="M31" s="64">
        <v>98.25</v>
      </c>
      <c r="N31" s="64">
        <v>47.4</v>
      </c>
      <c r="O31" s="64">
        <v>0</v>
      </c>
      <c r="P31" s="64">
        <v>0.6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1" t="s">
        <v>463</v>
      </c>
      <c r="B32" s="64">
        <v>27.48</v>
      </c>
      <c r="C32" s="64">
        <v>7.99</v>
      </c>
      <c r="D32" s="64">
        <v>21.8</v>
      </c>
      <c r="E32" s="64">
        <v>4.58</v>
      </c>
      <c r="F32" s="64">
        <v>5.34</v>
      </c>
      <c r="G32" s="64">
        <v>43.65</v>
      </c>
      <c r="H32" s="64">
        <v>10.85</v>
      </c>
      <c r="I32" s="64">
        <v>3.19</v>
      </c>
      <c r="J32" s="64">
        <v>0.11</v>
      </c>
      <c r="K32" s="64">
        <v>123.58</v>
      </c>
      <c r="L32" s="64">
        <v>21.83</v>
      </c>
      <c r="M32" s="64">
        <v>98.24</v>
      </c>
      <c r="N32" s="64">
        <v>48.8</v>
      </c>
      <c r="O32" s="64">
        <v>0</v>
      </c>
      <c r="P32" s="64">
        <v>0.73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1" t="s">
        <v>464</v>
      </c>
      <c r="B33" s="64">
        <v>23.69</v>
      </c>
      <c r="C33" s="64">
        <v>3.18</v>
      </c>
      <c r="D33" s="64">
        <v>20.66</v>
      </c>
      <c r="E33" s="64">
        <v>4.3499999999999996</v>
      </c>
      <c r="F33" s="64">
        <v>4.24</v>
      </c>
      <c r="G33" s="64">
        <v>43.65</v>
      </c>
      <c r="H33" s="64">
        <v>10.85</v>
      </c>
      <c r="I33" s="64">
        <v>3.17</v>
      </c>
      <c r="J33" s="64">
        <v>0.11</v>
      </c>
      <c r="K33" s="64">
        <v>128.13</v>
      </c>
      <c r="L33" s="64">
        <v>21.83</v>
      </c>
      <c r="M33" s="64">
        <v>98.27</v>
      </c>
      <c r="N33" s="64">
        <v>55.6</v>
      </c>
      <c r="O33" s="64">
        <v>0</v>
      </c>
      <c r="P33" s="64">
        <v>0.65</v>
      </c>
      <c r="Q33" s="64">
        <v>9.56</v>
      </c>
      <c r="R33" s="198"/>
      <c r="S33" s="198"/>
      <c r="T33" s="198"/>
      <c r="U33" s="198"/>
    </row>
    <row r="34" spans="1:21" s="12" customFormat="1" x14ac:dyDescent="0.25">
      <c r="A34" s="211" t="s">
        <v>465</v>
      </c>
      <c r="B34" s="64">
        <v>18.87</v>
      </c>
      <c r="C34" s="64">
        <v>9.19</v>
      </c>
      <c r="D34" s="64">
        <v>19.940000000000001</v>
      </c>
      <c r="E34" s="64">
        <v>4.4800000000000004</v>
      </c>
      <c r="F34" s="64">
        <v>7.16</v>
      </c>
      <c r="G34" s="64">
        <v>42.57</v>
      </c>
      <c r="H34" s="64">
        <v>9.99</v>
      </c>
      <c r="I34" s="64">
        <v>3.13</v>
      </c>
      <c r="J34" s="64">
        <v>0.16</v>
      </c>
      <c r="K34" s="64">
        <v>132.27000000000001</v>
      </c>
      <c r="L34" s="64">
        <v>21.91</v>
      </c>
      <c r="M34" s="64">
        <v>98.27</v>
      </c>
      <c r="N34" s="64">
        <v>69.099999999999994</v>
      </c>
      <c r="O34" s="64">
        <v>0</v>
      </c>
      <c r="P34" s="64">
        <v>0.54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1" t="s">
        <v>466</v>
      </c>
      <c r="B35" s="64">
        <v>18.2</v>
      </c>
      <c r="C35" s="64">
        <v>5.93</v>
      </c>
      <c r="D35" s="64">
        <v>17.690000000000001</v>
      </c>
      <c r="E35" s="64">
        <v>4.75</v>
      </c>
      <c r="F35" s="64">
        <v>8.67</v>
      </c>
      <c r="G35" s="64">
        <v>42.1</v>
      </c>
      <c r="H35" s="64">
        <v>9.93</v>
      </c>
      <c r="I35" s="64">
        <v>3.11</v>
      </c>
      <c r="J35" s="64">
        <v>0.13</v>
      </c>
      <c r="K35" s="64">
        <v>139.01</v>
      </c>
      <c r="L35" s="64">
        <v>22.23</v>
      </c>
      <c r="M35" s="64">
        <v>98.27</v>
      </c>
      <c r="N35" s="64">
        <v>87.2</v>
      </c>
      <c r="O35" s="64">
        <v>0</v>
      </c>
      <c r="P35" s="64">
        <v>0.53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1" t="s">
        <v>467</v>
      </c>
      <c r="B36" s="64">
        <v>20.82</v>
      </c>
      <c r="C36" s="64">
        <v>4.96</v>
      </c>
      <c r="D36" s="64">
        <v>19.29</v>
      </c>
      <c r="E36" s="64">
        <v>4.88</v>
      </c>
      <c r="F36" s="64">
        <v>7.31</v>
      </c>
      <c r="G36" s="64">
        <v>42.1</v>
      </c>
      <c r="H36" s="64">
        <v>9.93</v>
      </c>
      <c r="I36" s="64">
        <v>3.08</v>
      </c>
      <c r="J36" s="64">
        <v>0.18</v>
      </c>
      <c r="K36" s="64">
        <v>138.02000000000001</v>
      </c>
      <c r="L36" s="64">
        <v>22.79</v>
      </c>
      <c r="M36" s="64">
        <v>98.25</v>
      </c>
      <c r="N36" s="64">
        <v>120.3</v>
      </c>
      <c r="O36" s="64">
        <v>0</v>
      </c>
      <c r="P36" s="64">
        <v>0.56000000000000005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1" t="s">
        <v>468</v>
      </c>
      <c r="B37" s="64">
        <v>25.54</v>
      </c>
      <c r="C37" s="64">
        <v>6.36</v>
      </c>
      <c r="D37" s="64">
        <v>23.8</v>
      </c>
      <c r="E37" s="64">
        <v>4.99</v>
      </c>
      <c r="F37" s="64">
        <v>7.07</v>
      </c>
      <c r="G37" s="64">
        <v>42.1</v>
      </c>
      <c r="H37" s="64">
        <v>9.93</v>
      </c>
      <c r="I37" s="64">
        <v>3.04</v>
      </c>
      <c r="J37" s="64">
        <v>0.19</v>
      </c>
      <c r="K37" s="64">
        <v>117.26</v>
      </c>
      <c r="L37" s="64">
        <v>23.86</v>
      </c>
      <c r="M37" s="64">
        <v>94.8</v>
      </c>
      <c r="N37" s="64">
        <v>198.4</v>
      </c>
      <c r="O37" s="64">
        <v>0.2</v>
      </c>
      <c r="P37" s="64">
        <v>0.64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1" t="s">
        <v>469</v>
      </c>
      <c r="B38" s="64">
        <v>21.7</v>
      </c>
      <c r="C38" s="64">
        <v>8.6300000000000008</v>
      </c>
      <c r="D38" s="64">
        <v>21.91</v>
      </c>
      <c r="E38" s="64">
        <v>4.96</v>
      </c>
      <c r="F38" s="64">
        <v>8.3800000000000008</v>
      </c>
      <c r="G38" s="64">
        <v>43.75</v>
      </c>
      <c r="H38" s="64">
        <v>8.5299999999999994</v>
      </c>
      <c r="I38" s="64">
        <v>3</v>
      </c>
      <c r="J38" s="64">
        <v>0.41</v>
      </c>
      <c r="K38" s="64">
        <v>124.63</v>
      </c>
      <c r="L38" s="64">
        <v>25.14</v>
      </c>
      <c r="M38" s="64">
        <v>86.9</v>
      </c>
      <c r="N38" s="64">
        <v>258.8</v>
      </c>
      <c r="O38" s="64">
        <v>0</v>
      </c>
      <c r="P38" s="64">
        <v>0.66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11" t="s">
        <v>470</v>
      </c>
      <c r="B39" s="64">
        <v>21.97</v>
      </c>
      <c r="C39" s="64">
        <v>6.37</v>
      </c>
      <c r="D39" s="64">
        <v>20.95</v>
      </c>
      <c r="E39" s="64">
        <v>5.14</v>
      </c>
      <c r="F39" s="64">
        <v>7.9</v>
      </c>
      <c r="G39" s="64">
        <v>44.42</v>
      </c>
      <c r="H39" s="64">
        <v>8.39</v>
      </c>
      <c r="I39" s="64">
        <v>2.99</v>
      </c>
      <c r="J39" s="64">
        <v>0.15</v>
      </c>
      <c r="K39" s="64">
        <v>357.06</v>
      </c>
      <c r="L39" s="64">
        <v>26.83</v>
      </c>
      <c r="M39" s="64">
        <v>74.36</v>
      </c>
      <c r="N39" s="64">
        <v>311.89999999999998</v>
      </c>
      <c r="O39" s="64">
        <v>0</v>
      </c>
      <c r="P39" s="64">
        <v>0.74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1" t="s">
        <v>471</v>
      </c>
      <c r="B40" s="64">
        <v>27.18</v>
      </c>
      <c r="C40" s="64">
        <v>8.6999999999999993</v>
      </c>
      <c r="D40" s="64">
        <v>26.34</v>
      </c>
      <c r="E40" s="64">
        <v>6.68</v>
      </c>
      <c r="F40" s="64">
        <v>7.61</v>
      </c>
      <c r="G40" s="64">
        <v>44.42</v>
      </c>
      <c r="H40" s="64">
        <v>8.39</v>
      </c>
      <c r="I40" s="64">
        <v>2.97</v>
      </c>
      <c r="J40" s="64">
        <v>0.26</v>
      </c>
      <c r="K40" s="64">
        <v>346.64</v>
      </c>
      <c r="L40" s="64">
        <v>28.25</v>
      </c>
      <c r="M40" s="64">
        <v>67.59</v>
      </c>
      <c r="N40" s="64">
        <v>370.5</v>
      </c>
      <c r="O40" s="64">
        <v>0</v>
      </c>
      <c r="P40" s="64">
        <v>0.79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1" t="s">
        <v>472</v>
      </c>
      <c r="B41" s="64">
        <v>23.66</v>
      </c>
      <c r="C41" s="64">
        <v>8.4700000000000006</v>
      </c>
      <c r="D41" s="64">
        <v>23.4</v>
      </c>
      <c r="E41" s="64">
        <v>7.21</v>
      </c>
      <c r="F41" s="64">
        <v>9.73</v>
      </c>
      <c r="G41" s="64">
        <v>44.42</v>
      </c>
      <c r="H41" s="64">
        <v>8.39</v>
      </c>
      <c r="I41" s="64">
        <v>2.95</v>
      </c>
      <c r="J41" s="64">
        <v>0.17</v>
      </c>
      <c r="K41" s="64">
        <v>105.82</v>
      </c>
      <c r="L41" s="64">
        <v>29.35</v>
      </c>
      <c r="M41" s="64">
        <v>60.55</v>
      </c>
      <c r="N41" s="64">
        <v>418.7</v>
      </c>
      <c r="O41" s="64">
        <v>0</v>
      </c>
      <c r="P41" s="64">
        <v>0.73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1" t="s">
        <v>473</v>
      </c>
      <c r="B42" s="64">
        <v>21.67</v>
      </c>
      <c r="C42" s="64">
        <v>3.48</v>
      </c>
      <c r="D42" s="64">
        <v>19.2</v>
      </c>
      <c r="E42" s="64">
        <v>6.53</v>
      </c>
      <c r="F42" s="64">
        <v>6.84</v>
      </c>
      <c r="G42" s="64">
        <v>44.06</v>
      </c>
      <c r="H42" s="64">
        <v>6.46</v>
      </c>
      <c r="I42" s="64">
        <v>2.96</v>
      </c>
      <c r="J42" s="64">
        <v>0.71</v>
      </c>
      <c r="K42" s="64">
        <v>130.47</v>
      </c>
      <c r="L42" s="64">
        <v>27.35</v>
      </c>
      <c r="M42" s="64">
        <v>68.89</v>
      </c>
      <c r="N42" s="64">
        <v>480.4</v>
      </c>
      <c r="O42" s="64">
        <v>0</v>
      </c>
      <c r="P42" s="64">
        <v>0.73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1" t="s">
        <v>474</v>
      </c>
      <c r="B43" s="64">
        <v>17.53</v>
      </c>
      <c r="C43" s="64">
        <v>10.11</v>
      </c>
      <c r="D43" s="64">
        <v>19.34</v>
      </c>
      <c r="E43" s="64">
        <v>6.82</v>
      </c>
      <c r="F43" s="64">
        <v>8.27</v>
      </c>
      <c r="G43" s="64">
        <v>43.92</v>
      </c>
      <c r="H43" s="64">
        <v>6.34</v>
      </c>
      <c r="I43" s="64">
        <v>2.94</v>
      </c>
      <c r="J43" s="64">
        <v>0.57999999999999996</v>
      </c>
      <c r="K43" s="64">
        <v>132.31</v>
      </c>
      <c r="L43" s="64">
        <v>28.63</v>
      </c>
      <c r="M43" s="64">
        <v>64.03</v>
      </c>
      <c r="N43" s="64">
        <v>525.1</v>
      </c>
      <c r="O43" s="64">
        <v>0</v>
      </c>
      <c r="P43" s="64">
        <v>0.66</v>
      </c>
      <c r="Q43" s="64">
        <v>9.49</v>
      </c>
      <c r="R43" s="198"/>
      <c r="S43" s="198"/>
      <c r="T43" s="198"/>
      <c r="U43" s="198"/>
    </row>
    <row r="44" spans="1:21" s="12" customFormat="1" x14ac:dyDescent="0.25">
      <c r="A44" s="211" t="s">
        <v>475</v>
      </c>
      <c r="B44" s="64">
        <v>18.05</v>
      </c>
      <c r="C44" s="64">
        <v>10.25</v>
      </c>
      <c r="D44" s="64">
        <v>19.829999999999998</v>
      </c>
      <c r="E44" s="64">
        <v>7.15</v>
      </c>
      <c r="F44" s="64">
        <v>8.7799999999999994</v>
      </c>
      <c r="G44" s="64">
        <v>43.92</v>
      </c>
      <c r="H44" s="64">
        <v>6.34</v>
      </c>
      <c r="I44" s="64">
        <v>2.9</v>
      </c>
      <c r="J44" s="64">
        <v>0.57999999999999996</v>
      </c>
      <c r="K44" s="64">
        <v>127.05</v>
      </c>
      <c r="L44" s="64">
        <v>28.92</v>
      </c>
      <c r="M44" s="64">
        <v>62.35</v>
      </c>
      <c r="N44" s="64">
        <v>557.29999999999995</v>
      </c>
      <c r="O44" s="64">
        <v>0</v>
      </c>
      <c r="P44" s="64">
        <v>0.63</v>
      </c>
      <c r="Q44" s="64">
        <v>9.48</v>
      </c>
      <c r="R44" s="198"/>
      <c r="S44" s="198"/>
      <c r="T44" s="198"/>
      <c r="U44" s="198"/>
    </row>
    <row r="45" spans="1:21" s="12" customFormat="1" x14ac:dyDescent="0.25">
      <c r="A45" s="211" t="s">
        <v>476</v>
      </c>
      <c r="B45" s="64">
        <v>18.21</v>
      </c>
      <c r="C45" s="64">
        <v>10.48</v>
      </c>
      <c r="D45" s="64">
        <v>20.079999999999998</v>
      </c>
      <c r="E45" s="64">
        <v>7.55</v>
      </c>
      <c r="F45" s="64">
        <v>8.4499999999999993</v>
      </c>
      <c r="G45" s="64">
        <v>43.92</v>
      </c>
      <c r="H45" s="64">
        <v>6.34</v>
      </c>
      <c r="I45" s="64">
        <v>2.89</v>
      </c>
      <c r="J45" s="64">
        <v>0.64</v>
      </c>
      <c r="K45" s="64">
        <v>130.13</v>
      </c>
      <c r="L45" s="64">
        <v>28.6</v>
      </c>
      <c r="M45" s="64">
        <v>62.2</v>
      </c>
      <c r="N45" s="64">
        <v>597.4</v>
      </c>
      <c r="O45" s="64">
        <v>0</v>
      </c>
      <c r="P45" s="64">
        <v>0.62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11" t="s">
        <v>477</v>
      </c>
      <c r="B46" s="64">
        <v>16.82</v>
      </c>
      <c r="C46" s="64">
        <v>16.46</v>
      </c>
      <c r="D46" s="64">
        <v>22.09</v>
      </c>
      <c r="E46" s="64">
        <v>7.82</v>
      </c>
      <c r="F46" s="64">
        <v>8.93</v>
      </c>
      <c r="G46" s="64">
        <v>41.93</v>
      </c>
      <c r="H46" s="64">
        <v>6.88</v>
      </c>
      <c r="I46" s="64">
        <v>2.88</v>
      </c>
      <c r="J46" s="64">
        <v>0.77</v>
      </c>
      <c r="K46" s="64">
        <v>341.63</v>
      </c>
      <c r="L46" s="64">
        <v>31.06</v>
      </c>
      <c r="M46" s="64">
        <v>53.55</v>
      </c>
      <c r="N46" s="64">
        <v>635.70000000000005</v>
      </c>
      <c r="O46" s="64">
        <v>0</v>
      </c>
      <c r="P46" s="64">
        <v>0.66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1" t="s">
        <v>478</v>
      </c>
      <c r="B47" s="64">
        <v>13.25</v>
      </c>
      <c r="C47" s="64">
        <v>22.87</v>
      </c>
      <c r="D47" s="64">
        <v>22</v>
      </c>
      <c r="E47" s="64">
        <v>7.37</v>
      </c>
      <c r="F47" s="64">
        <v>7.41</v>
      </c>
      <c r="G47" s="64">
        <v>41.12</v>
      </c>
      <c r="H47" s="64">
        <v>6.92</v>
      </c>
      <c r="I47" s="64">
        <v>2.77</v>
      </c>
      <c r="J47" s="64">
        <v>0.15</v>
      </c>
      <c r="K47" s="64">
        <v>79.16</v>
      </c>
      <c r="L47" s="64">
        <v>31.4</v>
      </c>
      <c r="M47" s="64">
        <v>52.1</v>
      </c>
      <c r="N47" s="64">
        <v>675</v>
      </c>
      <c r="O47" s="64">
        <v>0</v>
      </c>
      <c r="P47" s="64">
        <v>0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1" t="s">
        <v>479</v>
      </c>
      <c r="B48" s="64">
        <v>7.42</v>
      </c>
      <c r="C48" s="64">
        <v>21.51</v>
      </c>
      <c r="D48" s="64">
        <v>17.190000000000001</v>
      </c>
      <c r="E48" s="64">
        <v>7.13</v>
      </c>
      <c r="F48" s="64">
        <v>9.19</v>
      </c>
      <c r="G48" s="64">
        <v>41.12</v>
      </c>
      <c r="H48" s="64">
        <v>6.92</v>
      </c>
      <c r="I48" s="64">
        <v>2.41</v>
      </c>
      <c r="J48" s="64">
        <v>0.41</v>
      </c>
      <c r="K48" s="64">
        <v>143.44999999999999</v>
      </c>
      <c r="L48" s="64">
        <v>30.53</v>
      </c>
      <c r="M48" s="64">
        <v>55.2</v>
      </c>
      <c r="N48" s="64">
        <v>584.4</v>
      </c>
      <c r="O48" s="64">
        <v>0</v>
      </c>
      <c r="P48" s="64">
        <v>0</v>
      </c>
      <c r="Q48" s="64">
        <v>9.2100000000000009</v>
      </c>
      <c r="R48" s="198"/>
      <c r="S48" s="198"/>
      <c r="T48" s="198"/>
      <c r="U48" s="198"/>
    </row>
    <row r="49" spans="1:21" s="12" customFormat="1" x14ac:dyDescent="0.25">
      <c r="A49" s="211" t="s">
        <v>480</v>
      </c>
      <c r="B49" s="64">
        <v>7.17</v>
      </c>
      <c r="C49" s="64">
        <v>22.19</v>
      </c>
      <c r="D49" s="64">
        <v>17.34</v>
      </c>
      <c r="E49" s="64">
        <v>6.89</v>
      </c>
      <c r="F49" s="64">
        <v>7.78</v>
      </c>
      <c r="G49" s="64">
        <v>41.12</v>
      </c>
      <c r="H49" s="64">
        <v>6.92</v>
      </c>
      <c r="I49" s="64">
        <v>2.08</v>
      </c>
      <c r="J49" s="64">
        <v>0.31</v>
      </c>
      <c r="K49" s="64">
        <v>337.8</v>
      </c>
      <c r="L49" s="64">
        <v>31.21</v>
      </c>
      <c r="M49" s="64">
        <v>54.32</v>
      </c>
      <c r="N49" s="64">
        <v>615.9</v>
      </c>
      <c r="O49" s="64">
        <v>0</v>
      </c>
      <c r="P49" s="64">
        <v>0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1" t="s">
        <v>481</v>
      </c>
      <c r="B50" s="64">
        <v>11.42</v>
      </c>
      <c r="C50" s="64">
        <v>19.100000000000001</v>
      </c>
      <c r="D50" s="64">
        <v>19.14</v>
      </c>
      <c r="E50" s="64">
        <v>7.2</v>
      </c>
      <c r="F50" s="64">
        <v>13.02</v>
      </c>
      <c r="G50" s="64">
        <v>44.23</v>
      </c>
      <c r="H50" s="64">
        <v>6.46</v>
      </c>
      <c r="I50" s="64">
        <v>1.89</v>
      </c>
      <c r="J50" s="64">
        <v>0.5</v>
      </c>
      <c r="K50" s="64">
        <v>334.89</v>
      </c>
      <c r="L50" s="64">
        <v>32.880000000000003</v>
      </c>
      <c r="M50" s="64">
        <v>48.79</v>
      </c>
      <c r="N50" s="64">
        <v>515.5</v>
      </c>
      <c r="O50" s="64">
        <v>0</v>
      </c>
      <c r="P50" s="64">
        <v>0</v>
      </c>
      <c r="Q50" s="64">
        <v>9.11</v>
      </c>
      <c r="R50" s="198"/>
      <c r="S50" s="198"/>
      <c r="T50" s="198"/>
      <c r="U50" s="198"/>
    </row>
    <row r="51" spans="1:21" s="12" customFormat="1" x14ac:dyDescent="0.25">
      <c r="A51" s="211" t="s">
        <v>482</v>
      </c>
      <c r="B51" s="64">
        <v>8.2799999999999994</v>
      </c>
      <c r="C51" s="64">
        <v>19.61</v>
      </c>
      <c r="D51" s="64">
        <v>16.89</v>
      </c>
      <c r="E51" s="64">
        <v>7.71</v>
      </c>
      <c r="F51" s="64">
        <v>17.39</v>
      </c>
      <c r="G51" s="64">
        <v>45.57</v>
      </c>
      <c r="H51" s="64">
        <v>6.43</v>
      </c>
      <c r="I51" s="64">
        <v>1.93</v>
      </c>
      <c r="J51" s="64">
        <v>0.41</v>
      </c>
      <c r="K51" s="64">
        <v>338.07</v>
      </c>
      <c r="L51" s="64">
        <v>32.42</v>
      </c>
      <c r="M51" s="64">
        <v>49.72</v>
      </c>
      <c r="N51" s="64">
        <v>598.70000000000005</v>
      </c>
      <c r="O51" s="64">
        <v>0</v>
      </c>
      <c r="P51" s="64">
        <v>0</v>
      </c>
      <c r="Q51" s="64">
        <v>9.1</v>
      </c>
      <c r="R51" s="198"/>
      <c r="S51" s="198"/>
      <c r="T51" s="198"/>
      <c r="U51" s="198"/>
    </row>
    <row r="52" spans="1:21" s="12" customFormat="1" x14ac:dyDescent="0.25">
      <c r="A52" s="211" t="s">
        <v>483</v>
      </c>
      <c r="B52" s="64">
        <v>9.69</v>
      </c>
      <c r="C52" s="64">
        <v>18.329999999999998</v>
      </c>
      <c r="D52" s="64">
        <v>17.34</v>
      </c>
      <c r="E52" s="64">
        <v>7.85</v>
      </c>
      <c r="F52" s="64">
        <v>14.97</v>
      </c>
      <c r="G52" s="64">
        <v>45.57</v>
      </c>
      <c r="H52" s="64">
        <v>6.43</v>
      </c>
      <c r="I52" s="64">
        <v>1.92</v>
      </c>
      <c r="J52" s="64">
        <v>0.06</v>
      </c>
      <c r="K52" s="64">
        <v>186.69</v>
      </c>
      <c r="L52" s="64">
        <v>32.270000000000003</v>
      </c>
      <c r="M52" s="64">
        <v>50.3</v>
      </c>
      <c r="N52" s="64">
        <v>673.7</v>
      </c>
      <c r="O52" s="64">
        <v>0</v>
      </c>
      <c r="P52" s="64">
        <v>0</v>
      </c>
      <c r="Q52" s="64">
        <v>9.1199999999999992</v>
      </c>
      <c r="R52" s="198"/>
      <c r="S52" s="198"/>
      <c r="T52" s="198"/>
      <c r="U52" s="198"/>
    </row>
    <row r="53" spans="1:21" s="12" customFormat="1" x14ac:dyDescent="0.25">
      <c r="A53" s="211" t="s">
        <v>484</v>
      </c>
      <c r="B53" s="64">
        <v>7.1</v>
      </c>
      <c r="C53" s="64">
        <v>14.64</v>
      </c>
      <c r="D53" s="64">
        <v>13.35</v>
      </c>
      <c r="E53" s="64">
        <v>7.24</v>
      </c>
      <c r="F53" s="64">
        <v>11.39</v>
      </c>
      <c r="G53" s="64">
        <v>45.57</v>
      </c>
      <c r="H53" s="64">
        <v>6.43</v>
      </c>
      <c r="I53" s="64">
        <v>1.97</v>
      </c>
      <c r="J53" s="64">
        <v>0.46</v>
      </c>
      <c r="K53" s="64">
        <v>328.11</v>
      </c>
      <c r="L53" s="64">
        <v>31.38</v>
      </c>
      <c r="M53" s="64">
        <v>53.37</v>
      </c>
      <c r="N53" s="64">
        <v>691.7</v>
      </c>
      <c r="O53" s="64">
        <v>0</v>
      </c>
      <c r="P53" s="64">
        <v>0</v>
      </c>
      <c r="Q53" s="64">
        <v>9.1300000000000008</v>
      </c>
      <c r="R53" s="198"/>
      <c r="S53" s="198"/>
      <c r="T53" s="198"/>
      <c r="U53" s="198"/>
    </row>
    <row r="54" spans="1:21" s="12" customFormat="1" x14ac:dyDescent="0.25">
      <c r="A54" s="211" t="s">
        <v>485</v>
      </c>
      <c r="B54" s="64">
        <v>7.78</v>
      </c>
      <c r="C54" s="64">
        <v>16.57</v>
      </c>
      <c r="D54" s="64">
        <v>14.9</v>
      </c>
      <c r="E54" s="64">
        <v>7.76</v>
      </c>
      <c r="F54" s="64">
        <v>14.96</v>
      </c>
      <c r="G54" s="64">
        <v>43.6</v>
      </c>
      <c r="H54" s="64">
        <v>9.19</v>
      </c>
      <c r="I54" s="64">
        <v>2.09</v>
      </c>
      <c r="J54" s="64">
        <v>0.23</v>
      </c>
      <c r="K54" s="64">
        <v>313.06</v>
      </c>
      <c r="L54" s="64">
        <v>32.04</v>
      </c>
      <c r="M54" s="64">
        <v>51.34</v>
      </c>
      <c r="N54" s="64">
        <v>458.5</v>
      </c>
      <c r="O54" s="64">
        <v>0</v>
      </c>
      <c r="P54" s="64">
        <v>0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1" t="s">
        <v>486</v>
      </c>
      <c r="B55" s="64">
        <v>8.0500000000000007</v>
      </c>
      <c r="C55" s="64">
        <v>15.83</v>
      </c>
      <c r="D55" s="64">
        <v>14.73</v>
      </c>
      <c r="E55" s="64">
        <v>7.85</v>
      </c>
      <c r="F55" s="64">
        <v>12.04</v>
      </c>
      <c r="G55" s="64">
        <v>42.76</v>
      </c>
      <c r="H55" s="64">
        <v>9.48</v>
      </c>
      <c r="I55" s="64">
        <v>2.12</v>
      </c>
      <c r="J55" s="64">
        <v>0.65</v>
      </c>
      <c r="K55" s="64">
        <v>330.24</v>
      </c>
      <c r="L55" s="64">
        <v>32.42</v>
      </c>
      <c r="M55" s="64">
        <v>50.88</v>
      </c>
      <c r="N55" s="64">
        <v>673.2</v>
      </c>
      <c r="O55" s="64">
        <v>0</v>
      </c>
      <c r="P55" s="64">
        <v>0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11" t="s">
        <v>487</v>
      </c>
      <c r="B56" s="64">
        <v>7.64</v>
      </c>
      <c r="C56" s="64">
        <v>13.9</v>
      </c>
      <c r="D56" s="64">
        <v>13.39</v>
      </c>
      <c r="E56" s="64">
        <v>8.43</v>
      </c>
      <c r="F56" s="64">
        <v>10.17</v>
      </c>
      <c r="G56" s="64">
        <v>42.76</v>
      </c>
      <c r="H56" s="64">
        <v>9.48</v>
      </c>
      <c r="I56" s="64">
        <v>2.15</v>
      </c>
      <c r="J56" s="64">
        <v>0.36</v>
      </c>
      <c r="K56" s="64">
        <v>313.83999999999997</v>
      </c>
      <c r="L56" s="64">
        <v>33.11</v>
      </c>
      <c r="M56" s="64">
        <v>46.62</v>
      </c>
      <c r="N56" s="64">
        <v>622.29999999999995</v>
      </c>
      <c r="O56" s="64">
        <v>0</v>
      </c>
      <c r="P56" s="64">
        <v>0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1" t="s">
        <v>488</v>
      </c>
      <c r="B57" s="64">
        <v>6.81</v>
      </c>
      <c r="C57" s="64">
        <v>14.08</v>
      </c>
      <c r="D57" s="64">
        <v>12.82</v>
      </c>
      <c r="E57" s="64">
        <v>8.0500000000000007</v>
      </c>
      <c r="F57" s="64">
        <v>12.24</v>
      </c>
      <c r="G57" s="64">
        <v>42.76</v>
      </c>
      <c r="H57" s="64">
        <v>9.48</v>
      </c>
      <c r="I57" s="64">
        <v>2.16</v>
      </c>
      <c r="J57" s="64">
        <v>0.6</v>
      </c>
      <c r="K57" s="64">
        <v>326.44</v>
      </c>
      <c r="L57" s="64">
        <v>33.19</v>
      </c>
      <c r="M57" s="64">
        <v>46.06</v>
      </c>
      <c r="N57" s="64">
        <v>743.2</v>
      </c>
      <c r="O57" s="64">
        <v>0</v>
      </c>
      <c r="P57" s="64">
        <v>0</v>
      </c>
      <c r="Q57" s="64">
        <v>9.15</v>
      </c>
      <c r="R57" s="198"/>
      <c r="S57" s="198"/>
      <c r="T57" s="198"/>
      <c r="U57" s="198"/>
    </row>
    <row r="58" spans="1:21" s="12" customFormat="1" x14ac:dyDescent="0.25">
      <c r="A58" s="211" t="s">
        <v>489</v>
      </c>
      <c r="B58" s="64">
        <v>7.41</v>
      </c>
      <c r="C58" s="64">
        <v>12.36</v>
      </c>
      <c r="D58" s="64">
        <v>12.4</v>
      </c>
      <c r="E58" s="64">
        <v>7.62</v>
      </c>
      <c r="F58" s="64">
        <v>10.24</v>
      </c>
      <c r="G58" s="64">
        <v>42.02</v>
      </c>
      <c r="H58" s="64">
        <v>7.13</v>
      </c>
      <c r="I58" s="64">
        <v>2.1800000000000002</v>
      </c>
      <c r="J58" s="64">
        <v>0.65</v>
      </c>
      <c r="K58" s="64">
        <v>327.24</v>
      </c>
      <c r="L58" s="64">
        <v>33.5</v>
      </c>
      <c r="M58" s="64">
        <v>44.1</v>
      </c>
      <c r="N58" s="64">
        <v>555</v>
      </c>
      <c r="O58" s="64">
        <v>0</v>
      </c>
      <c r="P58" s="64">
        <v>0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1" t="s">
        <v>490</v>
      </c>
      <c r="B59" s="64">
        <v>6.53</v>
      </c>
      <c r="C59" s="64">
        <v>12.43</v>
      </c>
      <c r="D59" s="64">
        <v>11.73</v>
      </c>
      <c r="E59" s="64">
        <v>7.31</v>
      </c>
      <c r="F59" s="64">
        <v>7.63</v>
      </c>
      <c r="G59" s="64">
        <v>41.72</v>
      </c>
      <c r="H59" s="64">
        <v>6.98</v>
      </c>
      <c r="I59" s="64">
        <v>2.19</v>
      </c>
      <c r="J59" s="64">
        <v>0.66</v>
      </c>
      <c r="K59" s="64">
        <v>324.27</v>
      </c>
      <c r="L59" s="64">
        <v>32.159999999999997</v>
      </c>
      <c r="M59" s="64">
        <v>47.49</v>
      </c>
      <c r="N59" s="64">
        <v>517.4</v>
      </c>
      <c r="O59" s="64">
        <v>0</v>
      </c>
      <c r="P59" s="64">
        <v>0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1" t="s">
        <v>491</v>
      </c>
      <c r="B60" s="64">
        <v>6.69</v>
      </c>
      <c r="C60" s="64">
        <v>12.1</v>
      </c>
      <c r="D60" s="64">
        <v>11.69</v>
      </c>
      <c r="E60" s="64">
        <v>6.46</v>
      </c>
      <c r="F60" s="64">
        <v>6.12</v>
      </c>
      <c r="G60" s="64">
        <v>41.72</v>
      </c>
      <c r="H60" s="64">
        <v>6.98</v>
      </c>
      <c r="I60" s="64">
        <v>2.17</v>
      </c>
      <c r="J60" s="64">
        <v>1.22</v>
      </c>
      <c r="K60" s="64">
        <v>329.09</v>
      </c>
      <c r="L60" s="64">
        <v>32.549999999999997</v>
      </c>
      <c r="M60" s="64">
        <v>42.47</v>
      </c>
      <c r="N60" s="64">
        <v>574</v>
      </c>
      <c r="O60" s="64">
        <v>0</v>
      </c>
      <c r="P60" s="64">
        <v>0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1" t="s">
        <v>492</v>
      </c>
      <c r="B61" s="64">
        <v>8.19</v>
      </c>
      <c r="C61" s="64">
        <v>11.06</v>
      </c>
      <c r="D61" s="64">
        <v>12.35</v>
      </c>
      <c r="E61" s="64">
        <v>6.49</v>
      </c>
      <c r="F61" s="64">
        <v>10.52</v>
      </c>
      <c r="G61" s="64">
        <v>41.72</v>
      </c>
      <c r="H61" s="64">
        <v>6.98</v>
      </c>
      <c r="I61" s="64">
        <v>2.09</v>
      </c>
      <c r="J61" s="64">
        <v>1.03</v>
      </c>
      <c r="K61" s="64">
        <v>332.61</v>
      </c>
      <c r="L61" s="64">
        <v>32.03</v>
      </c>
      <c r="M61" s="64">
        <v>43.34</v>
      </c>
      <c r="N61" s="64">
        <v>257.8</v>
      </c>
      <c r="O61" s="64">
        <v>0</v>
      </c>
      <c r="P61" s="64">
        <v>0</v>
      </c>
      <c r="Q61" s="64">
        <v>9.07</v>
      </c>
      <c r="R61" s="198"/>
      <c r="S61" s="198"/>
      <c r="T61" s="198"/>
      <c r="U61" s="198"/>
    </row>
    <row r="62" spans="1:21" s="12" customFormat="1" x14ac:dyDescent="0.25">
      <c r="A62" s="211" t="s">
        <v>493</v>
      </c>
      <c r="B62" s="64">
        <v>7.05</v>
      </c>
      <c r="C62" s="64">
        <v>10.6</v>
      </c>
      <c r="D62" s="64">
        <v>11.2</v>
      </c>
      <c r="E62" s="64">
        <v>6.58</v>
      </c>
      <c r="F62" s="64">
        <v>9.44</v>
      </c>
      <c r="G62" s="64">
        <v>35.72</v>
      </c>
      <c r="H62" s="64">
        <v>6.92</v>
      </c>
      <c r="I62" s="64">
        <v>1.98</v>
      </c>
      <c r="J62" s="64">
        <v>0.99</v>
      </c>
      <c r="K62" s="64">
        <v>332.14</v>
      </c>
      <c r="L62" s="64">
        <v>31.9</v>
      </c>
      <c r="M62" s="64">
        <v>43.3</v>
      </c>
      <c r="N62" s="64">
        <v>218.2</v>
      </c>
      <c r="O62" s="64">
        <v>0</v>
      </c>
      <c r="P62" s="64">
        <v>0</v>
      </c>
      <c r="Q62" s="64">
        <v>9.07</v>
      </c>
      <c r="R62" s="198"/>
      <c r="S62" s="198"/>
      <c r="T62" s="198"/>
      <c r="U62" s="198"/>
    </row>
    <row r="63" spans="1:21" s="12" customFormat="1" x14ac:dyDescent="0.25">
      <c r="A63" s="211" t="s">
        <v>494</v>
      </c>
      <c r="B63" s="64">
        <v>6.58</v>
      </c>
      <c r="C63" s="64">
        <v>10.32</v>
      </c>
      <c r="D63" s="64">
        <v>10.67</v>
      </c>
      <c r="E63" s="64">
        <v>5.81</v>
      </c>
      <c r="F63" s="64">
        <v>9.0399999999999991</v>
      </c>
      <c r="G63" s="64">
        <v>33.15</v>
      </c>
      <c r="H63" s="64">
        <v>6.92</v>
      </c>
      <c r="I63" s="64">
        <v>1.92</v>
      </c>
      <c r="J63" s="64">
        <v>1.1200000000000001</v>
      </c>
      <c r="K63" s="64">
        <v>330.12</v>
      </c>
      <c r="L63" s="64">
        <v>31.75</v>
      </c>
      <c r="M63" s="64">
        <v>44.42</v>
      </c>
      <c r="N63" s="64">
        <v>217.9</v>
      </c>
      <c r="O63" s="64">
        <v>0</v>
      </c>
      <c r="P63" s="64">
        <v>0</v>
      </c>
      <c r="Q63" s="64">
        <v>9.06</v>
      </c>
      <c r="R63" s="198"/>
      <c r="S63" s="198"/>
      <c r="T63" s="198"/>
      <c r="U63" s="198"/>
    </row>
    <row r="64" spans="1:21" s="12" customFormat="1" x14ac:dyDescent="0.25">
      <c r="A64" s="211" t="s">
        <v>495</v>
      </c>
      <c r="B64" s="64">
        <v>8.68</v>
      </c>
      <c r="C64" s="64">
        <v>11.05</v>
      </c>
      <c r="D64" s="64">
        <v>12.73</v>
      </c>
      <c r="E64" s="64">
        <v>6.26</v>
      </c>
      <c r="F64" s="64">
        <v>12.36</v>
      </c>
      <c r="G64" s="64">
        <v>33.15</v>
      </c>
      <c r="H64" s="64">
        <v>6.92</v>
      </c>
      <c r="I64" s="64">
        <v>1.87</v>
      </c>
      <c r="J64" s="64">
        <v>1.02</v>
      </c>
      <c r="K64" s="64">
        <v>335.1</v>
      </c>
      <c r="L64" s="64">
        <v>31.78</v>
      </c>
      <c r="M64" s="64">
        <v>43.52</v>
      </c>
      <c r="N64" s="64">
        <v>192.4</v>
      </c>
      <c r="O64" s="64">
        <v>0</v>
      </c>
      <c r="P64" s="64">
        <v>0</v>
      </c>
      <c r="Q64" s="64">
        <v>9.0500000000000007</v>
      </c>
      <c r="R64" s="198"/>
      <c r="S64" s="198"/>
      <c r="T64" s="198"/>
      <c r="U64" s="198"/>
    </row>
    <row r="65" spans="1:21" s="12" customFormat="1" x14ac:dyDescent="0.25">
      <c r="A65" s="211" t="s">
        <v>496</v>
      </c>
      <c r="B65" s="64">
        <v>8.24</v>
      </c>
      <c r="C65" s="64">
        <v>11.29</v>
      </c>
      <c r="D65" s="64">
        <v>12.51</v>
      </c>
      <c r="E65" s="64">
        <v>6.49</v>
      </c>
      <c r="F65" s="64">
        <v>14.14</v>
      </c>
      <c r="G65" s="64">
        <v>33.15</v>
      </c>
      <c r="H65" s="64">
        <v>6.92</v>
      </c>
      <c r="I65" s="64">
        <v>1.82</v>
      </c>
      <c r="J65" s="64">
        <v>1.38</v>
      </c>
      <c r="K65" s="64">
        <v>335.85</v>
      </c>
      <c r="L65" s="64">
        <v>31.35</v>
      </c>
      <c r="M65" s="64">
        <v>45.63</v>
      </c>
      <c r="N65" s="64">
        <v>163.30000000000001</v>
      </c>
      <c r="O65" s="64">
        <v>0</v>
      </c>
      <c r="P65" s="64">
        <v>0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1" t="s">
        <v>497</v>
      </c>
      <c r="B66" s="64">
        <v>7.88</v>
      </c>
      <c r="C66" s="64">
        <v>10.85</v>
      </c>
      <c r="D66" s="64">
        <v>11.99</v>
      </c>
      <c r="E66" s="64">
        <v>6.18</v>
      </c>
      <c r="F66" s="64">
        <v>10.66</v>
      </c>
      <c r="G66" s="64">
        <v>34.119999999999997</v>
      </c>
      <c r="H66" s="64">
        <v>8.98</v>
      </c>
      <c r="I66" s="64">
        <v>1.78</v>
      </c>
      <c r="J66" s="64">
        <v>1.1399999999999999</v>
      </c>
      <c r="K66" s="64">
        <v>329.73</v>
      </c>
      <c r="L66" s="64">
        <v>30.93</v>
      </c>
      <c r="M66" s="64">
        <v>45.77</v>
      </c>
      <c r="N66" s="64">
        <v>132.80000000000001</v>
      </c>
      <c r="O66" s="64">
        <v>0</v>
      </c>
      <c r="P66" s="64">
        <v>0</v>
      </c>
      <c r="Q66" s="64">
        <v>9.06</v>
      </c>
      <c r="R66" s="198"/>
      <c r="S66" s="198"/>
      <c r="T66" s="198"/>
      <c r="U66" s="198"/>
    </row>
    <row r="67" spans="1:21" s="12" customFormat="1" x14ac:dyDescent="0.25">
      <c r="A67" s="211" t="s">
        <v>498</v>
      </c>
      <c r="B67" s="64">
        <v>7.45</v>
      </c>
      <c r="C67" s="64">
        <v>10.210000000000001</v>
      </c>
      <c r="D67" s="64">
        <v>11.31</v>
      </c>
      <c r="E67" s="64">
        <v>6</v>
      </c>
      <c r="F67" s="64">
        <v>13.37</v>
      </c>
      <c r="G67" s="64">
        <v>34.51</v>
      </c>
      <c r="H67" s="64">
        <v>9.11</v>
      </c>
      <c r="I67" s="64">
        <v>1.77</v>
      </c>
      <c r="J67" s="64">
        <v>0.96</v>
      </c>
      <c r="K67" s="64">
        <v>327.79</v>
      </c>
      <c r="L67" s="64">
        <v>30.41</v>
      </c>
      <c r="M67" s="64">
        <v>46.58</v>
      </c>
      <c r="N67" s="64">
        <v>116.7</v>
      </c>
      <c r="O67" s="64">
        <v>0</v>
      </c>
      <c r="P67" s="64">
        <v>0</v>
      </c>
      <c r="Q67" s="64">
        <v>9.06</v>
      </c>
      <c r="R67" s="198"/>
      <c r="S67" s="198"/>
      <c r="T67" s="198"/>
      <c r="U67" s="198"/>
    </row>
    <row r="68" spans="1:21" s="12" customFormat="1" x14ac:dyDescent="0.25">
      <c r="A68" s="211" t="s">
        <v>499</v>
      </c>
      <c r="B68" s="64">
        <v>7.63</v>
      </c>
      <c r="C68" s="64">
        <v>11.2</v>
      </c>
      <c r="D68" s="64">
        <v>11.97</v>
      </c>
      <c r="E68" s="64">
        <v>5.6</v>
      </c>
      <c r="F68" s="64">
        <v>6.85</v>
      </c>
      <c r="G68" s="64">
        <v>34.51</v>
      </c>
      <c r="H68" s="64">
        <v>9.11</v>
      </c>
      <c r="I68" s="64">
        <v>1.73</v>
      </c>
      <c r="J68" s="64">
        <v>0.36</v>
      </c>
      <c r="K68" s="64">
        <v>310.08</v>
      </c>
      <c r="L68" s="64">
        <v>30.08</v>
      </c>
      <c r="M68" s="64">
        <v>47.24</v>
      </c>
      <c r="N68" s="64">
        <v>106.5</v>
      </c>
      <c r="O68" s="64">
        <v>0</v>
      </c>
      <c r="P68" s="64">
        <v>0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1" t="s">
        <v>500</v>
      </c>
      <c r="B69" s="64">
        <v>7.33</v>
      </c>
      <c r="C69" s="64">
        <v>10.61</v>
      </c>
      <c r="D69" s="64">
        <v>11.42</v>
      </c>
      <c r="E69" s="64">
        <v>5.89</v>
      </c>
      <c r="F69" s="64">
        <v>10.57</v>
      </c>
      <c r="G69" s="64">
        <v>34.51</v>
      </c>
      <c r="H69" s="64">
        <v>9.11</v>
      </c>
      <c r="I69" s="64">
        <v>1.69</v>
      </c>
      <c r="J69" s="64">
        <v>1.03</v>
      </c>
      <c r="K69" s="64">
        <v>330.8</v>
      </c>
      <c r="L69" s="64">
        <v>29.86</v>
      </c>
      <c r="M69" s="64">
        <v>48.95</v>
      </c>
      <c r="N69" s="64">
        <v>104</v>
      </c>
      <c r="O69" s="64">
        <v>0</v>
      </c>
      <c r="P69" s="64">
        <v>0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501</v>
      </c>
      <c r="B70" s="64">
        <v>7.74</v>
      </c>
      <c r="C70" s="64">
        <v>14.18</v>
      </c>
      <c r="D70" s="64">
        <v>13.62</v>
      </c>
      <c r="E70" s="64">
        <v>5.95</v>
      </c>
      <c r="F70" s="64">
        <v>18.260000000000002</v>
      </c>
      <c r="G70" s="64">
        <v>32.83</v>
      </c>
      <c r="H70" s="64">
        <v>7.61</v>
      </c>
      <c r="I70" s="64">
        <v>1.66</v>
      </c>
      <c r="J70" s="64">
        <v>0.35</v>
      </c>
      <c r="K70" s="64">
        <v>322.74</v>
      </c>
      <c r="L70" s="64">
        <v>29.66</v>
      </c>
      <c r="M70" s="64">
        <v>50.03</v>
      </c>
      <c r="N70" s="64">
        <v>96.3</v>
      </c>
      <c r="O70" s="64">
        <v>0</v>
      </c>
      <c r="P70" s="64">
        <v>0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1" t="s">
        <v>502</v>
      </c>
      <c r="B71" s="64">
        <v>7.78</v>
      </c>
      <c r="C71" s="64">
        <v>11.26</v>
      </c>
      <c r="D71" s="64">
        <v>12.12</v>
      </c>
      <c r="E71" s="64">
        <v>6.38</v>
      </c>
      <c r="F71" s="64">
        <v>13.74</v>
      </c>
      <c r="G71" s="64">
        <v>32.15</v>
      </c>
      <c r="H71" s="64">
        <v>7.46</v>
      </c>
      <c r="I71" s="64">
        <v>1.66</v>
      </c>
      <c r="J71" s="64">
        <v>0.84</v>
      </c>
      <c r="K71" s="64">
        <v>331.93</v>
      </c>
      <c r="L71" s="64">
        <v>29.51</v>
      </c>
      <c r="M71" s="64">
        <v>51.85</v>
      </c>
      <c r="N71" s="64">
        <v>87.8</v>
      </c>
      <c r="O71" s="64">
        <v>0</v>
      </c>
      <c r="P71" s="64">
        <v>0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1" t="s">
        <v>503</v>
      </c>
      <c r="B72" s="64">
        <v>8.7100000000000009</v>
      </c>
      <c r="C72" s="64">
        <v>16.27</v>
      </c>
      <c r="D72" s="64">
        <v>15.49</v>
      </c>
      <c r="E72" s="64">
        <v>7.14</v>
      </c>
      <c r="F72" s="64">
        <v>20.39</v>
      </c>
      <c r="G72" s="64">
        <v>32.15</v>
      </c>
      <c r="H72" s="64">
        <v>7.46</v>
      </c>
      <c r="I72" s="64">
        <v>1.66</v>
      </c>
      <c r="J72" s="64">
        <v>0.34</v>
      </c>
      <c r="K72" s="64">
        <v>338.99</v>
      </c>
      <c r="L72" s="64">
        <v>29.17</v>
      </c>
      <c r="M72" s="64">
        <v>52.77</v>
      </c>
      <c r="N72" s="64">
        <v>80.599999999999994</v>
      </c>
      <c r="O72" s="64">
        <v>0</v>
      </c>
      <c r="P72" s="64">
        <v>0</v>
      </c>
      <c r="Q72" s="64">
        <v>9.07</v>
      </c>
      <c r="R72" s="198"/>
      <c r="S72" s="198"/>
      <c r="T72" s="198"/>
      <c r="U72" s="198"/>
    </row>
    <row r="73" spans="1:21" s="12" customFormat="1" x14ac:dyDescent="0.25">
      <c r="A73" s="211" t="s">
        <v>504</v>
      </c>
      <c r="B73" s="64">
        <v>9.1199999999999992</v>
      </c>
      <c r="C73" s="64">
        <v>12.16</v>
      </c>
      <c r="D73" s="64">
        <v>13.67</v>
      </c>
      <c r="E73" s="64">
        <v>7.62</v>
      </c>
      <c r="F73" s="64">
        <v>16.100000000000001</v>
      </c>
      <c r="G73" s="64">
        <v>32.15</v>
      </c>
      <c r="H73" s="64">
        <v>7.46</v>
      </c>
      <c r="I73" s="64">
        <v>1.67</v>
      </c>
      <c r="J73" s="64">
        <v>1.1599999999999999</v>
      </c>
      <c r="K73" s="64">
        <v>337.82</v>
      </c>
      <c r="L73" s="64">
        <v>28.96</v>
      </c>
      <c r="M73" s="64">
        <v>52.79</v>
      </c>
      <c r="N73" s="64">
        <v>73.400000000000006</v>
      </c>
      <c r="O73" s="64">
        <v>0</v>
      </c>
      <c r="P73" s="64">
        <v>0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1" t="s">
        <v>505</v>
      </c>
      <c r="B74" s="64">
        <v>13.11</v>
      </c>
      <c r="C74" s="64">
        <v>14.09</v>
      </c>
      <c r="D74" s="64">
        <v>17.88</v>
      </c>
      <c r="E74" s="64">
        <v>7.72</v>
      </c>
      <c r="F74" s="64">
        <v>18.28</v>
      </c>
      <c r="G74" s="64">
        <v>29.23</v>
      </c>
      <c r="H74" s="64">
        <v>5.65</v>
      </c>
      <c r="I74" s="64">
        <v>1.68</v>
      </c>
      <c r="J74" s="64">
        <v>0.99</v>
      </c>
      <c r="K74" s="64">
        <v>340.77</v>
      </c>
      <c r="L74" s="64">
        <v>28.77</v>
      </c>
      <c r="M74" s="64">
        <v>54.34</v>
      </c>
      <c r="N74" s="64">
        <v>66.099999999999994</v>
      </c>
      <c r="O74" s="64">
        <v>0</v>
      </c>
      <c r="P74" s="64">
        <v>0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1" t="s">
        <v>506</v>
      </c>
      <c r="B75" s="64">
        <v>12.96</v>
      </c>
      <c r="C75" s="64">
        <v>15.74</v>
      </c>
      <c r="D75" s="64">
        <v>18.62</v>
      </c>
      <c r="E75" s="64">
        <v>7.64</v>
      </c>
      <c r="F75" s="64">
        <v>16.059999999999999</v>
      </c>
      <c r="G75" s="64">
        <v>28.04</v>
      </c>
      <c r="H75" s="64">
        <v>5.54</v>
      </c>
      <c r="I75" s="64">
        <v>1.69</v>
      </c>
      <c r="J75" s="64">
        <v>0.77</v>
      </c>
      <c r="K75" s="64">
        <v>339.64</v>
      </c>
      <c r="L75" s="64">
        <v>28.47</v>
      </c>
      <c r="M75" s="64">
        <v>57.15</v>
      </c>
      <c r="N75" s="64">
        <v>58.6</v>
      </c>
      <c r="O75" s="64">
        <v>0</v>
      </c>
      <c r="P75" s="64">
        <v>0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1" t="s">
        <v>507</v>
      </c>
      <c r="B76" s="64">
        <v>13.85</v>
      </c>
      <c r="C76" s="64">
        <v>14.77</v>
      </c>
      <c r="D76" s="64">
        <v>18.82</v>
      </c>
      <c r="E76" s="64">
        <v>7.51</v>
      </c>
      <c r="F76" s="64">
        <v>16.899999999999999</v>
      </c>
      <c r="G76" s="64">
        <v>28.04</v>
      </c>
      <c r="H76" s="64">
        <v>5.54</v>
      </c>
      <c r="I76" s="64">
        <v>1.71</v>
      </c>
      <c r="J76" s="64">
        <v>0.88</v>
      </c>
      <c r="K76" s="64">
        <v>340.67</v>
      </c>
      <c r="L76" s="64">
        <v>28.09</v>
      </c>
      <c r="M76" s="64">
        <v>58.76</v>
      </c>
      <c r="N76" s="64">
        <v>52.2</v>
      </c>
      <c r="O76" s="64">
        <v>0</v>
      </c>
      <c r="P76" s="64">
        <v>0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1" t="s">
        <v>508</v>
      </c>
      <c r="B77" s="64">
        <v>19.79</v>
      </c>
      <c r="C77" s="64">
        <v>22.2</v>
      </c>
      <c r="D77" s="64">
        <v>27.47</v>
      </c>
      <c r="E77" s="64">
        <v>7.73</v>
      </c>
      <c r="F77" s="64">
        <v>12.21</v>
      </c>
      <c r="G77" s="64">
        <v>28.04</v>
      </c>
      <c r="H77" s="64">
        <v>5.54</v>
      </c>
      <c r="I77" s="64">
        <v>1.73</v>
      </c>
      <c r="J77" s="64">
        <v>0.45</v>
      </c>
      <c r="K77" s="64">
        <v>340.29</v>
      </c>
      <c r="L77" s="64">
        <v>27.68</v>
      </c>
      <c r="M77" s="64">
        <v>62.19</v>
      </c>
      <c r="N77" s="64">
        <v>45.5</v>
      </c>
      <c r="O77" s="64">
        <v>0</v>
      </c>
      <c r="P77" s="64">
        <v>0</v>
      </c>
      <c r="Q77" s="64">
        <v>9.11</v>
      </c>
      <c r="R77" s="198"/>
      <c r="S77" s="198"/>
      <c r="T77" s="198"/>
      <c r="U77" s="198"/>
    </row>
    <row r="78" spans="1:21" s="12" customFormat="1" x14ac:dyDescent="0.25">
      <c r="A78" s="211" t="s">
        <v>509</v>
      </c>
      <c r="B78" s="64">
        <v>31.75</v>
      </c>
      <c r="C78" s="64">
        <v>25.41</v>
      </c>
      <c r="D78" s="64">
        <v>38.74</v>
      </c>
      <c r="E78" s="64">
        <v>7.93</v>
      </c>
      <c r="F78" s="64">
        <v>11.34</v>
      </c>
      <c r="G78" s="64">
        <v>31.26</v>
      </c>
      <c r="H78" s="64">
        <v>6.23</v>
      </c>
      <c r="I78" s="64">
        <v>1.74</v>
      </c>
      <c r="J78" s="64">
        <v>0.35</v>
      </c>
      <c r="K78" s="64">
        <v>346.49</v>
      </c>
      <c r="L78" s="64">
        <v>27.04</v>
      </c>
      <c r="M78" s="64">
        <v>66.42</v>
      </c>
      <c r="N78" s="64">
        <v>41.5</v>
      </c>
      <c r="O78" s="64">
        <v>0</v>
      </c>
      <c r="P78" s="64">
        <v>0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1" t="s">
        <v>510</v>
      </c>
      <c r="B79" s="64">
        <v>18.54</v>
      </c>
      <c r="C79" s="64">
        <v>33.880000000000003</v>
      </c>
      <c r="D79" s="64">
        <v>32.57</v>
      </c>
      <c r="E79" s="64">
        <v>7.87</v>
      </c>
      <c r="F79" s="64">
        <v>8.7100000000000009</v>
      </c>
      <c r="G79" s="64">
        <v>32.57</v>
      </c>
      <c r="H79" s="64">
        <v>6.27</v>
      </c>
      <c r="I79" s="64">
        <v>1.75</v>
      </c>
      <c r="J79" s="64">
        <v>0.02</v>
      </c>
      <c r="K79" s="64">
        <v>67.459999999999994</v>
      </c>
      <c r="L79" s="64">
        <v>26.44</v>
      </c>
      <c r="M79" s="64">
        <v>69.19</v>
      </c>
      <c r="N79" s="64">
        <v>40.5</v>
      </c>
      <c r="O79" s="64">
        <v>0</v>
      </c>
      <c r="P79" s="64">
        <v>0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1" t="s">
        <v>511</v>
      </c>
      <c r="B80" s="64">
        <v>12.39</v>
      </c>
      <c r="C80" s="64">
        <v>31.41</v>
      </c>
      <c r="D80" s="64">
        <v>26.35</v>
      </c>
      <c r="E80" s="64">
        <v>7.1</v>
      </c>
      <c r="F80" s="64">
        <v>8.43</v>
      </c>
      <c r="G80" s="64">
        <v>32.57</v>
      </c>
      <c r="H80" s="64">
        <v>6.27</v>
      </c>
      <c r="I80" s="64">
        <v>1.69</v>
      </c>
      <c r="J80" s="64">
        <v>0.05</v>
      </c>
      <c r="K80" s="64">
        <v>268.68</v>
      </c>
      <c r="L80" s="64">
        <v>25.98</v>
      </c>
      <c r="M80" s="64">
        <v>71.959999999999994</v>
      </c>
      <c r="N80" s="64">
        <v>40.299999999999997</v>
      </c>
      <c r="O80" s="64">
        <v>0</v>
      </c>
      <c r="P80" s="64">
        <v>0</v>
      </c>
      <c r="Q80" s="64">
        <v>9.16</v>
      </c>
      <c r="R80" s="198"/>
      <c r="S80" s="198"/>
      <c r="T80" s="198"/>
      <c r="U80" s="198"/>
    </row>
    <row r="81" spans="1:26" s="12" customFormat="1" x14ac:dyDescent="0.25">
      <c r="A81" s="211" t="s">
        <v>512</v>
      </c>
      <c r="B81" s="64">
        <v>24.49</v>
      </c>
      <c r="C81" s="64">
        <v>40.869999999999997</v>
      </c>
      <c r="D81" s="64">
        <v>40.99</v>
      </c>
      <c r="E81" s="64">
        <v>7.92</v>
      </c>
      <c r="F81" s="64">
        <v>5.48</v>
      </c>
      <c r="G81" s="64">
        <v>32.57</v>
      </c>
      <c r="H81" s="64">
        <v>6.27</v>
      </c>
      <c r="I81" s="64">
        <v>1.65</v>
      </c>
      <c r="J81" s="64">
        <v>0.09</v>
      </c>
      <c r="K81" s="64">
        <v>308.02999999999997</v>
      </c>
      <c r="L81" s="64">
        <v>25.66</v>
      </c>
      <c r="M81" s="64">
        <v>75.28</v>
      </c>
      <c r="N81" s="64">
        <v>40.1</v>
      </c>
      <c r="O81" s="64">
        <v>0</v>
      </c>
      <c r="P81" s="64">
        <v>0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1" t="s">
        <v>513</v>
      </c>
      <c r="B82" s="64">
        <v>84.74</v>
      </c>
      <c r="C82" s="64">
        <v>24.62</v>
      </c>
      <c r="D82" s="64">
        <v>80.819999999999993</v>
      </c>
      <c r="E82" s="64">
        <v>8.1300000000000008</v>
      </c>
      <c r="F82" s="64">
        <v>5.37</v>
      </c>
      <c r="G82" s="64">
        <v>38.630000000000003</v>
      </c>
      <c r="H82" s="64">
        <v>8.66</v>
      </c>
      <c r="I82" s="64">
        <v>1.71</v>
      </c>
      <c r="J82" s="64">
        <v>0.05</v>
      </c>
      <c r="K82" s="64">
        <v>309.68</v>
      </c>
      <c r="L82" s="64">
        <v>25.34</v>
      </c>
      <c r="M82" s="64">
        <v>79.709999999999994</v>
      </c>
      <c r="N82" s="64">
        <v>40</v>
      </c>
      <c r="O82" s="64">
        <v>0</v>
      </c>
      <c r="P82" s="64">
        <v>0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1" t="s">
        <v>514</v>
      </c>
      <c r="B83" s="64">
        <v>54.8</v>
      </c>
      <c r="C83" s="64">
        <v>26.27</v>
      </c>
      <c r="D83" s="64">
        <v>57.67</v>
      </c>
      <c r="E83" s="64">
        <v>8.1300000000000008</v>
      </c>
      <c r="F83" s="64">
        <v>6.33</v>
      </c>
      <c r="G83" s="64">
        <v>41.09</v>
      </c>
      <c r="H83" s="64">
        <v>8.81</v>
      </c>
      <c r="I83" s="64">
        <v>1.81</v>
      </c>
      <c r="J83" s="64">
        <v>0.08</v>
      </c>
      <c r="K83" s="64">
        <v>299.77999999999997</v>
      </c>
      <c r="L83" s="64">
        <v>25.18</v>
      </c>
      <c r="M83" s="64">
        <v>84.03</v>
      </c>
      <c r="N83" s="64">
        <v>39.9</v>
      </c>
      <c r="O83" s="64">
        <v>0</v>
      </c>
      <c r="P83" s="64">
        <v>0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1" t="s">
        <v>515</v>
      </c>
      <c r="B84" s="64">
        <v>60.48</v>
      </c>
      <c r="C84" s="64">
        <v>20.5</v>
      </c>
      <c r="D84" s="64">
        <v>59.21</v>
      </c>
      <c r="E84" s="64">
        <v>7.65</v>
      </c>
      <c r="F84" s="64">
        <v>4.79</v>
      </c>
      <c r="G84" s="64">
        <v>41.09</v>
      </c>
      <c r="H84" s="64">
        <v>8.81</v>
      </c>
      <c r="I84" s="64">
        <v>1.94</v>
      </c>
      <c r="J84" s="64">
        <v>0.09</v>
      </c>
      <c r="K84" s="64">
        <v>280.98</v>
      </c>
      <c r="L84" s="64">
        <v>25.41</v>
      </c>
      <c r="M84" s="64">
        <v>83.03</v>
      </c>
      <c r="N84" s="64">
        <v>39.799999999999997</v>
      </c>
      <c r="O84" s="64">
        <v>0</v>
      </c>
      <c r="P84" s="64">
        <v>0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1" t="s">
        <v>516</v>
      </c>
      <c r="B85" s="64">
        <v>69.83</v>
      </c>
      <c r="C85" s="64">
        <v>23.25</v>
      </c>
      <c r="D85" s="64">
        <v>68.14</v>
      </c>
      <c r="E85" s="64">
        <v>8.15</v>
      </c>
      <c r="F85" s="64">
        <v>5.0199999999999996</v>
      </c>
      <c r="G85" s="64">
        <v>41.09</v>
      </c>
      <c r="H85" s="64">
        <v>8.81</v>
      </c>
      <c r="I85" s="64">
        <v>2.0499999999999998</v>
      </c>
      <c r="J85" s="64">
        <v>0.09</v>
      </c>
      <c r="K85" s="64">
        <v>313.87</v>
      </c>
      <c r="L85" s="64">
        <v>25.17</v>
      </c>
      <c r="M85" s="64">
        <v>85.31</v>
      </c>
      <c r="N85" s="64">
        <v>40</v>
      </c>
      <c r="O85" s="64">
        <v>0</v>
      </c>
      <c r="P85" s="64">
        <v>0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1" t="s">
        <v>517</v>
      </c>
      <c r="B86" s="64">
        <v>111.69</v>
      </c>
      <c r="C86" s="64">
        <v>3.3</v>
      </c>
      <c r="D86" s="64">
        <v>91.29</v>
      </c>
      <c r="E86" s="64">
        <v>8.07</v>
      </c>
      <c r="F86" s="64">
        <v>5.79</v>
      </c>
      <c r="G86" s="64">
        <v>50.7</v>
      </c>
      <c r="H86" s="64">
        <v>8.68</v>
      </c>
      <c r="I86" s="64">
        <v>2.2999999999999998</v>
      </c>
      <c r="J86" s="64">
        <v>0.15</v>
      </c>
      <c r="K86" s="64">
        <v>330.03</v>
      </c>
      <c r="L86" s="64">
        <v>24.89</v>
      </c>
      <c r="M86" s="64">
        <v>91.66</v>
      </c>
      <c r="N86" s="64">
        <v>40</v>
      </c>
      <c r="O86" s="64">
        <v>0</v>
      </c>
      <c r="P86" s="64">
        <v>0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1" t="s">
        <v>518</v>
      </c>
      <c r="B87" s="64">
        <v>90.37</v>
      </c>
      <c r="C87" s="64">
        <v>11.85</v>
      </c>
      <c r="D87" s="64">
        <v>78.66</v>
      </c>
      <c r="E87" s="64">
        <v>8.5299999999999994</v>
      </c>
      <c r="F87" s="64">
        <v>6.83</v>
      </c>
      <c r="G87" s="64">
        <v>54.61</v>
      </c>
      <c r="H87" s="64">
        <v>8.66</v>
      </c>
      <c r="I87" s="64">
        <v>2.44</v>
      </c>
      <c r="J87" s="64">
        <v>0.11</v>
      </c>
      <c r="K87" s="64">
        <v>336.96</v>
      </c>
      <c r="L87" s="64">
        <v>24.69</v>
      </c>
      <c r="M87" s="64">
        <v>92.99</v>
      </c>
      <c r="N87" s="64">
        <v>40</v>
      </c>
      <c r="O87" s="64">
        <v>0</v>
      </c>
      <c r="P87" s="64">
        <v>0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11" t="s">
        <v>519</v>
      </c>
      <c r="B88" s="64">
        <v>80.180000000000007</v>
      </c>
      <c r="C88" s="64">
        <v>11.17</v>
      </c>
      <c r="D88" s="64">
        <v>70.14</v>
      </c>
      <c r="E88" s="64">
        <v>8.73</v>
      </c>
      <c r="F88" s="64">
        <v>7.71</v>
      </c>
      <c r="G88" s="64">
        <v>54.61</v>
      </c>
      <c r="H88" s="64">
        <v>8.66</v>
      </c>
      <c r="I88" s="64">
        <v>2.57</v>
      </c>
      <c r="J88" s="64">
        <v>0.15</v>
      </c>
      <c r="K88" s="64">
        <v>310.42</v>
      </c>
      <c r="L88" s="64">
        <v>24.65</v>
      </c>
      <c r="M88" s="64">
        <v>94.45</v>
      </c>
      <c r="N88" s="64">
        <v>39.9</v>
      </c>
      <c r="O88" s="64">
        <v>0</v>
      </c>
      <c r="P88" s="64">
        <v>0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1" t="s">
        <v>520</v>
      </c>
      <c r="B89" s="64">
        <v>97.95</v>
      </c>
      <c r="C89" s="64">
        <v>5.22</v>
      </c>
      <c r="D89" s="64">
        <v>81.28</v>
      </c>
      <c r="E89" s="64">
        <v>9.24</v>
      </c>
      <c r="F89" s="64">
        <v>6.53</v>
      </c>
      <c r="G89" s="64">
        <v>54.61</v>
      </c>
      <c r="H89" s="64">
        <v>8.66</v>
      </c>
      <c r="I89" s="64">
        <v>2.83</v>
      </c>
      <c r="J89" s="64">
        <v>0.13</v>
      </c>
      <c r="K89" s="64">
        <v>308.7</v>
      </c>
      <c r="L89" s="64">
        <v>24.45</v>
      </c>
      <c r="M89" s="64">
        <v>96.93</v>
      </c>
      <c r="N89" s="64">
        <v>40</v>
      </c>
      <c r="O89" s="64">
        <v>0</v>
      </c>
      <c r="P89" s="64">
        <v>0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1" t="s">
        <v>521</v>
      </c>
      <c r="B90" s="64">
        <v>93.01</v>
      </c>
      <c r="C90" s="64">
        <v>9.2799999999999994</v>
      </c>
      <c r="D90" s="64">
        <v>79.44</v>
      </c>
      <c r="E90" s="64">
        <v>8.86</v>
      </c>
      <c r="F90" s="64">
        <v>6.73</v>
      </c>
      <c r="G90" s="64">
        <v>67.87</v>
      </c>
      <c r="H90" s="64">
        <v>12.43</v>
      </c>
      <c r="I90" s="64">
        <v>3.09</v>
      </c>
      <c r="J90" s="64">
        <v>0.04</v>
      </c>
      <c r="K90" s="64">
        <v>301.94</v>
      </c>
      <c r="L90" s="64">
        <v>24.35</v>
      </c>
      <c r="M90" s="64">
        <v>94.13</v>
      </c>
      <c r="N90" s="64">
        <v>39.799999999999997</v>
      </c>
      <c r="O90" s="64">
        <v>0</v>
      </c>
      <c r="P90" s="64">
        <v>0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1" t="s">
        <v>522</v>
      </c>
      <c r="B91" s="64">
        <v>33.03</v>
      </c>
      <c r="C91" s="64">
        <v>20.21</v>
      </c>
      <c r="D91" s="64">
        <v>37.04</v>
      </c>
      <c r="E91" s="64">
        <v>7.87</v>
      </c>
      <c r="F91" s="64">
        <v>6.72</v>
      </c>
      <c r="G91" s="64">
        <v>73.260000000000005</v>
      </c>
      <c r="H91" s="64">
        <v>12.68</v>
      </c>
      <c r="I91" s="64">
        <v>3.29</v>
      </c>
      <c r="J91" s="64">
        <v>7.0000000000000007E-2</v>
      </c>
      <c r="K91" s="64">
        <v>206.03</v>
      </c>
      <c r="L91" s="64">
        <v>24.49</v>
      </c>
      <c r="M91" s="64">
        <v>92.22</v>
      </c>
      <c r="N91" s="64">
        <v>39.799999999999997</v>
      </c>
      <c r="O91" s="64">
        <v>0</v>
      </c>
      <c r="P91" s="64">
        <v>0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1" t="s">
        <v>523</v>
      </c>
      <c r="B92" s="64">
        <v>26.56</v>
      </c>
      <c r="C92" s="64">
        <v>19.559999999999999</v>
      </c>
      <c r="D92" s="64">
        <v>31.52</v>
      </c>
      <c r="E92" s="64">
        <v>7.64</v>
      </c>
      <c r="F92" s="64">
        <v>6.92</v>
      </c>
      <c r="G92" s="64">
        <v>73.260000000000005</v>
      </c>
      <c r="H92" s="64">
        <v>12.68</v>
      </c>
      <c r="I92" s="64">
        <v>3.46</v>
      </c>
      <c r="J92" s="64">
        <v>0.03</v>
      </c>
      <c r="K92" s="64">
        <v>252.23</v>
      </c>
      <c r="L92" s="64">
        <v>24.29</v>
      </c>
      <c r="M92" s="64">
        <v>94.8</v>
      </c>
      <c r="N92" s="64">
        <v>40</v>
      </c>
      <c r="O92" s="64">
        <v>0</v>
      </c>
      <c r="P92" s="64">
        <v>0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1" t="s">
        <v>524</v>
      </c>
      <c r="B93" s="64">
        <v>36.76</v>
      </c>
      <c r="C93" s="64">
        <v>18.02</v>
      </c>
      <c r="D93" s="64">
        <v>38.89</v>
      </c>
      <c r="E93" s="64">
        <v>7.69</v>
      </c>
      <c r="F93" s="64">
        <v>6.9</v>
      </c>
      <c r="G93" s="64">
        <v>73.260000000000005</v>
      </c>
      <c r="H93" s="64">
        <v>12.68</v>
      </c>
      <c r="I93" s="64">
        <v>3.55</v>
      </c>
      <c r="J93" s="64">
        <v>0.14000000000000001</v>
      </c>
      <c r="K93" s="64">
        <v>343.4</v>
      </c>
      <c r="L93" s="64">
        <v>24.1</v>
      </c>
      <c r="M93" s="64">
        <v>94.52</v>
      </c>
      <c r="N93" s="64">
        <v>40</v>
      </c>
      <c r="O93" s="64">
        <v>0</v>
      </c>
      <c r="P93" s="64">
        <v>0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1" t="s">
        <v>525</v>
      </c>
      <c r="B94" s="64">
        <v>42.42</v>
      </c>
      <c r="C94" s="64">
        <v>13.49</v>
      </c>
      <c r="D94" s="64">
        <v>41.07</v>
      </c>
      <c r="E94" s="64">
        <v>7.47</v>
      </c>
      <c r="F94" s="64">
        <v>6.35</v>
      </c>
      <c r="G94" s="64">
        <v>74.67</v>
      </c>
      <c r="H94" s="64">
        <v>11.66</v>
      </c>
      <c r="I94" s="64">
        <v>3.58</v>
      </c>
      <c r="J94" s="64">
        <v>0.03</v>
      </c>
      <c r="K94" s="64">
        <v>272.58999999999997</v>
      </c>
      <c r="L94" s="64">
        <v>23.83</v>
      </c>
      <c r="M94" s="64">
        <v>97.42</v>
      </c>
      <c r="N94" s="64">
        <v>40</v>
      </c>
      <c r="O94" s="64">
        <v>0</v>
      </c>
      <c r="P94" s="64">
        <v>0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1" t="s">
        <v>526</v>
      </c>
      <c r="B95" s="64">
        <v>57.69</v>
      </c>
      <c r="C95" s="64">
        <v>13.49</v>
      </c>
      <c r="D95" s="64">
        <v>44.11</v>
      </c>
      <c r="E95" s="64">
        <v>7.23</v>
      </c>
      <c r="F95" s="64">
        <v>5.27</v>
      </c>
      <c r="G95" s="64">
        <v>75.239999999999995</v>
      </c>
      <c r="H95" s="64">
        <v>11.59</v>
      </c>
      <c r="I95" s="64">
        <v>3.6</v>
      </c>
      <c r="J95" s="64">
        <v>0.11</v>
      </c>
      <c r="K95" s="64">
        <v>317.24</v>
      </c>
      <c r="L95" s="64">
        <v>23.68</v>
      </c>
      <c r="M95" s="64">
        <v>98.27</v>
      </c>
      <c r="N95" s="64">
        <v>39.9</v>
      </c>
      <c r="O95" s="64">
        <v>0</v>
      </c>
      <c r="P95" s="64">
        <v>0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1" t="s">
        <v>527</v>
      </c>
      <c r="B96" s="64">
        <v>29.8</v>
      </c>
      <c r="C96" s="64">
        <v>18.86</v>
      </c>
      <c r="D96" s="64">
        <v>33.75</v>
      </c>
      <c r="E96" s="64">
        <v>7.33</v>
      </c>
      <c r="F96" s="64">
        <v>5.5</v>
      </c>
      <c r="G96" s="64">
        <v>75.239999999999995</v>
      </c>
      <c r="H96" s="64">
        <v>11.59</v>
      </c>
      <c r="I96" s="64">
        <v>3.62</v>
      </c>
      <c r="J96" s="64">
        <v>0.05</v>
      </c>
      <c r="K96" s="64">
        <v>357.28</v>
      </c>
      <c r="L96" s="64">
        <v>23.54</v>
      </c>
      <c r="M96" s="64">
        <v>97.94</v>
      </c>
      <c r="N96" s="64">
        <v>39.9</v>
      </c>
      <c r="O96" s="64">
        <v>0</v>
      </c>
      <c r="P96" s="64">
        <v>0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528</v>
      </c>
      <c r="B97" s="64">
        <v>32.6</v>
      </c>
      <c r="C97" s="64">
        <v>8.3699999999999992</v>
      </c>
      <c r="D97" s="64">
        <v>30.51</v>
      </c>
      <c r="E97" s="64">
        <v>6.83</v>
      </c>
      <c r="F97" s="64">
        <v>5.91</v>
      </c>
      <c r="G97" s="64">
        <v>75.239999999999995</v>
      </c>
      <c r="H97" s="64">
        <v>11.59</v>
      </c>
      <c r="I97" s="64">
        <v>3.65</v>
      </c>
      <c r="J97" s="64">
        <v>0.1</v>
      </c>
      <c r="K97" s="64">
        <v>305.85000000000002</v>
      </c>
      <c r="L97" s="64">
        <v>23.44</v>
      </c>
      <c r="M97" s="64">
        <v>98.25</v>
      </c>
      <c r="N97" s="64">
        <v>39.9</v>
      </c>
      <c r="O97" s="64">
        <v>0</v>
      </c>
      <c r="P97" s="64">
        <v>0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1" t="s">
        <v>529</v>
      </c>
      <c r="B98" s="64">
        <v>56.98</v>
      </c>
      <c r="C98" s="64">
        <v>9.09</v>
      </c>
      <c r="D98" s="64">
        <v>50.44</v>
      </c>
      <c r="E98" s="64">
        <v>7.55</v>
      </c>
      <c r="F98" s="64">
        <v>5.09</v>
      </c>
      <c r="G98" s="64">
        <v>74.2</v>
      </c>
      <c r="H98" s="64">
        <v>10.9</v>
      </c>
      <c r="I98" s="64">
        <v>3.67</v>
      </c>
      <c r="J98" s="64">
        <v>0.08</v>
      </c>
      <c r="K98" s="64">
        <v>316.94</v>
      </c>
      <c r="L98" s="64">
        <v>23.26</v>
      </c>
      <c r="M98" s="64">
        <v>98.39</v>
      </c>
      <c r="N98" s="64">
        <v>40</v>
      </c>
      <c r="O98" s="64">
        <v>0</v>
      </c>
      <c r="P98" s="64">
        <v>0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1" t="s">
        <v>530</v>
      </c>
      <c r="B99" s="64">
        <v>47.93</v>
      </c>
      <c r="C99" s="64">
        <v>0.97</v>
      </c>
      <c r="D99" s="64">
        <v>38.94</v>
      </c>
      <c r="E99" s="64">
        <v>6.8</v>
      </c>
      <c r="F99" s="64">
        <v>4.6100000000000003</v>
      </c>
      <c r="G99" s="64">
        <v>73.78</v>
      </c>
      <c r="H99" s="64">
        <v>10.86</v>
      </c>
      <c r="I99" s="64">
        <v>3.66</v>
      </c>
      <c r="J99" s="64">
        <v>0.1</v>
      </c>
      <c r="K99" s="64">
        <v>311.95</v>
      </c>
      <c r="L99" s="64">
        <v>23.04</v>
      </c>
      <c r="M99" s="64">
        <v>98.42</v>
      </c>
      <c r="N99" s="64">
        <v>40</v>
      </c>
      <c r="O99" s="64">
        <v>0</v>
      </c>
      <c r="P99" s="64">
        <v>0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1" t="s">
        <v>531</v>
      </c>
      <c r="B100" s="64">
        <v>38.130000000000003</v>
      </c>
      <c r="C100" s="64">
        <v>14.6</v>
      </c>
      <c r="D100" s="64">
        <v>38.21</v>
      </c>
      <c r="E100" s="64">
        <v>7.18</v>
      </c>
      <c r="F100" s="64">
        <v>4.34</v>
      </c>
      <c r="G100" s="64">
        <v>73.78</v>
      </c>
      <c r="H100" s="64">
        <v>10.86</v>
      </c>
      <c r="I100" s="64">
        <v>3.67</v>
      </c>
      <c r="J100" s="64">
        <v>0.1</v>
      </c>
      <c r="K100" s="64">
        <v>341.05</v>
      </c>
      <c r="L100" s="64">
        <v>22.92</v>
      </c>
      <c r="M100" s="64">
        <v>98.45</v>
      </c>
      <c r="N100" s="64">
        <v>40</v>
      </c>
      <c r="O100" s="64">
        <v>0</v>
      </c>
      <c r="P100" s="64">
        <v>0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532</v>
      </c>
      <c r="B101" s="64">
        <v>39.61</v>
      </c>
      <c r="C101" s="64">
        <v>0.46</v>
      </c>
      <c r="D101" s="64">
        <v>32</v>
      </c>
      <c r="E101" s="64">
        <v>6.79</v>
      </c>
      <c r="F101" s="64">
        <v>5.65</v>
      </c>
      <c r="G101" s="64">
        <v>73.78</v>
      </c>
      <c r="H101" s="64">
        <v>10.86</v>
      </c>
      <c r="I101" s="64">
        <v>3.67</v>
      </c>
      <c r="J101" s="64">
        <v>0.54</v>
      </c>
      <c r="K101" s="64">
        <v>340.78</v>
      </c>
      <c r="L101" s="64">
        <v>23.06</v>
      </c>
      <c r="M101" s="64">
        <v>98.44</v>
      </c>
      <c r="N101" s="64">
        <v>39.200000000000003</v>
      </c>
      <c r="O101" s="64">
        <v>0</v>
      </c>
      <c r="P101" s="64">
        <v>0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1" t="s">
        <v>533</v>
      </c>
      <c r="B102" s="64">
        <v>24.26</v>
      </c>
      <c r="C102" s="64">
        <v>10.79</v>
      </c>
      <c r="D102" s="64">
        <v>25.09</v>
      </c>
      <c r="E102" s="64">
        <v>6.78</v>
      </c>
      <c r="F102" s="64">
        <v>5.37</v>
      </c>
      <c r="G102" s="64">
        <v>68.88</v>
      </c>
      <c r="H102" s="64">
        <v>10.44</v>
      </c>
      <c r="I102" s="64">
        <v>3.66</v>
      </c>
      <c r="J102" s="64">
        <v>0.86</v>
      </c>
      <c r="K102" s="64">
        <v>341.5</v>
      </c>
      <c r="L102" s="64">
        <v>23.32</v>
      </c>
      <c r="M102" s="64">
        <v>98.46</v>
      </c>
      <c r="N102" s="64">
        <v>39.299999999999997</v>
      </c>
      <c r="O102" s="64">
        <v>0</v>
      </c>
      <c r="P102" s="64">
        <v>0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1" t="s">
        <v>534</v>
      </c>
      <c r="B103" s="64">
        <v>38.64</v>
      </c>
      <c r="C103" s="64">
        <v>10.79</v>
      </c>
      <c r="D103" s="64">
        <v>28.75</v>
      </c>
      <c r="E103" s="64">
        <v>6.76</v>
      </c>
      <c r="F103" s="64">
        <v>6.19</v>
      </c>
      <c r="G103" s="64">
        <v>66.88</v>
      </c>
      <c r="H103" s="64">
        <v>10.4</v>
      </c>
      <c r="I103" s="64">
        <v>3.64</v>
      </c>
      <c r="J103" s="64">
        <v>0.87</v>
      </c>
      <c r="K103" s="64">
        <v>340.96</v>
      </c>
      <c r="L103" s="64">
        <v>23.37</v>
      </c>
      <c r="M103" s="64">
        <v>97.89</v>
      </c>
      <c r="N103" s="64">
        <v>39.700000000000003</v>
      </c>
      <c r="O103" s="64">
        <v>0</v>
      </c>
      <c r="P103" s="64">
        <v>0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1" t="s">
        <v>535</v>
      </c>
      <c r="B104" s="64">
        <v>28.3</v>
      </c>
      <c r="C104" s="64">
        <v>3.51</v>
      </c>
      <c r="D104" s="64">
        <v>24.53</v>
      </c>
      <c r="E104" s="64">
        <v>5.35</v>
      </c>
      <c r="F104" s="64">
        <v>5.81</v>
      </c>
      <c r="G104" s="64">
        <v>66.88</v>
      </c>
      <c r="H104" s="64">
        <v>10.4</v>
      </c>
      <c r="I104" s="64">
        <v>3.61</v>
      </c>
      <c r="J104" s="64">
        <v>0.87</v>
      </c>
      <c r="K104" s="64">
        <v>337.98</v>
      </c>
      <c r="L104" s="64">
        <v>23.32</v>
      </c>
      <c r="M104" s="64">
        <v>95.01</v>
      </c>
      <c r="N104" s="64">
        <v>39.799999999999997</v>
      </c>
      <c r="O104" s="64">
        <v>0</v>
      </c>
      <c r="P104" s="64">
        <v>0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6.53</v>
      </c>
      <c r="C106" s="67">
        <f>MIN(C9:C104)</f>
        <v>0.46</v>
      </c>
      <c r="D106" s="67">
        <f t="shared" ref="D106:Q106" si="0">MIN(D9:D104)</f>
        <v>10.67</v>
      </c>
      <c r="E106" s="67">
        <f t="shared" si="0"/>
        <v>4.25</v>
      </c>
      <c r="F106" s="67">
        <f t="shared" si="0"/>
        <v>4.24</v>
      </c>
      <c r="G106" s="67">
        <f t="shared" si="0"/>
        <v>28.04</v>
      </c>
      <c r="H106" s="67">
        <f t="shared" si="0"/>
        <v>5.54</v>
      </c>
      <c r="I106" s="67">
        <f t="shared" si="0"/>
        <v>1.65</v>
      </c>
      <c r="J106" s="67">
        <f t="shared" si="0"/>
        <v>0.02</v>
      </c>
      <c r="K106" s="67">
        <f t="shared" si="0"/>
        <v>2.15</v>
      </c>
      <c r="L106" s="67">
        <f t="shared" si="0"/>
        <v>21.81</v>
      </c>
      <c r="M106" s="67">
        <f t="shared" si="0"/>
        <v>42.47</v>
      </c>
      <c r="N106" s="67">
        <f t="shared" si="0"/>
        <v>39.200000000000003</v>
      </c>
      <c r="O106" s="67">
        <f t="shared" si="0"/>
        <v>0</v>
      </c>
      <c r="P106" s="67">
        <f t="shared" si="0"/>
        <v>0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111.69</v>
      </c>
      <c r="C107" s="66">
        <f t="shared" ref="C107:Q107" si="1">MAX(C9:C104)</f>
        <v>40.869999999999997</v>
      </c>
      <c r="D107" s="66">
        <f t="shared" si="1"/>
        <v>91.29</v>
      </c>
      <c r="E107" s="66">
        <f t="shared" si="1"/>
        <v>9.24</v>
      </c>
      <c r="F107" s="66">
        <f t="shared" si="1"/>
        <v>20.39</v>
      </c>
      <c r="G107" s="66">
        <f t="shared" si="1"/>
        <v>78.13</v>
      </c>
      <c r="H107" s="66">
        <f t="shared" si="1"/>
        <v>15.2</v>
      </c>
      <c r="I107" s="66">
        <f t="shared" si="1"/>
        <v>3.67</v>
      </c>
      <c r="J107" s="66">
        <f t="shared" si="1"/>
        <v>1.38</v>
      </c>
      <c r="K107" s="66">
        <f t="shared" si="1"/>
        <v>359.91</v>
      </c>
      <c r="L107" s="66">
        <f t="shared" si="1"/>
        <v>33.5</v>
      </c>
      <c r="M107" s="66">
        <f t="shared" si="1"/>
        <v>98.46</v>
      </c>
      <c r="N107" s="66">
        <f t="shared" si="1"/>
        <v>743.2</v>
      </c>
      <c r="O107" s="66">
        <f t="shared" si="1"/>
        <v>0.2</v>
      </c>
      <c r="P107" s="66">
        <f t="shared" si="1"/>
        <v>1.1299999999999999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26.497812500000006</v>
      </c>
      <c r="C108" s="67">
        <f t="shared" ref="C108:Q108" si="2">AVERAGE(C9:C104)</f>
        <v>11.887187499999996</v>
      </c>
      <c r="D108" s="67">
        <f t="shared" si="2"/>
        <v>27.122395833333346</v>
      </c>
      <c r="E108" s="67">
        <f t="shared" si="2"/>
        <v>6.48</v>
      </c>
      <c r="F108" s="67">
        <f t="shared" si="2"/>
        <v>8.3260416666666668</v>
      </c>
      <c r="G108" s="67">
        <f t="shared" si="2"/>
        <v>48.526354166666692</v>
      </c>
      <c r="H108" s="67">
        <f t="shared" si="2"/>
        <v>9.2254166666666624</v>
      </c>
      <c r="I108" s="67">
        <f t="shared" si="2"/>
        <v>2.7357291666666668</v>
      </c>
      <c r="J108" s="67">
        <f t="shared" si="2"/>
        <v>0.35104166666666664</v>
      </c>
      <c r="K108" s="67">
        <f t="shared" si="2"/>
        <v>260.85072916666661</v>
      </c>
      <c r="L108" s="67">
        <f t="shared" si="2"/>
        <v>26.253229166666667</v>
      </c>
      <c r="M108" s="67">
        <f t="shared" si="2"/>
        <v>77.420833333333348</v>
      </c>
      <c r="N108" s="67">
        <f t="shared" si="2"/>
        <v>181.95000000000005</v>
      </c>
      <c r="O108" s="67">
        <f t="shared" si="2"/>
        <v>4.1666666666666666E-3</v>
      </c>
      <c r="P108" s="67">
        <f t="shared" si="2"/>
        <v>0.27937499999999998</v>
      </c>
      <c r="Q108" s="67">
        <f t="shared" si="2"/>
        <v>9.4181249999999928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21.853066806484716</v>
      </c>
      <c r="C109" s="67">
        <f t="shared" ref="C109:Q109" si="3">STDEV(C9:C104)</f>
        <v>7.3614440378480452</v>
      </c>
      <c r="D109" s="67">
        <f t="shared" si="3"/>
        <v>17.496072987645952</v>
      </c>
      <c r="E109" s="67">
        <f t="shared" si="3"/>
        <v>1.3451182691104699</v>
      </c>
      <c r="F109" s="67">
        <f t="shared" si="3"/>
        <v>3.6957555966032896</v>
      </c>
      <c r="G109" s="67">
        <f t="shared" si="3"/>
        <v>13.724323556893291</v>
      </c>
      <c r="H109" s="67">
        <f t="shared" si="3"/>
        <v>2.1872332519065565</v>
      </c>
      <c r="I109" s="67">
        <f t="shared" si="3"/>
        <v>0.74956232112187537</v>
      </c>
      <c r="J109" s="67">
        <f t="shared" si="3"/>
        <v>0.36287007727622883</v>
      </c>
      <c r="K109" s="67">
        <f t="shared" si="3"/>
        <v>104.23383455374999</v>
      </c>
      <c r="L109" s="67">
        <f t="shared" si="3"/>
        <v>3.8791799173459793</v>
      </c>
      <c r="M109" s="67">
        <f t="shared" si="3"/>
        <v>21.996908857797312</v>
      </c>
      <c r="N109" s="67">
        <f t="shared" si="3"/>
        <v>220.14445974835411</v>
      </c>
      <c r="O109" s="67">
        <f t="shared" si="3"/>
        <v>2.8715177232759195E-2</v>
      </c>
      <c r="P109" s="67">
        <f t="shared" si="3"/>
        <v>0.35447459266089199</v>
      </c>
      <c r="Q109" s="67">
        <f t="shared" si="3"/>
        <v>0.25124662867599362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88" sqref="C8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536</v>
      </c>
      <c r="B9" s="64">
        <v>30.9</v>
      </c>
      <c r="C9" s="64">
        <v>1.85</v>
      </c>
      <c r="D9" s="64">
        <v>25.74</v>
      </c>
      <c r="E9" s="64">
        <v>6.13</v>
      </c>
      <c r="F9" s="64">
        <v>5.72</v>
      </c>
      <c r="G9" s="64">
        <v>66.88</v>
      </c>
      <c r="H9" s="64">
        <v>10.4</v>
      </c>
      <c r="I9" s="64">
        <v>3.56</v>
      </c>
      <c r="J9" s="64">
        <v>0.92</v>
      </c>
      <c r="K9" s="64">
        <v>338.41</v>
      </c>
      <c r="L9" s="64">
        <v>23.22</v>
      </c>
      <c r="M9" s="64">
        <v>94.19</v>
      </c>
      <c r="N9" s="64">
        <v>39.799999999999997</v>
      </c>
      <c r="O9" s="64">
        <v>0</v>
      </c>
      <c r="P9" s="64">
        <v>0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1" t="s">
        <v>537</v>
      </c>
      <c r="B10" s="64">
        <v>31.13</v>
      </c>
      <c r="C10" s="64">
        <v>1.1000000000000001</v>
      </c>
      <c r="D10" s="64">
        <v>25.54</v>
      </c>
      <c r="E10" s="64">
        <v>6.75</v>
      </c>
      <c r="F10" s="64">
        <v>4.97</v>
      </c>
      <c r="G10" s="64">
        <v>57.28</v>
      </c>
      <c r="H10" s="64">
        <v>7.98</v>
      </c>
      <c r="I10" s="64">
        <v>3.5</v>
      </c>
      <c r="J10" s="64">
        <v>1.1399999999999999</v>
      </c>
      <c r="K10" s="64">
        <v>336.78</v>
      </c>
      <c r="L10" s="64">
        <v>23.13</v>
      </c>
      <c r="M10" s="64">
        <v>95.02</v>
      </c>
      <c r="N10" s="64">
        <v>39.9</v>
      </c>
      <c r="O10" s="64">
        <v>0</v>
      </c>
      <c r="P10" s="64">
        <v>0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1" t="s">
        <v>538</v>
      </c>
      <c r="B11" s="64">
        <v>29.53</v>
      </c>
      <c r="C11" s="64">
        <v>0.89</v>
      </c>
      <c r="D11" s="64">
        <v>24.14</v>
      </c>
      <c r="E11" s="64">
        <v>7.04</v>
      </c>
      <c r="F11" s="64">
        <v>5.31</v>
      </c>
      <c r="G11" s="64">
        <v>53.16</v>
      </c>
      <c r="H11" s="64">
        <v>7.83</v>
      </c>
      <c r="I11" s="64">
        <v>3.43</v>
      </c>
      <c r="J11" s="64">
        <v>1.17</v>
      </c>
      <c r="K11" s="64">
        <v>336.9</v>
      </c>
      <c r="L11" s="64">
        <v>22.97</v>
      </c>
      <c r="M11" s="64">
        <v>96.26</v>
      </c>
      <c r="N11" s="64">
        <v>39.9</v>
      </c>
      <c r="O11" s="64">
        <v>0</v>
      </c>
      <c r="P11" s="64">
        <v>0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1" t="s">
        <v>539</v>
      </c>
      <c r="B12" s="64">
        <v>30.04</v>
      </c>
      <c r="C12" s="64">
        <v>0.89</v>
      </c>
      <c r="D12" s="64">
        <v>23.84</v>
      </c>
      <c r="E12" s="64">
        <v>6.36</v>
      </c>
      <c r="F12" s="64">
        <v>4.91</v>
      </c>
      <c r="G12" s="64">
        <v>53.16</v>
      </c>
      <c r="H12" s="64">
        <v>7.83</v>
      </c>
      <c r="I12" s="64">
        <v>3.35</v>
      </c>
      <c r="J12" s="64">
        <v>1.35</v>
      </c>
      <c r="K12" s="64">
        <v>337.29</v>
      </c>
      <c r="L12" s="64">
        <v>22.86</v>
      </c>
      <c r="M12" s="64">
        <v>94.25</v>
      </c>
      <c r="N12" s="64">
        <v>40</v>
      </c>
      <c r="O12" s="64">
        <v>0</v>
      </c>
      <c r="P12" s="64">
        <v>0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1" t="s">
        <v>540</v>
      </c>
      <c r="B13" s="64">
        <v>27.4</v>
      </c>
      <c r="C13" s="64">
        <v>3.71</v>
      </c>
      <c r="D13" s="64">
        <v>23.91</v>
      </c>
      <c r="E13" s="64">
        <v>6.4</v>
      </c>
      <c r="F13" s="64">
        <v>5.24</v>
      </c>
      <c r="G13" s="64">
        <v>53.16</v>
      </c>
      <c r="H13" s="64">
        <v>7.83</v>
      </c>
      <c r="I13" s="64">
        <v>3.25</v>
      </c>
      <c r="J13" s="64">
        <v>1.1599999999999999</v>
      </c>
      <c r="K13" s="64">
        <v>338.07</v>
      </c>
      <c r="L13" s="64">
        <v>22.67</v>
      </c>
      <c r="M13" s="64">
        <v>95.31</v>
      </c>
      <c r="N13" s="64">
        <v>40.1</v>
      </c>
      <c r="O13" s="64">
        <v>0</v>
      </c>
      <c r="P13" s="64">
        <v>0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1" t="s">
        <v>541</v>
      </c>
      <c r="B14" s="64">
        <v>25.48</v>
      </c>
      <c r="C14" s="64">
        <v>2.85</v>
      </c>
      <c r="D14" s="64">
        <v>21.92</v>
      </c>
      <c r="E14" s="64">
        <v>7.11</v>
      </c>
      <c r="F14" s="64">
        <v>5.16</v>
      </c>
      <c r="G14" s="64">
        <v>57.38</v>
      </c>
      <c r="H14" s="64">
        <v>8.06</v>
      </c>
      <c r="I14" s="64">
        <v>3.17</v>
      </c>
      <c r="J14" s="64">
        <v>0.99</v>
      </c>
      <c r="K14" s="64">
        <v>337.67</v>
      </c>
      <c r="L14" s="64">
        <v>22.4</v>
      </c>
      <c r="M14" s="64">
        <v>96.89</v>
      </c>
      <c r="N14" s="64">
        <v>40.200000000000003</v>
      </c>
      <c r="O14" s="64">
        <v>0</v>
      </c>
      <c r="P14" s="64">
        <v>0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1" t="s">
        <v>542</v>
      </c>
      <c r="B15" s="64">
        <v>24.59</v>
      </c>
      <c r="C15" s="64">
        <v>4.3</v>
      </c>
      <c r="D15" s="64">
        <v>21.97</v>
      </c>
      <c r="E15" s="64">
        <v>6.93</v>
      </c>
      <c r="F15" s="64">
        <v>4.42</v>
      </c>
      <c r="G15" s="64">
        <v>59.19</v>
      </c>
      <c r="H15" s="64">
        <v>8.08</v>
      </c>
      <c r="I15" s="64">
        <v>3.07</v>
      </c>
      <c r="J15" s="64">
        <v>1.01</v>
      </c>
      <c r="K15" s="64">
        <v>336.24</v>
      </c>
      <c r="L15" s="64">
        <v>22.17</v>
      </c>
      <c r="M15" s="64">
        <v>98.57</v>
      </c>
      <c r="N15" s="64">
        <v>40.1</v>
      </c>
      <c r="O15" s="64">
        <v>0</v>
      </c>
      <c r="P15" s="64">
        <v>0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1" t="s">
        <v>543</v>
      </c>
      <c r="B16" s="64">
        <v>26.9</v>
      </c>
      <c r="C16" s="64">
        <v>0.95</v>
      </c>
      <c r="D16" s="64">
        <v>22.07</v>
      </c>
      <c r="E16" s="64">
        <v>6.49</v>
      </c>
      <c r="F16" s="64">
        <v>4.76</v>
      </c>
      <c r="G16" s="64">
        <v>59.19</v>
      </c>
      <c r="H16" s="64">
        <v>8.08</v>
      </c>
      <c r="I16" s="64">
        <v>2.98</v>
      </c>
      <c r="J16" s="64">
        <v>0.91</v>
      </c>
      <c r="K16" s="64">
        <v>338.7</v>
      </c>
      <c r="L16" s="64">
        <v>21.89</v>
      </c>
      <c r="M16" s="64">
        <v>98.61</v>
      </c>
      <c r="N16" s="64">
        <v>40</v>
      </c>
      <c r="O16" s="64">
        <v>0</v>
      </c>
      <c r="P16" s="64">
        <v>0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1" t="s">
        <v>544</v>
      </c>
      <c r="B17" s="64">
        <v>26.03</v>
      </c>
      <c r="C17" s="64">
        <v>0.68</v>
      </c>
      <c r="D17" s="64">
        <v>21.23</v>
      </c>
      <c r="E17" s="64">
        <v>5.7</v>
      </c>
      <c r="F17" s="64">
        <v>3.41</v>
      </c>
      <c r="G17" s="64">
        <v>59.19</v>
      </c>
      <c r="H17" s="64">
        <v>8.08</v>
      </c>
      <c r="I17" s="64">
        <v>2.9</v>
      </c>
      <c r="J17" s="64">
        <v>0.78</v>
      </c>
      <c r="K17" s="64">
        <v>338.96</v>
      </c>
      <c r="L17" s="64">
        <v>21.66</v>
      </c>
      <c r="M17" s="64">
        <v>98.65</v>
      </c>
      <c r="N17" s="64">
        <v>40</v>
      </c>
      <c r="O17" s="64">
        <v>0</v>
      </c>
      <c r="P17" s="64">
        <v>0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1" t="s">
        <v>545</v>
      </c>
      <c r="B18" s="64">
        <v>24.85</v>
      </c>
      <c r="C18" s="64">
        <v>1.43</v>
      </c>
      <c r="D18" s="64">
        <v>20.67</v>
      </c>
      <c r="E18" s="64">
        <v>6.15</v>
      </c>
      <c r="F18" s="64">
        <v>4.51</v>
      </c>
      <c r="G18" s="64">
        <v>59.14</v>
      </c>
      <c r="H18" s="64">
        <v>9.73</v>
      </c>
      <c r="I18" s="64">
        <v>2.83</v>
      </c>
      <c r="J18" s="64">
        <v>0.28000000000000003</v>
      </c>
      <c r="K18" s="64">
        <v>342.76</v>
      </c>
      <c r="L18" s="64">
        <v>21.55</v>
      </c>
      <c r="M18" s="64">
        <v>98.65</v>
      </c>
      <c r="N18" s="64">
        <v>40</v>
      </c>
      <c r="O18" s="64">
        <v>0</v>
      </c>
      <c r="P18" s="64">
        <v>0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1" t="s">
        <v>546</v>
      </c>
      <c r="B19" s="64">
        <v>25.43</v>
      </c>
      <c r="C19" s="64">
        <v>0.41</v>
      </c>
      <c r="D19" s="64">
        <v>20.61</v>
      </c>
      <c r="E19" s="64">
        <v>5.64</v>
      </c>
      <c r="F19" s="64">
        <v>3.5</v>
      </c>
      <c r="G19" s="64">
        <v>59.12</v>
      </c>
      <c r="H19" s="64">
        <v>9.84</v>
      </c>
      <c r="I19" s="64">
        <v>2.81</v>
      </c>
      <c r="J19" s="64">
        <v>0.15</v>
      </c>
      <c r="K19" s="64">
        <v>340.91</v>
      </c>
      <c r="L19" s="64">
        <v>21.26</v>
      </c>
      <c r="M19" s="64">
        <v>98.69</v>
      </c>
      <c r="N19" s="64">
        <v>39.9</v>
      </c>
      <c r="O19" s="64">
        <v>0</v>
      </c>
      <c r="P19" s="64">
        <v>0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1" t="s">
        <v>547</v>
      </c>
      <c r="B20" s="64">
        <v>24.11</v>
      </c>
      <c r="C20" s="64">
        <v>2.2999999999999998</v>
      </c>
      <c r="D20" s="64">
        <v>20.53</v>
      </c>
      <c r="E20" s="64">
        <v>6.22</v>
      </c>
      <c r="F20" s="64">
        <v>4.51</v>
      </c>
      <c r="G20" s="64">
        <v>59.12</v>
      </c>
      <c r="H20" s="64">
        <v>9.84</v>
      </c>
      <c r="I20" s="64">
        <v>2.8</v>
      </c>
      <c r="J20" s="64">
        <v>0.25</v>
      </c>
      <c r="K20" s="64">
        <v>342.19</v>
      </c>
      <c r="L20" s="64">
        <v>21.25</v>
      </c>
      <c r="M20" s="64">
        <v>98.72</v>
      </c>
      <c r="N20" s="64">
        <v>39.799999999999997</v>
      </c>
      <c r="O20" s="64">
        <v>0</v>
      </c>
      <c r="P20" s="64">
        <v>0</v>
      </c>
      <c r="Q20" s="64">
        <v>9.5399999999999991</v>
      </c>
      <c r="R20" s="198"/>
      <c r="S20" s="198"/>
      <c r="T20" s="198"/>
      <c r="U20" s="198"/>
    </row>
    <row r="21" spans="1:21" s="12" customFormat="1" x14ac:dyDescent="0.25">
      <c r="A21" s="211" t="s">
        <v>548</v>
      </c>
      <c r="B21" s="64">
        <v>23.43</v>
      </c>
      <c r="C21" s="64">
        <v>1.54</v>
      </c>
      <c r="D21" s="64">
        <v>19.59</v>
      </c>
      <c r="E21" s="64">
        <v>5.39</v>
      </c>
      <c r="F21" s="64">
        <v>3.45</v>
      </c>
      <c r="G21" s="64">
        <v>59.12</v>
      </c>
      <c r="H21" s="64">
        <v>9.84</v>
      </c>
      <c r="I21" s="64">
        <v>2.82</v>
      </c>
      <c r="J21" s="64">
        <v>0.55000000000000004</v>
      </c>
      <c r="K21" s="64">
        <v>338.05</v>
      </c>
      <c r="L21" s="64">
        <v>21.31</v>
      </c>
      <c r="M21" s="64">
        <v>98.74</v>
      </c>
      <c r="N21" s="64">
        <v>39.6</v>
      </c>
      <c r="O21" s="64">
        <v>0</v>
      </c>
      <c r="P21" s="64">
        <v>0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11" t="s">
        <v>549</v>
      </c>
      <c r="B22" s="64">
        <v>23.77</v>
      </c>
      <c r="C22" s="64">
        <v>0.77</v>
      </c>
      <c r="D22" s="64">
        <v>19.46</v>
      </c>
      <c r="E22" s="64">
        <v>5.97</v>
      </c>
      <c r="F22" s="64">
        <v>4.8</v>
      </c>
      <c r="G22" s="64">
        <v>70.36</v>
      </c>
      <c r="H22" s="64">
        <v>11.03</v>
      </c>
      <c r="I22" s="64">
        <v>2.84</v>
      </c>
      <c r="J22" s="64">
        <v>0.49</v>
      </c>
      <c r="K22" s="64">
        <v>339.16</v>
      </c>
      <c r="L22" s="64">
        <v>21.37</v>
      </c>
      <c r="M22" s="64">
        <v>98.76</v>
      </c>
      <c r="N22" s="64">
        <v>39.700000000000003</v>
      </c>
      <c r="O22" s="64">
        <v>0</v>
      </c>
      <c r="P22" s="64">
        <v>0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1" t="s">
        <v>550</v>
      </c>
      <c r="B23" s="64">
        <v>24.23</v>
      </c>
      <c r="C23" s="64">
        <v>0.77</v>
      </c>
      <c r="D23" s="64">
        <v>19.28</v>
      </c>
      <c r="E23" s="64">
        <v>5.41</v>
      </c>
      <c r="F23" s="64">
        <v>3.72</v>
      </c>
      <c r="G23" s="64">
        <v>75.180000000000007</v>
      </c>
      <c r="H23" s="64">
        <v>11.16</v>
      </c>
      <c r="I23" s="64">
        <v>2.84</v>
      </c>
      <c r="J23" s="64">
        <v>0.11</v>
      </c>
      <c r="K23" s="64">
        <v>346.87</v>
      </c>
      <c r="L23" s="64">
        <v>21.18</v>
      </c>
      <c r="M23" s="64">
        <v>98.83</v>
      </c>
      <c r="N23" s="64">
        <v>40</v>
      </c>
      <c r="O23" s="64">
        <v>0</v>
      </c>
      <c r="P23" s="64">
        <v>0</v>
      </c>
      <c r="Q23" s="64">
        <v>9.51</v>
      </c>
      <c r="R23" s="198"/>
      <c r="S23" s="198"/>
      <c r="T23" s="198"/>
      <c r="U23" s="198"/>
    </row>
    <row r="24" spans="1:21" s="12" customFormat="1" x14ac:dyDescent="0.25">
      <c r="A24" s="211" t="s">
        <v>551</v>
      </c>
      <c r="B24" s="64">
        <v>20.58</v>
      </c>
      <c r="C24" s="64">
        <v>2.23</v>
      </c>
      <c r="D24" s="64">
        <v>17.670000000000002</v>
      </c>
      <c r="E24" s="64">
        <v>5.47</v>
      </c>
      <c r="F24" s="64">
        <v>5.22</v>
      </c>
      <c r="G24" s="64">
        <v>75.180000000000007</v>
      </c>
      <c r="H24" s="64">
        <v>11.16</v>
      </c>
      <c r="I24" s="64">
        <v>2.83</v>
      </c>
      <c r="J24" s="64">
        <v>0.13</v>
      </c>
      <c r="K24" s="64">
        <v>152.25</v>
      </c>
      <c r="L24" s="64">
        <v>21.07</v>
      </c>
      <c r="M24" s="64">
        <v>98.82</v>
      </c>
      <c r="N24" s="64">
        <v>39.799999999999997</v>
      </c>
      <c r="O24" s="64">
        <v>0</v>
      </c>
      <c r="P24" s="64">
        <v>0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1" t="s">
        <v>552</v>
      </c>
      <c r="B25" s="64">
        <v>22.96</v>
      </c>
      <c r="C25" s="64">
        <v>2.23</v>
      </c>
      <c r="D25" s="64">
        <v>18.37</v>
      </c>
      <c r="E25" s="64">
        <v>5.27</v>
      </c>
      <c r="F25" s="64">
        <v>4.2</v>
      </c>
      <c r="G25" s="64">
        <v>75.180000000000007</v>
      </c>
      <c r="H25" s="64">
        <v>11.16</v>
      </c>
      <c r="I25" s="64">
        <v>2.83</v>
      </c>
      <c r="J25" s="64">
        <v>7.0000000000000007E-2</v>
      </c>
      <c r="K25" s="64">
        <v>222.34</v>
      </c>
      <c r="L25" s="64">
        <v>21.13</v>
      </c>
      <c r="M25" s="64">
        <v>98.85</v>
      </c>
      <c r="N25" s="64">
        <v>39.700000000000003</v>
      </c>
      <c r="O25" s="64">
        <v>0</v>
      </c>
      <c r="P25" s="64">
        <v>0</v>
      </c>
      <c r="Q25" s="64">
        <v>9.48</v>
      </c>
      <c r="R25" s="198"/>
      <c r="S25" s="198"/>
      <c r="T25" s="198"/>
      <c r="U25" s="198"/>
    </row>
    <row r="26" spans="1:21" s="12" customFormat="1" x14ac:dyDescent="0.25">
      <c r="A26" s="211" t="s">
        <v>553</v>
      </c>
      <c r="B26" s="64">
        <v>19.079999999999998</v>
      </c>
      <c r="C26" s="64">
        <v>2.2200000000000002</v>
      </c>
      <c r="D26" s="64">
        <v>16.46</v>
      </c>
      <c r="E26" s="64">
        <v>5.65</v>
      </c>
      <c r="F26" s="64">
        <v>6.02</v>
      </c>
      <c r="G26" s="64">
        <v>64.3</v>
      </c>
      <c r="H26" s="64">
        <v>8.33</v>
      </c>
      <c r="I26" s="64">
        <v>2.8</v>
      </c>
      <c r="J26" s="64">
        <v>0.11</v>
      </c>
      <c r="K26" s="64">
        <v>167.27</v>
      </c>
      <c r="L26" s="64">
        <v>21.13</v>
      </c>
      <c r="M26" s="64">
        <v>98.91</v>
      </c>
      <c r="N26" s="64">
        <v>39.700000000000003</v>
      </c>
      <c r="O26" s="64">
        <v>0</v>
      </c>
      <c r="P26" s="64">
        <v>0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11" t="s">
        <v>554</v>
      </c>
      <c r="B27" s="64">
        <v>18.34</v>
      </c>
      <c r="C27" s="64">
        <v>4.07</v>
      </c>
      <c r="D27" s="64">
        <v>16.829999999999998</v>
      </c>
      <c r="E27" s="64">
        <v>5.49</v>
      </c>
      <c r="F27" s="64">
        <v>6.72</v>
      </c>
      <c r="G27" s="64">
        <v>59.89</v>
      </c>
      <c r="H27" s="64">
        <v>8.14</v>
      </c>
      <c r="I27" s="64">
        <v>2.77</v>
      </c>
      <c r="J27" s="64">
        <v>0.08</v>
      </c>
      <c r="K27" s="64">
        <v>176.27</v>
      </c>
      <c r="L27" s="64">
        <v>21.02</v>
      </c>
      <c r="M27" s="64">
        <v>98.93</v>
      </c>
      <c r="N27" s="64">
        <v>39.799999999999997</v>
      </c>
      <c r="O27" s="64">
        <v>0</v>
      </c>
      <c r="P27" s="64">
        <v>0</v>
      </c>
      <c r="Q27" s="64">
        <v>9.4700000000000006</v>
      </c>
      <c r="R27" s="198"/>
      <c r="S27" s="198"/>
      <c r="T27" s="198"/>
      <c r="U27" s="198"/>
    </row>
    <row r="28" spans="1:21" s="12" customFormat="1" x14ac:dyDescent="0.25">
      <c r="A28" s="211" t="s">
        <v>555</v>
      </c>
      <c r="B28" s="64">
        <v>18.66</v>
      </c>
      <c r="C28" s="64">
        <v>5.44</v>
      </c>
      <c r="D28" s="64">
        <v>17.8</v>
      </c>
      <c r="E28" s="64">
        <v>5.43</v>
      </c>
      <c r="F28" s="64">
        <v>6.33</v>
      </c>
      <c r="G28" s="64">
        <v>59.89</v>
      </c>
      <c r="H28" s="64">
        <v>8.14</v>
      </c>
      <c r="I28" s="64">
        <v>2.76</v>
      </c>
      <c r="J28" s="64">
        <v>0.09</v>
      </c>
      <c r="K28" s="64">
        <v>306.23</v>
      </c>
      <c r="L28" s="64">
        <v>20.98</v>
      </c>
      <c r="M28" s="64">
        <v>98.86</v>
      </c>
      <c r="N28" s="64">
        <v>39.799999999999997</v>
      </c>
      <c r="O28" s="64">
        <v>0</v>
      </c>
      <c r="P28" s="64">
        <v>0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1" t="s">
        <v>556</v>
      </c>
      <c r="B29" s="64">
        <v>19.760000000000002</v>
      </c>
      <c r="C29" s="64">
        <v>4.71</v>
      </c>
      <c r="D29" s="64">
        <v>18.309999999999999</v>
      </c>
      <c r="E29" s="64">
        <v>5.23</v>
      </c>
      <c r="F29" s="64">
        <v>5.49</v>
      </c>
      <c r="G29" s="64">
        <v>59.89</v>
      </c>
      <c r="H29" s="64">
        <v>8.14</v>
      </c>
      <c r="I29" s="64">
        <v>2.73</v>
      </c>
      <c r="J29" s="64">
        <v>0.11</v>
      </c>
      <c r="K29" s="64">
        <v>265.31</v>
      </c>
      <c r="L29" s="64">
        <v>20.9</v>
      </c>
      <c r="M29" s="64">
        <v>98.31</v>
      </c>
      <c r="N29" s="64">
        <v>39.799999999999997</v>
      </c>
      <c r="O29" s="64">
        <v>0</v>
      </c>
      <c r="P29" s="64">
        <v>0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1" t="s">
        <v>557</v>
      </c>
      <c r="B30" s="64">
        <v>18.53</v>
      </c>
      <c r="C30" s="64">
        <v>4.96</v>
      </c>
      <c r="D30" s="64">
        <v>17.45</v>
      </c>
      <c r="E30" s="64">
        <v>5.17</v>
      </c>
      <c r="F30" s="64">
        <v>5.84</v>
      </c>
      <c r="G30" s="64">
        <v>53.52</v>
      </c>
      <c r="H30" s="64">
        <v>8.61</v>
      </c>
      <c r="I30" s="64">
        <v>2.69</v>
      </c>
      <c r="J30" s="64">
        <v>0.03</v>
      </c>
      <c r="K30" s="64">
        <v>164.64</v>
      </c>
      <c r="L30" s="64">
        <v>20.72</v>
      </c>
      <c r="M30" s="64">
        <v>98.88</v>
      </c>
      <c r="N30" s="64">
        <v>39.9</v>
      </c>
      <c r="O30" s="64">
        <v>0</v>
      </c>
      <c r="P30" s="64">
        <v>0</v>
      </c>
      <c r="Q30" s="64">
        <v>9.4499999999999993</v>
      </c>
      <c r="R30" s="198"/>
      <c r="S30" s="198"/>
      <c r="T30" s="198"/>
      <c r="U30" s="198"/>
    </row>
    <row r="31" spans="1:21" s="12" customFormat="1" x14ac:dyDescent="0.25">
      <c r="A31" s="211" t="s">
        <v>558</v>
      </c>
      <c r="B31" s="64">
        <v>17.75</v>
      </c>
      <c r="C31" s="64">
        <v>8.31</v>
      </c>
      <c r="D31" s="64">
        <v>18.579999999999998</v>
      </c>
      <c r="E31" s="64">
        <v>5.04</v>
      </c>
      <c r="F31" s="64">
        <v>4.8499999999999996</v>
      </c>
      <c r="G31" s="64">
        <v>50.79</v>
      </c>
      <c r="H31" s="64">
        <v>8.64</v>
      </c>
      <c r="I31" s="64">
        <v>2.67</v>
      </c>
      <c r="J31" s="64">
        <v>0.08</v>
      </c>
      <c r="K31" s="64">
        <v>323.55</v>
      </c>
      <c r="L31" s="64">
        <v>20.55</v>
      </c>
      <c r="M31" s="64">
        <v>99</v>
      </c>
      <c r="N31" s="64">
        <v>39.9</v>
      </c>
      <c r="O31" s="64">
        <v>0</v>
      </c>
      <c r="P31" s="64">
        <v>0</v>
      </c>
      <c r="Q31" s="64">
        <v>9.44</v>
      </c>
      <c r="R31" s="198"/>
      <c r="S31" s="198"/>
      <c r="T31" s="198"/>
      <c r="U31" s="198"/>
    </row>
    <row r="32" spans="1:21" s="12" customFormat="1" x14ac:dyDescent="0.25">
      <c r="A32" s="211" t="s">
        <v>559</v>
      </c>
      <c r="B32" s="64">
        <v>18.829999999999998</v>
      </c>
      <c r="C32" s="64">
        <v>7.54</v>
      </c>
      <c r="D32" s="64">
        <v>19.04</v>
      </c>
      <c r="E32" s="64">
        <v>5.31</v>
      </c>
      <c r="F32" s="64">
        <v>4.83</v>
      </c>
      <c r="G32" s="64">
        <v>50.79</v>
      </c>
      <c r="H32" s="64">
        <v>8.64</v>
      </c>
      <c r="I32" s="64">
        <v>2.64</v>
      </c>
      <c r="J32" s="64">
        <v>0.02</v>
      </c>
      <c r="K32" s="64">
        <v>107.17</v>
      </c>
      <c r="L32" s="64">
        <v>20.440000000000001</v>
      </c>
      <c r="M32" s="64">
        <v>99.01</v>
      </c>
      <c r="N32" s="64">
        <v>40.9</v>
      </c>
      <c r="O32" s="64">
        <v>0</v>
      </c>
      <c r="P32" s="64">
        <v>0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1" t="s">
        <v>560</v>
      </c>
      <c r="B33" s="64">
        <v>22.08</v>
      </c>
      <c r="C33" s="64">
        <v>4.5</v>
      </c>
      <c r="D33" s="64">
        <v>20.059999999999999</v>
      </c>
      <c r="E33" s="64">
        <v>5.83</v>
      </c>
      <c r="F33" s="64">
        <v>4.54</v>
      </c>
      <c r="G33" s="64">
        <v>50.79</v>
      </c>
      <c r="H33" s="64">
        <v>8.64</v>
      </c>
      <c r="I33" s="64">
        <v>2.61</v>
      </c>
      <c r="J33" s="64">
        <v>0.38</v>
      </c>
      <c r="K33" s="64">
        <v>339.53</v>
      </c>
      <c r="L33" s="64">
        <v>20.309999999999999</v>
      </c>
      <c r="M33" s="64">
        <v>99.06</v>
      </c>
      <c r="N33" s="64">
        <v>46</v>
      </c>
      <c r="O33" s="64">
        <v>0</v>
      </c>
      <c r="P33" s="64">
        <v>0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1" t="s">
        <v>561</v>
      </c>
      <c r="B34" s="64">
        <v>21.47</v>
      </c>
      <c r="C34" s="64">
        <v>2.23</v>
      </c>
      <c r="D34" s="64">
        <v>18.38</v>
      </c>
      <c r="E34" s="64">
        <v>5.0199999999999996</v>
      </c>
      <c r="F34" s="64">
        <v>4.93</v>
      </c>
      <c r="G34" s="64">
        <v>48.81</v>
      </c>
      <c r="H34" s="64">
        <v>8.24</v>
      </c>
      <c r="I34" s="64">
        <v>2.6</v>
      </c>
      <c r="J34" s="64">
        <v>0.69</v>
      </c>
      <c r="K34" s="64">
        <v>340.68</v>
      </c>
      <c r="L34" s="64">
        <v>20.43</v>
      </c>
      <c r="M34" s="64">
        <v>98.9</v>
      </c>
      <c r="N34" s="64">
        <v>57.5</v>
      </c>
      <c r="O34" s="64">
        <v>0</v>
      </c>
      <c r="P34" s="64">
        <v>0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1" t="s">
        <v>562</v>
      </c>
      <c r="B35" s="64">
        <v>22.15</v>
      </c>
      <c r="C35" s="64">
        <v>1.84</v>
      </c>
      <c r="D35" s="64">
        <v>18.72</v>
      </c>
      <c r="E35" s="64">
        <v>5.0199999999999996</v>
      </c>
      <c r="F35" s="64">
        <v>3.69</v>
      </c>
      <c r="G35" s="64">
        <v>47.96</v>
      </c>
      <c r="H35" s="64">
        <v>8.2100000000000009</v>
      </c>
      <c r="I35" s="64">
        <v>2.57</v>
      </c>
      <c r="J35" s="64">
        <v>0.47</v>
      </c>
      <c r="K35" s="64">
        <v>339.46</v>
      </c>
      <c r="L35" s="64">
        <v>20.76</v>
      </c>
      <c r="M35" s="64">
        <v>98.81</v>
      </c>
      <c r="N35" s="64">
        <v>75.7</v>
      </c>
      <c r="O35" s="64">
        <v>0</v>
      </c>
      <c r="P35" s="64">
        <v>0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1" t="s">
        <v>563</v>
      </c>
      <c r="B36" s="64">
        <v>20.68</v>
      </c>
      <c r="C36" s="64">
        <v>3.43</v>
      </c>
      <c r="D36" s="64">
        <v>18.37</v>
      </c>
      <c r="E36" s="64">
        <v>4.76</v>
      </c>
      <c r="F36" s="64">
        <v>4.21</v>
      </c>
      <c r="G36" s="64">
        <v>47.96</v>
      </c>
      <c r="H36" s="64">
        <v>8.2100000000000009</v>
      </c>
      <c r="I36" s="64">
        <v>2.52</v>
      </c>
      <c r="J36" s="64">
        <v>0.56000000000000005</v>
      </c>
      <c r="K36" s="64">
        <v>337.18</v>
      </c>
      <c r="L36" s="64">
        <v>21.26</v>
      </c>
      <c r="M36" s="64">
        <v>98.74</v>
      </c>
      <c r="N36" s="64">
        <v>104.7</v>
      </c>
      <c r="O36" s="64">
        <v>0</v>
      </c>
      <c r="P36" s="64">
        <v>0</v>
      </c>
      <c r="Q36" s="64">
        <v>9.42</v>
      </c>
      <c r="R36" s="198"/>
      <c r="S36" s="198"/>
      <c r="T36" s="198"/>
      <c r="U36" s="198"/>
    </row>
    <row r="37" spans="1:21" s="12" customFormat="1" x14ac:dyDescent="0.25">
      <c r="A37" s="211" t="s">
        <v>564</v>
      </c>
      <c r="B37" s="64">
        <v>24.99</v>
      </c>
      <c r="C37" s="64">
        <v>3.27</v>
      </c>
      <c r="D37" s="64">
        <v>21.74</v>
      </c>
      <c r="E37" s="64">
        <v>5.09</v>
      </c>
      <c r="F37" s="64">
        <v>3.46</v>
      </c>
      <c r="G37" s="64">
        <v>47.96</v>
      </c>
      <c r="H37" s="64">
        <v>8.2100000000000009</v>
      </c>
      <c r="I37" s="64">
        <v>2.4900000000000002</v>
      </c>
      <c r="J37" s="64">
        <v>0.34</v>
      </c>
      <c r="K37" s="64">
        <v>336.65</v>
      </c>
      <c r="L37" s="64">
        <v>22.23</v>
      </c>
      <c r="M37" s="64">
        <v>96.16</v>
      </c>
      <c r="N37" s="64">
        <v>177.3</v>
      </c>
      <c r="O37" s="64">
        <v>0</v>
      </c>
      <c r="P37" s="64">
        <v>0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1" t="s">
        <v>565</v>
      </c>
      <c r="B38" s="64">
        <v>25.34</v>
      </c>
      <c r="C38" s="64">
        <v>1.42</v>
      </c>
      <c r="D38" s="64">
        <v>21.06</v>
      </c>
      <c r="E38" s="64">
        <v>5.58</v>
      </c>
      <c r="F38" s="64">
        <v>4.38</v>
      </c>
      <c r="G38" s="64">
        <v>57</v>
      </c>
      <c r="H38" s="64">
        <v>8.76</v>
      </c>
      <c r="I38" s="64">
        <v>2.48</v>
      </c>
      <c r="J38" s="64">
        <v>0.56999999999999995</v>
      </c>
      <c r="K38" s="64">
        <v>335.83</v>
      </c>
      <c r="L38" s="64">
        <v>24.58</v>
      </c>
      <c r="M38" s="64">
        <v>82.6</v>
      </c>
      <c r="N38" s="64">
        <v>241.4</v>
      </c>
      <c r="O38" s="64">
        <v>0.2</v>
      </c>
      <c r="P38" s="64">
        <v>0</v>
      </c>
      <c r="Q38" s="64">
        <v>9.43</v>
      </c>
      <c r="R38" s="198"/>
      <c r="S38" s="198"/>
      <c r="T38" s="198"/>
      <c r="U38" s="198"/>
    </row>
    <row r="39" spans="1:21" s="12" customFormat="1" x14ac:dyDescent="0.25">
      <c r="A39" s="211" t="s">
        <v>566</v>
      </c>
      <c r="B39" s="64">
        <v>23.65</v>
      </c>
      <c r="C39" s="64">
        <v>2.98</v>
      </c>
      <c r="D39" s="64">
        <v>20.52</v>
      </c>
      <c r="E39" s="64">
        <v>5.16</v>
      </c>
      <c r="F39" s="64">
        <v>4.22</v>
      </c>
      <c r="G39" s="64">
        <v>60.87</v>
      </c>
      <c r="H39" s="64">
        <v>8.82</v>
      </c>
      <c r="I39" s="64">
        <v>2.5</v>
      </c>
      <c r="J39" s="64">
        <v>0.37</v>
      </c>
      <c r="K39" s="64">
        <v>333.66</v>
      </c>
      <c r="L39" s="64">
        <v>26.12</v>
      </c>
      <c r="M39" s="64">
        <v>71.959999999999994</v>
      </c>
      <c r="N39" s="64">
        <v>296.8</v>
      </c>
      <c r="O39" s="64">
        <v>0</v>
      </c>
      <c r="P39" s="64">
        <v>0</v>
      </c>
      <c r="Q39" s="64">
        <v>9.4499999999999993</v>
      </c>
      <c r="R39" s="198"/>
      <c r="S39" s="198"/>
      <c r="T39" s="198"/>
      <c r="U39" s="198"/>
    </row>
    <row r="40" spans="1:21" s="12" customFormat="1" x14ac:dyDescent="0.25">
      <c r="A40" s="211" t="s">
        <v>567</v>
      </c>
      <c r="B40" s="64">
        <v>23.21</v>
      </c>
      <c r="C40" s="64">
        <v>2.6</v>
      </c>
      <c r="D40" s="64">
        <v>19.97</v>
      </c>
      <c r="E40" s="64">
        <v>5.68</v>
      </c>
      <c r="F40" s="64">
        <v>5</v>
      </c>
      <c r="G40" s="64">
        <v>60.87</v>
      </c>
      <c r="H40" s="64">
        <v>8.82</v>
      </c>
      <c r="I40" s="64">
        <v>2.5299999999999998</v>
      </c>
      <c r="J40" s="64">
        <v>0.32</v>
      </c>
      <c r="K40" s="64">
        <v>128.88999999999999</v>
      </c>
      <c r="L40" s="64">
        <v>26.54</v>
      </c>
      <c r="M40" s="64">
        <v>67.97</v>
      </c>
      <c r="N40" s="64">
        <v>360</v>
      </c>
      <c r="O40" s="64">
        <v>0</v>
      </c>
      <c r="P40" s="64">
        <v>0</v>
      </c>
      <c r="Q40" s="64">
        <v>9.4700000000000006</v>
      </c>
      <c r="R40" s="198"/>
      <c r="S40" s="198"/>
      <c r="T40" s="198"/>
      <c r="U40" s="198"/>
    </row>
    <row r="41" spans="1:21" s="12" customFormat="1" x14ac:dyDescent="0.25">
      <c r="A41" s="211" t="s">
        <v>568</v>
      </c>
      <c r="B41" s="64">
        <v>21.3</v>
      </c>
      <c r="C41" s="64">
        <v>2.78</v>
      </c>
      <c r="D41" s="64">
        <v>18.53</v>
      </c>
      <c r="E41" s="64">
        <v>5.49</v>
      </c>
      <c r="F41" s="64">
        <v>4.58</v>
      </c>
      <c r="G41" s="64">
        <v>60.87</v>
      </c>
      <c r="H41" s="64">
        <v>8.82</v>
      </c>
      <c r="I41" s="64">
        <v>2.5499999999999998</v>
      </c>
      <c r="J41" s="64">
        <v>0.27</v>
      </c>
      <c r="K41" s="64">
        <v>124.91</v>
      </c>
      <c r="L41" s="64">
        <v>26.1</v>
      </c>
      <c r="M41" s="64">
        <v>66.510000000000005</v>
      </c>
      <c r="N41" s="64">
        <v>427</v>
      </c>
      <c r="O41" s="64">
        <v>0</v>
      </c>
      <c r="P41" s="64">
        <v>0</v>
      </c>
      <c r="Q41" s="64">
        <v>9.4600000000000009</v>
      </c>
      <c r="R41" s="198"/>
      <c r="S41" s="198"/>
      <c r="T41" s="198"/>
      <c r="U41" s="198"/>
    </row>
    <row r="42" spans="1:21" s="12" customFormat="1" x14ac:dyDescent="0.25">
      <c r="A42" s="211" t="s">
        <v>569</v>
      </c>
      <c r="B42" s="64">
        <v>21.05</v>
      </c>
      <c r="C42" s="64">
        <v>2.4900000000000002</v>
      </c>
      <c r="D42" s="64">
        <v>18.190000000000001</v>
      </c>
      <c r="E42" s="64">
        <v>5.49</v>
      </c>
      <c r="F42" s="64">
        <v>6.49</v>
      </c>
      <c r="G42" s="64">
        <v>59.79</v>
      </c>
      <c r="H42" s="64">
        <v>7.35</v>
      </c>
      <c r="I42" s="64">
        <v>2.56</v>
      </c>
      <c r="J42" s="64">
        <v>0.42</v>
      </c>
      <c r="K42" s="64">
        <v>130.71</v>
      </c>
      <c r="L42" s="64">
        <v>27.17</v>
      </c>
      <c r="M42" s="64">
        <v>59.76</v>
      </c>
      <c r="N42" s="64">
        <v>480.5</v>
      </c>
      <c r="O42" s="64">
        <v>0</v>
      </c>
      <c r="P42" s="64">
        <v>0</v>
      </c>
      <c r="Q42" s="64">
        <v>9.4499999999999993</v>
      </c>
      <c r="R42" s="198"/>
      <c r="S42" s="198"/>
      <c r="T42" s="198"/>
      <c r="U42" s="198"/>
    </row>
    <row r="43" spans="1:21" s="12" customFormat="1" x14ac:dyDescent="0.25">
      <c r="A43" s="211" t="s">
        <v>570</v>
      </c>
      <c r="B43" s="64">
        <v>20.22</v>
      </c>
      <c r="C43" s="64">
        <v>3.45</v>
      </c>
      <c r="D43" s="64">
        <v>18.02</v>
      </c>
      <c r="E43" s="64">
        <v>5.3</v>
      </c>
      <c r="F43" s="64">
        <v>4.01</v>
      </c>
      <c r="G43" s="64">
        <v>59.35</v>
      </c>
      <c r="H43" s="64">
        <v>7.25</v>
      </c>
      <c r="I43" s="64">
        <v>2.56</v>
      </c>
      <c r="J43" s="64">
        <v>0.36</v>
      </c>
      <c r="K43" s="64">
        <v>140.1</v>
      </c>
      <c r="L43" s="64">
        <v>27.14</v>
      </c>
      <c r="M43" s="64">
        <v>58.42</v>
      </c>
      <c r="N43" s="64">
        <v>535.9</v>
      </c>
      <c r="O43" s="64">
        <v>0</v>
      </c>
      <c r="P43" s="64">
        <v>0</v>
      </c>
      <c r="Q43" s="64">
        <v>9.44</v>
      </c>
      <c r="R43" s="198"/>
      <c r="S43" s="198"/>
      <c r="T43" s="198"/>
      <c r="U43" s="198"/>
    </row>
    <row r="44" spans="1:21" s="12" customFormat="1" x14ac:dyDescent="0.25">
      <c r="A44" s="211" t="s">
        <v>571</v>
      </c>
      <c r="B44" s="64">
        <v>19.16</v>
      </c>
      <c r="C44" s="64">
        <v>4.59</v>
      </c>
      <c r="D44" s="64">
        <v>17.77</v>
      </c>
      <c r="E44" s="64">
        <v>6.19</v>
      </c>
      <c r="F44" s="64">
        <v>9.74</v>
      </c>
      <c r="G44" s="64">
        <v>59.35</v>
      </c>
      <c r="H44" s="64">
        <v>7.25</v>
      </c>
      <c r="I44" s="64">
        <v>2.5299999999999998</v>
      </c>
      <c r="J44" s="64">
        <v>0.48</v>
      </c>
      <c r="K44" s="64">
        <v>125.89</v>
      </c>
      <c r="L44" s="64">
        <v>27.74</v>
      </c>
      <c r="M44" s="64">
        <v>53.46</v>
      </c>
      <c r="N44" s="64">
        <v>581.70000000000005</v>
      </c>
      <c r="O44" s="64">
        <v>0</v>
      </c>
      <c r="P44" s="64">
        <v>0</v>
      </c>
      <c r="Q44" s="64">
        <v>9.4499999999999993</v>
      </c>
      <c r="R44" s="198"/>
      <c r="S44" s="198"/>
      <c r="T44" s="198"/>
      <c r="U44" s="198"/>
    </row>
    <row r="45" spans="1:21" s="12" customFormat="1" x14ac:dyDescent="0.25">
      <c r="A45" s="211" t="s">
        <v>572</v>
      </c>
      <c r="B45" s="64">
        <v>16.02</v>
      </c>
      <c r="C45" s="64">
        <v>5.29</v>
      </c>
      <c r="D45" s="64">
        <v>15.62</v>
      </c>
      <c r="E45" s="64">
        <v>6.64</v>
      </c>
      <c r="F45" s="64">
        <v>9.7899999999999991</v>
      </c>
      <c r="G45" s="64">
        <v>59.35</v>
      </c>
      <c r="H45" s="64">
        <v>7.25</v>
      </c>
      <c r="I45" s="64">
        <v>2.52</v>
      </c>
      <c r="J45" s="64">
        <v>0.57999999999999996</v>
      </c>
      <c r="K45" s="64">
        <v>131.68</v>
      </c>
      <c r="L45" s="64">
        <v>27.28</v>
      </c>
      <c r="M45" s="64">
        <v>54.74</v>
      </c>
      <c r="N45" s="64">
        <v>628</v>
      </c>
      <c r="O45" s="64">
        <v>0</v>
      </c>
      <c r="P45" s="64">
        <v>0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1" t="s">
        <v>573</v>
      </c>
      <c r="B46" s="64">
        <v>14.17</v>
      </c>
      <c r="C46" s="64">
        <v>6.8</v>
      </c>
      <c r="D46" s="64">
        <v>14.91</v>
      </c>
      <c r="E46" s="64">
        <v>6.96</v>
      </c>
      <c r="F46" s="64">
        <v>12.57</v>
      </c>
      <c r="G46" s="64">
        <v>52.94</v>
      </c>
      <c r="H46" s="64">
        <v>7.77</v>
      </c>
      <c r="I46" s="64">
        <v>2.52</v>
      </c>
      <c r="J46" s="64">
        <v>0.81</v>
      </c>
      <c r="K46" s="64">
        <v>123.16</v>
      </c>
      <c r="L46" s="64">
        <v>28.02</v>
      </c>
      <c r="M46" s="64">
        <v>50.71</v>
      </c>
      <c r="N46" s="64">
        <v>667.7</v>
      </c>
      <c r="O46" s="64">
        <v>0</v>
      </c>
      <c r="P46" s="64">
        <v>0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1" t="s">
        <v>574</v>
      </c>
      <c r="B47" s="64">
        <v>15.06</v>
      </c>
      <c r="C47" s="64">
        <v>7.99</v>
      </c>
      <c r="D47" s="64">
        <v>16.25</v>
      </c>
      <c r="E47" s="64">
        <v>6.84</v>
      </c>
      <c r="F47" s="64">
        <v>11.05</v>
      </c>
      <c r="G47" s="64">
        <v>50.33</v>
      </c>
      <c r="H47" s="64">
        <v>7.8</v>
      </c>
      <c r="I47" s="64">
        <v>2.5</v>
      </c>
      <c r="J47" s="64">
        <v>0.79</v>
      </c>
      <c r="K47" s="64">
        <v>125.99</v>
      </c>
      <c r="L47" s="64">
        <v>27.72</v>
      </c>
      <c r="M47" s="64">
        <v>50.97</v>
      </c>
      <c r="N47" s="64">
        <v>696.7</v>
      </c>
      <c r="O47" s="64">
        <v>0</v>
      </c>
      <c r="P47" s="64">
        <v>0</v>
      </c>
      <c r="Q47" s="64">
        <v>9.44</v>
      </c>
      <c r="R47" s="198"/>
      <c r="S47" s="198"/>
      <c r="T47" s="198"/>
      <c r="U47" s="198"/>
    </row>
    <row r="48" spans="1:21" s="12" customFormat="1" x14ac:dyDescent="0.25">
      <c r="A48" s="211" t="s">
        <v>575</v>
      </c>
      <c r="B48" s="64">
        <v>14.59</v>
      </c>
      <c r="C48" s="64">
        <v>12.15</v>
      </c>
      <c r="D48" s="64">
        <v>18.05</v>
      </c>
      <c r="E48" s="64">
        <v>7.56</v>
      </c>
      <c r="F48" s="64">
        <v>13.98</v>
      </c>
      <c r="G48" s="64">
        <v>50.33</v>
      </c>
      <c r="H48" s="64">
        <v>7.8</v>
      </c>
      <c r="I48" s="64">
        <v>2.63</v>
      </c>
      <c r="J48" s="64">
        <v>0.36</v>
      </c>
      <c r="K48" s="64">
        <v>121.51</v>
      </c>
      <c r="L48" s="64">
        <v>29</v>
      </c>
      <c r="M48" s="64">
        <v>45.81</v>
      </c>
      <c r="N48" s="64">
        <v>726.6</v>
      </c>
      <c r="O48" s="64">
        <v>0</v>
      </c>
      <c r="P48" s="64">
        <v>0</v>
      </c>
      <c r="Q48" s="64">
        <v>9.41</v>
      </c>
      <c r="R48" s="198"/>
      <c r="S48" s="198"/>
      <c r="T48" s="198"/>
      <c r="U48" s="198"/>
    </row>
    <row r="49" spans="1:21" s="12" customFormat="1" x14ac:dyDescent="0.25">
      <c r="A49" s="211" t="s">
        <v>576</v>
      </c>
      <c r="B49" s="64">
        <v>10.67</v>
      </c>
      <c r="C49" s="64">
        <v>14.71</v>
      </c>
      <c r="D49" s="64">
        <v>16.239999999999998</v>
      </c>
      <c r="E49" s="64">
        <v>8.1199999999999992</v>
      </c>
      <c r="F49" s="64">
        <v>12.51</v>
      </c>
      <c r="G49" s="64">
        <v>50.33</v>
      </c>
      <c r="H49" s="64">
        <v>7.8</v>
      </c>
      <c r="I49" s="64">
        <v>2.69</v>
      </c>
      <c r="J49" s="64">
        <v>0.28999999999999998</v>
      </c>
      <c r="K49" s="64">
        <v>3.19</v>
      </c>
      <c r="L49" s="64">
        <v>29.4</v>
      </c>
      <c r="M49" s="64">
        <v>45.18</v>
      </c>
      <c r="N49" s="64">
        <v>742.4</v>
      </c>
      <c r="O49" s="64">
        <v>0</v>
      </c>
      <c r="P49" s="64">
        <v>0</v>
      </c>
      <c r="Q49" s="64">
        <v>9.33</v>
      </c>
      <c r="R49" s="198"/>
      <c r="S49" s="198"/>
      <c r="T49" s="198"/>
      <c r="U49" s="198"/>
    </row>
    <row r="50" spans="1:21" s="12" customFormat="1" x14ac:dyDescent="0.25">
      <c r="A50" s="211" t="s">
        <v>577</v>
      </c>
      <c r="B50" s="64">
        <v>10.08</v>
      </c>
      <c r="C50" s="64">
        <v>16.52</v>
      </c>
      <c r="D50" s="64">
        <v>16.71</v>
      </c>
      <c r="E50" s="64">
        <v>7.93</v>
      </c>
      <c r="F50" s="64">
        <v>13.61</v>
      </c>
      <c r="G50" s="64">
        <v>47.44</v>
      </c>
      <c r="H50" s="64">
        <v>8.0500000000000007</v>
      </c>
      <c r="I50" s="64">
        <v>2.58</v>
      </c>
      <c r="J50" s="64">
        <v>0.92</v>
      </c>
      <c r="K50" s="64">
        <v>333.83</v>
      </c>
      <c r="L50" s="64">
        <v>32.07</v>
      </c>
      <c r="M50" s="64">
        <v>39.71</v>
      </c>
      <c r="N50" s="64">
        <v>761.4</v>
      </c>
      <c r="O50" s="64">
        <v>0</v>
      </c>
      <c r="P50" s="64">
        <v>0.4</v>
      </c>
      <c r="Q50" s="64">
        <v>9.26</v>
      </c>
      <c r="R50" s="198"/>
      <c r="S50" s="198"/>
      <c r="T50" s="198"/>
      <c r="U50" s="198"/>
    </row>
    <row r="51" spans="1:21" s="12" customFormat="1" x14ac:dyDescent="0.25">
      <c r="A51" s="211" t="s">
        <v>578</v>
      </c>
      <c r="B51" s="64">
        <v>9.17</v>
      </c>
      <c r="C51" s="64">
        <v>14.51</v>
      </c>
      <c r="D51" s="64">
        <v>14.94</v>
      </c>
      <c r="E51" s="64">
        <v>7.89</v>
      </c>
      <c r="F51" s="64">
        <v>10.27</v>
      </c>
      <c r="G51" s="64">
        <v>46.26</v>
      </c>
      <c r="H51" s="64">
        <v>8.07</v>
      </c>
      <c r="I51" s="64">
        <v>2.48</v>
      </c>
      <c r="J51" s="64">
        <v>0.78</v>
      </c>
      <c r="K51" s="64">
        <v>335.91</v>
      </c>
      <c r="L51" s="64">
        <v>32.33</v>
      </c>
      <c r="M51" s="64">
        <v>39.07</v>
      </c>
      <c r="N51" s="64">
        <v>770.6</v>
      </c>
      <c r="O51" s="64">
        <v>0</v>
      </c>
      <c r="P51" s="64">
        <v>0.2</v>
      </c>
      <c r="Q51" s="64">
        <v>9.23</v>
      </c>
      <c r="R51" s="198"/>
      <c r="S51" s="198"/>
      <c r="T51" s="198"/>
      <c r="U51" s="198"/>
    </row>
    <row r="52" spans="1:21" s="12" customFormat="1" x14ac:dyDescent="0.25">
      <c r="A52" s="211" t="s">
        <v>579</v>
      </c>
      <c r="B52" s="64">
        <v>10.58</v>
      </c>
      <c r="C52" s="64">
        <v>18.170000000000002</v>
      </c>
      <c r="D52" s="64">
        <v>17.98</v>
      </c>
      <c r="E52" s="64">
        <v>7.03</v>
      </c>
      <c r="F52" s="64">
        <v>6.16</v>
      </c>
      <c r="G52" s="64">
        <v>46.26</v>
      </c>
      <c r="H52" s="64">
        <v>8.07</v>
      </c>
      <c r="I52" s="64">
        <v>2.48</v>
      </c>
      <c r="J52" s="64">
        <v>0.34</v>
      </c>
      <c r="K52" s="64">
        <v>344.92</v>
      </c>
      <c r="L52" s="64">
        <v>31.99</v>
      </c>
      <c r="M52" s="64">
        <v>37.08</v>
      </c>
      <c r="N52" s="64">
        <v>773.7</v>
      </c>
      <c r="O52" s="64">
        <v>0</v>
      </c>
      <c r="P52" s="64">
        <v>0.11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1" t="s">
        <v>580</v>
      </c>
      <c r="B53" s="64">
        <v>7.85</v>
      </c>
      <c r="C53" s="64">
        <v>21.62</v>
      </c>
      <c r="D53" s="64">
        <v>17.59</v>
      </c>
      <c r="E53" s="64">
        <v>9.34</v>
      </c>
      <c r="F53" s="64">
        <v>10.28</v>
      </c>
      <c r="G53" s="64">
        <v>46.26</v>
      </c>
      <c r="H53" s="64">
        <v>8.07</v>
      </c>
      <c r="I53" s="64">
        <v>2.46</v>
      </c>
      <c r="J53" s="64">
        <v>0.19</v>
      </c>
      <c r="K53" s="64">
        <v>53.69</v>
      </c>
      <c r="L53" s="64">
        <v>30.59</v>
      </c>
      <c r="M53" s="64">
        <v>37.869999999999997</v>
      </c>
      <c r="N53" s="64">
        <v>796.7</v>
      </c>
      <c r="O53" s="64">
        <v>0</v>
      </c>
      <c r="P53" s="64">
        <v>0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1" t="s">
        <v>581</v>
      </c>
      <c r="B54" s="64">
        <v>7.35</v>
      </c>
      <c r="C54" s="64">
        <v>22.4</v>
      </c>
      <c r="D54" s="64">
        <v>17.59</v>
      </c>
      <c r="E54" s="64">
        <v>10.93</v>
      </c>
      <c r="F54" s="64">
        <v>17.059999999999999</v>
      </c>
      <c r="G54" s="64">
        <v>38.86</v>
      </c>
      <c r="H54" s="64">
        <v>7.19</v>
      </c>
      <c r="I54" s="64">
        <v>2.37</v>
      </c>
      <c r="J54" s="64">
        <v>0.85</v>
      </c>
      <c r="K54" s="64">
        <v>337.57</v>
      </c>
      <c r="L54" s="64">
        <v>31.44</v>
      </c>
      <c r="M54" s="64">
        <v>34.74</v>
      </c>
      <c r="N54" s="64">
        <v>805</v>
      </c>
      <c r="O54" s="64">
        <v>0</v>
      </c>
      <c r="P54" s="64">
        <v>0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1" t="s">
        <v>582</v>
      </c>
      <c r="B55" s="64">
        <v>4.6500000000000004</v>
      </c>
      <c r="C55" s="64">
        <v>19.78</v>
      </c>
      <c r="D55" s="64">
        <v>14.06</v>
      </c>
      <c r="E55" s="64">
        <v>9.19</v>
      </c>
      <c r="F55" s="64">
        <v>11.97</v>
      </c>
      <c r="G55" s="64">
        <v>35.68</v>
      </c>
      <c r="H55" s="64">
        <v>7.11</v>
      </c>
      <c r="I55" s="64">
        <v>2.2200000000000002</v>
      </c>
      <c r="J55" s="64">
        <v>0.75</v>
      </c>
      <c r="K55" s="64">
        <v>128.06</v>
      </c>
      <c r="L55" s="64">
        <v>30.02</v>
      </c>
      <c r="M55" s="64">
        <v>35.29</v>
      </c>
      <c r="N55" s="64">
        <v>794.1</v>
      </c>
      <c r="O55" s="64">
        <v>0</v>
      </c>
      <c r="P55" s="64">
        <v>0.28999999999999998</v>
      </c>
      <c r="Q55" s="64">
        <v>9.1300000000000008</v>
      </c>
      <c r="R55" s="198"/>
      <c r="S55" s="198"/>
      <c r="T55" s="198"/>
      <c r="U55" s="198"/>
    </row>
    <row r="56" spans="1:21" s="12" customFormat="1" x14ac:dyDescent="0.25">
      <c r="A56" s="211" t="s">
        <v>583</v>
      </c>
      <c r="B56" s="64">
        <v>5.63</v>
      </c>
      <c r="C56" s="64">
        <v>19.260000000000002</v>
      </c>
      <c r="D56" s="64">
        <v>14.58</v>
      </c>
      <c r="E56" s="64">
        <v>9.6300000000000008</v>
      </c>
      <c r="F56" s="64">
        <v>12.34</v>
      </c>
      <c r="G56" s="64">
        <v>35.68</v>
      </c>
      <c r="H56" s="64">
        <v>7.11</v>
      </c>
      <c r="I56" s="64">
        <v>2.1</v>
      </c>
      <c r="J56" s="64">
        <v>0.18</v>
      </c>
      <c r="K56" s="64">
        <v>94.62</v>
      </c>
      <c r="L56" s="64">
        <v>29.91</v>
      </c>
      <c r="M56" s="64">
        <v>36.369999999999997</v>
      </c>
      <c r="N56" s="64">
        <v>713.6</v>
      </c>
      <c r="O56" s="64">
        <v>0</v>
      </c>
      <c r="P56" s="64">
        <v>0.4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1" t="s">
        <v>584</v>
      </c>
      <c r="B57" s="64">
        <v>6.69</v>
      </c>
      <c r="C57" s="64">
        <v>20.84</v>
      </c>
      <c r="D57" s="64">
        <v>16.25</v>
      </c>
      <c r="E57" s="64">
        <v>11.89</v>
      </c>
      <c r="F57" s="64">
        <v>11.22</v>
      </c>
      <c r="G57" s="64">
        <v>35.68</v>
      </c>
      <c r="H57" s="64">
        <v>7.11</v>
      </c>
      <c r="I57" s="64">
        <v>1.98</v>
      </c>
      <c r="J57" s="64">
        <v>0.42</v>
      </c>
      <c r="K57" s="64">
        <v>337.72</v>
      </c>
      <c r="L57" s="64">
        <v>31.23</v>
      </c>
      <c r="M57" s="64">
        <v>32.76</v>
      </c>
      <c r="N57" s="64">
        <v>743.3</v>
      </c>
      <c r="O57" s="64">
        <v>0</v>
      </c>
      <c r="P57" s="64">
        <v>0.42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11" t="s">
        <v>585</v>
      </c>
      <c r="B58" s="64">
        <v>8.41</v>
      </c>
      <c r="C58" s="64">
        <v>25.11</v>
      </c>
      <c r="D58" s="64">
        <v>19.87</v>
      </c>
      <c r="E58" s="64">
        <v>17.850000000000001</v>
      </c>
      <c r="F58" s="64">
        <v>14.8</v>
      </c>
      <c r="G58" s="64">
        <v>34.6</v>
      </c>
      <c r="H58" s="64">
        <v>7.05</v>
      </c>
      <c r="I58" s="64">
        <v>1.88</v>
      </c>
      <c r="J58" s="64">
        <v>0.36</v>
      </c>
      <c r="K58" s="64">
        <v>333.02</v>
      </c>
      <c r="L58" s="64">
        <v>31.82</v>
      </c>
      <c r="M58" s="64">
        <v>31.52</v>
      </c>
      <c r="N58" s="64">
        <v>717.6</v>
      </c>
      <c r="O58" s="64">
        <v>0</v>
      </c>
      <c r="P58" s="64">
        <v>0.41</v>
      </c>
      <c r="Q58" s="64">
        <v>9.08</v>
      </c>
      <c r="R58" s="198"/>
      <c r="S58" s="198"/>
      <c r="T58" s="198"/>
      <c r="U58" s="198"/>
    </row>
    <row r="59" spans="1:21" s="12" customFormat="1" x14ac:dyDescent="0.25">
      <c r="A59" s="211" t="s">
        <v>586</v>
      </c>
      <c r="B59" s="64">
        <v>7.61</v>
      </c>
      <c r="C59" s="64">
        <v>22.54</v>
      </c>
      <c r="D59" s="64">
        <v>17.88</v>
      </c>
      <c r="E59" s="64">
        <v>17.97</v>
      </c>
      <c r="F59" s="64">
        <v>12.4</v>
      </c>
      <c r="G59" s="64">
        <v>32.6</v>
      </c>
      <c r="H59" s="64">
        <v>7.03</v>
      </c>
      <c r="I59" s="64">
        <v>1.86</v>
      </c>
      <c r="J59" s="64">
        <v>0.83</v>
      </c>
      <c r="K59" s="64">
        <v>332.18</v>
      </c>
      <c r="L59" s="64">
        <v>31.79</v>
      </c>
      <c r="M59" s="64">
        <v>31.36</v>
      </c>
      <c r="N59" s="64">
        <v>656.1</v>
      </c>
      <c r="O59" s="64">
        <v>0</v>
      </c>
      <c r="P59" s="64">
        <v>0.45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11" t="s">
        <v>587</v>
      </c>
      <c r="B60" s="64">
        <v>7.26</v>
      </c>
      <c r="C60" s="64">
        <v>18.13</v>
      </c>
      <c r="D60" s="64">
        <v>15.29</v>
      </c>
      <c r="E60" s="64">
        <v>15.88</v>
      </c>
      <c r="F60" s="64">
        <v>10.57</v>
      </c>
      <c r="G60" s="64">
        <v>32.6</v>
      </c>
      <c r="H60" s="64">
        <v>7.03</v>
      </c>
      <c r="I60" s="64">
        <v>1.84</v>
      </c>
      <c r="J60" s="64">
        <v>0.47</v>
      </c>
      <c r="K60" s="64">
        <v>331.18</v>
      </c>
      <c r="L60" s="64">
        <v>32.159999999999997</v>
      </c>
      <c r="M60" s="64">
        <v>30.91</v>
      </c>
      <c r="N60" s="64">
        <v>558.29999999999995</v>
      </c>
      <c r="O60" s="64">
        <v>0</v>
      </c>
      <c r="P60" s="64">
        <v>0.47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1" t="s">
        <v>588</v>
      </c>
      <c r="B61" s="64">
        <v>11.32</v>
      </c>
      <c r="C61" s="64">
        <v>23.19</v>
      </c>
      <c r="D61" s="64">
        <v>21.19</v>
      </c>
      <c r="E61" s="64">
        <v>12.28</v>
      </c>
      <c r="F61" s="64">
        <v>13.5</v>
      </c>
      <c r="G61" s="64">
        <v>32.6</v>
      </c>
      <c r="H61" s="64">
        <v>7.03</v>
      </c>
      <c r="I61" s="64">
        <v>1.84</v>
      </c>
      <c r="J61" s="64">
        <v>0.51</v>
      </c>
      <c r="K61" s="64">
        <v>335.14</v>
      </c>
      <c r="L61" s="64">
        <v>31.81</v>
      </c>
      <c r="M61" s="64">
        <v>30.54</v>
      </c>
      <c r="N61" s="64">
        <v>293</v>
      </c>
      <c r="O61" s="64">
        <v>0</v>
      </c>
      <c r="P61" s="64">
        <v>0.54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1" t="s">
        <v>589</v>
      </c>
      <c r="B62" s="64">
        <v>10.54</v>
      </c>
      <c r="C62" s="64">
        <v>19.59</v>
      </c>
      <c r="D62" s="64">
        <v>18.690000000000001</v>
      </c>
      <c r="E62" s="64">
        <v>21.68</v>
      </c>
      <c r="F62" s="64">
        <v>16.55</v>
      </c>
      <c r="G62" s="64">
        <v>32.6</v>
      </c>
      <c r="H62" s="64">
        <v>7.03</v>
      </c>
      <c r="I62" s="64">
        <v>1.85</v>
      </c>
      <c r="J62" s="64">
        <v>0.75</v>
      </c>
      <c r="K62" s="64">
        <v>332.32</v>
      </c>
      <c r="L62" s="64">
        <v>31.6</v>
      </c>
      <c r="M62" s="64">
        <v>29.43</v>
      </c>
      <c r="N62" s="64">
        <v>287.60000000000002</v>
      </c>
      <c r="O62" s="64">
        <v>0</v>
      </c>
      <c r="P62" s="64">
        <v>0.54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1" t="s">
        <v>590</v>
      </c>
      <c r="B63" s="64">
        <v>12.28</v>
      </c>
      <c r="C63" s="64">
        <v>18.84</v>
      </c>
      <c r="D63" s="64">
        <v>19.690000000000001</v>
      </c>
      <c r="E63" s="64">
        <v>10.26</v>
      </c>
      <c r="F63" s="64">
        <v>18.21</v>
      </c>
      <c r="G63" s="64">
        <v>32.6</v>
      </c>
      <c r="H63" s="64">
        <v>7.03</v>
      </c>
      <c r="I63" s="64">
        <v>1.88</v>
      </c>
      <c r="J63" s="64">
        <v>0.64</v>
      </c>
      <c r="K63" s="64">
        <v>332.44</v>
      </c>
      <c r="L63" s="64">
        <v>32.17</v>
      </c>
      <c r="M63" s="64">
        <v>24.85</v>
      </c>
      <c r="N63" s="64">
        <v>238.2</v>
      </c>
      <c r="O63" s="64">
        <v>0</v>
      </c>
      <c r="P63" s="64">
        <v>0.59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1" t="s">
        <v>591</v>
      </c>
      <c r="B64" s="64">
        <v>7.26</v>
      </c>
      <c r="C64" s="64">
        <v>19.45</v>
      </c>
      <c r="D64" s="64">
        <v>15.99</v>
      </c>
      <c r="E64" s="64">
        <v>17.75</v>
      </c>
      <c r="F64" s="64">
        <v>24.44</v>
      </c>
      <c r="G64" s="64">
        <v>32.6</v>
      </c>
      <c r="H64" s="64">
        <v>7.03</v>
      </c>
      <c r="I64" s="64">
        <v>1.92</v>
      </c>
      <c r="J64" s="64">
        <v>1.1599999999999999</v>
      </c>
      <c r="K64" s="64">
        <v>337.41</v>
      </c>
      <c r="L64" s="64">
        <v>31.16</v>
      </c>
      <c r="M64" s="64">
        <v>27.98</v>
      </c>
      <c r="N64" s="64">
        <v>204.6</v>
      </c>
      <c r="O64" s="64">
        <v>0</v>
      </c>
      <c r="P64" s="64">
        <v>0.49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1" t="s">
        <v>592</v>
      </c>
      <c r="B65" s="64">
        <v>7.86</v>
      </c>
      <c r="C65" s="64">
        <v>20.99</v>
      </c>
      <c r="D65" s="64">
        <v>17.27</v>
      </c>
      <c r="E65" s="64">
        <v>16.82</v>
      </c>
      <c r="F65" s="64">
        <v>14.6</v>
      </c>
      <c r="G65" s="64">
        <v>32.6</v>
      </c>
      <c r="H65" s="64">
        <v>7.03</v>
      </c>
      <c r="I65" s="64">
        <v>1.93</v>
      </c>
      <c r="J65" s="64">
        <v>0.88</v>
      </c>
      <c r="K65" s="64">
        <v>332.89</v>
      </c>
      <c r="L65" s="64">
        <v>30.9</v>
      </c>
      <c r="M65" s="64">
        <v>28.36</v>
      </c>
      <c r="N65" s="64">
        <v>181.3</v>
      </c>
      <c r="O65" s="64">
        <v>0</v>
      </c>
      <c r="P65" s="64">
        <v>0.61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1" t="s">
        <v>593</v>
      </c>
      <c r="B66" s="64">
        <v>6.68</v>
      </c>
      <c r="C66" s="64">
        <v>19.350000000000001</v>
      </c>
      <c r="D66" s="64">
        <v>15.47</v>
      </c>
      <c r="E66" s="64">
        <v>13.99</v>
      </c>
      <c r="F66" s="64">
        <v>18.309999999999999</v>
      </c>
      <c r="G66" s="64">
        <v>32.6</v>
      </c>
      <c r="H66" s="64">
        <v>7.03</v>
      </c>
      <c r="I66" s="64">
        <v>1.93</v>
      </c>
      <c r="J66" s="64">
        <v>1.19</v>
      </c>
      <c r="K66" s="64">
        <v>334.31</v>
      </c>
      <c r="L66" s="64">
        <v>30.46</v>
      </c>
      <c r="M66" s="64">
        <v>28.55</v>
      </c>
      <c r="N66" s="64">
        <v>150.30000000000001</v>
      </c>
      <c r="O66" s="64">
        <v>0</v>
      </c>
      <c r="P66" s="64">
        <v>0.57999999999999996</v>
      </c>
      <c r="Q66" s="64">
        <v>9.18</v>
      </c>
      <c r="R66" s="198"/>
      <c r="S66" s="198"/>
      <c r="T66" s="198"/>
      <c r="U66" s="198"/>
    </row>
    <row r="67" spans="1:21" s="12" customFormat="1" x14ac:dyDescent="0.25">
      <c r="A67" s="211" t="s">
        <v>594</v>
      </c>
      <c r="B67" s="64">
        <v>8.75</v>
      </c>
      <c r="C67" s="64">
        <v>23.57</v>
      </c>
      <c r="D67" s="64">
        <v>15.4</v>
      </c>
      <c r="E67" s="64">
        <v>11.26</v>
      </c>
      <c r="F67" s="64">
        <v>20.6</v>
      </c>
      <c r="G67" s="64">
        <v>32.6</v>
      </c>
      <c r="H67" s="64">
        <v>7.03</v>
      </c>
      <c r="I67" s="64">
        <v>1.89</v>
      </c>
      <c r="J67" s="64">
        <v>1.21</v>
      </c>
      <c r="K67" s="64">
        <v>334.4</v>
      </c>
      <c r="L67" s="64">
        <v>29.87</v>
      </c>
      <c r="M67" s="64">
        <v>29.98</v>
      </c>
      <c r="N67" s="64">
        <v>139.19999999999999</v>
      </c>
      <c r="O67" s="64">
        <v>0</v>
      </c>
      <c r="P67" s="64">
        <v>0.63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11" t="s">
        <v>595</v>
      </c>
      <c r="B68" s="64">
        <v>8</v>
      </c>
      <c r="C68" s="64">
        <v>23.11</v>
      </c>
      <c r="D68" s="64">
        <v>18.489999999999998</v>
      </c>
      <c r="E68" s="64">
        <v>12.56</v>
      </c>
      <c r="F68" s="64">
        <v>15.15</v>
      </c>
      <c r="G68" s="64">
        <v>32.6</v>
      </c>
      <c r="H68" s="64">
        <v>7.03</v>
      </c>
      <c r="I68" s="64">
        <v>1.84</v>
      </c>
      <c r="J68" s="64">
        <v>1.22</v>
      </c>
      <c r="K68" s="64">
        <v>333.29</v>
      </c>
      <c r="L68" s="64">
        <v>29.69</v>
      </c>
      <c r="M68" s="64">
        <v>28.08</v>
      </c>
      <c r="N68" s="64">
        <v>130.19999999999999</v>
      </c>
      <c r="O68" s="64">
        <v>0</v>
      </c>
      <c r="P68" s="64">
        <v>0.59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1" t="s">
        <v>596</v>
      </c>
      <c r="B69" s="64">
        <v>8.68</v>
      </c>
      <c r="C69" s="64">
        <v>23.02</v>
      </c>
      <c r="D69" s="64">
        <v>18.989999999999998</v>
      </c>
      <c r="E69" s="64">
        <v>15.06</v>
      </c>
      <c r="F69" s="64">
        <v>18.04</v>
      </c>
      <c r="G69" s="64">
        <v>-0.36</v>
      </c>
      <c r="H69" s="64">
        <v>0.73</v>
      </c>
      <c r="I69" s="64">
        <v>1.76</v>
      </c>
      <c r="J69" s="64">
        <v>1.24</v>
      </c>
      <c r="K69" s="64">
        <v>336.31</v>
      </c>
      <c r="L69" s="64">
        <v>29.28</v>
      </c>
      <c r="M69" s="64">
        <v>28.39</v>
      </c>
      <c r="N69" s="64">
        <v>105.5</v>
      </c>
      <c r="O69" s="64">
        <v>0</v>
      </c>
      <c r="P69" s="64">
        <v>0.55000000000000004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1" t="s">
        <v>597</v>
      </c>
      <c r="B70" s="64">
        <v>6.92</v>
      </c>
      <c r="C70" s="64">
        <v>21.28</v>
      </c>
      <c r="D70" s="64">
        <v>16.670000000000002</v>
      </c>
      <c r="E70" s="64">
        <v>9.2799999999999994</v>
      </c>
      <c r="F70" s="64">
        <v>12.71</v>
      </c>
      <c r="G70" s="64">
        <v>0</v>
      </c>
      <c r="H70" s="64">
        <v>0</v>
      </c>
      <c r="I70" s="64">
        <v>1.71</v>
      </c>
      <c r="J70" s="64">
        <v>1.37</v>
      </c>
      <c r="K70" s="64">
        <v>333.4</v>
      </c>
      <c r="L70" s="64">
        <v>28.82</v>
      </c>
      <c r="M70" s="64">
        <v>28.61</v>
      </c>
      <c r="N70" s="64">
        <v>112.1</v>
      </c>
      <c r="O70" s="64">
        <v>0</v>
      </c>
      <c r="P70" s="64">
        <v>0.49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11" t="s">
        <v>598</v>
      </c>
      <c r="B71" s="64">
        <v>5.31</v>
      </c>
      <c r="C71" s="64">
        <v>20.350000000000001</v>
      </c>
      <c r="D71" s="64">
        <v>14.89</v>
      </c>
      <c r="E71" s="64">
        <v>10.220000000000001</v>
      </c>
      <c r="F71" s="64">
        <v>13.07</v>
      </c>
      <c r="G71" s="64">
        <v>0</v>
      </c>
      <c r="H71" s="64">
        <v>0</v>
      </c>
      <c r="I71" s="64">
        <v>1.65</v>
      </c>
      <c r="J71" s="64">
        <v>1.45</v>
      </c>
      <c r="K71" s="64">
        <v>333.65</v>
      </c>
      <c r="L71" s="64">
        <v>28.86</v>
      </c>
      <c r="M71" s="64">
        <v>28.01</v>
      </c>
      <c r="N71" s="64">
        <v>125.5</v>
      </c>
      <c r="O71" s="64">
        <v>0</v>
      </c>
      <c r="P71" s="64">
        <v>0.42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1" t="s">
        <v>599</v>
      </c>
      <c r="B72" s="64">
        <v>6.03</v>
      </c>
      <c r="C72" s="64">
        <v>20.29</v>
      </c>
      <c r="D72" s="64">
        <v>15.44</v>
      </c>
      <c r="E72" s="64">
        <v>7.35</v>
      </c>
      <c r="F72" s="64">
        <v>9.2200000000000006</v>
      </c>
      <c r="G72" s="64">
        <v>0</v>
      </c>
      <c r="H72" s="64">
        <v>0</v>
      </c>
      <c r="I72" s="64">
        <v>1.6</v>
      </c>
      <c r="J72" s="64">
        <v>1.43</v>
      </c>
      <c r="K72" s="64">
        <v>335.61</v>
      </c>
      <c r="L72" s="64">
        <v>28.76</v>
      </c>
      <c r="M72" s="64">
        <v>30.26</v>
      </c>
      <c r="N72" s="64">
        <v>91.6</v>
      </c>
      <c r="O72" s="64">
        <v>0</v>
      </c>
      <c r="P72" s="64">
        <v>0.42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1" t="s">
        <v>600</v>
      </c>
      <c r="B73" s="64">
        <v>6.03</v>
      </c>
      <c r="C73" s="64">
        <v>18.14</v>
      </c>
      <c r="D73" s="64">
        <v>14.31</v>
      </c>
      <c r="E73" s="64">
        <v>7.79</v>
      </c>
      <c r="F73" s="64">
        <v>7.81</v>
      </c>
      <c r="G73" s="64">
        <v>5.98</v>
      </c>
      <c r="H73" s="64">
        <v>0.84</v>
      </c>
      <c r="I73" s="64">
        <v>1.56</v>
      </c>
      <c r="J73" s="64">
        <v>1.52</v>
      </c>
      <c r="K73" s="64">
        <v>336.54</v>
      </c>
      <c r="L73" s="64">
        <v>28.14</v>
      </c>
      <c r="M73" s="64">
        <v>30.12</v>
      </c>
      <c r="N73" s="64">
        <v>77</v>
      </c>
      <c r="O73" s="64">
        <v>0</v>
      </c>
      <c r="P73" s="64">
        <v>0.42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1" t="s">
        <v>601</v>
      </c>
      <c r="B74" s="64">
        <v>5.59</v>
      </c>
      <c r="C74" s="64">
        <v>17.91</v>
      </c>
      <c r="D74" s="64">
        <v>13.84</v>
      </c>
      <c r="E74" s="64">
        <v>8.24</v>
      </c>
      <c r="F74" s="64">
        <v>9.0500000000000007</v>
      </c>
      <c r="G74" s="64">
        <v>35.869999999999997</v>
      </c>
      <c r="H74" s="64">
        <v>4.57</v>
      </c>
      <c r="I74" s="64">
        <v>1.53</v>
      </c>
      <c r="J74" s="64">
        <v>1.46</v>
      </c>
      <c r="K74" s="64">
        <v>338.43</v>
      </c>
      <c r="L74" s="64">
        <v>27.72</v>
      </c>
      <c r="M74" s="64">
        <v>31.68</v>
      </c>
      <c r="N74" s="64">
        <v>68.900000000000006</v>
      </c>
      <c r="O74" s="64">
        <v>0</v>
      </c>
      <c r="P74" s="64">
        <v>0.41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1" t="s">
        <v>602</v>
      </c>
      <c r="B75" s="64">
        <v>6.7</v>
      </c>
      <c r="C75" s="64">
        <v>16.600000000000001</v>
      </c>
      <c r="D75" s="64">
        <v>14.04</v>
      </c>
      <c r="E75" s="64">
        <v>9.24</v>
      </c>
      <c r="F75" s="64">
        <v>11.43</v>
      </c>
      <c r="G75" s="64">
        <v>35.869999999999997</v>
      </c>
      <c r="H75" s="64">
        <v>4.57</v>
      </c>
      <c r="I75" s="64">
        <v>1.52</v>
      </c>
      <c r="J75" s="64">
        <v>1.34</v>
      </c>
      <c r="K75" s="64">
        <v>337.13</v>
      </c>
      <c r="L75" s="64">
        <v>27.31</v>
      </c>
      <c r="M75" s="64">
        <v>33.81</v>
      </c>
      <c r="N75" s="64">
        <v>61.8</v>
      </c>
      <c r="O75" s="64">
        <v>0</v>
      </c>
      <c r="P75" s="64">
        <v>0.41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603</v>
      </c>
      <c r="B76" s="64">
        <v>9.94</v>
      </c>
      <c r="C76" s="64">
        <v>19.82</v>
      </c>
      <c r="D76" s="64">
        <v>18.32</v>
      </c>
      <c r="E76" s="64">
        <v>9.58</v>
      </c>
      <c r="F76" s="64">
        <v>18.010000000000002</v>
      </c>
      <c r="G76" s="64">
        <v>35.869999999999997</v>
      </c>
      <c r="H76" s="64">
        <v>4.57</v>
      </c>
      <c r="I76" s="64">
        <v>1.54</v>
      </c>
      <c r="J76" s="64">
        <v>1.1399999999999999</v>
      </c>
      <c r="K76" s="64">
        <v>340.37</v>
      </c>
      <c r="L76" s="64">
        <v>26.89</v>
      </c>
      <c r="M76" s="64">
        <v>35.479999999999997</v>
      </c>
      <c r="N76" s="64">
        <v>54.1</v>
      </c>
      <c r="O76" s="64">
        <v>0</v>
      </c>
      <c r="P76" s="64">
        <v>0.47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1" t="s">
        <v>604</v>
      </c>
      <c r="B77" s="64">
        <v>9.73</v>
      </c>
      <c r="C77" s="64">
        <v>21.07</v>
      </c>
      <c r="D77" s="64">
        <v>18.809999999999999</v>
      </c>
      <c r="E77" s="64">
        <v>9.44</v>
      </c>
      <c r="F77" s="64">
        <v>10.78</v>
      </c>
      <c r="G77" s="64">
        <v>33.78</v>
      </c>
      <c r="H77" s="64">
        <v>4.0199999999999996</v>
      </c>
      <c r="I77" s="64">
        <v>1.55</v>
      </c>
      <c r="J77" s="64">
        <v>0.85</v>
      </c>
      <c r="K77" s="64">
        <v>340.61</v>
      </c>
      <c r="L77" s="64">
        <v>26.39</v>
      </c>
      <c r="M77" s="64">
        <v>38.43</v>
      </c>
      <c r="N77" s="64">
        <v>46.8</v>
      </c>
      <c r="O77" s="64">
        <v>0</v>
      </c>
      <c r="P77" s="64">
        <v>0.56000000000000005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1" t="s">
        <v>605</v>
      </c>
      <c r="B78" s="64">
        <v>11.28</v>
      </c>
      <c r="C78" s="64">
        <v>22.26</v>
      </c>
      <c r="D78" s="64">
        <v>20.68</v>
      </c>
      <c r="E78" s="64">
        <v>8.6199999999999992</v>
      </c>
      <c r="F78" s="64">
        <v>10.89</v>
      </c>
      <c r="G78" s="64">
        <v>23.32</v>
      </c>
      <c r="H78" s="64">
        <v>2.13</v>
      </c>
      <c r="I78" s="64">
        <v>1.48</v>
      </c>
      <c r="J78" s="64">
        <v>0.74</v>
      </c>
      <c r="K78" s="64">
        <v>343.69</v>
      </c>
      <c r="L78" s="64">
        <v>25.78</v>
      </c>
      <c r="M78" s="64">
        <v>40.409999999999997</v>
      </c>
      <c r="N78" s="64">
        <v>42.9</v>
      </c>
      <c r="O78" s="64">
        <v>0</v>
      </c>
      <c r="P78" s="64">
        <v>0.55000000000000004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11" t="s">
        <v>606</v>
      </c>
      <c r="B79" s="64">
        <v>17.559999999999999</v>
      </c>
      <c r="C79" s="64">
        <v>29.57</v>
      </c>
      <c r="D79" s="64">
        <v>29.53</v>
      </c>
      <c r="E79" s="64">
        <v>9.92</v>
      </c>
      <c r="F79" s="64">
        <v>9.4700000000000006</v>
      </c>
      <c r="G79" s="64">
        <v>23.32</v>
      </c>
      <c r="H79" s="64">
        <v>2.13</v>
      </c>
      <c r="I79" s="64">
        <v>1.46</v>
      </c>
      <c r="J79" s="64">
        <v>0.33</v>
      </c>
      <c r="K79" s="64">
        <v>342.43</v>
      </c>
      <c r="L79" s="64">
        <v>25.34</v>
      </c>
      <c r="M79" s="64">
        <v>41.73</v>
      </c>
      <c r="N79" s="64">
        <v>42.2</v>
      </c>
      <c r="O79" s="64">
        <v>0</v>
      </c>
      <c r="P79" s="64">
        <v>0.89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1" t="s">
        <v>607</v>
      </c>
      <c r="B80" s="64">
        <v>28.01</v>
      </c>
      <c r="C80" s="64">
        <v>28.29</v>
      </c>
      <c r="D80" s="64">
        <v>37.24</v>
      </c>
      <c r="E80" s="64">
        <v>10.29</v>
      </c>
      <c r="F80" s="64">
        <v>11.01</v>
      </c>
      <c r="G80" s="64">
        <v>23.32</v>
      </c>
      <c r="H80" s="64">
        <v>2.13</v>
      </c>
      <c r="I80" s="64">
        <v>1.52</v>
      </c>
      <c r="J80" s="64">
        <v>0.4</v>
      </c>
      <c r="K80" s="64">
        <v>339.65</v>
      </c>
      <c r="L80" s="64">
        <v>24.79</v>
      </c>
      <c r="M80" s="64">
        <v>43.65</v>
      </c>
      <c r="N80" s="64">
        <v>41.9</v>
      </c>
      <c r="O80" s="64">
        <v>0</v>
      </c>
      <c r="P80" s="64">
        <v>1.02</v>
      </c>
      <c r="Q80" s="64">
        <v>9.19</v>
      </c>
      <c r="R80" s="198"/>
      <c r="S80" s="198"/>
      <c r="T80" s="198"/>
      <c r="U80" s="198"/>
    </row>
    <row r="81" spans="1:26" s="12" customFormat="1" x14ac:dyDescent="0.25">
      <c r="A81" s="211" t="s">
        <v>608</v>
      </c>
      <c r="B81" s="64">
        <v>37.21</v>
      </c>
      <c r="C81" s="64">
        <v>26.59</v>
      </c>
      <c r="D81" s="64">
        <v>43.73</v>
      </c>
      <c r="E81" s="64">
        <v>10.77</v>
      </c>
      <c r="F81" s="64">
        <v>8.4700000000000006</v>
      </c>
      <c r="G81" s="64">
        <v>27.24</v>
      </c>
      <c r="H81" s="64">
        <v>3.08</v>
      </c>
      <c r="I81" s="64">
        <v>1.6</v>
      </c>
      <c r="J81" s="64">
        <v>0.24</v>
      </c>
      <c r="K81" s="64">
        <v>333.03</v>
      </c>
      <c r="L81" s="64">
        <v>24.33</v>
      </c>
      <c r="M81" s="64">
        <v>47.56</v>
      </c>
      <c r="N81" s="64">
        <v>42.1</v>
      </c>
      <c r="O81" s="64">
        <v>0</v>
      </c>
      <c r="P81" s="64">
        <v>1.23</v>
      </c>
      <c r="Q81" s="64">
        <v>9.2100000000000009</v>
      </c>
      <c r="R81" s="198"/>
      <c r="S81" s="198"/>
      <c r="T81" s="198"/>
      <c r="U81" s="198"/>
    </row>
    <row r="82" spans="1:26" s="12" customFormat="1" x14ac:dyDescent="0.25">
      <c r="A82" s="211" t="s">
        <v>609</v>
      </c>
      <c r="B82" s="64">
        <v>36.18</v>
      </c>
      <c r="C82" s="64">
        <v>27.1</v>
      </c>
      <c r="D82" s="64">
        <v>43.17</v>
      </c>
      <c r="E82" s="64">
        <v>10.93</v>
      </c>
      <c r="F82" s="64">
        <v>6.62</v>
      </c>
      <c r="G82" s="64">
        <v>46.84</v>
      </c>
      <c r="H82" s="64">
        <v>6.36</v>
      </c>
      <c r="I82" s="64">
        <v>1.7</v>
      </c>
      <c r="J82" s="64">
        <v>0.15</v>
      </c>
      <c r="K82" s="64">
        <v>326.83999999999997</v>
      </c>
      <c r="L82" s="64">
        <v>23.94</v>
      </c>
      <c r="M82" s="64">
        <v>51.03</v>
      </c>
      <c r="N82" s="64">
        <v>41.9</v>
      </c>
      <c r="O82" s="64">
        <v>0</v>
      </c>
      <c r="P82" s="64">
        <v>1.5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1" t="s">
        <v>610</v>
      </c>
      <c r="B83" s="64">
        <v>33.270000000000003</v>
      </c>
      <c r="C83" s="64">
        <v>30.15</v>
      </c>
      <c r="D83" s="64">
        <v>42.43</v>
      </c>
      <c r="E83" s="64">
        <v>11.06</v>
      </c>
      <c r="F83" s="64">
        <v>5.0199999999999996</v>
      </c>
      <c r="G83" s="64">
        <v>46.84</v>
      </c>
      <c r="H83" s="64">
        <v>6.36</v>
      </c>
      <c r="I83" s="64">
        <v>1.8</v>
      </c>
      <c r="J83" s="64">
        <v>0.08</v>
      </c>
      <c r="K83" s="64">
        <v>305.08999999999997</v>
      </c>
      <c r="L83" s="64">
        <v>23.67</v>
      </c>
      <c r="M83" s="64">
        <v>52.15</v>
      </c>
      <c r="N83" s="64">
        <v>42.2</v>
      </c>
      <c r="O83" s="64">
        <v>0</v>
      </c>
      <c r="P83" s="64">
        <v>1.66</v>
      </c>
      <c r="Q83" s="64">
        <v>9.3000000000000007</v>
      </c>
      <c r="R83" s="198"/>
      <c r="S83" s="198"/>
      <c r="T83" s="198"/>
      <c r="U83" s="198"/>
    </row>
    <row r="84" spans="1:26" s="12" customFormat="1" x14ac:dyDescent="0.25">
      <c r="A84" s="211" t="s">
        <v>611</v>
      </c>
      <c r="B84" s="64">
        <v>102.48</v>
      </c>
      <c r="C84" s="64">
        <v>12.62</v>
      </c>
      <c r="D84" s="64">
        <v>88.78</v>
      </c>
      <c r="E84" s="64">
        <v>10.89</v>
      </c>
      <c r="F84" s="64">
        <v>4.5</v>
      </c>
      <c r="G84" s="64">
        <v>46.84</v>
      </c>
      <c r="H84" s="64">
        <v>6.36</v>
      </c>
      <c r="I84" s="64">
        <v>1.92</v>
      </c>
      <c r="J84" s="64">
        <v>0.02</v>
      </c>
      <c r="K84" s="64">
        <v>135.54</v>
      </c>
      <c r="L84" s="64">
        <v>23.35</v>
      </c>
      <c r="M84" s="64">
        <v>55.6</v>
      </c>
      <c r="N84" s="64">
        <v>42</v>
      </c>
      <c r="O84" s="64">
        <v>0</v>
      </c>
      <c r="P84" s="64">
        <v>1.52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11" t="s">
        <v>612</v>
      </c>
      <c r="B85" s="64">
        <v>115.08</v>
      </c>
      <c r="C85" s="64">
        <v>3.07</v>
      </c>
      <c r="D85" s="64">
        <v>93.89</v>
      </c>
      <c r="E85" s="64">
        <v>10.75</v>
      </c>
      <c r="F85" s="64">
        <v>6.43</v>
      </c>
      <c r="G85" s="64">
        <v>53.44</v>
      </c>
      <c r="H85" s="64">
        <v>7.4</v>
      </c>
      <c r="I85" s="64">
        <v>2.0499999999999998</v>
      </c>
      <c r="J85" s="64">
        <v>0.12</v>
      </c>
      <c r="K85" s="64">
        <v>324.83</v>
      </c>
      <c r="L85" s="64">
        <v>23.12</v>
      </c>
      <c r="M85" s="64">
        <v>62.71</v>
      </c>
      <c r="N85" s="64">
        <v>41.9</v>
      </c>
      <c r="O85" s="64">
        <v>0</v>
      </c>
      <c r="P85" s="64">
        <v>2.64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11" t="s">
        <v>613</v>
      </c>
      <c r="B86" s="64">
        <v>114.32</v>
      </c>
      <c r="C86" s="64">
        <v>4.5999999999999996</v>
      </c>
      <c r="D86" s="64">
        <v>94.08</v>
      </c>
      <c r="E86" s="64">
        <v>10.66</v>
      </c>
      <c r="F86" s="64">
        <v>5.81</v>
      </c>
      <c r="G86" s="64">
        <v>86.44</v>
      </c>
      <c r="H86" s="64">
        <v>12.59</v>
      </c>
      <c r="I86" s="64">
        <v>2.36</v>
      </c>
      <c r="J86" s="64">
        <v>0.02</v>
      </c>
      <c r="K86" s="64">
        <v>107.21</v>
      </c>
      <c r="L86" s="64">
        <v>22.81</v>
      </c>
      <c r="M86" s="64">
        <v>63.99</v>
      </c>
      <c r="N86" s="64">
        <v>41.8</v>
      </c>
      <c r="O86" s="64">
        <v>0</v>
      </c>
      <c r="P86" s="64">
        <v>2.17</v>
      </c>
      <c r="Q86" s="64">
        <v>9.52</v>
      </c>
      <c r="R86" s="198"/>
      <c r="S86" s="198"/>
      <c r="T86" s="198"/>
      <c r="U86" s="198"/>
    </row>
    <row r="87" spans="1:26" s="12" customFormat="1" x14ac:dyDescent="0.25">
      <c r="A87" s="211" t="s">
        <v>614</v>
      </c>
      <c r="B87" s="64">
        <v>47.1</v>
      </c>
      <c r="C87" s="64">
        <v>2.6</v>
      </c>
      <c r="D87" s="64">
        <v>37.770000000000003</v>
      </c>
      <c r="E87" s="64">
        <v>8.91</v>
      </c>
      <c r="F87" s="64">
        <v>5.57</v>
      </c>
      <c r="G87" s="64">
        <v>86.44</v>
      </c>
      <c r="H87" s="64">
        <v>12.59</v>
      </c>
      <c r="I87" s="64">
        <v>2.52</v>
      </c>
      <c r="J87" s="64">
        <v>0.13</v>
      </c>
      <c r="K87" s="64">
        <v>333.56</v>
      </c>
      <c r="L87" s="64">
        <v>22.7</v>
      </c>
      <c r="M87" s="64">
        <v>69.540000000000006</v>
      </c>
      <c r="N87" s="64">
        <v>41.8</v>
      </c>
      <c r="O87" s="64">
        <v>0</v>
      </c>
      <c r="P87" s="64">
        <v>1.24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1" t="s">
        <v>615</v>
      </c>
      <c r="B88" s="64">
        <v>50.02</v>
      </c>
      <c r="C88" s="64">
        <v>9.15</v>
      </c>
      <c r="D88" s="64">
        <v>44.89</v>
      </c>
      <c r="E88" s="64">
        <v>7.57</v>
      </c>
      <c r="F88" s="64">
        <v>3.42</v>
      </c>
      <c r="G88" s="64">
        <v>86.44</v>
      </c>
      <c r="H88" s="64">
        <v>12.59</v>
      </c>
      <c r="I88" s="64">
        <v>2.64</v>
      </c>
      <c r="J88" s="64">
        <v>0.02</v>
      </c>
      <c r="K88" s="64">
        <v>270.75</v>
      </c>
      <c r="L88" s="64">
        <v>22.48</v>
      </c>
      <c r="M88" s="64">
        <v>68.819999999999993</v>
      </c>
      <c r="N88" s="64">
        <v>41.8</v>
      </c>
      <c r="O88" s="64">
        <v>0</v>
      </c>
      <c r="P88" s="64">
        <v>1.34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1" t="s">
        <v>616</v>
      </c>
      <c r="B89" s="64">
        <v>55.08</v>
      </c>
      <c r="C89" s="64">
        <v>9.15</v>
      </c>
      <c r="D89" s="64">
        <v>42</v>
      </c>
      <c r="E89" s="64">
        <v>7.8</v>
      </c>
      <c r="F89" s="64">
        <v>3.76</v>
      </c>
      <c r="G89" s="64">
        <v>90.44</v>
      </c>
      <c r="H89" s="64">
        <v>13.85</v>
      </c>
      <c r="I89" s="64">
        <v>2.88</v>
      </c>
      <c r="J89" s="64">
        <v>0.04</v>
      </c>
      <c r="K89" s="64">
        <v>26.62</v>
      </c>
      <c r="L89" s="64">
        <v>22.39</v>
      </c>
      <c r="M89" s="64">
        <v>73.349999999999994</v>
      </c>
      <c r="N89" s="64">
        <v>41.8</v>
      </c>
      <c r="O89" s="64">
        <v>0</v>
      </c>
      <c r="P89" s="64">
        <v>1.21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617</v>
      </c>
      <c r="B90" s="64">
        <v>86.91</v>
      </c>
      <c r="C90" s="64">
        <v>2.97</v>
      </c>
      <c r="D90" s="64">
        <v>71.25</v>
      </c>
      <c r="E90" s="64">
        <v>7.73</v>
      </c>
      <c r="F90" s="64">
        <v>3.67</v>
      </c>
      <c r="G90" s="64">
        <v>108.98</v>
      </c>
      <c r="H90" s="64">
        <v>18.22</v>
      </c>
      <c r="I90" s="64">
        <v>3.09</v>
      </c>
      <c r="J90" s="64">
        <v>0.08</v>
      </c>
      <c r="K90" s="64">
        <v>323.08999999999997</v>
      </c>
      <c r="L90" s="64">
        <v>22.11</v>
      </c>
      <c r="M90" s="64">
        <v>73.569999999999993</v>
      </c>
      <c r="N90" s="64">
        <v>41.8</v>
      </c>
      <c r="O90" s="64">
        <v>0</v>
      </c>
      <c r="P90" s="64">
        <v>1.84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1" t="s">
        <v>618</v>
      </c>
      <c r="B91" s="64">
        <v>48.4</v>
      </c>
      <c r="C91" s="64">
        <v>2.97</v>
      </c>
      <c r="D91" s="64">
        <v>36.270000000000003</v>
      </c>
      <c r="E91" s="64">
        <v>7.32</v>
      </c>
      <c r="F91" s="64">
        <v>3.69</v>
      </c>
      <c r="G91" s="64">
        <v>108.98</v>
      </c>
      <c r="H91" s="64">
        <v>18.22</v>
      </c>
      <c r="I91" s="64">
        <v>3.3</v>
      </c>
      <c r="J91" s="64">
        <v>0.1</v>
      </c>
      <c r="K91" s="64">
        <v>322.87</v>
      </c>
      <c r="L91" s="64">
        <v>22.01</v>
      </c>
      <c r="M91" s="64">
        <v>77</v>
      </c>
      <c r="N91" s="64">
        <v>41.8</v>
      </c>
      <c r="O91" s="64">
        <v>0</v>
      </c>
      <c r="P91" s="64">
        <v>1.17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1" t="s">
        <v>619</v>
      </c>
      <c r="B92" s="64">
        <v>119.08</v>
      </c>
      <c r="C92" s="64">
        <v>2.97</v>
      </c>
      <c r="D92" s="64">
        <v>88.97</v>
      </c>
      <c r="E92" s="64">
        <v>8.0500000000000007</v>
      </c>
      <c r="F92" s="64">
        <v>3.9</v>
      </c>
      <c r="G92" s="64">
        <v>108.98</v>
      </c>
      <c r="H92" s="64">
        <v>18.22</v>
      </c>
      <c r="I92" s="64">
        <v>3.53</v>
      </c>
      <c r="J92" s="64">
        <v>0.09</v>
      </c>
      <c r="K92" s="64">
        <v>323.55</v>
      </c>
      <c r="L92" s="64">
        <v>21.87</v>
      </c>
      <c r="M92" s="64">
        <v>79.75</v>
      </c>
      <c r="N92" s="64">
        <v>41.8</v>
      </c>
      <c r="O92" s="64">
        <v>0</v>
      </c>
      <c r="P92" s="64">
        <v>2.0499999999999998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1" t="s">
        <v>620</v>
      </c>
      <c r="B93" s="64">
        <v>92.43</v>
      </c>
      <c r="C93" s="64">
        <v>2.97</v>
      </c>
      <c r="D93" s="64">
        <v>66.52</v>
      </c>
      <c r="E93" s="64">
        <v>7.61</v>
      </c>
      <c r="F93" s="64">
        <v>4.33</v>
      </c>
      <c r="G93" s="64">
        <v>114.29</v>
      </c>
      <c r="H93" s="64">
        <v>19.5</v>
      </c>
      <c r="I93" s="64">
        <v>3.75</v>
      </c>
      <c r="J93" s="64">
        <v>0.06</v>
      </c>
      <c r="K93" s="64">
        <v>174.83</v>
      </c>
      <c r="L93" s="64">
        <v>21.92</v>
      </c>
      <c r="M93" s="64">
        <v>79.760000000000005</v>
      </c>
      <c r="N93" s="64">
        <v>41.6</v>
      </c>
      <c r="O93" s="64">
        <v>0</v>
      </c>
      <c r="P93" s="64">
        <v>1.7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1" t="s">
        <v>621</v>
      </c>
      <c r="B94" s="64">
        <v>95.27</v>
      </c>
      <c r="C94" s="64">
        <v>2.97</v>
      </c>
      <c r="D94" s="64">
        <v>66.599999999999994</v>
      </c>
      <c r="E94" s="64">
        <v>8.17</v>
      </c>
      <c r="F94" s="64">
        <v>3.57</v>
      </c>
      <c r="G94" s="64">
        <v>138.85</v>
      </c>
      <c r="H94" s="64">
        <v>23.95</v>
      </c>
      <c r="I94" s="64">
        <v>3.98</v>
      </c>
      <c r="J94" s="64">
        <v>0.05</v>
      </c>
      <c r="K94" s="64">
        <v>313.67</v>
      </c>
      <c r="L94" s="64">
        <v>21.97</v>
      </c>
      <c r="M94" s="64">
        <v>82.78</v>
      </c>
      <c r="N94" s="64">
        <v>41.8</v>
      </c>
      <c r="O94" s="64">
        <v>0</v>
      </c>
      <c r="P94" s="64">
        <v>1.75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1" t="s">
        <v>622</v>
      </c>
      <c r="B95" s="64">
        <v>134.30000000000001</v>
      </c>
      <c r="C95" s="64">
        <v>2.97</v>
      </c>
      <c r="D95" s="64">
        <v>96.46</v>
      </c>
      <c r="E95" s="64">
        <v>7.76</v>
      </c>
      <c r="F95" s="64">
        <v>3.37</v>
      </c>
      <c r="G95" s="64">
        <v>138.85</v>
      </c>
      <c r="H95" s="64">
        <v>23.95</v>
      </c>
      <c r="I95" s="64">
        <v>4.1900000000000004</v>
      </c>
      <c r="J95" s="64">
        <v>0.08</v>
      </c>
      <c r="K95" s="64">
        <v>12.6</v>
      </c>
      <c r="L95" s="64">
        <v>21.71</v>
      </c>
      <c r="M95" s="64">
        <v>82.62</v>
      </c>
      <c r="N95" s="64">
        <v>41.7</v>
      </c>
      <c r="O95" s="64">
        <v>0</v>
      </c>
      <c r="P95" s="64">
        <v>2.36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11" t="s">
        <v>623</v>
      </c>
      <c r="B96" s="64">
        <v>89.6</v>
      </c>
      <c r="C96" s="64">
        <v>2.97</v>
      </c>
      <c r="D96" s="64">
        <v>61.76</v>
      </c>
      <c r="E96" s="64">
        <v>7.76</v>
      </c>
      <c r="F96" s="64">
        <v>3.92</v>
      </c>
      <c r="G96" s="64">
        <v>138.85</v>
      </c>
      <c r="H96" s="64">
        <v>23.95</v>
      </c>
      <c r="I96" s="64">
        <v>4.41</v>
      </c>
      <c r="J96" s="64">
        <v>0.08</v>
      </c>
      <c r="K96" s="64">
        <v>337.82</v>
      </c>
      <c r="L96" s="64">
        <v>21.68</v>
      </c>
      <c r="M96" s="64">
        <v>85.2</v>
      </c>
      <c r="N96" s="64">
        <v>41.6</v>
      </c>
      <c r="O96" s="64">
        <v>0</v>
      </c>
      <c r="P96" s="64">
        <v>1.67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624</v>
      </c>
      <c r="B97" s="64">
        <v>139</v>
      </c>
      <c r="C97" s="64">
        <v>2.97</v>
      </c>
      <c r="D97" s="64">
        <v>99.76</v>
      </c>
      <c r="E97" s="64">
        <v>8.67</v>
      </c>
      <c r="F97" s="64">
        <v>4.76</v>
      </c>
      <c r="G97" s="64">
        <v>140.04</v>
      </c>
      <c r="H97" s="64">
        <v>24.23</v>
      </c>
      <c r="I97" s="64">
        <v>4.66</v>
      </c>
      <c r="J97" s="64">
        <v>0.13</v>
      </c>
      <c r="K97" s="64">
        <v>318.2</v>
      </c>
      <c r="L97" s="64">
        <v>21.64</v>
      </c>
      <c r="M97" s="64">
        <v>83.32</v>
      </c>
      <c r="N97" s="64">
        <v>41.6</v>
      </c>
      <c r="O97" s="64">
        <v>0</v>
      </c>
      <c r="P97" s="64">
        <v>2.4300000000000002</v>
      </c>
      <c r="Q97" s="64">
        <v>9.75</v>
      </c>
      <c r="R97" s="198"/>
      <c r="S97" s="198"/>
      <c r="T97" s="198"/>
      <c r="U97" s="198"/>
    </row>
    <row r="98" spans="1:33" s="12" customFormat="1" x14ac:dyDescent="0.25">
      <c r="A98" s="211" t="s">
        <v>625</v>
      </c>
      <c r="B98" s="64">
        <v>124.06</v>
      </c>
      <c r="C98" s="64">
        <v>2.97</v>
      </c>
      <c r="D98" s="64">
        <v>88.93</v>
      </c>
      <c r="E98" s="64">
        <v>8.2200000000000006</v>
      </c>
      <c r="F98" s="64">
        <v>4.8600000000000003</v>
      </c>
      <c r="G98" s="64">
        <v>145.57</v>
      </c>
      <c r="H98" s="64">
        <v>25.23</v>
      </c>
      <c r="I98" s="64">
        <v>4.8899999999999997</v>
      </c>
      <c r="J98" s="64">
        <v>0.11</v>
      </c>
      <c r="K98" s="64">
        <v>303.52999999999997</v>
      </c>
      <c r="L98" s="64">
        <v>21.6</v>
      </c>
      <c r="M98" s="64">
        <v>87.26</v>
      </c>
      <c r="N98" s="64">
        <v>41.9</v>
      </c>
      <c r="O98" s="64">
        <v>0</v>
      </c>
      <c r="P98" s="64">
        <v>2.37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1" t="s">
        <v>626</v>
      </c>
      <c r="B99" s="64">
        <v>113.98</v>
      </c>
      <c r="C99" s="64">
        <v>2.97</v>
      </c>
      <c r="D99" s="64">
        <v>78.47</v>
      </c>
      <c r="E99" s="64">
        <v>8.3000000000000007</v>
      </c>
      <c r="F99" s="64">
        <v>4.18</v>
      </c>
      <c r="G99" s="64">
        <v>145.57</v>
      </c>
      <c r="H99" s="64">
        <v>25.23</v>
      </c>
      <c r="I99" s="64">
        <v>5.07</v>
      </c>
      <c r="J99" s="64">
        <v>0.2</v>
      </c>
      <c r="K99" s="64">
        <v>340.06</v>
      </c>
      <c r="L99" s="64">
        <v>21.42</v>
      </c>
      <c r="M99" s="64">
        <v>93.37</v>
      </c>
      <c r="N99" s="64">
        <v>41.7</v>
      </c>
      <c r="O99" s="64">
        <v>0</v>
      </c>
      <c r="P99" s="64">
        <v>2.2200000000000002</v>
      </c>
      <c r="Q99" s="64">
        <v>9.77</v>
      </c>
      <c r="R99" s="198"/>
      <c r="S99" s="198"/>
      <c r="T99" s="198"/>
      <c r="U99" s="198"/>
    </row>
    <row r="100" spans="1:33" s="12" customFormat="1" x14ac:dyDescent="0.25">
      <c r="A100" s="211" t="s">
        <v>627</v>
      </c>
      <c r="B100" s="64">
        <v>111.15</v>
      </c>
      <c r="C100" s="64">
        <v>2.97</v>
      </c>
      <c r="D100" s="64">
        <v>78.31</v>
      </c>
      <c r="E100" s="64">
        <v>8.35</v>
      </c>
      <c r="F100" s="64">
        <v>4.32</v>
      </c>
      <c r="G100" s="64">
        <v>145.57</v>
      </c>
      <c r="H100" s="64">
        <v>25.23</v>
      </c>
      <c r="I100" s="64">
        <v>5.24</v>
      </c>
      <c r="J100" s="64">
        <v>0.12</v>
      </c>
      <c r="K100" s="64">
        <v>310.61</v>
      </c>
      <c r="L100" s="64">
        <v>21.07</v>
      </c>
      <c r="M100" s="64">
        <v>86.81</v>
      </c>
      <c r="N100" s="64">
        <v>41.7</v>
      </c>
      <c r="O100" s="64">
        <v>0</v>
      </c>
      <c r="P100" s="64">
        <v>2.34</v>
      </c>
      <c r="Q100" s="64">
        <v>9.7899999999999991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628</v>
      </c>
      <c r="B101" s="64">
        <v>95.18</v>
      </c>
      <c r="C101" s="64">
        <v>2.97</v>
      </c>
      <c r="D101" s="64">
        <v>70.09</v>
      </c>
      <c r="E101" s="64">
        <v>7.82</v>
      </c>
      <c r="F101" s="64">
        <v>4.01</v>
      </c>
      <c r="G101" s="64">
        <v>145.1</v>
      </c>
      <c r="H101" s="64">
        <v>24.87</v>
      </c>
      <c r="I101" s="64">
        <v>5.41</v>
      </c>
      <c r="J101" s="64">
        <v>0.08</v>
      </c>
      <c r="K101" s="64">
        <v>309.83999999999997</v>
      </c>
      <c r="L101" s="64">
        <v>21.05</v>
      </c>
      <c r="M101" s="64">
        <v>85.46</v>
      </c>
      <c r="N101" s="64">
        <v>41.8</v>
      </c>
      <c r="O101" s="64">
        <v>0</v>
      </c>
      <c r="P101" s="64">
        <v>2.2000000000000002</v>
      </c>
      <c r="Q101" s="64">
        <v>9.8000000000000007</v>
      </c>
      <c r="R101" s="198"/>
      <c r="S101" s="198"/>
      <c r="T101" s="198"/>
      <c r="U101" s="198"/>
    </row>
    <row r="102" spans="1:33" s="12" customFormat="1" x14ac:dyDescent="0.25">
      <c r="A102" s="211" t="s">
        <v>629</v>
      </c>
      <c r="B102" s="64">
        <v>105.76</v>
      </c>
      <c r="C102" s="64">
        <v>2.97</v>
      </c>
      <c r="D102" s="64">
        <v>73.69</v>
      </c>
      <c r="E102" s="64">
        <v>7.88</v>
      </c>
      <c r="F102" s="64">
        <v>4.47</v>
      </c>
      <c r="G102" s="64">
        <v>142.91999999999999</v>
      </c>
      <c r="H102" s="64">
        <v>23.16</v>
      </c>
      <c r="I102" s="64">
        <v>5.56</v>
      </c>
      <c r="J102" s="64">
        <v>0.13</v>
      </c>
      <c r="K102" s="64">
        <v>327.20999999999998</v>
      </c>
      <c r="L102" s="64">
        <v>20.96</v>
      </c>
      <c r="M102" s="64">
        <v>87.22</v>
      </c>
      <c r="N102" s="64">
        <v>41.7</v>
      </c>
      <c r="O102" s="64">
        <v>0</v>
      </c>
      <c r="P102" s="64">
        <v>2.2000000000000002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1" t="s">
        <v>630</v>
      </c>
      <c r="B103" s="64">
        <v>92.18</v>
      </c>
      <c r="C103" s="64">
        <v>3.5</v>
      </c>
      <c r="D103" s="64">
        <v>66.64</v>
      </c>
      <c r="E103" s="64">
        <v>7.56</v>
      </c>
      <c r="F103" s="64">
        <v>4.05</v>
      </c>
      <c r="G103" s="64">
        <v>142.91999999999999</v>
      </c>
      <c r="H103" s="64">
        <v>23.16</v>
      </c>
      <c r="I103" s="64">
        <v>5.64</v>
      </c>
      <c r="J103" s="64">
        <v>7.0000000000000007E-2</v>
      </c>
      <c r="K103" s="64">
        <v>346.68</v>
      </c>
      <c r="L103" s="64">
        <v>20.82</v>
      </c>
      <c r="M103" s="64">
        <v>87.65</v>
      </c>
      <c r="N103" s="64">
        <v>41.7</v>
      </c>
      <c r="O103" s="64">
        <v>0</v>
      </c>
      <c r="P103" s="64">
        <v>2.06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11" t="s">
        <v>631</v>
      </c>
      <c r="B104" s="64">
        <v>97.78</v>
      </c>
      <c r="C104" s="64">
        <v>2.6</v>
      </c>
      <c r="D104" s="64">
        <v>64.97</v>
      </c>
      <c r="E104" s="64">
        <v>3.95</v>
      </c>
      <c r="F104" s="64">
        <v>3.81</v>
      </c>
      <c r="G104" s="64">
        <v>142.91999999999999</v>
      </c>
      <c r="H104" s="64">
        <v>23.16</v>
      </c>
      <c r="I104" s="64">
        <v>5.72</v>
      </c>
      <c r="J104" s="64">
        <v>0.06</v>
      </c>
      <c r="K104" s="64">
        <v>346.68</v>
      </c>
      <c r="L104" s="64">
        <v>20.9</v>
      </c>
      <c r="M104" s="64">
        <v>82.4</v>
      </c>
      <c r="N104" s="64">
        <v>41.8</v>
      </c>
      <c r="O104" s="64">
        <v>0</v>
      </c>
      <c r="P104" s="64">
        <v>1.97</v>
      </c>
      <c r="Q104" s="64">
        <v>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4.6500000000000004</v>
      </c>
      <c r="C106" s="67">
        <f>MIN(C9:C104)</f>
        <v>0.41</v>
      </c>
      <c r="D106" s="67">
        <f t="shared" ref="D106:Q106" si="0">MIN(D9:D104)</f>
        <v>13.84</v>
      </c>
      <c r="E106" s="67">
        <f t="shared" si="0"/>
        <v>3.95</v>
      </c>
      <c r="F106" s="67">
        <f t="shared" si="0"/>
        <v>3.37</v>
      </c>
      <c r="G106" s="67">
        <f t="shared" si="0"/>
        <v>-0.36</v>
      </c>
      <c r="H106" s="67">
        <f t="shared" si="0"/>
        <v>0</v>
      </c>
      <c r="I106" s="67">
        <f t="shared" si="0"/>
        <v>1.46</v>
      </c>
      <c r="J106" s="67">
        <f t="shared" si="0"/>
        <v>0.02</v>
      </c>
      <c r="K106" s="67">
        <f t="shared" si="0"/>
        <v>3.19</v>
      </c>
      <c r="L106" s="67">
        <f t="shared" si="0"/>
        <v>20.309999999999999</v>
      </c>
      <c r="M106" s="67">
        <f t="shared" si="0"/>
        <v>24.85</v>
      </c>
      <c r="N106" s="67">
        <f t="shared" si="0"/>
        <v>39.6</v>
      </c>
      <c r="O106" s="67">
        <f t="shared" si="0"/>
        <v>0</v>
      </c>
      <c r="P106" s="67">
        <f t="shared" si="0"/>
        <v>0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139</v>
      </c>
      <c r="C107" s="66">
        <f t="shared" ref="C107:Q107" si="1">MAX(C9:C104)</f>
        <v>30.15</v>
      </c>
      <c r="D107" s="66">
        <f t="shared" si="1"/>
        <v>99.76</v>
      </c>
      <c r="E107" s="66">
        <f t="shared" si="1"/>
        <v>21.68</v>
      </c>
      <c r="F107" s="66">
        <f t="shared" si="1"/>
        <v>24.44</v>
      </c>
      <c r="G107" s="66">
        <f t="shared" si="1"/>
        <v>145.57</v>
      </c>
      <c r="H107" s="66">
        <f t="shared" si="1"/>
        <v>25.23</v>
      </c>
      <c r="I107" s="66">
        <f t="shared" si="1"/>
        <v>5.72</v>
      </c>
      <c r="J107" s="66">
        <f t="shared" si="1"/>
        <v>1.52</v>
      </c>
      <c r="K107" s="66">
        <f t="shared" si="1"/>
        <v>346.87</v>
      </c>
      <c r="L107" s="66">
        <f t="shared" si="1"/>
        <v>32.33</v>
      </c>
      <c r="M107" s="66">
        <f t="shared" si="1"/>
        <v>99.06</v>
      </c>
      <c r="N107" s="66">
        <f t="shared" si="1"/>
        <v>805</v>
      </c>
      <c r="O107" s="66">
        <f t="shared" si="1"/>
        <v>0.2</v>
      </c>
      <c r="P107" s="66">
        <f t="shared" si="1"/>
        <v>2.64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34.621770833333336</v>
      </c>
      <c r="C108" s="67">
        <f t="shared" ref="C108:Q108" si="2">AVERAGE(C9:C104)</f>
        <v>10.041458333333338</v>
      </c>
      <c r="D108" s="67">
        <f t="shared" si="2"/>
        <v>31.255520833333335</v>
      </c>
      <c r="E108" s="67">
        <f t="shared" si="2"/>
        <v>8.3763541666666637</v>
      </c>
      <c r="F108" s="67">
        <f t="shared" si="2"/>
        <v>7.9279166666666647</v>
      </c>
      <c r="G108" s="67">
        <f t="shared" si="2"/>
        <v>61.082916666666669</v>
      </c>
      <c r="H108" s="67">
        <f t="shared" si="2"/>
        <v>9.7796875000000014</v>
      </c>
      <c r="I108" s="67">
        <f t="shared" si="2"/>
        <v>2.7119791666666662</v>
      </c>
      <c r="J108" s="67">
        <f t="shared" si="2"/>
        <v>0.51270833333333354</v>
      </c>
      <c r="K108" s="67">
        <f t="shared" si="2"/>
        <v>278.75458333333336</v>
      </c>
      <c r="L108" s="67">
        <f t="shared" si="2"/>
        <v>25.033749999999998</v>
      </c>
      <c r="M108" s="67">
        <f t="shared" si="2"/>
        <v>66.389791666666639</v>
      </c>
      <c r="N108" s="67">
        <f t="shared" si="2"/>
        <v>202.00624999999994</v>
      </c>
      <c r="O108" s="67">
        <f t="shared" si="2"/>
        <v>2.0833333333333333E-3</v>
      </c>
      <c r="P108" s="67">
        <f t="shared" si="2"/>
        <v>0.61635416666666665</v>
      </c>
      <c r="Q108" s="67">
        <f t="shared" si="2"/>
        <v>9.421979166666663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36.052969043216677</v>
      </c>
      <c r="C109" s="67">
        <f t="shared" ref="C109:Q109" si="3">STDEV(C9:C104)</f>
        <v>9.076153947705814</v>
      </c>
      <c r="D109" s="67">
        <f t="shared" si="3"/>
        <v>23.994787673895974</v>
      </c>
      <c r="E109" s="67">
        <f t="shared" si="3"/>
        <v>3.3549454838434327</v>
      </c>
      <c r="F109" s="67">
        <f t="shared" si="3"/>
        <v>4.7718320252491067</v>
      </c>
      <c r="G109" s="67">
        <f t="shared" si="3"/>
        <v>36.525353066967988</v>
      </c>
      <c r="H109" s="67">
        <f t="shared" si="3"/>
        <v>6.2339387655714669</v>
      </c>
      <c r="I109" s="67">
        <f t="shared" si="3"/>
        <v>1.0007708815988503</v>
      </c>
      <c r="J109" s="67">
        <f t="shared" si="3"/>
        <v>0.44393806862211022</v>
      </c>
      <c r="K109" s="67">
        <f t="shared" si="3"/>
        <v>96.465443738232324</v>
      </c>
      <c r="L109" s="67">
        <f t="shared" si="3"/>
        <v>3.9837230008333528</v>
      </c>
      <c r="M109" s="67">
        <f t="shared" si="3"/>
        <v>27.523622236340479</v>
      </c>
      <c r="N109" s="67">
        <f t="shared" si="3"/>
        <v>258.983914075759</v>
      </c>
      <c r="O109" s="67">
        <f t="shared" si="3"/>
        <v>2.0412414523193152E-2</v>
      </c>
      <c r="P109" s="67">
        <f t="shared" si="3"/>
        <v>0.79312721458084623</v>
      </c>
      <c r="Q109" s="67">
        <f t="shared" si="3"/>
        <v>0.22232086717727639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632</v>
      </c>
      <c r="B9" s="64">
        <v>88.97</v>
      </c>
      <c r="C9" s="6" t="s">
        <v>42</v>
      </c>
      <c r="D9" s="64">
        <v>59.87</v>
      </c>
      <c r="E9" s="64">
        <v>4.8099999999999996</v>
      </c>
      <c r="F9" s="64">
        <v>3.15</v>
      </c>
      <c r="G9" s="64">
        <v>141.38</v>
      </c>
      <c r="H9" s="64">
        <v>22.61</v>
      </c>
      <c r="I9" s="64">
        <v>5.78</v>
      </c>
      <c r="J9" s="64">
        <v>0.08</v>
      </c>
      <c r="K9" s="64">
        <v>234.99</v>
      </c>
      <c r="L9" s="64">
        <v>20.9</v>
      </c>
      <c r="M9" s="64">
        <v>85.64</v>
      </c>
      <c r="N9" s="64">
        <v>41.5</v>
      </c>
      <c r="O9" s="64">
        <v>0</v>
      </c>
      <c r="P9" s="64">
        <v>1.85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1" t="s">
        <v>633</v>
      </c>
      <c r="B10" s="64">
        <v>95.29</v>
      </c>
      <c r="C10" s="6" t="s">
        <v>42</v>
      </c>
      <c r="D10" s="64">
        <v>62.71</v>
      </c>
      <c r="E10" s="64">
        <v>5.08</v>
      </c>
      <c r="F10" s="64">
        <v>4.03</v>
      </c>
      <c r="G10" s="64">
        <v>133.68</v>
      </c>
      <c r="H10" s="64">
        <v>20.69</v>
      </c>
      <c r="I10" s="64">
        <v>5.78</v>
      </c>
      <c r="J10" s="64">
        <v>0.05</v>
      </c>
      <c r="K10" s="64">
        <v>281.67</v>
      </c>
      <c r="L10" s="64">
        <v>20.8</v>
      </c>
      <c r="M10" s="64">
        <v>96.48</v>
      </c>
      <c r="N10" s="64">
        <v>41.7</v>
      </c>
      <c r="O10" s="64">
        <v>0</v>
      </c>
      <c r="P10" s="64">
        <v>1.88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1" t="s">
        <v>634</v>
      </c>
      <c r="B11" s="64">
        <v>91.93</v>
      </c>
      <c r="C11" s="6" t="s">
        <v>42</v>
      </c>
      <c r="D11" s="64">
        <v>60.59</v>
      </c>
      <c r="E11" s="64">
        <v>4.5999999999999996</v>
      </c>
      <c r="F11" s="64">
        <v>2.6</v>
      </c>
      <c r="G11" s="64">
        <v>133.68</v>
      </c>
      <c r="H11" s="64">
        <v>20.69</v>
      </c>
      <c r="I11" s="64">
        <v>5.78</v>
      </c>
      <c r="J11" s="64">
        <v>0.04</v>
      </c>
      <c r="K11" s="64">
        <v>357.84</v>
      </c>
      <c r="L11" s="64">
        <v>20.63</v>
      </c>
      <c r="M11" s="64">
        <v>98.22</v>
      </c>
      <c r="N11" s="64">
        <v>41.7</v>
      </c>
      <c r="O11" s="64">
        <v>0</v>
      </c>
      <c r="P11" s="64">
        <v>1.85</v>
      </c>
      <c r="Q11" s="64">
        <v>9.8000000000000007</v>
      </c>
      <c r="R11" s="198"/>
      <c r="S11" s="198"/>
      <c r="T11" s="198"/>
      <c r="U11" s="198"/>
    </row>
    <row r="12" spans="1:21" s="12" customFormat="1" x14ac:dyDescent="0.25">
      <c r="A12" s="211" t="s">
        <v>635</v>
      </c>
      <c r="B12" s="64">
        <v>91.82</v>
      </c>
      <c r="C12" s="6" t="s">
        <v>42</v>
      </c>
      <c r="D12" s="64">
        <v>60.1</v>
      </c>
      <c r="E12" s="64">
        <v>4.4400000000000004</v>
      </c>
      <c r="F12" s="64">
        <v>4.49</v>
      </c>
      <c r="G12" s="64">
        <v>133.68</v>
      </c>
      <c r="H12" s="64">
        <v>20.69</v>
      </c>
      <c r="I12" s="64">
        <v>5.76</v>
      </c>
      <c r="J12" s="64">
        <v>0.11</v>
      </c>
      <c r="K12" s="64">
        <v>340.45</v>
      </c>
      <c r="L12" s="64">
        <v>20.47</v>
      </c>
      <c r="M12" s="64">
        <v>96.81</v>
      </c>
      <c r="N12" s="64">
        <v>41.8</v>
      </c>
      <c r="O12" s="64">
        <v>0</v>
      </c>
      <c r="P12" s="64">
        <v>1.83</v>
      </c>
      <c r="Q12" s="64">
        <v>9.7899999999999991</v>
      </c>
      <c r="R12" s="198"/>
      <c r="S12" s="198"/>
      <c r="T12" s="198"/>
      <c r="U12" s="198"/>
    </row>
    <row r="13" spans="1:21" s="12" customFormat="1" x14ac:dyDescent="0.25">
      <c r="A13" s="211" t="s">
        <v>636</v>
      </c>
      <c r="B13" s="64">
        <v>82.57</v>
      </c>
      <c r="C13" s="6" t="s">
        <v>42</v>
      </c>
      <c r="D13" s="64">
        <v>55.55</v>
      </c>
      <c r="E13" s="64">
        <v>4.72</v>
      </c>
      <c r="F13" s="64">
        <v>2.77</v>
      </c>
      <c r="G13" s="64">
        <v>129.96</v>
      </c>
      <c r="H13" s="64">
        <v>20.32</v>
      </c>
      <c r="I13" s="64">
        <v>5.72</v>
      </c>
      <c r="J13" s="64">
        <v>0.02</v>
      </c>
      <c r="K13" s="64">
        <v>343.47</v>
      </c>
      <c r="L13" s="64">
        <v>20.309999999999999</v>
      </c>
      <c r="M13" s="64">
        <v>94.7</v>
      </c>
      <c r="N13" s="64">
        <v>41.6</v>
      </c>
      <c r="O13" s="64">
        <v>0</v>
      </c>
      <c r="P13" s="64">
        <v>1.38</v>
      </c>
      <c r="Q13" s="64">
        <v>9.7899999999999991</v>
      </c>
      <c r="R13" s="198"/>
      <c r="S13" s="198"/>
      <c r="T13" s="198"/>
      <c r="U13" s="198"/>
    </row>
    <row r="14" spans="1:21" s="12" customFormat="1" x14ac:dyDescent="0.25">
      <c r="A14" s="211" t="s">
        <v>637</v>
      </c>
      <c r="B14" s="64">
        <v>87.3</v>
      </c>
      <c r="C14" s="6" t="s">
        <v>42</v>
      </c>
      <c r="D14" s="64">
        <v>57.38</v>
      </c>
      <c r="E14" s="64">
        <v>4.1100000000000003</v>
      </c>
      <c r="F14" s="64">
        <v>4.0199999999999996</v>
      </c>
      <c r="G14" s="64">
        <v>111.36</v>
      </c>
      <c r="H14" s="64">
        <v>19.04</v>
      </c>
      <c r="I14" s="64">
        <v>5.69</v>
      </c>
      <c r="J14" s="64">
        <v>0.09</v>
      </c>
      <c r="K14" s="64">
        <v>215.2</v>
      </c>
      <c r="L14" s="64">
        <v>20.14</v>
      </c>
      <c r="M14" s="64">
        <v>96.15</v>
      </c>
      <c r="N14" s="64">
        <v>41.6</v>
      </c>
      <c r="O14" s="64">
        <v>0</v>
      </c>
      <c r="P14" s="64">
        <v>1.59</v>
      </c>
      <c r="Q14" s="64">
        <v>9.7799999999999994</v>
      </c>
      <c r="R14" s="198"/>
      <c r="S14" s="198"/>
      <c r="T14" s="198"/>
      <c r="U14" s="198"/>
    </row>
    <row r="15" spans="1:21" s="12" customFormat="1" x14ac:dyDescent="0.25">
      <c r="A15" s="211" t="s">
        <v>638</v>
      </c>
      <c r="B15" s="64">
        <v>85.16</v>
      </c>
      <c r="C15" s="6" t="s">
        <v>42</v>
      </c>
      <c r="D15" s="64">
        <v>56.25</v>
      </c>
      <c r="E15" s="64">
        <v>4.76</v>
      </c>
      <c r="F15" s="64">
        <v>2.85</v>
      </c>
      <c r="G15" s="64">
        <v>111.36</v>
      </c>
      <c r="H15" s="64">
        <v>19.04</v>
      </c>
      <c r="I15" s="64">
        <v>5.63</v>
      </c>
      <c r="J15" s="64">
        <v>0.08</v>
      </c>
      <c r="K15" s="64">
        <v>218.97</v>
      </c>
      <c r="L15" s="64">
        <v>19.89</v>
      </c>
      <c r="M15" s="64">
        <v>98.45</v>
      </c>
      <c r="N15" s="64">
        <v>41.9</v>
      </c>
      <c r="O15" s="64">
        <v>0</v>
      </c>
      <c r="P15" s="64">
        <v>1.52</v>
      </c>
      <c r="Q15" s="64">
        <v>9.7899999999999991</v>
      </c>
      <c r="R15" s="198"/>
      <c r="S15" s="198"/>
      <c r="T15" s="198"/>
      <c r="U15" s="198"/>
    </row>
    <row r="16" spans="1:21" s="12" customFormat="1" x14ac:dyDescent="0.25">
      <c r="A16" s="211" t="s">
        <v>639</v>
      </c>
      <c r="B16" s="64">
        <v>83.46</v>
      </c>
      <c r="C16" s="6" t="s">
        <v>42</v>
      </c>
      <c r="D16" s="64">
        <v>55.09</v>
      </c>
      <c r="E16" s="64">
        <v>4.41</v>
      </c>
      <c r="F16" s="64">
        <v>2.9</v>
      </c>
      <c r="G16" s="64">
        <v>111.36</v>
      </c>
      <c r="H16" s="64">
        <v>19.04</v>
      </c>
      <c r="I16" s="64">
        <v>5.56</v>
      </c>
      <c r="J16" s="64">
        <v>0.06</v>
      </c>
      <c r="K16" s="64">
        <v>297.27999999999997</v>
      </c>
      <c r="L16" s="64">
        <v>19.64</v>
      </c>
      <c r="M16" s="64">
        <v>98.34</v>
      </c>
      <c r="N16" s="64">
        <v>41.8</v>
      </c>
      <c r="O16" s="64">
        <v>0</v>
      </c>
      <c r="P16" s="64">
        <v>1.5</v>
      </c>
      <c r="Q16" s="64">
        <v>9.7899999999999991</v>
      </c>
      <c r="R16" s="198"/>
      <c r="S16" s="198"/>
      <c r="T16" s="198"/>
      <c r="U16" s="198"/>
    </row>
    <row r="17" spans="1:21" s="12" customFormat="1" x14ac:dyDescent="0.25">
      <c r="A17" s="211" t="s">
        <v>640</v>
      </c>
      <c r="B17" s="64">
        <v>80.72</v>
      </c>
      <c r="C17" s="6" t="s">
        <v>42</v>
      </c>
      <c r="D17" s="64">
        <v>53.72</v>
      </c>
      <c r="E17" s="64">
        <v>4.16</v>
      </c>
      <c r="F17" s="64">
        <v>3.3</v>
      </c>
      <c r="G17" s="64">
        <v>108.13</v>
      </c>
      <c r="H17" s="64">
        <v>18.96</v>
      </c>
      <c r="I17" s="64">
        <v>5.49</v>
      </c>
      <c r="J17" s="64">
        <v>0.15</v>
      </c>
      <c r="K17" s="64">
        <v>192.75</v>
      </c>
      <c r="L17" s="64">
        <v>19.8</v>
      </c>
      <c r="M17" s="64">
        <v>98.12</v>
      </c>
      <c r="N17" s="64">
        <v>41.3</v>
      </c>
      <c r="O17" s="64">
        <v>0</v>
      </c>
      <c r="P17" s="64">
        <v>1.44</v>
      </c>
      <c r="Q17" s="64">
        <v>9.7899999999999991</v>
      </c>
      <c r="R17" s="198"/>
      <c r="S17" s="198"/>
      <c r="T17" s="198"/>
      <c r="U17" s="198"/>
    </row>
    <row r="18" spans="1:21" s="12" customFormat="1" x14ac:dyDescent="0.25">
      <c r="A18" s="211" t="s">
        <v>641</v>
      </c>
      <c r="B18" s="64">
        <v>74.19</v>
      </c>
      <c r="C18" s="6" t="s">
        <v>42</v>
      </c>
      <c r="D18" s="64">
        <v>50.34</v>
      </c>
      <c r="E18" s="64">
        <v>4.58</v>
      </c>
      <c r="F18" s="64">
        <v>2.77</v>
      </c>
      <c r="G18" s="64">
        <v>91.95</v>
      </c>
      <c r="H18" s="64">
        <v>18.690000000000001</v>
      </c>
      <c r="I18" s="64">
        <v>5.45</v>
      </c>
      <c r="J18" s="64">
        <v>0.13</v>
      </c>
      <c r="K18" s="64">
        <v>198.85</v>
      </c>
      <c r="L18" s="64">
        <v>19.670000000000002</v>
      </c>
      <c r="M18" s="64">
        <v>98.57</v>
      </c>
      <c r="N18" s="64">
        <v>41.6</v>
      </c>
      <c r="O18" s="64">
        <v>0</v>
      </c>
      <c r="P18" s="64">
        <v>1.34</v>
      </c>
      <c r="Q18" s="64">
        <v>9.77</v>
      </c>
      <c r="R18" s="198"/>
      <c r="S18" s="198"/>
      <c r="T18" s="198"/>
      <c r="U18" s="198"/>
    </row>
    <row r="19" spans="1:21" s="12" customFormat="1" x14ac:dyDescent="0.25">
      <c r="A19" s="211" t="s">
        <v>642</v>
      </c>
      <c r="B19" s="64">
        <v>74.7</v>
      </c>
      <c r="C19" s="6" t="s">
        <v>42</v>
      </c>
      <c r="D19" s="64">
        <v>49.25</v>
      </c>
      <c r="E19" s="64">
        <v>4.4400000000000004</v>
      </c>
      <c r="F19" s="64">
        <v>3.46</v>
      </c>
      <c r="G19" s="64">
        <v>91.95</v>
      </c>
      <c r="H19" s="64">
        <v>18.690000000000001</v>
      </c>
      <c r="I19" s="64">
        <v>5.39</v>
      </c>
      <c r="J19" s="64">
        <v>0.17</v>
      </c>
      <c r="K19" s="64">
        <v>205.57</v>
      </c>
      <c r="L19" s="64">
        <v>19.489999999999998</v>
      </c>
      <c r="M19" s="64">
        <v>98.85</v>
      </c>
      <c r="N19" s="64">
        <v>41.5</v>
      </c>
      <c r="O19" s="64">
        <v>0</v>
      </c>
      <c r="P19" s="64">
        <v>1.32</v>
      </c>
      <c r="Q19" s="64">
        <v>9.77</v>
      </c>
      <c r="R19" s="198"/>
      <c r="S19" s="198"/>
      <c r="T19" s="198"/>
      <c r="U19" s="198"/>
    </row>
    <row r="20" spans="1:21" s="12" customFormat="1" x14ac:dyDescent="0.25">
      <c r="A20" s="211" t="s">
        <v>643</v>
      </c>
      <c r="B20" s="64">
        <v>72.02</v>
      </c>
      <c r="C20" s="6" t="s">
        <v>42</v>
      </c>
      <c r="D20" s="64">
        <v>48.54</v>
      </c>
      <c r="E20" s="64">
        <v>4.38</v>
      </c>
      <c r="F20" s="64">
        <v>3.25</v>
      </c>
      <c r="G20" s="64">
        <v>91.95</v>
      </c>
      <c r="H20" s="64">
        <v>18.690000000000001</v>
      </c>
      <c r="I20" s="64">
        <v>5.33</v>
      </c>
      <c r="J20" s="64">
        <v>0.09</v>
      </c>
      <c r="K20" s="64">
        <v>211.91</v>
      </c>
      <c r="L20" s="64">
        <v>19.53</v>
      </c>
      <c r="M20" s="64">
        <v>98.55</v>
      </c>
      <c r="N20" s="64">
        <v>41.8</v>
      </c>
      <c r="O20" s="64">
        <v>0</v>
      </c>
      <c r="P20" s="64">
        <v>1.31</v>
      </c>
      <c r="Q20" s="64">
        <v>9.77</v>
      </c>
      <c r="R20" s="198"/>
      <c r="S20" s="198"/>
      <c r="T20" s="198"/>
      <c r="U20" s="198"/>
    </row>
    <row r="21" spans="1:21" s="12" customFormat="1" x14ac:dyDescent="0.25">
      <c r="A21" s="211" t="s">
        <v>644</v>
      </c>
      <c r="B21" s="64">
        <v>68.930000000000007</v>
      </c>
      <c r="C21" s="6" t="s">
        <v>42</v>
      </c>
      <c r="D21" s="64">
        <v>47.16</v>
      </c>
      <c r="E21" s="64">
        <v>4.0199999999999996</v>
      </c>
      <c r="F21" s="64">
        <v>3.53</v>
      </c>
      <c r="G21" s="64">
        <v>88.59</v>
      </c>
      <c r="H21" s="64">
        <v>18.59</v>
      </c>
      <c r="I21" s="64">
        <v>5.25</v>
      </c>
      <c r="J21" s="64">
        <v>0.08</v>
      </c>
      <c r="K21" s="64">
        <v>298.48</v>
      </c>
      <c r="L21" s="64">
        <v>19.38</v>
      </c>
      <c r="M21" s="64">
        <v>98.48</v>
      </c>
      <c r="N21" s="64">
        <v>41.7</v>
      </c>
      <c r="O21" s="64">
        <v>0</v>
      </c>
      <c r="P21" s="64">
        <v>1.26</v>
      </c>
      <c r="Q21" s="64">
        <v>9.76</v>
      </c>
      <c r="R21" s="198"/>
      <c r="S21" s="198"/>
      <c r="T21" s="198"/>
      <c r="U21" s="198"/>
    </row>
    <row r="22" spans="1:21" s="12" customFormat="1" x14ac:dyDescent="0.25">
      <c r="A22" s="211" t="s">
        <v>645</v>
      </c>
      <c r="B22" s="64">
        <v>64.94</v>
      </c>
      <c r="C22" s="6" t="s">
        <v>42</v>
      </c>
      <c r="D22" s="64">
        <v>44.54</v>
      </c>
      <c r="E22" s="64">
        <v>4.29</v>
      </c>
      <c r="F22" s="64">
        <v>3.46</v>
      </c>
      <c r="G22" s="64">
        <v>71.81</v>
      </c>
      <c r="H22" s="64">
        <v>18.11</v>
      </c>
      <c r="I22" s="64">
        <v>5.16</v>
      </c>
      <c r="J22" s="64">
        <v>0.2</v>
      </c>
      <c r="K22" s="64">
        <v>339.93</v>
      </c>
      <c r="L22" s="64">
        <v>19.2</v>
      </c>
      <c r="M22" s="64">
        <v>99.13</v>
      </c>
      <c r="N22" s="64">
        <v>41.8</v>
      </c>
      <c r="O22" s="64">
        <v>0</v>
      </c>
      <c r="P22" s="64">
        <v>1.24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1" t="s">
        <v>646</v>
      </c>
      <c r="B23" s="64">
        <v>66.39</v>
      </c>
      <c r="C23" s="6" t="s">
        <v>42</v>
      </c>
      <c r="D23" s="64">
        <v>45.75</v>
      </c>
      <c r="E23" s="64">
        <v>4.13</v>
      </c>
      <c r="F23" s="64">
        <v>3.1</v>
      </c>
      <c r="G23" s="64">
        <v>71.81</v>
      </c>
      <c r="H23" s="64">
        <v>18.11</v>
      </c>
      <c r="I23" s="64">
        <v>5.09</v>
      </c>
      <c r="J23" s="64">
        <v>0.05</v>
      </c>
      <c r="K23" s="64">
        <v>315.52</v>
      </c>
      <c r="L23" s="64">
        <v>19.16</v>
      </c>
      <c r="M23" s="64">
        <v>99.17</v>
      </c>
      <c r="N23" s="64">
        <v>41.4</v>
      </c>
      <c r="O23" s="64">
        <v>0</v>
      </c>
      <c r="P23" s="64">
        <v>1.24</v>
      </c>
      <c r="Q23" s="64">
        <v>9.75</v>
      </c>
      <c r="R23" s="198"/>
      <c r="S23" s="198"/>
      <c r="T23" s="198"/>
      <c r="U23" s="198"/>
    </row>
    <row r="24" spans="1:21" s="12" customFormat="1" x14ac:dyDescent="0.25">
      <c r="A24" s="211" t="s">
        <v>647</v>
      </c>
      <c r="B24" s="64">
        <v>60.42</v>
      </c>
      <c r="C24" s="6" t="s">
        <v>42</v>
      </c>
      <c r="D24" s="64">
        <v>43.11</v>
      </c>
      <c r="E24" s="64">
        <v>4.1900000000000004</v>
      </c>
      <c r="F24" s="64">
        <v>3.49</v>
      </c>
      <c r="G24" s="64">
        <v>71.81</v>
      </c>
      <c r="H24" s="64">
        <v>18.11</v>
      </c>
      <c r="I24" s="64">
        <v>5.0199999999999996</v>
      </c>
      <c r="J24" s="64">
        <v>0.06</v>
      </c>
      <c r="K24" s="64">
        <v>304.42</v>
      </c>
      <c r="L24" s="64">
        <v>19.48</v>
      </c>
      <c r="M24" s="64">
        <v>99.1</v>
      </c>
      <c r="N24" s="64">
        <v>41.6</v>
      </c>
      <c r="O24" s="64">
        <v>0</v>
      </c>
      <c r="P24" s="64">
        <v>1.17</v>
      </c>
      <c r="Q24" s="64">
        <v>9.73</v>
      </c>
      <c r="R24" s="198"/>
      <c r="S24" s="198"/>
      <c r="T24" s="198"/>
      <c r="U24" s="198"/>
    </row>
    <row r="25" spans="1:21" s="12" customFormat="1" x14ac:dyDescent="0.25">
      <c r="A25" s="211" t="s">
        <v>648</v>
      </c>
      <c r="B25" s="64">
        <v>63.08</v>
      </c>
      <c r="C25" s="6" t="s">
        <v>42</v>
      </c>
      <c r="D25" s="64">
        <v>44.15</v>
      </c>
      <c r="E25" s="64">
        <v>4.51</v>
      </c>
      <c r="F25" s="64">
        <v>3.53</v>
      </c>
      <c r="G25" s="64">
        <v>73.040000000000006</v>
      </c>
      <c r="H25" s="64">
        <v>18.190000000000001</v>
      </c>
      <c r="I25" s="64">
        <v>4.96</v>
      </c>
      <c r="J25" s="64">
        <v>0.08</v>
      </c>
      <c r="K25" s="64">
        <v>326.64999999999998</v>
      </c>
      <c r="L25" s="64">
        <v>19.55</v>
      </c>
      <c r="M25" s="64">
        <v>99.08</v>
      </c>
      <c r="N25" s="64">
        <v>41.5</v>
      </c>
      <c r="O25" s="64">
        <v>0</v>
      </c>
      <c r="P25" s="64">
        <v>1.21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1" t="s">
        <v>649</v>
      </c>
      <c r="B26" s="64">
        <v>67.260000000000005</v>
      </c>
      <c r="C26" s="6" t="s">
        <v>42</v>
      </c>
      <c r="D26" s="64">
        <v>45.34</v>
      </c>
      <c r="E26" s="64">
        <v>4.55</v>
      </c>
      <c r="F26" s="64">
        <v>4.09</v>
      </c>
      <c r="G26" s="64">
        <v>79.239999999999995</v>
      </c>
      <c r="H26" s="64">
        <v>18.489999999999998</v>
      </c>
      <c r="I26" s="64">
        <v>4.92</v>
      </c>
      <c r="J26" s="64">
        <v>0.1</v>
      </c>
      <c r="K26" s="64">
        <v>333.04</v>
      </c>
      <c r="L26" s="64">
        <v>19.54</v>
      </c>
      <c r="M26" s="64">
        <v>98.34</v>
      </c>
      <c r="N26" s="64">
        <v>41.7</v>
      </c>
      <c r="O26" s="64">
        <v>0</v>
      </c>
      <c r="P26" s="64">
        <v>1.26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1" t="s">
        <v>650</v>
      </c>
      <c r="B27" s="64">
        <v>66.239999999999995</v>
      </c>
      <c r="C27" s="6" t="s">
        <v>42</v>
      </c>
      <c r="D27" s="64">
        <v>44.63</v>
      </c>
      <c r="E27" s="64">
        <v>4.6100000000000003</v>
      </c>
      <c r="F27" s="64">
        <v>3.02</v>
      </c>
      <c r="G27" s="64">
        <v>79.239999999999995</v>
      </c>
      <c r="H27" s="64">
        <v>18.489999999999998</v>
      </c>
      <c r="I27" s="64">
        <v>4.9000000000000004</v>
      </c>
      <c r="J27" s="64">
        <v>0.12</v>
      </c>
      <c r="K27" s="64">
        <v>346.76</v>
      </c>
      <c r="L27" s="64">
        <v>19.23</v>
      </c>
      <c r="M27" s="64">
        <v>99.22</v>
      </c>
      <c r="N27" s="64">
        <v>41.9</v>
      </c>
      <c r="O27" s="64">
        <v>0</v>
      </c>
      <c r="P27" s="64">
        <v>1.2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1" t="s">
        <v>651</v>
      </c>
      <c r="B28" s="64">
        <v>65.86</v>
      </c>
      <c r="C28" s="6" t="s">
        <v>42</v>
      </c>
      <c r="D28" s="64">
        <v>44.27</v>
      </c>
      <c r="E28" s="64">
        <v>4.34</v>
      </c>
      <c r="F28" s="64">
        <v>3.51</v>
      </c>
      <c r="G28" s="64">
        <v>79.239999999999995</v>
      </c>
      <c r="H28" s="64">
        <v>18.489999999999998</v>
      </c>
      <c r="I28" s="64">
        <v>4.88</v>
      </c>
      <c r="J28" s="64">
        <v>0.05</v>
      </c>
      <c r="K28" s="64">
        <v>277.14999999999998</v>
      </c>
      <c r="L28" s="64">
        <v>18.989999999999998</v>
      </c>
      <c r="M28" s="64">
        <v>99.22</v>
      </c>
      <c r="N28" s="64">
        <v>41.8</v>
      </c>
      <c r="O28" s="64">
        <v>0</v>
      </c>
      <c r="P28" s="64">
        <v>1.17</v>
      </c>
      <c r="Q28" s="64">
        <v>9.73</v>
      </c>
      <c r="R28" s="198"/>
      <c r="S28" s="198"/>
      <c r="T28" s="198"/>
      <c r="U28" s="198"/>
    </row>
    <row r="29" spans="1:21" s="12" customFormat="1" x14ac:dyDescent="0.25">
      <c r="A29" s="211" t="s">
        <v>652</v>
      </c>
      <c r="B29" s="64">
        <v>64.989999999999995</v>
      </c>
      <c r="C29" s="6" t="s">
        <v>42</v>
      </c>
      <c r="D29" s="64">
        <v>43.78</v>
      </c>
      <c r="E29" s="64">
        <v>4.34</v>
      </c>
      <c r="F29" s="64">
        <v>3.06</v>
      </c>
      <c r="G29" s="64">
        <v>81.27</v>
      </c>
      <c r="H29" s="64">
        <v>19.14</v>
      </c>
      <c r="I29" s="64">
        <v>4.8899999999999997</v>
      </c>
      <c r="J29" s="64">
        <v>0.08</v>
      </c>
      <c r="K29" s="64">
        <v>288.57</v>
      </c>
      <c r="L29" s="64">
        <v>18.95</v>
      </c>
      <c r="M29" s="64">
        <v>99.26</v>
      </c>
      <c r="N29" s="64">
        <v>41.6</v>
      </c>
      <c r="O29" s="64">
        <v>0</v>
      </c>
      <c r="P29" s="64">
        <v>1.1499999999999999</v>
      </c>
      <c r="Q29" s="64">
        <v>9.74</v>
      </c>
      <c r="R29" s="198"/>
      <c r="S29" s="198"/>
      <c r="T29" s="198"/>
      <c r="U29" s="198"/>
    </row>
    <row r="30" spans="1:21" s="12" customFormat="1" x14ac:dyDescent="0.25">
      <c r="A30" s="211" t="s">
        <v>653</v>
      </c>
      <c r="B30" s="64">
        <v>64.62</v>
      </c>
      <c r="C30" s="6" t="s">
        <v>42</v>
      </c>
      <c r="D30" s="64">
        <v>43.5</v>
      </c>
      <c r="E30" s="64">
        <v>4.26</v>
      </c>
      <c r="F30" s="64">
        <v>4.32</v>
      </c>
      <c r="G30" s="64">
        <v>90.67</v>
      </c>
      <c r="H30" s="64">
        <v>21.42</v>
      </c>
      <c r="I30" s="64">
        <v>4.9000000000000004</v>
      </c>
      <c r="J30" s="64">
        <v>0.17</v>
      </c>
      <c r="K30" s="64">
        <v>335.65</v>
      </c>
      <c r="L30" s="64">
        <v>18.84</v>
      </c>
      <c r="M30" s="64">
        <v>99.21</v>
      </c>
      <c r="N30" s="64">
        <v>41.9</v>
      </c>
      <c r="O30" s="64">
        <v>0</v>
      </c>
      <c r="P30" s="64">
        <v>1.1499999999999999</v>
      </c>
      <c r="Q30" s="64">
        <v>9.73</v>
      </c>
      <c r="R30" s="198"/>
      <c r="S30" s="198"/>
      <c r="T30" s="198"/>
      <c r="U30" s="198"/>
    </row>
    <row r="31" spans="1:21" s="12" customFormat="1" x14ac:dyDescent="0.25">
      <c r="A31" s="211" t="s">
        <v>654</v>
      </c>
      <c r="B31" s="64">
        <v>64.44</v>
      </c>
      <c r="C31" s="6" t="s">
        <v>42</v>
      </c>
      <c r="D31" s="64">
        <v>43.47</v>
      </c>
      <c r="E31" s="64">
        <v>4.4000000000000004</v>
      </c>
      <c r="F31" s="64">
        <v>3.17</v>
      </c>
      <c r="G31" s="64">
        <v>90.67</v>
      </c>
      <c r="H31" s="64">
        <v>21.42</v>
      </c>
      <c r="I31" s="64">
        <v>4.9000000000000004</v>
      </c>
      <c r="J31" s="64">
        <v>0.12</v>
      </c>
      <c r="K31" s="64">
        <v>330.74</v>
      </c>
      <c r="L31" s="64">
        <v>18.72</v>
      </c>
      <c r="M31" s="64">
        <v>99.16</v>
      </c>
      <c r="N31" s="64">
        <v>41.8</v>
      </c>
      <c r="O31" s="64">
        <v>0</v>
      </c>
      <c r="P31" s="64">
        <v>1.1200000000000001</v>
      </c>
      <c r="Q31" s="64">
        <v>9.7200000000000006</v>
      </c>
      <c r="R31" s="198"/>
      <c r="S31" s="198"/>
      <c r="T31" s="198"/>
      <c r="U31" s="198"/>
    </row>
    <row r="32" spans="1:21" s="12" customFormat="1" x14ac:dyDescent="0.25">
      <c r="A32" s="211" t="s">
        <v>655</v>
      </c>
      <c r="B32" s="64">
        <v>63.91</v>
      </c>
      <c r="C32" s="6" t="s">
        <v>42</v>
      </c>
      <c r="D32" s="64">
        <v>43.1</v>
      </c>
      <c r="E32" s="64">
        <v>4.1399999999999997</v>
      </c>
      <c r="F32" s="64">
        <v>3.77</v>
      </c>
      <c r="G32" s="64">
        <v>90.67</v>
      </c>
      <c r="H32" s="64">
        <v>21.42</v>
      </c>
      <c r="I32" s="64">
        <v>4.9000000000000004</v>
      </c>
      <c r="J32" s="64">
        <v>0.1</v>
      </c>
      <c r="K32" s="64">
        <v>338.04</v>
      </c>
      <c r="L32" s="64">
        <v>18.489999999999998</v>
      </c>
      <c r="M32" s="64">
        <v>99.23</v>
      </c>
      <c r="N32" s="64">
        <v>42.9</v>
      </c>
      <c r="O32" s="64">
        <v>0</v>
      </c>
      <c r="P32" s="64">
        <v>1.1100000000000001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1" t="s">
        <v>656</v>
      </c>
      <c r="B33" s="64">
        <v>64.31</v>
      </c>
      <c r="C33" s="6" t="s">
        <v>42</v>
      </c>
      <c r="D33" s="64">
        <v>43.37</v>
      </c>
      <c r="E33" s="64">
        <v>4.05</v>
      </c>
      <c r="F33" s="64">
        <v>3.17</v>
      </c>
      <c r="G33" s="64">
        <v>90.56</v>
      </c>
      <c r="H33" s="64">
        <v>20.75</v>
      </c>
      <c r="I33" s="64">
        <v>4.8899999999999997</v>
      </c>
      <c r="J33" s="64">
        <v>0.08</v>
      </c>
      <c r="K33" s="64">
        <v>310.93</v>
      </c>
      <c r="L33" s="64">
        <v>18.43</v>
      </c>
      <c r="M33" s="64">
        <v>99.23</v>
      </c>
      <c r="N33" s="64">
        <v>47.4</v>
      </c>
      <c r="O33" s="64">
        <v>0</v>
      </c>
      <c r="P33" s="64">
        <v>1.1000000000000001</v>
      </c>
      <c r="Q33" s="64">
        <v>9.7200000000000006</v>
      </c>
      <c r="R33" s="198"/>
      <c r="S33" s="198"/>
      <c r="T33" s="198"/>
      <c r="U33" s="198"/>
    </row>
    <row r="34" spans="1:21" s="12" customFormat="1" x14ac:dyDescent="0.25">
      <c r="A34" s="211" t="s">
        <v>657</v>
      </c>
      <c r="B34" s="64">
        <v>64.25</v>
      </c>
      <c r="C34" s="6" t="s">
        <v>42</v>
      </c>
      <c r="D34" s="64">
        <v>43.46</v>
      </c>
      <c r="E34" s="64">
        <v>4.37</v>
      </c>
      <c r="F34" s="64">
        <v>2.98</v>
      </c>
      <c r="G34" s="64">
        <v>90.03</v>
      </c>
      <c r="H34" s="64">
        <v>18.420000000000002</v>
      </c>
      <c r="I34" s="64">
        <v>4.8899999999999997</v>
      </c>
      <c r="J34" s="64">
        <v>0.06</v>
      </c>
      <c r="K34" s="64">
        <v>0.45</v>
      </c>
      <c r="L34" s="64">
        <v>18.89</v>
      </c>
      <c r="M34" s="64">
        <v>97.38</v>
      </c>
      <c r="N34" s="64">
        <v>58.7</v>
      </c>
      <c r="O34" s="64">
        <v>0</v>
      </c>
      <c r="P34" s="64">
        <v>1.08</v>
      </c>
      <c r="Q34" s="64">
        <v>9.7200000000000006</v>
      </c>
      <c r="R34" s="198"/>
      <c r="S34" s="198"/>
      <c r="T34" s="198"/>
      <c r="U34" s="198"/>
    </row>
    <row r="35" spans="1:21" s="12" customFormat="1" x14ac:dyDescent="0.25">
      <c r="A35" s="211" t="s">
        <v>658</v>
      </c>
      <c r="B35" s="64">
        <v>64.33</v>
      </c>
      <c r="C35" s="6" t="s">
        <v>42</v>
      </c>
      <c r="D35" s="64">
        <v>43.41</v>
      </c>
      <c r="E35" s="64">
        <v>4.08</v>
      </c>
      <c r="F35" s="64">
        <v>4.25</v>
      </c>
      <c r="G35" s="64">
        <v>90.03</v>
      </c>
      <c r="H35" s="64">
        <v>18.420000000000002</v>
      </c>
      <c r="I35" s="64">
        <v>4.91</v>
      </c>
      <c r="J35" s="64">
        <v>7.0000000000000007E-2</v>
      </c>
      <c r="K35" s="64">
        <v>342.45</v>
      </c>
      <c r="L35" s="64">
        <v>19.37</v>
      </c>
      <c r="M35" s="64">
        <v>96.82</v>
      </c>
      <c r="N35" s="64">
        <v>74.599999999999994</v>
      </c>
      <c r="O35" s="64">
        <v>0</v>
      </c>
      <c r="P35" s="64">
        <v>1.08</v>
      </c>
      <c r="Q35" s="64">
        <v>9.7200000000000006</v>
      </c>
      <c r="R35" s="198"/>
      <c r="S35" s="198"/>
      <c r="T35" s="198"/>
      <c r="U35" s="198"/>
    </row>
    <row r="36" spans="1:21" s="12" customFormat="1" x14ac:dyDescent="0.25">
      <c r="A36" s="211" t="s">
        <v>659</v>
      </c>
      <c r="B36" s="64">
        <v>64.97</v>
      </c>
      <c r="C36" s="6" t="s">
        <v>42</v>
      </c>
      <c r="D36" s="64">
        <v>44.37</v>
      </c>
      <c r="E36" s="64">
        <v>4.5</v>
      </c>
      <c r="F36" s="64">
        <v>3.01</v>
      </c>
      <c r="G36" s="64">
        <v>90.03</v>
      </c>
      <c r="H36" s="64">
        <v>18.420000000000002</v>
      </c>
      <c r="I36" s="64">
        <v>4.91</v>
      </c>
      <c r="J36" s="64">
        <v>0.06</v>
      </c>
      <c r="K36" s="64">
        <v>253.56</v>
      </c>
      <c r="L36" s="64">
        <v>19.96</v>
      </c>
      <c r="M36" s="64">
        <v>96.05</v>
      </c>
      <c r="N36" s="64">
        <v>100.3</v>
      </c>
      <c r="O36" s="64">
        <v>0</v>
      </c>
      <c r="P36" s="64">
        <v>1.04</v>
      </c>
      <c r="Q36" s="64">
        <v>9.7100000000000009</v>
      </c>
      <c r="R36" s="198"/>
      <c r="S36" s="198"/>
      <c r="T36" s="198"/>
      <c r="U36" s="198"/>
    </row>
    <row r="37" spans="1:21" s="12" customFormat="1" x14ac:dyDescent="0.25">
      <c r="A37" s="211" t="s">
        <v>660</v>
      </c>
      <c r="B37" s="64">
        <v>63.91</v>
      </c>
      <c r="C37" s="6" t="s">
        <v>42</v>
      </c>
      <c r="D37" s="64">
        <v>45.17</v>
      </c>
      <c r="E37" s="64">
        <v>4.3600000000000003</v>
      </c>
      <c r="F37" s="64">
        <v>3.31</v>
      </c>
      <c r="G37" s="64">
        <v>89.84</v>
      </c>
      <c r="H37" s="64">
        <v>18.68</v>
      </c>
      <c r="I37" s="64">
        <v>4.9000000000000004</v>
      </c>
      <c r="J37" s="64">
        <v>0.09</v>
      </c>
      <c r="K37" s="64">
        <v>210.78</v>
      </c>
      <c r="L37" s="64">
        <v>21.26</v>
      </c>
      <c r="M37" s="64">
        <v>84.2</v>
      </c>
      <c r="N37" s="64">
        <v>171.9</v>
      </c>
      <c r="O37" s="64">
        <v>0</v>
      </c>
      <c r="P37" s="64">
        <v>1.19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11" t="s">
        <v>661</v>
      </c>
      <c r="B38" s="64">
        <v>64.400000000000006</v>
      </c>
      <c r="C38" s="6" t="s">
        <v>42</v>
      </c>
      <c r="D38" s="64">
        <v>47.22</v>
      </c>
      <c r="E38" s="64">
        <v>4.57</v>
      </c>
      <c r="F38" s="64">
        <v>3.29</v>
      </c>
      <c r="G38" s="64">
        <v>88.9</v>
      </c>
      <c r="H38" s="64">
        <v>19.940000000000001</v>
      </c>
      <c r="I38" s="64">
        <v>4.91</v>
      </c>
      <c r="J38" s="64">
        <v>0.15</v>
      </c>
      <c r="K38" s="64">
        <v>124.1</v>
      </c>
      <c r="L38" s="64">
        <v>23.79</v>
      </c>
      <c r="M38" s="64">
        <v>65.510000000000005</v>
      </c>
      <c r="N38" s="64">
        <v>234</v>
      </c>
      <c r="O38" s="64">
        <v>0</v>
      </c>
      <c r="P38" s="64">
        <v>1.29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1" t="s">
        <v>662</v>
      </c>
      <c r="B39" s="64">
        <v>64.72</v>
      </c>
      <c r="C39" s="6" t="s">
        <v>42</v>
      </c>
      <c r="D39" s="64">
        <v>46.71</v>
      </c>
      <c r="E39" s="64">
        <v>4.28</v>
      </c>
      <c r="F39" s="64">
        <v>3.92</v>
      </c>
      <c r="G39" s="64">
        <v>88.9</v>
      </c>
      <c r="H39" s="64">
        <v>19.940000000000001</v>
      </c>
      <c r="I39" s="64">
        <v>4.9000000000000004</v>
      </c>
      <c r="J39" s="64">
        <v>0.04</v>
      </c>
      <c r="K39" s="64">
        <v>95.38</v>
      </c>
      <c r="L39" s="64">
        <v>25.4</v>
      </c>
      <c r="M39" s="64">
        <v>59.62</v>
      </c>
      <c r="N39" s="64">
        <v>290.60000000000002</v>
      </c>
      <c r="O39" s="64">
        <v>0</v>
      </c>
      <c r="P39" s="64">
        <v>1.32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1" t="s">
        <v>663</v>
      </c>
      <c r="B40" s="64">
        <v>63.75</v>
      </c>
      <c r="C40" s="6" t="s">
        <v>42</v>
      </c>
      <c r="D40" s="64">
        <v>44.25</v>
      </c>
      <c r="E40" s="64">
        <v>5.38</v>
      </c>
      <c r="F40" s="64">
        <v>3.39</v>
      </c>
      <c r="G40" s="64">
        <v>88.9</v>
      </c>
      <c r="H40" s="64">
        <v>19.940000000000001</v>
      </c>
      <c r="I40" s="64">
        <v>4.88</v>
      </c>
      <c r="J40" s="64">
        <v>0.18</v>
      </c>
      <c r="K40" s="64">
        <v>240.18</v>
      </c>
      <c r="L40" s="64">
        <v>25.18</v>
      </c>
      <c r="M40" s="64">
        <v>60.8</v>
      </c>
      <c r="N40" s="64">
        <v>348.8</v>
      </c>
      <c r="O40" s="64">
        <v>0</v>
      </c>
      <c r="P40" s="64">
        <v>1.28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1" t="s">
        <v>664</v>
      </c>
      <c r="B41" s="64">
        <v>56.34</v>
      </c>
      <c r="C41" s="6" t="s">
        <v>42</v>
      </c>
      <c r="D41" s="64">
        <v>40.17</v>
      </c>
      <c r="E41" s="64">
        <v>5.45</v>
      </c>
      <c r="F41" s="64">
        <v>3.49</v>
      </c>
      <c r="G41" s="64">
        <v>88.92</v>
      </c>
      <c r="H41" s="64">
        <v>19.18</v>
      </c>
      <c r="I41" s="64">
        <v>4.8600000000000003</v>
      </c>
      <c r="J41" s="64">
        <v>0.38</v>
      </c>
      <c r="K41" s="64">
        <v>158.08000000000001</v>
      </c>
      <c r="L41" s="64">
        <v>25.08</v>
      </c>
      <c r="M41" s="64">
        <v>57.52</v>
      </c>
      <c r="N41" s="64">
        <v>414.9</v>
      </c>
      <c r="O41" s="64">
        <v>0</v>
      </c>
      <c r="P41" s="64">
        <v>1.23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1" t="s">
        <v>665</v>
      </c>
      <c r="B42" s="64">
        <v>49.82</v>
      </c>
      <c r="C42" s="6" t="s">
        <v>42</v>
      </c>
      <c r="D42" s="64">
        <v>37.119999999999997</v>
      </c>
      <c r="E42" s="64">
        <v>5.57</v>
      </c>
      <c r="F42" s="64">
        <v>7.3</v>
      </c>
      <c r="G42" s="64">
        <v>89.05</v>
      </c>
      <c r="H42" s="64">
        <v>16.55</v>
      </c>
      <c r="I42" s="64">
        <v>4.82</v>
      </c>
      <c r="J42" s="64">
        <v>1.1000000000000001</v>
      </c>
      <c r="K42" s="64">
        <v>138.61000000000001</v>
      </c>
      <c r="L42" s="64">
        <v>25.4</v>
      </c>
      <c r="M42" s="64">
        <v>57.99</v>
      </c>
      <c r="N42" s="64">
        <v>464.9</v>
      </c>
      <c r="O42" s="64">
        <v>0</v>
      </c>
      <c r="P42" s="64">
        <v>1.0900000000000001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1" t="s">
        <v>666</v>
      </c>
      <c r="B43" s="64">
        <v>52.17</v>
      </c>
      <c r="C43" s="6" t="s">
        <v>42</v>
      </c>
      <c r="D43" s="64">
        <v>37.909999999999997</v>
      </c>
      <c r="E43" s="64">
        <v>5.47</v>
      </c>
      <c r="F43" s="64">
        <v>5.64</v>
      </c>
      <c r="G43" s="64">
        <v>89.05</v>
      </c>
      <c r="H43" s="64">
        <v>16.55</v>
      </c>
      <c r="I43" s="64">
        <v>4.76</v>
      </c>
      <c r="J43" s="64">
        <v>0.65</v>
      </c>
      <c r="K43" s="64">
        <v>143.66</v>
      </c>
      <c r="L43" s="64">
        <v>26.13</v>
      </c>
      <c r="M43" s="64">
        <v>52.91</v>
      </c>
      <c r="N43" s="64">
        <v>514.70000000000005</v>
      </c>
      <c r="O43" s="64">
        <v>0</v>
      </c>
      <c r="P43" s="64">
        <v>1.1200000000000001</v>
      </c>
      <c r="Q43" s="64">
        <v>9.7200000000000006</v>
      </c>
      <c r="R43" s="198"/>
      <c r="S43" s="198"/>
      <c r="T43" s="198"/>
      <c r="U43" s="198"/>
    </row>
    <row r="44" spans="1:21" s="12" customFormat="1" x14ac:dyDescent="0.25">
      <c r="A44" s="211" t="s">
        <v>667</v>
      </c>
      <c r="B44" s="64">
        <v>56.72</v>
      </c>
      <c r="C44" s="6" t="s">
        <v>42</v>
      </c>
      <c r="D44" s="64">
        <v>39.68</v>
      </c>
      <c r="E44" s="64">
        <v>5.52</v>
      </c>
      <c r="F44" s="64">
        <v>4.26</v>
      </c>
      <c r="G44" s="64">
        <v>89.05</v>
      </c>
      <c r="H44" s="64">
        <v>16.55</v>
      </c>
      <c r="I44" s="64">
        <v>4.7</v>
      </c>
      <c r="J44" s="64">
        <v>0.4</v>
      </c>
      <c r="K44" s="64">
        <v>148.13</v>
      </c>
      <c r="L44" s="64">
        <v>27.56</v>
      </c>
      <c r="M44" s="64">
        <v>45.93</v>
      </c>
      <c r="N44" s="64">
        <v>540.6</v>
      </c>
      <c r="O44" s="64">
        <v>0</v>
      </c>
      <c r="P44" s="64">
        <v>1.2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1" t="s">
        <v>668</v>
      </c>
      <c r="B45" s="64">
        <v>52.68</v>
      </c>
      <c r="C45" s="6" t="s">
        <v>42</v>
      </c>
      <c r="D45" s="64">
        <v>37.4</v>
      </c>
      <c r="E45" s="64">
        <v>5.35</v>
      </c>
      <c r="F45" s="64">
        <v>3.31</v>
      </c>
      <c r="G45" s="64">
        <v>86.42</v>
      </c>
      <c r="H45" s="64">
        <v>16.2</v>
      </c>
      <c r="I45" s="64">
        <v>4.63</v>
      </c>
      <c r="J45" s="64">
        <v>0.03</v>
      </c>
      <c r="K45" s="64">
        <v>192.99</v>
      </c>
      <c r="L45" s="64">
        <v>28.52</v>
      </c>
      <c r="M45" s="64">
        <v>41.35</v>
      </c>
      <c r="N45" s="64">
        <v>593.20000000000005</v>
      </c>
      <c r="O45" s="64">
        <v>0</v>
      </c>
      <c r="P45" s="64">
        <v>1.0900000000000001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1" t="s">
        <v>669</v>
      </c>
      <c r="B46" s="64">
        <v>49.56</v>
      </c>
      <c r="C46" s="6" t="s">
        <v>42</v>
      </c>
      <c r="D46" s="64">
        <v>36</v>
      </c>
      <c r="E46" s="64">
        <v>5.46</v>
      </c>
      <c r="F46" s="64">
        <v>4.16</v>
      </c>
      <c r="G46" s="64">
        <v>73.27</v>
      </c>
      <c r="H46" s="64">
        <v>14.97</v>
      </c>
      <c r="I46" s="64">
        <v>4.55</v>
      </c>
      <c r="J46" s="64">
        <v>0.39</v>
      </c>
      <c r="K46" s="64">
        <v>343.18</v>
      </c>
      <c r="L46" s="64">
        <v>31.21</v>
      </c>
      <c r="M46" s="64">
        <v>36.729999999999997</v>
      </c>
      <c r="N46" s="64">
        <v>622.79999999999995</v>
      </c>
      <c r="O46" s="64">
        <v>0</v>
      </c>
      <c r="P46" s="64">
        <v>1.08</v>
      </c>
      <c r="Q46" s="64">
        <v>9.6999999999999993</v>
      </c>
      <c r="R46" s="198"/>
      <c r="S46" s="198"/>
      <c r="T46" s="198"/>
      <c r="U46" s="198"/>
    </row>
    <row r="47" spans="1:21" s="12" customFormat="1" x14ac:dyDescent="0.25">
      <c r="A47" s="211" t="s">
        <v>670</v>
      </c>
      <c r="B47" s="64">
        <v>46.67</v>
      </c>
      <c r="C47" s="6" t="s">
        <v>42</v>
      </c>
      <c r="D47" s="64">
        <v>34.6</v>
      </c>
      <c r="E47" s="64">
        <v>5.48</v>
      </c>
      <c r="F47" s="64">
        <v>4.46</v>
      </c>
      <c r="G47" s="64">
        <v>73.27</v>
      </c>
      <c r="H47" s="64">
        <v>14.97</v>
      </c>
      <c r="I47" s="64">
        <v>4.4800000000000004</v>
      </c>
      <c r="J47" s="64">
        <v>0.28999999999999998</v>
      </c>
      <c r="K47" s="64">
        <v>329.07</v>
      </c>
      <c r="L47" s="64">
        <v>31.12</v>
      </c>
      <c r="M47" s="64">
        <v>35.200000000000003</v>
      </c>
      <c r="N47" s="64">
        <v>664.1</v>
      </c>
      <c r="O47" s="64">
        <v>0</v>
      </c>
      <c r="P47" s="64">
        <v>1.03</v>
      </c>
      <c r="Q47" s="64">
        <v>9.6999999999999993</v>
      </c>
      <c r="R47" s="198"/>
      <c r="S47" s="198"/>
      <c r="T47" s="198"/>
      <c r="U47" s="198"/>
    </row>
    <row r="48" spans="1:21" s="12" customFormat="1" x14ac:dyDescent="0.25">
      <c r="A48" s="211" t="s">
        <v>671</v>
      </c>
      <c r="B48" s="64">
        <v>45.19</v>
      </c>
      <c r="C48" s="6" t="s">
        <v>42</v>
      </c>
      <c r="D48" s="64">
        <v>33.71</v>
      </c>
      <c r="E48" s="64">
        <v>5.28</v>
      </c>
      <c r="F48" s="64">
        <v>4.13</v>
      </c>
      <c r="G48" s="64">
        <v>73.27</v>
      </c>
      <c r="H48" s="64">
        <v>14.97</v>
      </c>
      <c r="I48" s="64">
        <v>4.42</v>
      </c>
      <c r="J48" s="64">
        <v>0.14000000000000001</v>
      </c>
      <c r="K48" s="64">
        <v>172.89</v>
      </c>
      <c r="L48" s="64">
        <v>31.34</v>
      </c>
      <c r="M48" s="64">
        <v>32.68</v>
      </c>
      <c r="N48" s="64">
        <v>720.5</v>
      </c>
      <c r="O48" s="64">
        <v>0</v>
      </c>
      <c r="P48" s="64">
        <v>1.02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1" t="s">
        <v>672</v>
      </c>
      <c r="B49" s="64">
        <v>43.37</v>
      </c>
      <c r="C49" s="6" t="s">
        <v>42</v>
      </c>
      <c r="D49" s="64">
        <v>32.72</v>
      </c>
      <c r="E49" s="64">
        <v>4.9000000000000004</v>
      </c>
      <c r="F49" s="64">
        <v>4.2</v>
      </c>
      <c r="G49" s="64">
        <v>72.08</v>
      </c>
      <c r="H49" s="64">
        <v>15.52</v>
      </c>
      <c r="I49" s="64">
        <v>4.3499999999999996</v>
      </c>
      <c r="J49" s="64">
        <v>0.15</v>
      </c>
      <c r="K49" s="64">
        <v>298.45</v>
      </c>
      <c r="L49" s="64">
        <v>30.45</v>
      </c>
      <c r="M49" s="64">
        <v>36.11</v>
      </c>
      <c r="N49" s="64">
        <v>731.4</v>
      </c>
      <c r="O49" s="64">
        <v>0</v>
      </c>
      <c r="P49" s="64">
        <v>1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1" t="s">
        <v>673</v>
      </c>
      <c r="B50" s="64">
        <v>38.72</v>
      </c>
      <c r="C50" s="6" t="s">
        <v>42</v>
      </c>
      <c r="D50" s="64">
        <v>30.16</v>
      </c>
      <c r="E50" s="64">
        <v>5.5</v>
      </c>
      <c r="F50" s="64">
        <v>5.6</v>
      </c>
      <c r="G50" s="64">
        <v>66.150000000000006</v>
      </c>
      <c r="H50" s="64">
        <v>17.39</v>
      </c>
      <c r="I50" s="64">
        <v>4.26</v>
      </c>
      <c r="J50" s="64">
        <v>0.14000000000000001</v>
      </c>
      <c r="K50" s="64">
        <v>7.87</v>
      </c>
      <c r="L50" s="64">
        <v>31.22</v>
      </c>
      <c r="M50" s="64">
        <v>35.15</v>
      </c>
      <c r="N50" s="64">
        <v>733.5</v>
      </c>
      <c r="O50" s="64">
        <v>0</v>
      </c>
      <c r="P50" s="64">
        <v>0.94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1" t="s">
        <v>674</v>
      </c>
      <c r="B51" s="64">
        <v>38.090000000000003</v>
      </c>
      <c r="C51" s="6" t="s">
        <v>42</v>
      </c>
      <c r="D51" s="64">
        <v>30.2</v>
      </c>
      <c r="E51" s="64">
        <v>5.44</v>
      </c>
      <c r="F51" s="64">
        <v>3.81</v>
      </c>
      <c r="G51" s="64">
        <v>66.150000000000006</v>
      </c>
      <c r="H51" s="64">
        <v>17.39</v>
      </c>
      <c r="I51" s="64">
        <v>4.18</v>
      </c>
      <c r="J51" s="64">
        <v>0.34</v>
      </c>
      <c r="K51" s="64">
        <v>319.63</v>
      </c>
      <c r="L51" s="64">
        <v>31.73</v>
      </c>
      <c r="M51" s="64">
        <v>33.659999999999997</v>
      </c>
      <c r="N51" s="64">
        <v>750</v>
      </c>
      <c r="O51" s="64">
        <v>0</v>
      </c>
      <c r="P51" s="64">
        <v>0.96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1" t="s">
        <v>675</v>
      </c>
      <c r="B52" s="64">
        <v>28.81</v>
      </c>
      <c r="C52" s="64">
        <v>4.08</v>
      </c>
      <c r="D52" s="64">
        <v>24.67</v>
      </c>
      <c r="E52" s="64">
        <v>5.41</v>
      </c>
      <c r="F52" s="64">
        <v>4.3600000000000003</v>
      </c>
      <c r="G52" s="64">
        <v>66.150000000000006</v>
      </c>
      <c r="H52" s="64">
        <v>17.39</v>
      </c>
      <c r="I52" s="64">
        <v>4.12</v>
      </c>
      <c r="J52" s="64">
        <v>0.36</v>
      </c>
      <c r="K52" s="64">
        <v>323.29000000000002</v>
      </c>
      <c r="L52" s="64">
        <v>32.1</v>
      </c>
      <c r="M52" s="64">
        <v>33.72</v>
      </c>
      <c r="N52" s="64">
        <v>762.8</v>
      </c>
      <c r="O52" s="64">
        <v>0</v>
      </c>
      <c r="P52" s="64">
        <v>0.9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1" t="s">
        <v>676</v>
      </c>
      <c r="B53" s="64">
        <v>0.64</v>
      </c>
      <c r="C53" s="64">
        <v>0.36</v>
      </c>
      <c r="D53" s="6" t="s">
        <v>42</v>
      </c>
      <c r="E53" s="64">
        <v>4.76</v>
      </c>
      <c r="F53" s="64">
        <v>4.58</v>
      </c>
      <c r="G53" s="64">
        <v>65.53</v>
      </c>
      <c r="H53" s="64">
        <v>17.260000000000002</v>
      </c>
      <c r="I53" s="64">
        <v>4.0599999999999996</v>
      </c>
      <c r="J53" s="64">
        <v>0.57999999999999996</v>
      </c>
      <c r="K53" s="64">
        <v>325.48</v>
      </c>
      <c r="L53" s="64">
        <v>32.049999999999997</v>
      </c>
      <c r="M53" s="64">
        <v>34.520000000000003</v>
      </c>
      <c r="N53" s="64">
        <v>762.4</v>
      </c>
      <c r="O53" s="64">
        <v>0</v>
      </c>
      <c r="P53" s="64">
        <v>0.88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1" t="s">
        <v>677</v>
      </c>
      <c r="B54" s="6" t="s">
        <v>42</v>
      </c>
      <c r="C54" s="64">
        <v>0.88</v>
      </c>
      <c r="D54" s="6" t="s">
        <v>42</v>
      </c>
      <c r="E54" s="64">
        <v>6.11</v>
      </c>
      <c r="F54" s="64">
        <v>10.08</v>
      </c>
      <c r="G54" s="64">
        <v>62.64</v>
      </c>
      <c r="H54" s="64">
        <v>16.64</v>
      </c>
      <c r="I54" s="64">
        <v>4</v>
      </c>
      <c r="J54" s="64">
        <v>0.7</v>
      </c>
      <c r="K54" s="64">
        <v>331.89</v>
      </c>
      <c r="L54" s="64">
        <v>33.049999999999997</v>
      </c>
      <c r="M54" s="64">
        <v>32.770000000000003</v>
      </c>
      <c r="N54" s="64">
        <v>751.2</v>
      </c>
      <c r="O54" s="64">
        <v>0</v>
      </c>
      <c r="P54" s="64">
        <v>0.84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1" t="s">
        <v>678</v>
      </c>
      <c r="B55" s="6" t="s">
        <v>42</v>
      </c>
      <c r="C55" s="64">
        <v>0.88</v>
      </c>
      <c r="D55" s="6" t="s">
        <v>42</v>
      </c>
      <c r="E55" s="64">
        <v>5.59</v>
      </c>
      <c r="F55" s="64">
        <v>6.62</v>
      </c>
      <c r="G55" s="64">
        <v>62.64</v>
      </c>
      <c r="H55" s="64">
        <v>16.64</v>
      </c>
      <c r="I55" s="64">
        <v>3.95</v>
      </c>
      <c r="J55" s="64">
        <v>0.47</v>
      </c>
      <c r="K55" s="64">
        <v>324.42</v>
      </c>
      <c r="L55" s="64">
        <v>31.96</v>
      </c>
      <c r="M55" s="64">
        <v>34.67</v>
      </c>
      <c r="N55" s="64">
        <v>750.4</v>
      </c>
      <c r="O55" s="64">
        <v>0</v>
      </c>
      <c r="P55" s="64">
        <v>0.84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1" t="s">
        <v>679</v>
      </c>
      <c r="B56" s="6" t="s">
        <v>42</v>
      </c>
      <c r="C56" s="64">
        <v>0.88</v>
      </c>
      <c r="D56" s="6" t="s">
        <v>42</v>
      </c>
      <c r="E56" s="64">
        <v>6.78</v>
      </c>
      <c r="F56" s="64">
        <v>12.78</v>
      </c>
      <c r="G56" s="64">
        <v>62.64</v>
      </c>
      <c r="H56" s="64">
        <v>16.64</v>
      </c>
      <c r="I56" s="64">
        <v>3.91</v>
      </c>
      <c r="J56" s="64">
        <v>0.12</v>
      </c>
      <c r="K56" s="64">
        <v>296.57</v>
      </c>
      <c r="L56" s="64">
        <v>31.38</v>
      </c>
      <c r="M56" s="64">
        <v>36.4</v>
      </c>
      <c r="N56" s="64">
        <v>743.8</v>
      </c>
      <c r="O56" s="64">
        <v>0</v>
      </c>
      <c r="P56" s="64">
        <v>0.8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1" t="s">
        <v>680</v>
      </c>
      <c r="B57" s="6" t="s">
        <v>42</v>
      </c>
      <c r="C57" s="64">
        <v>0.88</v>
      </c>
      <c r="D57" s="6" t="s">
        <v>42</v>
      </c>
      <c r="E57" s="64">
        <v>5.83</v>
      </c>
      <c r="F57" s="64">
        <v>8.14</v>
      </c>
      <c r="G57" s="64">
        <v>62.15</v>
      </c>
      <c r="H57" s="64">
        <v>16.579999999999998</v>
      </c>
      <c r="I57" s="64">
        <v>3.89</v>
      </c>
      <c r="J57" s="64">
        <v>0.63</v>
      </c>
      <c r="K57" s="64">
        <v>327.39999999999998</v>
      </c>
      <c r="L57" s="64">
        <v>31.46</v>
      </c>
      <c r="M57" s="64">
        <v>37.76</v>
      </c>
      <c r="N57" s="64">
        <v>701</v>
      </c>
      <c r="O57" s="64">
        <v>0</v>
      </c>
      <c r="P57" s="64">
        <v>0.83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11" t="s">
        <v>681</v>
      </c>
      <c r="B58" s="6" t="s">
        <v>42</v>
      </c>
      <c r="C58" s="64">
        <v>0.88</v>
      </c>
      <c r="D58" s="6" t="s">
        <v>42</v>
      </c>
      <c r="E58" s="64">
        <v>5.97</v>
      </c>
      <c r="F58" s="64">
        <v>6.46</v>
      </c>
      <c r="G58" s="64">
        <v>59.86</v>
      </c>
      <c r="H58" s="64">
        <v>16.41</v>
      </c>
      <c r="I58" s="64">
        <v>3.88</v>
      </c>
      <c r="J58" s="64">
        <v>0.55000000000000004</v>
      </c>
      <c r="K58" s="64">
        <v>317.36</v>
      </c>
      <c r="L58" s="64">
        <v>32.14</v>
      </c>
      <c r="M58" s="64">
        <v>36.869999999999997</v>
      </c>
      <c r="N58" s="64">
        <v>714.8</v>
      </c>
      <c r="O58" s="64">
        <v>0</v>
      </c>
      <c r="P58" s="64">
        <v>0.79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1" t="s">
        <v>682</v>
      </c>
      <c r="B59" s="6" t="s">
        <v>42</v>
      </c>
      <c r="C59" s="64">
        <v>0.88</v>
      </c>
      <c r="D59" s="6" t="s">
        <v>42</v>
      </c>
      <c r="E59" s="64">
        <v>5.85</v>
      </c>
      <c r="F59" s="64">
        <v>11.85</v>
      </c>
      <c r="G59" s="64">
        <v>59.86</v>
      </c>
      <c r="H59" s="64">
        <v>16.41</v>
      </c>
      <c r="I59" s="64">
        <v>3.88</v>
      </c>
      <c r="J59" s="64">
        <v>0.94</v>
      </c>
      <c r="K59" s="64">
        <v>332.33</v>
      </c>
      <c r="L59" s="64">
        <v>32.18</v>
      </c>
      <c r="M59" s="64">
        <v>36.590000000000003</v>
      </c>
      <c r="N59" s="64">
        <v>732.2</v>
      </c>
      <c r="O59" s="64">
        <v>0</v>
      </c>
      <c r="P59" s="64">
        <v>0.69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1" t="s">
        <v>683</v>
      </c>
      <c r="B60" s="6" t="s">
        <v>42</v>
      </c>
      <c r="C60" s="64">
        <v>0.89</v>
      </c>
      <c r="D60" s="6" t="s">
        <v>42</v>
      </c>
      <c r="E60" s="64">
        <v>6.08</v>
      </c>
      <c r="F60" s="64">
        <v>9.48</v>
      </c>
      <c r="G60" s="64">
        <v>59.86</v>
      </c>
      <c r="H60" s="64">
        <v>16.41</v>
      </c>
      <c r="I60" s="64">
        <v>3.82</v>
      </c>
      <c r="J60" s="64">
        <v>0.35</v>
      </c>
      <c r="K60" s="64">
        <v>311.62</v>
      </c>
      <c r="L60" s="64">
        <v>31.82</v>
      </c>
      <c r="M60" s="64">
        <v>37.82</v>
      </c>
      <c r="N60" s="64">
        <v>612.5</v>
      </c>
      <c r="O60" s="64">
        <v>0</v>
      </c>
      <c r="P60" s="64">
        <v>0.63</v>
      </c>
      <c r="Q60" s="64">
        <v>9.4</v>
      </c>
      <c r="R60" s="198"/>
      <c r="S60" s="198"/>
      <c r="T60" s="198"/>
      <c r="U60" s="198"/>
    </row>
    <row r="61" spans="1:21" s="12" customFormat="1" x14ac:dyDescent="0.25">
      <c r="A61" s="211" t="s">
        <v>684</v>
      </c>
      <c r="B61" s="6" t="s">
        <v>42</v>
      </c>
      <c r="C61" s="64">
        <v>0.88</v>
      </c>
      <c r="D61" s="6" t="s">
        <v>42</v>
      </c>
      <c r="E61" s="64">
        <v>5.61</v>
      </c>
      <c r="F61" s="64">
        <v>8.3800000000000008</v>
      </c>
      <c r="G61" s="64">
        <v>58.91</v>
      </c>
      <c r="H61" s="64">
        <v>16.260000000000002</v>
      </c>
      <c r="I61" s="64">
        <v>3.71</v>
      </c>
      <c r="J61" s="64">
        <v>0.39</v>
      </c>
      <c r="K61" s="64">
        <v>317.20999999999998</v>
      </c>
      <c r="L61" s="64">
        <v>31.62</v>
      </c>
      <c r="M61" s="64">
        <v>39.67</v>
      </c>
      <c r="N61" s="64">
        <v>328.6</v>
      </c>
      <c r="O61" s="64">
        <v>0</v>
      </c>
      <c r="P61" s="64">
        <v>0.71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1" t="s">
        <v>685</v>
      </c>
      <c r="B62" s="6" t="s">
        <v>42</v>
      </c>
      <c r="C62" s="64">
        <v>0.88</v>
      </c>
      <c r="D62" s="6" t="s">
        <v>42</v>
      </c>
      <c r="E62" s="64">
        <v>5.39</v>
      </c>
      <c r="F62" s="64">
        <v>9.33</v>
      </c>
      <c r="G62" s="64">
        <v>54.52</v>
      </c>
      <c r="H62" s="64">
        <v>15.73</v>
      </c>
      <c r="I62" s="64">
        <v>3.57</v>
      </c>
      <c r="J62" s="64">
        <v>0.56999999999999995</v>
      </c>
      <c r="K62" s="64">
        <v>323.45</v>
      </c>
      <c r="L62" s="64">
        <v>31.66</v>
      </c>
      <c r="M62" s="64">
        <v>39.92</v>
      </c>
      <c r="N62" s="64">
        <v>316.5</v>
      </c>
      <c r="O62" s="64">
        <v>0</v>
      </c>
      <c r="P62" s="64">
        <v>0.68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1" t="s">
        <v>686</v>
      </c>
      <c r="B63" s="6" t="s">
        <v>42</v>
      </c>
      <c r="C63" s="64">
        <v>0.88</v>
      </c>
      <c r="D63" s="6" t="s">
        <v>42</v>
      </c>
      <c r="E63" s="64">
        <v>5.24</v>
      </c>
      <c r="F63" s="64">
        <v>7.99</v>
      </c>
      <c r="G63" s="64">
        <v>54.52</v>
      </c>
      <c r="H63" s="64">
        <v>15.73</v>
      </c>
      <c r="I63" s="64">
        <v>3.45</v>
      </c>
      <c r="J63" s="64">
        <v>0.65</v>
      </c>
      <c r="K63" s="64">
        <v>327.55</v>
      </c>
      <c r="L63" s="64">
        <v>31.96</v>
      </c>
      <c r="M63" s="64">
        <v>39.25</v>
      </c>
      <c r="N63" s="64">
        <v>302.7</v>
      </c>
      <c r="O63" s="64">
        <v>0</v>
      </c>
      <c r="P63" s="64">
        <v>0.69</v>
      </c>
      <c r="Q63" s="64">
        <v>9.2100000000000009</v>
      </c>
      <c r="R63" s="198"/>
      <c r="S63" s="198"/>
      <c r="T63" s="198"/>
      <c r="U63" s="198"/>
    </row>
    <row r="64" spans="1:21" s="12" customFormat="1" x14ac:dyDescent="0.25">
      <c r="A64" s="211" t="s">
        <v>687</v>
      </c>
      <c r="B64" s="6" t="s">
        <v>42</v>
      </c>
      <c r="C64" s="64">
        <v>0.88</v>
      </c>
      <c r="D64" s="6" t="s">
        <v>42</v>
      </c>
      <c r="E64" s="64">
        <v>5.2</v>
      </c>
      <c r="F64" s="64">
        <v>11.52</v>
      </c>
      <c r="G64" s="64">
        <v>54.52</v>
      </c>
      <c r="H64" s="64">
        <v>15.73</v>
      </c>
      <c r="I64" s="64">
        <v>3.33</v>
      </c>
      <c r="J64" s="64">
        <v>0.73</v>
      </c>
      <c r="K64" s="64">
        <v>328.42</v>
      </c>
      <c r="L64" s="64">
        <v>31.11</v>
      </c>
      <c r="M64" s="64">
        <v>41.46</v>
      </c>
      <c r="N64" s="64">
        <v>195.4</v>
      </c>
      <c r="O64" s="64">
        <v>0</v>
      </c>
      <c r="P64" s="64">
        <v>0.55000000000000004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1" t="s">
        <v>688</v>
      </c>
      <c r="B65" s="6" t="s">
        <v>42</v>
      </c>
      <c r="C65" s="64">
        <v>0.88</v>
      </c>
      <c r="D65" s="6" t="s">
        <v>42</v>
      </c>
      <c r="E65" s="64">
        <v>4.8</v>
      </c>
      <c r="F65" s="64">
        <v>6.53</v>
      </c>
      <c r="G65" s="64">
        <v>52.89</v>
      </c>
      <c r="H65" s="64">
        <v>15.21</v>
      </c>
      <c r="I65" s="64">
        <v>3.21</v>
      </c>
      <c r="J65" s="64">
        <v>0.79</v>
      </c>
      <c r="K65" s="64">
        <v>327.5</v>
      </c>
      <c r="L65" s="64">
        <v>30.82</v>
      </c>
      <c r="M65" s="64">
        <v>42.58</v>
      </c>
      <c r="N65" s="64">
        <v>162</v>
      </c>
      <c r="O65" s="64">
        <v>0</v>
      </c>
      <c r="P65" s="64">
        <v>0.63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1" t="s">
        <v>689</v>
      </c>
      <c r="B66" s="6" t="s">
        <v>42</v>
      </c>
      <c r="C66" s="64">
        <v>1.04</v>
      </c>
      <c r="D66" s="6" t="s">
        <v>42</v>
      </c>
      <c r="E66" s="64">
        <v>4.9800000000000004</v>
      </c>
      <c r="F66" s="64">
        <v>12.14</v>
      </c>
      <c r="G66" s="64">
        <v>45.31</v>
      </c>
      <c r="H66" s="64">
        <v>13.4</v>
      </c>
      <c r="I66" s="64">
        <v>3.1</v>
      </c>
      <c r="J66" s="64">
        <v>0.71</v>
      </c>
      <c r="K66" s="64">
        <v>331.96</v>
      </c>
      <c r="L66" s="64">
        <v>30.37</v>
      </c>
      <c r="M66" s="64">
        <v>43.31</v>
      </c>
      <c r="N66" s="64">
        <v>141.4</v>
      </c>
      <c r="O66" s="64">
        <v>0</v>
      </c>
      <c r="P66" s="64">
        <v>0.54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1" t="s">
        <v>690</v>
      </c>
      <c r="B67" s="6" t="s">
        <v>42</v>
      </c>
      <c r="C67" s="64">
        <v>0.88</v>
      </c>
      <c r="D67" s="6" t="s">
        <v>42</v>
      </c>
      <c r="E67" s="64">
        <v>5.01</v>
      </c>
      <c r="F67" s="64">
        <v>7.36</v>
      </c>
      <c r="G67" s="64">
        <v>45.31</v>
      </c>
      <c r="H67" s="64">
        <v>13.4</v>
      </c>
      <c r="I67" s="64">
        <v>2.99</v>
      </c>
      <c r="J67" s="64">
        <v>0.19</v>
      </c>
      <c r="K67" s="64">
        <v>303.68</v>
      </c>
      <c r="L67" s="64">
        <v>29.98</v>
      </c>
      <c r="M67" s="64">
        <v>43.86</v>
      </c>
      <c r="N67" s="64">
        <v>121.5</v>
      </c>
      <c r="O67" s="64">
        <v>0</v>
      </c>
      <c r="P67" s="64">
        <v>0.52</v>
      </c>
      <c r="Q67" s="64">
        <v>9.11</v>
      </c>
      <c r="R67" s="198"/>
      <c r="S67" s="198"/>
      <c r="T67" s="198"/>
      <c r="U67" s="198"/>
    </row>
    <row r="68" spans="1:21" s="12" customFormat="1" x14ac:dyDescent="0.25">
      <c r="A68" s="211" t="s">
        <v>691</v>
      </c>
      <c r="B68" s="6" t="s">
        <v>42</v>
      </c>
      <c r="C68" s="64">
        <v>0.88</v>
      </c>
      <c r="D68" s="6" t="s">
        <v>42</v>
      </c>
      <c r="E68" s="64">
        <v>4.91</v>
      </c>
      <c r="F68" s="64">
        <v>10.02</v>
      </c>
      <c r="G68" s="64">
        <v>45.31</v>
      </c>
      <c r="H68" s="64">
        <v>13.4</v>
      </c>
      <c r="I68" s="64">
        <v>2.89</v>
      </c>
      <c r="J68" s="64">
        <v>0.5</v>
      </c>
      <c r="K68" s="64">
        <v>326.93</v>
      </c>
      <c r="L68" s="64">
        <v>29.03</v>
      </c>
      <c r="M68" s="64">
        <v>45.73</v>
      </c>
      <c r="N68" s="64">
        <v>110.4</v>
      </c>
      <c r="O68" s="64">
        <v>0</v>
      </c>
      <c r="P68" s="64">
        <v>0.47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1" t="s">
        <v>692</v>
      </c>
      <c r="B69" s="6" t="s">
        <v>42</v>
      </c>
      <c r="C69" s="64">
        <v>0.88</v>
      </c>
      <c r="D69" s="6" t="s">
        <v>42</v>
      </c>
      <c r="E69" s="64">
        <v>4.78</v>
      </c>
      <c r="F69" s="64">
        <v>9.6300000000000008</v>
      </c>
      <c r="G69" s="64">
        <v>44.78</v>
      </c>
      <c r="H69" s="64">
        <v>13.14</v>
      </c>
      <c r="I69" s="64">
        <v>2.79</v>
      </c>
      <c r="J69" s="64">
        <v>0.97</v>
      </c>
      <c r="K69" s="64">
        <v>332.72</v>
      </c>
      <c r="L69" s="64">
        <v>29.15</v>
      </c>
      <c r="M69" s="64">
        <v>46</v>
      </c>
      <c r="N69" s="64">
        <v>106.1</v>
      </c>
      <c r="O69" s="64">
        <v>0</v>
      </c>
      <c r="P69" s="64">
        <v>0.5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1" t="s">
        <v>693</v>
      </c>
      <c r="B70" s="6" t="s">
        <v>42</v>
      </c>
      <c r="C70" s="64">
        <v>1.1399999999999999</v>
      </c>
      <c r="D70" s="64">
        <v>0.14000000000000001</v>
      </c>
      <c r="E70" s="64">
        <v>5.04</v>
      </c>
      <c r="F70" s="64">
        <v>9.32</v>
      </c>
      <c r="G70" s="64">
        <v>42.34</v>
      </c>
      <c r="H70" s="64">
        <v>11.93</v>
      </c>
      <c r="I70" s="64">
        <v>2.68</v>
      </c>
      <c r="J70" s="64">
        <v>0.33</v>
      </c>
      <c r="K70" s="64">
        <v>317.63</v>
      </c>
      <c r="L70" s="64">
        <v>29</v>
      </c>
      <c r="M70" s="64">
        <v>45.57</v>
      </c>
      <c r="N70" s="64">
        <v>97</v>
      </c>
      <c r="O70" s="64">
        <v>0</v>
      </c>
      <c r="P70" s="64">
        <v>0.52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1" t="s">
        <v>694</v>
      </c>
      <c r="B71" s="64">
        <v>1.28</v>
      </c>
      <c r="C71" s="64">
        <v>16.489999999999998</v>
      </c>
      <c r="D71" s="64">
        <v>9.18</v>
      </c>
      <c r="E71" s="64">
        <v>5.38</v>
      </c>
      <c r="F71" s="64">
        <v>17.16</v>
      </c>
      <c r="G71" s="64">
        <v>42.34</v>
      </c>
      <c r="H71" s="64">
        <v>11.93</v>
      </c>
      <c r="I71" s="64">
        <v>2.61</v>
      </c>
      <c r="J71" s="64">
        <v>0.48</v>
      </c>
      <c r="K71" s="64">
        <v>325.58999999999997</v>
      </c>
      <c r="L71" s="64">
        <v>28.78</v>
      </c>
      <c r="M71" s="64">
        <v>46.48</v>
      </c>
      <c r="N71" s="64">
        <v>91.2</v>
      </c>
      <c r="O71" s="64">
        <v>0</v>
      </c>
      <c r="P71" s="64">
        <v>0.37</v>
      </c>
      <c r="Q71" s="64">
        <v>9.08</v>
      </c>
      <c r="R71" s="198"/>
      <c r="S71" s="198"/>
      <c r="T71" s="198"/>
      <c r="U71" s="198"/>
    </row>
    <row r="72" spans="1:21" s="12" customFormat="1" x14ac:dyDescent="0.25">
      <c r="A72" s="211" t="s">
        <v>695</v>
      </c>
      <c r="B72" s="64">
        <v>2.19</v>
      </c>
      <c r="C72" s="64">
        <v>23.18</v>
      </c>
      <c r="D72" s="64">
        <v>13.41</v>
      </c>
      <c r="E72" s="64">
        <v>6.1</v>
      </c>
      <c r="F72" s="64">
        <v>16.600000000000001</v>
      </c>
      <c r="G72" s="64">
        <v>42.34</v>
      </c>
      <c r="H72" s="64">
        <v>11.93</v>
      </c>
      <c r="I72" s="64">
        <v>2.11</v>
      </c>
      <c r="J72" s="64">
        <v>0.62</v>
      </c>
      <c r="K72" s="64">
        <v>326.54000000000002</v>
      </c>
      <c r="L72" s="64">
        <v>28.64</v>
      </c>
      <c r="M72" s="64">
        <v>47.56</v>
      </c>
      <c r="N72" s="64">
        <v>85.5</v>
      </c>
      <c r="O72" s="64">
        <v>0</v>
      </c>
      <c r="P72" s="64">
        <v>0.32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1" t="s">
        <v>696</v>
      </c>
      <c r="B73" s="64">
        <v>3.96</v>
      </c>
      <c r="C73" s="64">
        <v>26.59</v>
      </c>
      <c r="D73" s="64">
        <v>16.61</v>
      </c>
      <c r="E73" s="64">
        <v>5.79</v>
      </c>
      <c r="F73" s="64">
        <v>16.72</v>
      </c>
      <c r="G73" s="64">
        <v>42.34</v>
      </c>
      <c r="H73" s="64">
        <v>11.93</v>
      </c>
      <c r="I73" s="64">
        <v>1.47</v>
      </c>
      <c r="J73" s="64">
        <v>0.27</v>
      </c>
      <c r="K73" s="64">
        <v>310.92</v>
      </c>
      <c r="L73" s="64">
        <v>28.37</v>
      </c>
      <c r="M73" s="64">
        <v>48.53</v>
      </c>
      <c r="N73" s="64">
        <v>75.7</v>
      </c>
      <c r="O73" s="64">
        <v>0</v>
      </c>
      <c r="P73" s="64">
        <v>0.36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1" t="s">
        <v>697</v>
      </c>
      <c r="B74" s="64">
        <v>2.48</v>
      </c>
      <c r="C74" s="64">
        <v>26.61</v>
      </c>
      <c r="D74" s="64">
        <v>33.39</v>
      </c>
      <c r="E74" s="64">
        <v>6</v>
      </c>
      <c r="F74" s="64">
        <v>18.059999999999999</v>
      </c>
      <c r="G74" s="6" t="s">
        <v>42</v>
      </c>
      <c r="H74" s="6" t="s">
        <v>42</v>
      </c>
      <c r="I74" s="64">
        <v>1.89</v>
      </c>
      <c r="J74" s="64">
        <v>0.17</v>
      </c>
      <c r="K74" s="64">
        <v>342.33</v>
      </c>
      <c r="L74" s="64">
        <v>27.86</v>
      </c>
      <c r="M74" s="64">
        <v>51.89</v>
      </c>
      <c r="N74" s="64">
        <v>62.9</v>
      </c>
      <c r="O74" s="64">
        <v>0</v>
      </c>
      <c r="P74" s="64">
        <v>0.43</v>
      </c>
      <c r="Q74" s="64">
        <v>9.19</v>
      </c>
      <c r="R74" s="198"/>
      <c r="S74" s="198"/>
      <c r="T74" s="198"/>
      <c r="U74" s="198"/>
    </row>
    <row r="75" spans="1:21" s="12" customFormat="1" x14ac:dyDescent="0.25">
      <c r="A75" s="211" t="s">
        <v>698</v>
      </c>
      <c r="B75" s="64">
        <v>8.1999999999999993</v>
      </c>
      <c r="C75" s="64">
        <v>28.96</v>
      </c>
      <c r="D75" s="64">
        <v>21.25</v>
      </c>
      <c r="E75" s="64">
        <v>6.48</v>
      </c>
      <c r="F75" s="64">
        <v>12.97</v>
      </c>
      <c r="G75" s="6" t="s">
        <v>42</v>
      </c>
      <c r="H75" s="6" t="s">
        <v>42</v>
      </c>
      <c r="I75" s="64">
        <v>1.58</v>
      </c>
      <c r="J75" s="64">
        <v>0.34</v>
      </c>
      <c r="K75" s="64">
        <v>317.2</v>
      </c>
      <c r="L75" s="64">
        <v>27.68</v>
      </c>
      <c r="M75" s="64">
        <v>53.7</v>
      </c>
      <c r="N75" s="64">
        <v>60.6</v>
      </c>
      <c r="O75" s="64">
        <v>0</v>
      </c>
      <c r="P75" s="64">
        <v>0.57999999999999996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1" t="s">
        <v>699</v>
      </c>
      <c r="B76" s="64">
        <v>9.8699999999999992</v>
      </c>
      <c r="C76" s="64">
        <v>29.89</v>
      </c>
      <c r="D76" s="64">
        <v>23.07</v>
      </c>
      <c r="E76" s="64">
        <v>5.94</v>
      </c>
      <c r="F76" s="64">
        <v>10.98</v>
      </c>
      <c r="G76" s="6" t="s">
        <v>42</v>
      </c>
      <c r="H76" s="6" t="s">
        <v>42</v>
      </c>
      <c r="I76" s="64">
        <v>1.46</v>
      </c>
      <c r="J76" s="64">
        <v>0.17</v>
      </c>
      <c r="K76" s="64">
        <v>330.01</v>
      </c>
      <c r="L76" s="64">
        <v>27.42</v>
      </c>
      <c r="M76" s="64">
        <v>54.34</v>
      </c>
      <c r="N76" s="64">
        <v>54.4</v>
      </c>
      <c r="O76" s="64">
        <v>0</v>
      </c>
      <c r="P76" s="64">
        <v>0.61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1" t="s">
        <v>700</v>
      </c>
      <c r="B77" s="64">
        <v>12.01</v>
      </c>
      <c r="C77" s="64">
        <v>39.19</v>
      </c>
      <c r="D77" s="64">
        <v>29.65</v>
      </c>
      <c r="E77" s="64">
        <v>6.08</v>
      </c>
      <c r="F77" s="64">
        <v>11.23</v>
      </c>
      <c r="G77" s="6" t="s">
        <v>42</v>
      </c>
      <c r="H77" s="6" t="s">
        <v>42</v>
      </c>
      <c r="I77" s="64">
        <v>1.59</v>
      </c>
      <c r="J77" s="64">
        <v>0.11</v>
      </c>
      <c r="K77" s="64">
        <v>290.64999999999998</v>
      </c>
      <c r="L77" s="64">
        <v>26.71</v>
      </c>
      <c r="M77" s="64">
        <v>58.69</v>
      </c>
      <c r="N77" s="64">
        <v>49.9</v>
      </c>
      <c r="O77" s="64">
        <v>0</v>
      </c>
      <c r="P77" s="64">
        <v>0.85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1" t="s">
        <v>701</v>
      </c>
      <c r="B78" s="64">
        <v>4.55</v>
      </c>
      <c r="C78" s="64">
        <v>36.9</v>
      </c>
      <c r="D78" s="64">
        <v>22.47</v>
      </c>
      <c r="E78" s="64">
        <v>6.81</v>
      </c>
      <c r="F78" s="64">
        <v>13.79</v>
      </c>
      <c r="G78" s="64">
        <v>18.239999999999998</v>
      </c>
      <c r="H78" s="64">
        <v>7.49</v>
      </c>
      <c r="I78" s="64">
        <v>1.81</v>
      </c>
      <c r="J78" s="64">
        <v>0.05</v>
      </c>
      <c r="K78" s="64">
        <v>296.95</v>
      </c>
      <c r="L78" s="64">
        <v>26.38</v>
      </c>
      <c r="M78" s="64">
        <v>59.63</v>
      </c>
      <c r="N78" s="64">
        <v>47.1</v>
      </c>
      <c r="O78" s="64">
        <v>0</v>
      </c>
      <c r="P78" s="64">
        <v>0.74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1" t="s">
        <v>702</v>
      </c>
      <c r="B79" s="64">
        <v>3.93</v>
      </c>
      <c r="C79" s="64">
        <v>34.159999999999997</v>
      </c>
      <c r="D79" s="64">
        <v>20.54</v>
      </c>
      <c r="E79" s="64">
        <v>6.85</v>
      </c>
      <c r="F79" s="64">
        <v>9.7200000000000006</v>
      </c>
      <c r="G79" s="64">
        <v>68.41</v>
      </c>
      <c r="H79" s="64">
        <v>20.92</v>
      </c>
      <c r="I79" s="64">
        <v>2.0299999999999998</v>
      </c>
      <c r="J79" s="64">
        <v>0.11</v>
      </c>
      <c r="K79" s="64">
        <v>286.12</v>
      </c>
      <c r="L79" s="64">
        <v>26.18</v>
      </c>
      <c r="M79" s="64">
        <v>61.61</v>
      </c>
      <c r="N79" s="64">
        <v>46.2</v>
      </c>
      <c r="O79" s="64">
        <v>0</v>
      </c>
      <c r="P79" s="64">
        <v>0.79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11" t="s">
        <v>703</v>
      </c>
      <c r="B80" s="64">
        <v>18.739999999999998</v>
      </c>
      <c r="C80" s="64">
        <v>31.84</v>
      </c>
      <c r="D80" s="64">
        <v>31.2</v>
      </c>
      <c r="E80" s="64">
        <v>6.51</v>
      </c>
      <c r="F80" s="64">
        <v>8.99</v>
      </c>
      <c r="G80" s="64">
        <v>68.41</v>
      </c>
      <c r="H80" s="64">
        <v>20.92</v>
      </c>
      <c r="I80" s="64">
        <v>2.19</v>
      </c>
      <c r="J80" s="64">
        <v>0.13</v>
      </c>
      <c r="K80" s="64">
        <v>334.33</v>
      </c>
      <c r="L80" s="64">
        <v>25.85</v>
      </c>
      <c r="M80" s="64">
        <v>64.78</v>
      </c>
      <c r="N80" s="64">
        <v>46.3</v>
      </c>
      <c r="O80" s="64">
        <v>0</v>
      </c>
      <c r="P80" s="64">
        <v>1.03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1" t="s">
        <v>704</v>
      </c>
      <c r="B81" s="64">
        <v>26.27</v>
      </c>
      <c r="C81" s="64">
        <v>29.84</v>
      </c>
      <c r="D81" s="64">
        <v>36.200000000000003</v>
      </c>
      <c r="E81" s="64">
        <v>6.46</v>
      </c>
      <c r="F81" s="64">
        <v>6.07</v>
      </c>
      <c r="G81" s="64">
        <v>68.41</v>
      </c>
      <c r="H81" s="64">
        <v>20.92</v>
      </c>
      <c r="I81" s="64">
        <v>2.31</v>
      </c>
      <c r="J81" s="64">
        <v>0.13</v>
      </c>
      <c r="K81" s="64">
        <v>344.24</v>
      </c>
      <c r="L81" s="64">
        <v>25.5</v>
      </c>
      <c r="M81" s="64">
        <v>67.67</v>
      </c>
      <c r="N81" s="64">
        <v>46.4</v>
      </c>
      <c r="O81" s="64">
        <v>0</v>
      </c>
      <c r="P81" s="64">
        <v>1.23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1" t="s">
        <v>705</v>
      </c>
      <c r="B82" s="64">
        <v>19.52</v>
      </c>
      <c r="C82" s="64">
        <v>36.880000000000003</v>
      </c>
      <c r="D82" s="64">
        <v>34.46</v>
      </c>
      <c r="E82" s="64">
        <v>6.47</v>
      </c>
      <c r="F82" s="64">
        <v>6.11</v>
      </c>
      <c r="G82" s="64">
        <v>72.97</v>
      </c>
      <c r="H82" s="64">
        <v>22.25</v>
      </c>
      <c r="I82" s="64">
        <v>2.4</v>
      </c>
      <c r="J82" s="64">
        <v>0.05</v>
      </c>
      <c r="K82" s="64">
        <v>240.93</v>
      </c>
      <c r="L82" s="64">
        <v>25.3</v>
      </c>
      <c r="M82" s="64">
        <v>68.11</v>
      </c>
      <c r="N82" s="64">
        <v>46.6</v>
      </c>
      <c r="O82" s="64">
        <v>0</v>
      </c>
      <c r="P82" s="64">
        <v>1.22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1" t="s">
        <v>706</v>
      </c>
      <c r="B83" s="64">
        <v>18.59</v>
      </c>
      <c r="C83" s="64">
        <v>33.29</v>
      </c>
      <c r="D83" s="64">
        <v>31.84</v>
      </c>
      <c r="E83" s="64">
        <v>6.46</v>
      </c>
      <c r="F83" s="64">
        <v>7.2</v>
      </c>
      <c r="G83" s="64">
        <v>85.5</v>
      </c>
      <c r="H83" s="64">
        <v>24.63</v>
      </c>
      <c r="I83" s="64">
        <v>2.48</v>
      </c>
      <c r="J83" s="64">
        <v>7.0000000000000007E-2</v>
      </c>
      <c r="K83" s="64">
        <v>262.45</v>
      </c>
      <c r="L83" s="64">
        <v>25.19</v>
      </c>
      <c r="M83" s="64">
        <v>68.959999999999994</v>
      </c>
      <c r="N83" s="64">
        <v>46.7</v>
      </c>
      <c r="O83" s="64">
        <v>0</v>
      </c>
      <c r="P83" s="64">
        <v>1.17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11" t="s">
        <v>707</v>
      </c>
      <c r="B84" s="64">
        <v>8.2799999999999994</v>
      </c>
      <c r="C84" s="64">
        <v>18.77</v>
      </c>
      <c r="D84" s="64">
        <v>15.98</v>
      </c>
      <c r="E84" s="64">
        <v>6.11</v>
      </c>
      <c r="F84" s="64">
        <v>4.75</v>
      </c>
      <c r="G84" s="64">
        <v>85.5</v>
      </c>
      <c r="H84" s="64">
        <v>24.63</v>
      </c>
      <c r="I84" s="64">
        <v>2.5499999999999998</v>
      </c>
      <c r="J84" s="64">
        <v>0.22</v>
      </c>
      <c r="K84" s="64">
        <v>320.81</v>
      </c>
      <c r="L84" s="64">
        <v>25.46</v>
      </c>
      <c r="M84" s="64">
        <v>68.53</v>
      </c>
      <c r="N84" s="64">
        <v>46.4</v>
      </c>
      <c r="O84" s="64">
        <v>0</v>
      </c>
      <c r="P84" s="64">
        <v>0.88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1" t="s">
        <v>708</v>
      </c>
      <c r="B85" s="64">
        <v>6.88</v>
      </c>
      <c r="C85" s="64">
        <v>18.93</v>
      </c>
      <c r="D85" s="64">
        <v>14.95</v>
      </c>
      <c r="E85" s="64">
        <v>5.93</v>
      </c>
      <c r="F85" s="64">
        <v>7.11</v>
      </c>
      <c r="G85" s="64">
        <v>85.5</v>
      </c>
      <c r="H85" s="64">
        <v>24.63</v>
      </c>
      <c r="I85" s="64">
        <v>2.62</v>
      </c>
      <c r="J85" s="64">
        <v>0.14000000000000001</v>
      </c>
      <c r="K85" s="64">
        <v>340.31</v>
      </c>
      <c r="L85" s="64">
        <v>25.6</v>
      </c>
      <c r="M85" s="64">
        <v>67.010000000000005</v>
      </c>
      <c r="N85" s="64">
        <v>46.9</v>
      </c>
      <c r="O85" s="64">
        <v>0</v>
      </c>
      <c r="P85" s="64">
        <v>0.87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1" t="s">
        <v>709</v>
      </c>
      <c r="B86" s="64">
        <v>7.74</v>
      </c>
      <c r="C86" s="64">
        <v>16.68</v>
      </c>
      <c r="D86" s="64">
        <v>14.46</v>
      </c>
      <c r="E86" s="64">
        <v>5.67</v>
      </c>
      <c r="F86" s="64">
        <v>6.39</v>
      </c>
      <c r="G86" s="64">
        <v>84.49</v>
      </c>
      <c r="H86" s="64">
        <v>25.75</v>
      </c>
      <c r="I86" s="64">
        <v>2.68</v>
      </c>
      <c r="J86" s="64">
        <v>0.05</v>
      </c>
      <c r="K86" s="64">
        <v>292.61</v>
      </c>
      <c r="L86" s="64">
        <v>25.56</v>
      </c>
      <c r="M86" s="64">
        <v>67.89</v>
      </c>
      <c r="N86" s="64">
        <v>47.3</v>
      </c>
      <c r="O86" s="64">
        <v>0</v>
      </c>
      <c r="P86" s="64">
        <v>0.84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1" t="s">
        <v>710</v>
      </c>
      <c r="B87" s="64">
        <v>10.74</v>
      </c>
      <c r="C87" s="64">
        <v>17.61</v>
      </c>
      <c r="D87" s="64">
        <v>17.350000000000001</v>
      </c>
      <c r="E87" s="64">
        <v>6.09</v>
      </c>
      <c r="F87" s="64">
        <v>5.56</v>
      </c>
      <c r="G87" s="64">
        <v>81.7</v>
      </c>
      <c r="H87" s="64">
        <v>27.76</v>
      </c>
      <c r="I87" s="64">
        <v>2.73</v>
      </c>
      <c r="J87" s="64">
        <v>0.15</v>
      </c>
      <c r="K87" s="64">
        <v>334.82</v>
      </c>
      <c r="L87" s="64">
        <v>25.51</v>
      </c>
      <c r="M87" s="64">
        <v>69.180000000000007</v>
      </c>
      <c r="N87" s="64">
        <v>47.5</v>
      </c>
      <c r="O87" s="64">
        <v>0</v>
      </c>
      <c r="P87" s="64">
        <v>0.94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1" t="s">
        <v>711</v>
      </c>
      <c r="B88" s="64">
        <v>8.09</v>
      </c>
      <c r="C88" s="64">
        <v>10.38</v>
      </c>
      <c r="D88" s="64">
        <v>11.45</v>
      </c>
      <c r="E88" s="64">
        <v>5.56</v>
      </c>
      <c r="F88" s="64">
        <v>5.19</v>
      </c>
      <c r="G88" s="64">
        <v>81.7</v>
      </c>
      <c r="H88" s="64">
        <v>27.76</v>
      </c>
      <c r="I88" s="64">
        <v>2.78</v>
      </c>
      <c r="J88" s="64">
        <v>0.28999999999999998</v>
      </c>
      <c r="K88" s="64">
        <v>315.2</v>
      </c>
      <c r="L88" s="64">
        <v>25.36</v>
      </c>
      <c r="M88" s="64">
        <v>70.260000000000005</v>
      </c>
      <c r="N88" s="64">
        <v>47.7</v>
      </c>
      <c r="O88" s="64">
        <v>0</v>
      </c>
      <c r="P88" s="64">
        <v>0.83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1" t="s">
        <v>712</v>
      </c>
      <c r="B89" s="64">
        <v>8.7100000000000009</v>
      </c>
      <c r="C89" s="64">
        <v>14.6</v>
      </c>
      <c r="D89" s="64">
        <v>14.15</v>
      </c>
      <c r="E89" s="64">
        <v>5.54</v>
      </c>
      <c r="F89" s="64">
        <v>4.9000000000000004</v>
      </c>
      <c r="G89" s="64">
        <v>81.7</v>
      </c>
      <c r="H89" s="64">
        <v>27.76</v>
      </c>
      <c r="I89" s="64">
        <v>2.82</v>
      </c>
      <c r="J89" s="64">
        <v>0.34</v>
      </c>
      <c r="K89" s="64">
        <v>318.14999999999998</v>
      </c>
      <c r="L89" s="64">
        <v>25.24</v>
      </c>
      <c r="M89" s="64">
        <v>71.08</v>
      </c>
      <c r="N89" s="64">
        <v>47.5</v>
      </c>
      <c r="O89" s="64">
        <v>0</v>
      </c>
      <c r="P89" s="64">
        <v>0.83</v>
      </c>
      <c r="Q89" s="64">
        <v>9.25</v>
      </c>
      <c r="R89" s="198"/>
      <c r="S89" s="198"/>
      <c r="T89" s="198"/>
      <c r="U89" s="198"/>
    </row>
    <row r="90" spans="1:26" s="12" customFormat="1" x14ac:dyDescent="0.25">
      <c r="A90" s="211" t="s">
        <v>713</v>
      </c>
      <c r="B90" s="64">
        <v>11.69</v>
      </c>
      <c r="C90" s="64">
        <v>11.64</v>
      </c>
      <c r="D90" s="64">
        <v>14.85</v>
      </c>
      <c r="E90" s="64">
        <v>5.75</v>
      </c>
      <c r="F90" s="64">
        <v>5.0999999999999996</v>
      </c>
      <c r="G90" s="64">
        <v>80.12</v>
      </c>
      <c r="H90" s="64">
        <v>27.42</v>
      </c>
      <c r="I90" s="64">
        <v>2.85</v>
      </c>
      <c r="J90" s="64">
        <v>0.37</v>
      </c>
      <c r="K90" s="64">
        <v>318.39</v>
      </c>
      <c r="L90" s="64">
        <v>25.28</v>
      </c>
      <c r="M90" s="64">
        <v>70.959999999999994</v>
      </c>
      <c r="N90" s="64">
        <v>47.7</v>
      </c>
      <c r="O90" s="64">
        <v>0</v>
      </c>
      <c r="P90" s="64">
        <v>0.86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1" t="s">
        <v>714</v>
      </c>
      <c r="B91" s="64">
        <v>11.75</v>
      </c>
      <c r="C91" s="64">
        <v>11.51</v>
      </c>
      <c r="D91" s="64">
        <v>14.97</v>
      </c>
      <c r="E91" s="64">
        <v>5.26</v>
      </c>
      <c r="F91" s="64">
        <v>5.16</v>
      </c>
      <c r="G91" s="64">
        <v>75.78</v>
      </c>
      <c r="H91" s="64">
        <v>26.12</v>
      </c>
      <c r="I91" s="64">
        <v>2.87</v>
      </c>
      <c r="J91" s="64">
        <v>0.39</v>
      </c>
      <c r="K91" s="64">
        <v>308.33</v>
      </c>
      <c r="L91" s="64">
        <v>25.06</v>
      </c>
      <c r="M91" s="64">
        <v>72.540000000000006</v>
      </c>
      <c r="N91" s="64">
        <v>47.9</v>
      </c>
      <c r="O91" s="64">
        <v>0</v>
      </c>
      <c r="P91" s="64">
        <v>0.88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1" t="s">
        <v>715</v>
      </c>
      <c r="B92" s="64">
        <v>10.24</v>
      </c>
      <c r="C92" s="64">
        <v>9.36</v>
      </c>
      <c r="D92" s="64">
        <v>12.64</v>
      </c>
      <c r="E92" s="64">
        <v>5.56</v>
      </c>
      <c r="F92" s="64">
        <v>4.7300000000000004</v>
      </c>
      <c r="G92" s="64">
        <v>75.78</v>
      </c>
      <c r="H92" s="64">
        <v>26.12</v>
      </c>
      <c r="I92" s="64">
        <v>2.88</v>
      </c>
      <c r="J92" s="64">
        <v>0.48</v>
      </c>
      <c r="K92" s="64">
        <v>312.97000000000003</v>
      </c>
      <c r="L92" s="64">
        <v>24.74</v>
      </c>
      <c r="M92" s="64">
        <v>73.61</v>
      </c>
      <c r="N92" s="64">
        <v>47.7</v>
      </c>
      <c r="O92" s="64">
        <v>0</v>
      </c>
      <c r="P92" s="64">
        <v>0.89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11" t="s">
        <v>716</v>
      </c>
      <c r="B93" s="64">
        <v>11.05</v>
      </c>
      <c r="C93" s="64">
        <v>9.3800000000000008</v>
      </c>
      <c r="D93" s="64">
        <v>13.3</v>
      </c>
      <c r="E93" s="64">
        <v>5.59</v>
      </c>
      <c r="F93" s="64">
        <v>4.7</v>
      </c>
      <c r="G93" s="64">
        <v>75.78</v>
      </c>
      <c r="H93" s="64">
        <v>26.12</v>
      </c>
      <c r="I93" s="64">
        <v>2.88</v>
      </c>
      <c r="J93" s="64">
        <v>0.57999999999999996</v>
      </c>
      <c r="K93" s="64">
        <v>322.20999999999998</v>
      </c>
      <c r="L93" s="64">
        <v>24.41</v>
      </c>
      <c r="M93" s="64">
        <v>75.03</v>
      </c>
      <c r="N93" s="64">
        <v>47.6</v>
      </c>
      <c r="O93" s="64">
        <v>0</v>
      </c>
      <c r="P93" s="64">
        <v>0.88</v>
      </c>
      <c r="Q93" s="64">
        <v>9.2899999999999991</v>
      </c>
      <c r="R93" s="198"/>
      <c r="S93" s="198"/>
      <c r="T93" s="198"/>
      <c r="U93" s="198"/>
    </row>
    <row r="94" spans="1:26" s="12" customFormat="1" x14ac:dyDescent="0.25">
      <c r="A94" s="211" t="s">
        <v>717</v>
      </c>
      <c r="B94" s="64">
        <v>9.2899999999999991</v>
      </c>
      <c r="C94" s="64">
        <v>13.83</v>
      </c>
      <c r="D94" s="64">
        <v>14.21</v>
      </c>
      <c r="E94" s="64">
        <v>5.34</v>
      </c>
      <c r="F94" s="64">
        <v>5.8</v>
      </c>
      <c r="G94" s="64">
        <v>72.400000000000006</v>
      </c>
      <c r="H94" s="64">
        <v>24.36</v>
      </c>
      <c r="I94" s="64">
        <v>2.88</v>
      </c>
      <c r="J94" s="64">
        <v>0.51</v>
      </c>
      <c r="K94" s="64">
        <v>327.61</v>
      </c>
      <c r="L94" s="64">
        <v>24.13</v>
      </c>
      <c r="M94" s="64">
        <v>76.680000000000007</v>
      </c>
      <c r="N94" s="64">
        <v>47.6</v>
      </c>
      <c r="O94" s="64">
        <v>0</v>
      </c>
      <c r="P94" s="64">
        <v>0.89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11" t="s">
        <v>718</v>
      </c>
      <c r="B95" s="64">
        <v>9.77</v>
      </c>
      <c r="C95" s="64">
        <v>9.8000000000000007</v>
      </c>
      <c r="D95" s="64">
        <v>12.5</v>
      </c>
      <c r="E95" s="64">
        <v>5.38</v>
      </c>
      <c r="F95" s="64">
        <v>4.9000000000000004</v>
      </c>
      <c r="G95" s="64">
        <v>63.11</v>
      </c>
      <c r="H95" s="64">
        <v>21.2</v>
      </c>
      <c r="I95" s="64">
        <v>3.05</v>
      </c>
      <c r="J95" s="64">
        <v>0.63</v>
      </c>
      <c r="K95" s="64">
        <v>326.72000000000003</v>
      </c>
      <c r="L95" s="64">
        <v>24.02</v>
      </c>
      <c r="M95" s="64">
        <v>77.489999999999995</v>
      </c>
      <c r="N95" s="64">
        <v>47.5</v>
      </c>
      <c r="O95" s="64">
        <v>0</v>
      </c>
      <c r="P95" s="64">
        <v>0.89</v>
      </c>
      <c r="Q95" s="64">
        <v>9.31</v>
      </c>
      <c r="R95" s="198"/>
      <c r="S95" s="198"/>
      <c r="T95" s="198"/>
      <c r="U95" s="198"/>
    </row>
    <row r="96" spans="1:26" s="12" customFormat="1" x14ac:dyDescent="0.25">
      <c r="A96" s="211" t="s">
        <v>719</v>
      </c>
      <c r="B96" s="64">
        <v>12.6</v>
      </c>
      <c r="C96" s="64">
        <v>8.32</v>
      </c>
      <c r="D96" s="64">
        <v>13.98</v>
      </c>
      <c r="E96" s="64">
        <v>5.53</v>
      </c>
      <c r="F96" s="64">
        <v>5.14</v>
      </c>
      <c r="G96" s="64">
        <v>63.11</v>
      </c>
      <c r="H96" s="64">
        <v>21.2</v>
      </c>
      <c r="I96" s="64">
        <v>3</v>
      </c>
      <c r="J96" s="64">
        <v>0.61</v>
      </c>
      <c r="K96" s="64">
        <v>323.98</v>
      </c>
      <c r="L96" s="64">
        <v>23.82</v>
      </c>
      <c r="M96" s="64">
        <v>79.900000000000006</v>
      </c>
      <c r="N96" s="64">
        <v>47.7</v>
      </c>
      <c r="O96" s="64">
        <v>0</v>
      </c>
      <c r="P96" s="64">
        <v>0.87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720</v>
      </c>
      <c r="B97" s="64">
        <v>11.89</v>
      </c>
      <c r="C97" s="64">
        <v>6.86</v>
      </c>
      <c r="D97" s="64">
        <v>12.66</v>
      </c>
      <c r="E97" s="64">
        <v>5.52</v>
      </c>
      <c r="F97" s="64">
        <v>4.07</v>
      </c>
      <c r="G97" s="64">
        <v>63.11</v>
      </c>
      <c r="H97" s="64">
        <v>21.2</v>
      </c>
      <c r="I97" s="64">
        <v>2.85</v>
      </c>
      <c r="J97" s="64">
        <v>0.3</v>
      </c>
      <c r="K97" s="64">
        <v>310.91000000000003</v>
      </c>
      <c r="L97" s="64">
        <v>23.54</v>
      </c>
      <c r="M97" s="64">
        <v>82.53</v>
      </c>
      <c r="N97" s="64">
        <v>47.9</v>
      </c>
      <c r="O97" s="64">
        <v>0</v>
      </c>
      <c r="P97" s="64">
        <v>0.84</v>
      </c>
      <c r="Q97" s="64">
        <v>9.3000000000000007</v>
      </c>
      <c r="R97" s="198"/>
      <c r="S97" s="198"/>
      <c r="T97" s="198"/>
      <c r="U97" s="198"/>
    </row>
    <row r="98" spans="1:33" s="12" customFormat="1" x14ac:dyDescent="0.25">
      <c r="A98" s="211" t="s">
        <v>721</v>
      </c>
      <c r="B98" s="64">
        <v>10.94</v>
      </c>
      <c r="C98" s="64">
        <v>6.96</v>
      </c>
      <c r="D98" s="64">
        <v>11.95</v>
      </c>
      <c r="E98" s="64">
        <v>5.31</v>
      </c>
      <c r="F98" s="64">
        <v>3.98</v>
      </c>
      <c r="G98" s="64">
        <v>61.94</v>
      </c>
      <c r="H98" s="64">
        <v>20.239999999999998</v>
      </c>
      <c r="I98" s="64">
        <v>2.81</v>
      </c>
      <c r="J98" s="64">
        <v>0.56999999999999995</v>
      </c>
      <c r="K98" s="64">
        <v>320.51</v>
      </c>
      <c r="L98" s="64">
        <v>23.41</v>
      </c>
      <c r="M98" s="64">
        <v>83.83</v>
      </c>
      <c r="N98" s="64">
        <v>47.9</v>
      </c>
      <c r="O98" s="64">
        <v>0</v>
      </c>
      <c r="P98" s="64">
        <v>0.8</v>
      </c>
      <c r="Q98" s="64">
        <v>9.3000000000000007</v>
      </c>
      <c r="R98" s="198"/>
      <c r="S98" s="198"/>
      <c r="T98" s="198"/>
      <c r="U98" s="198"/>
    </row>
    <row r="99" spans="1:33" s="12" customFormat="1" x14ac:dyDescent="0.25">
      <c r="A99" s="211" t="s">
        <v>722</v>
      </c>
      <c r="B99" s="64">
        <v>11.57</v>
      </c>
      <c r="C99" s="64">
        <v>7.53</v>
      </c>
      <c r="D99" s="64">
        <v>12.75</v>
      </c>
      <c r="E99" s="64">
        <v>5.16</v>
      </c>
      <c r="F99" s="64">
        <v>3.15</v>
      </c>
      <c r="G99" s="64">
        <v>58.72</v>
      </c>
      <c r="H99" s="64">
        <v>18.52</v>
      </c>
      <c r="I99" s="64">
        <v>2.8</v>
      </c>
      <c r="J99" s="64">
        <v>0.46</v>
      </c>
      <c r="K99" s="64">
        <v>323.18</v>
      </c>
      <c r="L99" s="64">
        <v>23.19</v>
      </c>
      <c r="M99" s="64">
        <v>85.32</v>
      </c>
      <c r="N99" s="64">
        <v>47.8</v>
      </c>
      <c r="O99" s="64">
        <v>0</v>
      </c>
      <c r="P99" s="64">
        <v>0.77</v>
      </c>
      <c r="Q99" s="64">
        <v>9.2799999999999994</v>
      </c>
      <c r="R99" s="198"/>
      <c r="S99" s="198"/>
      <c r="T99" s="198"/>
      <c r="U99" s="198"/>
    </row>
    <row r="100" spans="1:33" s="12" customFormat="1" x14ac:dyDescent="0.25">
      <c r="A100" s="211" t="s">
        <v>723</v>
      </c>
      <c r="B100" s="64">
        <v>11.45</v>
      </c>
      <c r="C100" s="64">
        <v>6.32</v>
      </c>
      <c r="D100" s="64">
        <v>12.02</v>
      </c>
      <c r="E100" s="64">
        <v>5.03</v>
      </c>
      <c r="F100" s="64">
        <v>3.55</v>
      </c>
      <c r="G100" s="64">
        <v>58.72</v>
      </c>
      <c r="H100" s="64">
        <v>18.52</v>
      </c>
      <c r="I100" s="64">
        <v>2.78</v>
      </c>
      <c r="J100" s="64">
        <v>0.84</v>
      </c>
      <c r="K100" s="64">
        <v>327.11</v>
      </c>
      <c r="L100" s="64">
        <v>23.14</v>
      </c>
      <c r="M100" s="64">
        <v>86.33</v>
      </c>
      <c r="N100" s="64">
        <v>47.6</v>
      </c>
      <c r="O100" s="64">
        <v>0</v>
      </c>
      <c r="P100" s="64">
        <v>0.76</v>
      </c>
      <c r="Q100" s="64">
        <v>9.2799999999999994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724</v>
      </c>
      <c r="B101" s="64">
        <v>13.17</v>
      </c>
      <c r="C101" s="64">
        <v>6.86</v>
      </c>
      <c r="D101" s="64">
        <v>13.69</v>
      </c>
      <c r="E101" s="64">
        <v>5.24</v>
      </c>
      <c r="F101" s="64">
        <v>4.07</v>
      </c>
      <c r="G101" s="64">
        <v>58.72</v>
      </c>
      <c r="H101" s="64">
        <v>18.52</v>
      </c>
      <c r="I101" s="64">
        <v>2.74</v>
      </c>
      <c r="J101" s="64">
        <v>0.42</v>
      </c>
      <c r="K101" s="64">
        <v>340.07</v>
      </c>
      <c r="L101" s="64">
        <v>22.96</v>
      </c>
      <c r="M101" s="64">
        <v>88.52</v>
      </c>
      <c r="N101" s="64">
        <v>48</v>
      </c>
      <c r="O101" s="64">
        <v>0</v>
      </c>
      <c r="P101" s="64">
        <v>0.66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1" t="s">
        <v>725</v>
      </c>
      <c r="B102" s="64">
        <v>11.46</v>
      </c>
      <c r="C102" s="64">
        <v>6.84</v>
      </c>
      <c r="D102" s="64">
        <v>12.3</v>
      </c>
      <c r="E102" s="64">
        <v>5.12</v>
      </c>
      <c r="F102" s="64">
        <v>4.46</v>
      </c>
      <c r="G102" s="64">
        <v>58.35</v>
      </c>
      <c r="H102" s="64">
        <v>20.58</v>
      </c>
      <c r="I102" s="64">
        <v>2.7</v>
      </c>
      <c r="J102" s="64">
        <v>0.57999999999999996</v>
      </c>
      <c r="K102" s="64">
        <v>331.17</v>
      </c>
      <c r="L102" s="64">
        <v>22.73</v>
      </c>
      <c r="M102" s="64">
        <v>90.42</v>
      </c>
      <c r="N102" s="64">
        <v>47.9</v>
      </c>
      <c r="O102" s="64">
        <v>0</v>
      </c>
      <c r="P102" s="64">
        <v>0.68</v>
      </c>
      <c r="Q102" s="64">
        <v>9.2799999999999994</v>
      </c>
      <c r="R102" s="198"/>
      <c r="S102" s="198"/>
      <c r="T102" s="198"/>
      <c r="U102" s="198"/>
    </row>
    <row r="103" spans="1:33" s="12" customFormat="1" x14ac:dyDescent="0.25">
      <c r="A103" s="211" t="s">
        <v>726</v>
      </c>
      <c r="B103" s="64">
        <v>12.07</v>
      </c>
      <c r="C103" s="64">
        <v>8.17</v>
      </c>
      <c r="D103" s="64">
        <v>13.49</v>
      </c>
      <c r="E103" s="64">
        <v>5.44</v>
      </c>
      <c r="F103" s="64">
        <v>4.33</v>
      </c>
      <c r="G103" s="64">
        <v>57.35</v>
      </c>
      <c r="H103" s="64">
        <v>24.26</v>
      </c>
      <c r="I103" s="64">
        <v>2.66</v>
      </c>
      <c r="J103" s="64">
        <v>0.46</v>
      </c>
      <c r="K103" s="64">
        <v>347.85</v>
      </c>
      <c r="L103" s="64">
        <v>22.48</v>
      </c>
      <c r="M103" s="64">
        <v>93.26</v>
      </c>
      <c r="N103" s="64">
        <v>48.1</v>
      </c>
      <c r="O103" s="64">
        <v>0</v>
      </c>
      <c r="P103" s="64">
        <v>0.7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1" t="s">
        <v>727</v>
      </c>
      <c r="B104" s="64">
        <v>9.06</v>
      </c>
      <c r="C104" s="64">
        <v>8.5299999999999994</v>
      </c>
      <c r="D104" s="64">
        <v>11.26</v>
      </c>
      <c r="E104" s="64">
        <v>3.52</v>
      </c>
      <c r="F104" s="64">
        <v>4.7699999999999996</v>
      </c>
      <c r="G104" s="64">
        <v>57.35</v>
      </c>
      <c r="H104" s="64">
        <v>24.26</v>
      </c>
      <c r="I104" s="64">
        <v>2.64</v>
      </c>
      <c r="J104" s="64">
        <v>0.38</v>
      </c>
      <c r="K104" s="64">
        <v>329.04</v>
      </c>
      <c r="L104" s="64">
        <v>22.3</v>
      </c>
      <c r="M104" s="64">
        <v>94.25</v>
      </c>
      <c r="N104" s="64">
        <v>47.8</v>
      </c>
      <c r="O104" s="64">
        <v>0</v>
      </c>
      <c r="P104" s="64">
        <v>0.65</v>
      </c>
      <c r="Q104" s="64">
        <v>9.27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0.64</v>
      </c>
      <c r="C106" s="67">
        <f>MIN(C9:C104)</f>
        <v>0.36</v>
      </c>
      <c r="D106" s="67">
        <f t="shared" ref="D106:Q106" si="0">MIN(D9:D104)</f>
        <v>0.14000000000000001</v>
      </c>
      <c r="E106" s="67">
        <f t="shared" si="0"/>
        <v>3.52</v>
      </c>
      <c r="F106" s="67">
        <f t="shared" si="0"/>
        <v>2.6</v>
      </c>
      <c r="G106" s="67">
        <f t="shared" si="0"/>
        <v>18.239999999999998</v>
      </c>
      <c r="H106" s="67">
        <f t="shared" si="0"/>
        <v>7.49</v>
      </c>
      <c r="I106" s="67">
        <f t="shared" si="0"/>
        <v>1.46</v>
      </c>
      <c r="J106" s="67">
        <f t="shared" si="0"/>
        <v>0.02</v>
      </c>
      <c r="K106" s="67">
        <f t="shared" si="0"/>
        <v>0.45</v>
      </c>
      <c r="L106" s="67">
        <f t="shared" si="0"/>
        <v>18.43</v>
      </c>
      <c r="M106" s="67">
        <f t="shared" si="0"/>
        <v>32.68</v>
      </c>
      <c r="N106" s="67">
        <f t="shared" si="0"/>
        <v>41.3</v>
      </c>
      <c r="O106" s="67">
        <f t="shared" si="0"/>
        <v>0</v>
      </c>
      <c r="P106" s="67">
        <f t="shared" si="0"/>
        <v>0.32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95.29</v>
      </c>
      <c r="C107" s="66">
        <f t="shared" ref="C107:Q107" si="1">MAX(C9:C104)</f>
        <v>39.19</v>
      </c>
      <c r="D107" s="66">
        <f t="shared" si="1"/>
        <v>62.71</v>
      </c>
      <c r="E107" s="66">
        <f t="shared" si="1"/>
        <v>6.85</v>
      </c>
      <c r="F107" s="66">
        <f t="shared" si="1"/>
        <v>18.059999999999999</v>
      </c>
      <c r="G107" s="66">
        <f t="shared" si="1"/>
        <v>141.38</v>
      </c>
      <c r="H107" s="66">
        <f t="shared" si="1"/>
        <v>27.76</v>
      </c>
      <c r="I107" s="66">
        <f t="shared" si="1"/>
        <v>5.78</v>
      </c>
      <c r="J107" s="66">
        <f t="shared" si="1"/>
        <v>1.1000000000000001</v>
      </c>
      <c r="K107" s="66">
        <f t="shared" si="1"/>
        <v>357.84</v>
      </c>
      <c r="L107" s="66">
        <f t="shared" si="1"/>
        <v>33.049999999999997</v>
      </c>
      <c r="M107" s="66">
        <f t="shared" si="1"/>
        <v>99.26</v>
      </c>
      <c r="N107" s="66">
        <f t="shared" si="1"/>
        <v>762.8</v>
      </c>
      <c r="O107" s="66">
        <f t="shared" si="1"/>
        <v>0</v>
      </c>
      <c r="P107" s="66">
        <f t="shared" si="1"/>
        <v>1.88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40.666582278481009</v>
      </c>
      <c r="C108" s="67">
        <f t="shared" ref="C108:Q108" si="2">AVERAGE(C9:C104)</f>
        <v>12.123207547169812</v>
      </c>
      <c r="D108" s="67">
        <f t="shared" si="2"/>
        <v>32.693797468354425</v>
      </c>
      <c r="E108" s="67">
        <f t="shared" si="2"/>
        <v>5.2041666666666666</v>
      </c>
      <c r="F108" s="67">
        <f t="shared" si="2"/>
        <v>6.0760416666666686</v>
      </c>
      <c r="G108" s="67">
        <f t="shared" si="2"/>
        <v>76.000000000000028</v>
      </c>
      <c r="H108" s="67">
        <f t="shared" si="2"/>
        <v>18.978695652173919</v>
      </c>
      <c r="I108" s="67">
        <f t="shared" si="2"/>
        <v>3.8339583333333329</v>
      </c>
      <c r="J108" s="67">
        <f t="shared" si="2"/>
        <v>0.30229166666666668</v>
      </c>
      <c r="K108" s="67">
        <f t="shared" si="2"/>
        <v>288.45739583333341</v>
      </c>
      <c r="L108" s="67">
        <f t="shared" si="2"/>
        <v>25.140416666666667</v>
      </c>
      <c r="M108" s="67">
        <f t="shared" si="2"/>
        <v>68.930833333333311</v>
      </c>
      <c r="N108" s="67">
        <f t="shared" si="2"/>
        <v>200.52604166666677</v>
      </c>
      <c r="O108" s="67">
        <f t="shared" si="2"/>
        <v>0</v>
      </c>
      <c r="P108" s="67">
        <f t="shared" si="2"/>
        <v>0.98072916666666676</v>
      </c>
      <c r="Q108" s="67">
        <f t="shared" si="2"/>
        <v>9.4896874999999969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29.926339521294356</v>
      </c>
      <c r="C109" s="67">
        <f t="shared" ref="C109:Q109" si="3">STDEV(C9:C104)</f>
        <v>11.993704562359902</v>
      </c>
      <c r="D109" s="67">
        <f t="shared" si="3"/>
        <v>16.099471667059625</v>
      </c>
      <c r="E109" s="67">
        <f t="shared" si="3"/>
        <v>0.73974058990356795</v>
      </c>
      <c r="F109" s="67">
        <f t="shared" si="3"/>
        <v>3.6061390577054522</v>
      </c>
      <c r="G109" s="67">
        <f t="shared" si="3"/>
        <v>22.236431398016222</v>
      </c>
      <c r="H109" s="67">
        <f t="shared" si="3"/>
        <v>3.9582486462973501</v>
      </c>
      <c r="I109" s="67">
        <f t="shared" si="3"/>
        <v>1.2317420091857629</v>
      </c>
      <c r="J109" s="67">
        <f t="shared" si="3"/>
        <v>0.25184991005156704</v>
      </c>
      <c r="K109" s="67">
        <f t="shared" si="3"/>
        <v>71.639123025646398</v>
      </c>
      <c r="L109" s="67">
        <f t="shared" si="3"/>
        <v>4.5531573583420588</v>
      </c>
      <c r="M109" s="67">
        <f t="shared" si="3"/>
        <v>24.119082493968957</v>
      </c>
      <c r="N109" s="67">
        <f t="shared" si="3"/>
        <v>252.53156269424647</v>
      </c>
      <c r="O109" s="67">
        <f t="shared" si="3"/>
        <v>0</v>
      </c>
      <c r="P109" s="67">
        <f t="shared" si="3"/>
        <v>0.33371669293032225</v>
      </c>
      <c r="Q109" s="67">
        <f t="shared" si="3"/>
        <v>0.2504036872311336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COUNT(B9:B104)+17</f>
        <v>96</v>
      </c>
      <c r="C110" s="66">
        <f>COUNT(C9:C104)+43</f>
        <v>96</v>
      </c>
      <c r="D110" s="66">
        <f>COUNT(D9:D104)+17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4" sqref="G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728</v>
      </c>
      <c r="B9" s="64">
        <v>10.09</v>
      </c>
      <c r="C9" s="64">
        <v>6.97</v>
      </c>
      <c r="D9" s="64">
        <v>11.27</v>
      </c>
      <c r="E9" s="64">
        <v>5.01</v>
      </c>
      <c r="F9" s="64">
        <v>3.78</v>
      </c>
      <c r="G9" s="64">
        <v>57.35</v>
      </c>
      <c r="H9" s="64">
        <v>24.26</v>
      </c>
      <c r="I9" s="64">
        <v>2.63</v>
      </c>
      <c r="J9" s="64">
        <v>0.18</v>
      </c>
      <c r="K9" s="64">
        <v>313.76</v>
      </c>
      <c r="L9" s="64">
        <v>22.26</v>
      </c>
      <c r="M9" s="64">
        <v>93.59</v>
      </c>
      <c r="N9" s="64">
        <v>47.9</v>
      </c>
      <c r="O9" s="64">
        <v>0</v>
      </c>
      <c r="P9" s="64">
        <v>0.65</v>
      </c>
      <c r="Q9" s="64">
        <v>9.2799999999999994</v>
      </c>
      <c r="R9" s="198"/>
      <c r="S9" s="198"/>
      <c r="T9" s="198"/>
      <c r="U9" s="198"/>
    </row>
    <row r="10" spans="1:21" s="12" customFormat="1" x14ac:dyDescent="0.25">
      <c r="A10" s="211" t="s">
        <v>729</v>
      </c>
      <c r="B10" s="64">
        <v>10.41</v>
      </c>
      <c r="C10" s="64">
        <v>5.93</v>
      </c>
      <c r="D10" s="64">
        <v>10.98</v>
      </c>
      <c r="E10" s="64">
        <v>4.8099999999999996</v>
      </c>
      <c r="F10" s="64">
        <v>3.75</v>
      </c>
      <c r="G10" s="64">
        <v>56.6</v>
      </c>
      <c r="H10" s="64">
        <v>23.59</v>
      </c>
      <c r="I10" s="64">
        <v>2.77</v>
      </c>
      <c r="J10" s="64">
        <v>0.33</v>
      </c>
      <c r="K10" s="64">
        <v>312.52999999999997</v>
      </c>
      <c r="L10" s="64">
        <v>22.3</v>
      </c>
      <c r="M10" s="64">
        <v>93.17</v>
      </c>
      <c r="N10" s="64">
        <v>47.9</v>
      </c>
      <c r="O10" s="64">
        <v>0</v>
      </c>
      <c r="P10" s="64">
        <v>0.65</v>
      </c>
      <c r="Q10" s="64">
        <v>9.2799999999999994</v>
      </c>
      <c r="R10" s="198"/>
      <c r="S10" s="198"/>
      <c r="T10" s="198"/>
      <c r="U10" s="198"/>
    </row>
    <row r="11" spans="1:21" s="12" customFormat="1" x14ac:dyDescent="0.25">
      <c r="A11" s="211" t="s">
        <v>730</v>
      </c>
      <c r="B11" s="64">
        <v>8.69</v>
      </c>
      <c r="C11" s="64">
        <v>7.92</v>
      </c>
      <c r="D11" s="64">
        <v>10.65</v>
      </c>
      <c r="E11" s="64">
        <v>4.5199999999999996</v>
      </c>
      <c r="F11" s="64">
        <v>4.46</v>
      </c>
      <c r="G11" s="64">
        <v>54.55</v>
      </c>
      <c r="H11" s="64">
        <v>20.99</v>
      </c>
      <c r="I11" s="64">
        <v>2.68</v>
      </c>
      <c r="J11" s="64">
        <v>0.2</v>
      </c>
      <c r="K11" s="64">
        <v>317.64999999999998</v>
      </c>
      <c r="L11" s="64">
        <v>22.14</v>
      </c>
      <c r="M11" s="64">
        <v>94.52</v>
      </c>
      <c r="N11" s="64">
        <v>47.9</v>
      </c>
      <c r="O11" s="64">
        <v>0</v>
      </c>
      <c r="P11" s="64">
        <v>0.61</v>
      </c>
      <c r="Q11" s="64">
        <v>9.2899999999999991</v>
      </c>
      <c r="R11" s="198"/>
      <c r="S11" s="198"/>
      <c r="T11" s="198"/>
      <c r="U11" s="198"/>
    </row>
    <row r="12" spans="1:21" s="12" customFormat="1" x14ac:dyDescent="0.25">
      <c r="A12" s="211" t="s">
        <v>731</v>
      </c>
      <c r="B12" s="64">
        <v>7.8</v>
      </c>
      <c r="C12" s="64">
        <v>7.94</v>
      </c>
      <c r="D12" s="64">
        <v>9.94</v>
      </c>
      <c r="E12" s="64">
        <v>4.87</v>
      </c>
      <c r="F12" s="64">
        <v>4.2300000000000004</v>
      </c>
      <c r="G12" s="64">
        <v>54.55</v>
      </c>
      <c r="H12" s="64">
        <v>20.99</v>
      </c>
      <c r="I12" s="64">
        <v>2.52</v>
      </c>
      <c r="J12" s="64">
        <v>0.33</v>
      </c>
      <c r="K12" s="64">
        <v>182.8</v>
      </c>
      <c r="L12" s="64">
        <v>21.73</v>
      </c>
      <c r="M12" s="64">
        <v>98.29</v>
      </c>
      <c r="N12" s="64">
        <v>48.3</v>
      </c>
      <c r="O12" s="64">
        <v>0</v>
      </c>
      <c r="P12" s="64">
        <v>0.57999999999999996</v>
      </c>
      <c r="Q12" s="64">
        <v>9.2899999999999991</v>
      </c>
      <c r="R12" s="198"/>
      <c r="S12" s="198"/>
      <c r="T12" s="198"/>
      <c r="U12" s="198"/>
    </row>
    <row r="13" spans="1:21" s="12" customFormat="1" x14ac:dyDescent="0.25">
      <c r="A13" s="211" t="s">
        <v>732</v>
      </c>
      <c r="B13" s="64">
        <v>8.51</v>
      </c>
      <c r="C13" s="64">
        <v>6.42</v>
      </c>
      <c r="D13" s="64">
        <v>9.7200000000000006</v>
      </c>
      <c r="E13" s="64">
        <v>5.0999999999999996</v>
      </c>
      <c r="F13" s="64">
        <v>4.38</v>
      </c>
      <c r="G13" s="64">
        <v>54.55</v>
      </c>
      <c r="H13" s="64">
        <v>20.99</v>
      </c>
      <c r="I13" s="64">
        <v>2.4700000000000002</v>
      </c>
      <c r="J13" s="64">
        <v>0.11</v>
      </c>
      <c r="K13" s="64">
        <v>198.83</v>
      </c>
      <c r="L13" s="64">
        <v>21.16</v>
      </c>
      <c r="M13" s="64">
        <v>99.42</v>
      </c>
      <c r="N13" s="64">
        <v>48.3</v>
      </c>
      <c r="O13" s="64">
        <v>0</v>
      </c>
      <c r="P13" s="64">
        <v>0.6</v>
      </c>
      <c r="Q13" s="64">
        <v>9.2799999999999994</v>
      </c>
      <c r="R13" s="198"/>
      <c r="S13" s="198"/>
      <c r="T13" s="198"/>
      <c r="U13" s="198"/>
    </row>
    <row r="14" spans="1:21" s="12" customFormat="1" x14ac:dyDescent="0.25">
      <c r="A14" s="211" t="s">
        <v>733</v>
      </c>
      <c r="B14" s="64">
        <v>7.29</v>
      </c>
      <c r="C14" s="64">
        <v>7.38</v>
      </c>
      <c r="D14" s="64">
        <v>9.24</v>
      </c>
      <c r="E14" s="64">
        <v>5.01</v>
      </c>
      <c r="F14" s="64">
        <v>4.1100000000000003</v>
      </c>
      <c r="G14" s="64">
        <v>51.36</v>
      </c>
      <c r="H14" s="64">
        <v>19.02</v>
      </c>
      <c r="I14" s="64">
        <v>2.44</v>
      </c>
      <c r="J14" s="64">
        <v>0.13</v>
      </c>
      <c r="K14" s="64">
        <v>187.05</v>
      </c>
      <c r="L14" s="64">
        <v>20.86</v>
      </c>
      <c r="M14" s="64">
        <v>97.75</v>
      </c>
      <c r="N14" s="64">
        <v>48.1</v>
      </c>
      <c r="O14" s="64">
        <v>0</v>
      </c>
      <c r="P14" s="64">
        <v>0.59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11" t="s">
        <v>734</v>
      </c>
      <c r="B15" s="64">
        <v>8.01</v>
      </c>
      <c r="C15" s="64">
        <v>6.77</v>
      </c>
      <c r="D15" s="64">
        <v>9.5</v>
      </c>
      <c r="E15" s="64">
        <v>5.0199999999999996</v>
      </c>
      <c r="F15" s="64">
        <v>3.54</v>
      </c>
      <c r="G15" s="64">
        <v>42.61</v>
      </c>
      <c r="H15" s="64">
        <v>15.49</v>
      </c>
      <c r="I15" s="64">
        <v>2.41</v>
      </c>
      <c r="J15" s="64">
        <v>0.1</v>
      </c>
      <c r="K15" s="64">
        <v>206.8</v>
      </c>
      <c r="L15" s="64">
        <v>20.82</v>
      </c>
      <c r="M15" s="64">
        <v>97.48</v>
      </c>
      <c r="N15" s="64">
        <v>47.9</v>
      </c>
      <c r="O15" s="64">
        <v>0</v>
      </c>
      <c r="P15" s="64">
        <v>0.62</v>
      </c>
      <c r="Q15" s="64">
        <v>9.26</v>
      </c>
      <c r="R15" s="198"/>
      <c r="S15" s="198"/>
      <c r="T15" s="198"/>
      <c r="U15" s="198"/>
    </row>
    <row r="16" spans="1:21" s="12" customFormat="1" x14ac:dyDescent="0.25">
      <c r="A16" s="211" t="s">
        <v>735</v>
      </c>
      <c r="B16" s="64">
        <v>7.86</v>
      </c>
      <c r="C16" s="64">
        <v>6.87</v>
      </c>
      <c r="D16" s="64">
        <v>9.43</v>
      </c>
      <c r="E16" s="64">
        <v>5.0199999999999996</v>
      </c>
      <c r="F16" s="64">
        <v>3.93</v>
      </c>
      <c r="G16" s="64">
        <v>42.61</v>
      </c>
      <c r="H16" s="64">
        <v>15.49</v>
      </c>
      <c r="I16" s="64">
        <v>2.39</v>
      </c>
      <c r="J16" s="64">
        <v>0.1</v>
      </c>
      <c r="K16" s="64">
        <v>232.68</v>
      </c>
      <c r="L16" s="64">
        <v>20.61</v>
      </c>
      <c r="M16" s="64">
        <v>97.61</v>
      </c>
      <c r="N16" s="64">
        <v>48</v>
      </c>
      <c r="O16" s="64">
        <v>0</v>
      </c>
      <c r="P16" s="64">
        <v>0.62</v>
      </c>
      <c r="Q16" s="64">
        <v>9.26</v>
      </c>
      <c r="R16" s="198"/>
      <c r="S16" s="198"/>
      <c r="T16" s="198"/>
      <c r="U16" s="198"/>
    </row>
    <row r="17" spans="1:21" s="12" customFormat="1" x14ac:dyDescent="0.25">
      <c r="A17" s="211" t="s">
        <v>736</v>
      </c>
      <c r="B17" s="64">
        <v>7.37</v>
      </c>
      <c r="C17" s="64">
        <v>6.65</v>
      </c>
      <c r="D17" s="64">
        <v>8.92</v>
      </c>
      <c r="E17" s="64">
        <v>5.14</v>
      </c>
      <c r="F17" s="64">
        <v>4.04</v>
      </c>
      <c r="G17" s="64">
        <v>42.61</v>
      </c>
      <c r="H17" s="64">
        <v>15.49</v>
      </c>
      <c r="I17" s="64">
        <v>2.38</v>
      </c>
      <c r="J17" s="64">
        <v>0.06</v>
      </c>
      <c r="K17" s="64">
        <v>243.14</v>
      </c>
      <c r="L17" s="64">
        <v>20.41</v>
      </c>
      <c r="M17" s="64">
        <v>97.69</v>
      </c>
      <c r="N17" s="64">
        <v>48.1</v>
      </c>
      <c r="O17" s="64">
        <v>0</v>
      </c>
      <c r="P17" s="64">
        <v>0.57999999999999996</v>
      </c>
      <c r="Q17" s="64">
        <v>9.27</v>
      </c>
      <c r="R17" s="198"/>
      <c r="S17" s="198"/>
      <c r="T17" s="198"/>
      <c r="U17" s="198"/>
    </row>
    <row r="18" spans="1:21" s="12" customFormat="1" x14ac:dyDescent="0.25">
      <c r="A18" s="211" t="s">
        <v>737</v>
      </c>
      <c r="B18" s="64">
        <v>8.77</v>
      </c>
      <c r="C18" s="64">
        <v>5.26</v>
      </c>
      <c r="D18" s="64">
        <v>9.33</v>
      </c>
      <c r="E18" s="64">
        <v>4.9000000000000004</v>
      </c>
      <c r="F18" s="64">
        <v>3.87</v>
      </c>
      <c r="G18" s="64">
        <v>42.6</v>
      </c>
      <c r="H18" s="64">
        <v>16.420000000000002</v>
      </c>
      <c r="I18" s="64">
        <v>2.38</v>
      </c>
      <c r="J18" s="64">
        <v>0.11</v>
      </c>
      <c r="K18" s="64">
        <v>198.27</v>
      </c>
      <c r="L18" s="64">
        <v>20.43</v>
      </c>
      <c r="M18" s="64">
        <v>97.74</v>
      </c>
      <c r="N18" s="64">
        <v>47.9</v>
      </c>
      <c r="O18" s="64">
        <v>0</v>
      </c>
      <c r="P18" s="64">
        <v>0.66</v>
      </c>
      <c r="Q18" s="64">
        <v>9.26</v>
      </c>
      <c r="R18" s="198"/>
      <c r="S18" s="198"/>
      <c r="T18" s="198"/>
      <c r="U18" s="198"/>
    </row>
    <row r="19" spans="1:21" s="12" customFormat="1" x14ac:dyDescent="0.25">
      <c r="A19" s="211" t="s">
        <v>738</v>
      </c>
      <c r="B19" s="64">
        <v>9.68</v>
      </c>
      <c r="C19" s="64">
        <v>4.75</v>
      </c>
      <c r="D19" s="64">
        <v>9.7799999999999994</v>
      </c>
      <c r="E19" s="64">
        <v>5.07</v>
      </c>
      <c r="F19" s="64">
        <v>2.92</v>
      </c>
      <c r="G19" s="64">
        <v>42.56</v>
      </c>
      <c r="H19" s="64">
        <v>18.09</v>
      </c>
      <c r="I19" s="64">
        <v>2.38</v>
      </c>
      <c r="J19" s="64">
        <v>0.1</v>
      </c>
      <c r="K19" s="64">
        <v>349.29</v>
      </c>
      <c r="L19" s="64">
        <v>20.47</v>
      </c>
      <c r="M19" s="64">
        <v>97.78</v>
      </c>
      <c r="N19" s="64">
        <v>47.9</v>
      </c>
      <c r="O19" s="64">
        <v>0</v>
      </c>
      <c r="P19" s="64">
        <v>0.62</v>
      </c>
      <c r="Q19" s="64">
        <v>9.24</v>
      </c>
      <c r="R19" s="198"/>
      <c r="S19" s="198"/>
      <c r="T19" s="198"/>
      <c r="U19" s="198"/>
    </row>
    <row r="20" spans="1:21" s="12" customFormat="1" x14ac:dyDescent="0.25">
      <c r="A20" s="211" t="s">
        <v>739</v>
      </c>
      <c r="B20" s="64">
        <v>9.75</v>
      </c>
      <c r="C20" s="64">
        <v>4.68</v>
      </c>
      <c r="D20" s="64">
        <v>9.8000000000000007</v>
      </c>
      <c r="E20" s="64">
        <v>4.7300000000000004</v>
      </c>
      <c r="F20" s="64">
        <v>3.5</v>
      </c>
      <c r="G20" s="64">
        <v>42.56</v>
      </c>
      <c r="H20" s="64">
        <v>18.09</v>
      </c>
      <c r="I20" s="64">
        <v>2.37</v>
      </c>
      <c r="J20" s="64">
        <v>0.1</v>
      </c>
      <c r="K20" s="64">
        <v>301.05</v>
      </c>
      <c r="L20" s="64">
        <v>20.29</v>
      </c>
      <c r="M20" s="64">
        <v>97.82</v>
      </c>
      <c r="N20" s="64">
        <v>48.2</v>
      </c>
      <c r="O20" s="64">
        <v>0</v>
      </c>
      <c r="P20" s="64">
        <v>0.61</v>
      </c>
      <c r="Q20" s="64">
        <v>9.2200000000000006</v>
      </c>
      <c r="R20" s="198"/>
      <c r="S20" s="198"/>
      <c r="T20" s="198"/>
      <c r="U20" s="198"/>
    </row>
    <row r="21" spans="1:21" s="12" customFormat="1" x14ac:dyDescent="0.25">
      <c r="A21" s="211" t="s">
        <v>740</v>
      </c>
      <c r="B21" s="64">
        <v>9.98</v>
      </c>
      <c r="C21" s="64">
        <v>4.7</v>
      </c>
      <c r="D21" s="64">
        <v>10</v>
      </c>
      <c r="E21" s="64">
        <v>4.84</v>
      </c>
      <c r="F21" s="64">
        <v>2.87</v>
      </c>
      <c r="G21" s="64">
        <v>42.56</v>
      </c>
      <c r="H21" s="64">
        <v>18.09</v>
      </c>
      <c r="I21" s="64">
        <v>2.39</v>
      </c>
      <c r="J21" s="64">
        <v>0.08</v>
      </c>
      <c r="K21" s="64">
        <v>320.87</v>
      </c>
      <c r="L21" s="64">
        <v>20.14</v>
      </c>
      <c r="M21" s="64">
        <v>97.87</v>
      </c>
      <c r="N21" s="64">
        <v>48</v>
      </c>
      <c r="O21" s="64">
        <v>0</v>
      </c>
      <c r="P21" s="64">
        <v>0.56999999999999995</v>
      </c>
      <c r="Q21" s="64">
        <v>9.2200000000000006</v>
      </c>
      <c r="R21" s="198"/>
      <c r="S21" s="198"/>
      <c r="T21" s="198"/>
      <c r="U21" s="198"/>
    </row>
    <row r="22" spans="1:21" s="12" customFormat="1" x14ac:dyDescent="0.25">
      <c r="A22" s="211" t="s">
        <v>741</v>
      </c>
      <c r="B22" s="64">
        <v>9.34</v>
      </c>
      <c r="C22" s="64">
        <v>5.0199999999999996</v>
      </c>
      <c r="D22" s="64">
        <v>9.65</v>
      </c>
      <c r="E22" s="64">
        <v>5.01</v>
      </c>
      <c r="F22" s="64">
        <v>3.72</v>
      </c>
      <c r="G22" s="64">
        <v>43.33</v>
      </c>
      <c r="H22" s="64">
        <v>18.41</v>
      </c>
      <c r="I22" s="64">
        <v>2.57</v>
      </c>
      <c r="J22" s="64">
        <v>0.04</v>
      </c>
      <c r="K22" s="64">
        <v>329.2</v>
      </c>
      <c r="L22" s="64">
        <v>20.14</v>
      </c>
      <c r="M22" s="64">
        <v>97.9</v>
      </c>
      <c r="N22" s="64">
        <v>48</v>
      </c>
      <c r="O22" s="64">
        <v>0</v>
      </c>
      <c r="P22" s="64">
        <v>0.54</v>
      </c>
      <c r="Q22" s="64">
        <v>9.2200000000000006</v>
      </c>
      <c r="R22" s="198"/>
      <c r="S22" s="198"/>
      <c r="T22" s="198"/>
      <c r="U22" s="198"/>
    </row>
    <row r="23" spans="1:21" s="12" customFormat="1" x14ac:dyDescent="0.25">
      <c r="A23" s="211" t="s">
        <v>742</v>
      </c>
      <c r="B23" s="64">
        <v>9.2200000000000006</v>
      </c>
      <c r="C23" s="64">
        <v>5.05</v>
      </c>
      <c r="D23" s="64">
        <v>9.57</v>
      </c>
      <c r="E23" s="64">
        <v>4.8</v>
      </c>
      <c r="F23" s="64">
        <v>3.73</v>
      </c>
      <c r="G23" s="64">
        <v>45.43</v>
      </c>
      <c r="H23" s="64">
        <v>18.97</v>
      </c>
      <c r="I23" s="64">
        <v>2.54</v>
      </c>
      <c r="J23" s="64">
        <v>0.04</v>
      </c>
      <c r="K23" s="64">
        <v>328.06</v>
      </c>
      <c r="L23" s="64">
        <v>20.11</v>
      </c>
      <c r="M23" s="64">
        <v>97.92</v>
      </c>
      <c r="N23" s="64">
        <v>48</v>
      </c>
      <c r="O23" s="64">
        <v>0</v>
      </c>
      <c r="P23" s="64">
        <v>0.56999999999999995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1" t="s">
        <v>743</v>
      </c>
      <c r="B24" s="64">
        <v>9.58</v>
      </c>
      <c r="C24" s="64">
        <v>5.44</v>
      </c>
      <c r="D24" s="64">
        <v>10.06</v>
      </c>
      <c r="E24" s="64">
        <v>4.92</v>
      </c>
      <c r="F24" s="64">
        <v>2.77</v>
      </c>
      <c r="G24" s="64">
        <v>45.43</v>
      </c>
      <c r="H24" s="64">
        <v>18.97</v>
      </c>
      <c r="I24" s="64">
        <v>2.42</v>
      </c>
      <c r="J24" s="64">
        <v>0.06</v>
      </c>
      <c r="K24" s="64">
        <v>1.29</v>
      </c>
      <c r="L24" s="64">
        <v>20.010000000000002</v>
      </c>
      <c r="M24" s="64">
        <v>97.95</v>
      </c>
      <c r="N24" s="64">
        <v>48</v>
      </c>
      <c r="O24" s="64">
        <v>0</v>
      </c>
      <c r="P24" s="64">
        <v>0.52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1" t="s">
        <v>744</v>
      </c>
      <c r="B25" s="64">
        <v>9.86</v>
      </c>
      <c r="C25" s="64">
        <v>4.75</v>
      </c>
      <c r="D25" s="64">
        <v>9.93</v>
      </c>
      <c r="E25" s="64">
        <v>4.76</v>
      </c>
      <c r="F25" s="64">
        <v>3.13</v>
      </c>
      <c r="G25" s="64">
        <v>45.43</v>
      </c>
      <c r="H25" s="64">
        <v>18.97</v>
      </c>
      <c r="I25" s="64">
        <v>2.42</v>
      </c>
      <c r="J25" s="64">
        <v>0.08</v>
      </c>
      <c r="K25" s="64">
        <v>85.49</v>
      </c>
      <c r="L25" s="64">
        <v>20.059999999999999</v>
      </c>
      <c r="M25" s="64">
        <v>97.98</v>
      </c>
      <c r="N25" s="64">
        <v>48.1</v>
      </c>
      <c r="O25" s="64">
        <v>0</v>
      </c>
      <c r="P25" s="64">
        <v>0.56000000000000005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1" t="s">
        <v>745</v>
      </c>
      <c r="B26" s="64">
        <v>10.29</v>
      </c>
      <c r="C26" s="64">
        <v>4.3899999999999997</v>
      </c>
      <c r="D26" s="64">
        <v>10.08</v>
      </c>
      <c r="E26" s="64">
        <v>4.68</v>
      </c>
      <c r="F26" s="64">
        <v>3.25</v>
      </c>
      <c r="G26" s="64">
        <v>45.93</v>
      </c>
      <c r="H26" s="64">
        <v>18.73</v>
      </c>
      <c r="I26" s="64">
        <v>2.4</v>
      </c>
      <c r="J26" s="64">
        <v>0.16</v>
      </c>
      <c r="K26" s="64">
        <v>343.83</v>
      </c>
      <c r="L26" s="64">
        <v>20.02</v>
      </c>
      <c r="M26" s="64">
        <v>98.03</v>
      </c>
      <c r="N26" s="64">
        <v>47.9</v>
      </c>
      <c r="O26" s="64">
        <v>0</v>
      </c>
      <c r="P26" s="64">
        <v>0.54</v>
      </c>
      <c r="Q26" s="64">
        <v>9.2200000000000006</v>
      </c>
      <c r="R26" s="198"/>
      <c r="S26" s="198"/>
      <c r="T26" s="198"/>
      <c r="U26" s="198"/>
    </row>
    <row r="27" spans="1:21" s="12" customFormat="1" x14ac:dyDescent="0.25">
      <c r="A27" s="211" t="s">
        <v>746</v>
      </c>
      <c r="B27" s="64">
        <v>10.68</v>
      </c>
      <c r="C27" s="64">
        <v>4.41</v>
      </c>
      <c r="D27" s="64">
        <v>10.4</v>
      </c>
      <c r="E27" s="64">
        <v>4.8099999999999996</v>
      </c>
      <c r="F27" s="64">
        <v>2.75</v>
      </c>
      <c r="G27" s="64">
        <v>47.32</v>
      </c>
      <c r="H27" s="64">
        <v>17.78</v>
      </c>
      <c r="I27" s="64">
        <v>2.39</v>
      </c>
      <c r="J27" s="64">
        <v>0.06</v>
      </c>
      <c r="K27" s="64">
        <v>25.98</v>
      </c>
      <c r="L27" s="64">
        <v>19.97</v>
      </c>
      <c r="M27" s="64">
        <v>98.06</v>
      </c>
      <c r="N27" s="64">
        <v>48.1</v>
      </c>
      <c r="O27" s="64">
        <v>0</v>
      </c>
      <c r="P27" s="64">
        <v>0.55000000000000004</v>
      </c>
      <c r="Q27" s="64">
        <v>9.23</v>
      </c>
      <c r="R27" s="198"/>
      <c r="S27" s="198"/>
      <c r="T27" s="198"/>
      <c r="U27" s="198"/>
    </row>
    <row r="28" spans="1:21" s="12" customFormat="1" x14ac:dyDescent="0.25">
      <c r="A28" s="211" t="s">
        <v>747</v>
      </c>
      <c r="B28" s="64">
        <v>11.98</v>
      </c>
      <c r="C28" s="64">
        <v>5.97</v>
      </c>
      <c r="D28" s="64">
        <v>12.26</v>
      </c>
      <c r="E28" s="64">
        <v>5.04</v>
      </c>
      <c r="F28" s="64">
        <v>3.27</v>
      </c>
      <c r="G28" s="64">
        <v>47.32</v>
      </c>
      <c r="H28" s="64">
        <v>17.78</v>
      </c>
      <c r="I28" s="64">
        <v>2.37</v>
      </c>
      <c r="J28" s="64">
        <v>0.02</v>
      </c>
      <c r="K28" s="64">
        <v>302.05</v>
      </c>
      <c r="L28" s="64">
        <v>19.940000000000001</v>
      </c>
      <c r="M28" s="64">
        <v>98.09</v>
      </c>
      <c r="N28" s="64">
        <v>48</v>
      </c>
      <c r="O28" s="64">
        <v>0</v>
      </c>
      <c r="P28" s="64">
        <v>0.5</v>
      </c>
      <c r="Q28" s="64">
        <v>9.24</v>
      </c>
      <c r="R28" s="198"/>
      <c r="S28" s="198"/>
      <c r="T28" s="198"/>
      <c r="U28" s="198"/>
    </row>
    <row r="29" spans="1:21" s="12" customFormat="1" x14ac:dyDescent="0.25">
      <c r="A29" s="211" t="s">
        <v>748</v>
      </c>
      <c r="B29" s="64">
        <v>10.050000000000001</v>
      </c>
      <c r="C29" s="64">
        <v>7.48</v>
      </c>
      <c r="D29" s="64">
        <v>11.51</v>
      </c>
      <c r="E29" s="64">
        <v>5.05</v>
      </c>
      <c r="F29" s="64">
        <v>3.79</v>
      </c>
      <c r="G29" s="64">
        <v>47.32</v>
      </c>
      <c r="H29" s="64">
        <v>17.78</v>
      </c>
      <c r="I29" s="64">
        <v>2.36</v>
      </c>
      <c r="J29" s="64">
        <v>7.0000000000000007E-2</v>
      </c>
      <c r="K29" s="64">
        <v>352.98</v>
      </c>
      <c r="L29" s="64">
        <v>19.78</v>
      </c>
      <c r="M29" s="64">
        <v>98.14</v>
      </c>
      <c r="N29" s="64">
        <v>48</v>
      </c>
      <c r="O29" s="64">
        <v>0</v>
      </c>
      <c r="P29" s="64">
        <v>0.48</v>
      </c>
      <c r="Q29" s="64">
        <v>9.26</v>
      </c>
      <c r="R29" s="198"/>
      <c r="S29" s="198"/>
      <c r="T29" s="198"/>
      <c r="U29" s="198"/>
    </row>
    <row r="30" spans="1:21" s="12" customFormat="1" x14ac:dyDescent="0.25">
      <c r="A30" s="211" t="s">
        <v>749</v>
      </c>
      <c r="B30" s="64">
        <v>11.33</v>
      </c>
      <c r="C30" s="64">
        <v>6.72</v>
      </c>
      <c r="D30" s="64">
        <v>12.14</v>
      </c>
      <c r="E30" s="64">
        <v>5.21</v>
      </c>
      <c r="F30" s="64">
        <v>3.96</v>
      </c>
      <c r="G30" s="64">
        <v>47.93</v>
      </c>
      <c r="H30" s="64">
        <v>17.29</v>
      </c>
      <c r="I30" s="64">
        <v>2.33</v>
      </c>
      <c r="J30" s="64">
        <v>0.18</v>
      </c>
      <c r="K30" s="64">
        <v>346.52</v>
      </c>
      <c r="L30" s="64">
        <v>19.79</v>
      </c>
      <c r="M30" s="64">
        <v>98.17</v>
      </c>
      <c r="N30" s="64">
        <v>48</v>
      </c>
      <c r="O30" s="64">
        <v>0</v>
      </c>
      <c r="P30" s="64">
        <v>0.53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1" t="s">
        <v>750</v>
      </c>
      <c r="B31" s="64">
        <v>13.68</v>
      </c>
      <c r="C31" s="64">
        <v>7.28</v>
      </c>
      <c r="D31" s="64">
        <v>14.31</v>
      </c>
      <c r="E31" s="64">
        <v>4.9000000000000004</v>
      </c>
      <c r="F31" s="64">
        <v>3.26</v>
      </c>
      <c r="G31" s="64">
        <v>49.64</v>
      </c>
      <c r="H31" s="64">
        <v>16.41</v>
      </c>
      <c r="I31" s="64">
        <v>2.2999999999999998</v>
      </c>
      <c r="J31" s="64">
        <v>0.1</v>
      </c>
      <c r="K31" s="64">
        <v>329.37</v>
      </c>
      <c r="L31" s="64">
        <v>19.88</v>
      </c>
      <c r="M31" s="64">
        <v>98.14</v>
      </c>
      <c r="N31" s="64">
        <v>48.1</v>
      </c>
      <c r="O31" s="64">
        <v>0</v>
      </c>
      <c r="P31" s="64">
        <v>0.52</v>
      </c>
      <c r="Q31" s="64">
        <v>9.2799999999999994</v>
      </c>
      <c r="R31" s="198"/>
      <c r="S31" s="198"/>
      <c r="T31" s="198"/>
      <c r="U31" s="198"/>
    </row>
    <row r="32" spans="1:21" s="12" customFormat="1" x14ac:dyDescent="0.25">
      <c r="A32" s="211" t="s">
        <v>751</v>
      </c>
      <c r="B32" s="64">
        <v>13.76</v>
      </c>
      <c r="C32" s="64">
        <v>6.19</v>
      </c>
      <c r="D32" s="64">
        <v>13.81</v>
      </c>
      <c r="E32" s="64">
        <v>5.12</v>
      </c>
      <c r="F32" s="64">
        <v>3.83</v>
      </c>
      <c r="G32" s="64">
        <v>49.64</v>
      </c>
      <c r="H32" s="64">
        <v>16.41</v>
      </c>
      <c r="I32" s="64">
        <v>2.27</v>
      </c>
      <c r="J32" s="64">
        <v>0.12</v>
      </c>
      <c r="K32" s="64">
        <v>309.33</v>
      </c>
      <c r="L32" s="64">
        <v>19.87</v>
      </c>
      <c r="M32" s="64">
        <v>98.07</v>
      </c>
      <c r="N32" s="64">
        <v>49.1</v>
      </c>
      <c r="O32" s="64">
        <v>0</v>
      </c>
      <c r="P32" s="64">
        <v>0.54</v>
      </c>
      <c r="Q32" s="64">
        <v>9.3000000000000007</v>
      </c>
      <c r="R32" s="198"/>
      <c r="S32" s="198"/>
      <c r="T32" s="198"/>
      <c r="U32" s="198"/>
    </row>
    <row r="33" spans="1:21" s="12" customFormat="1" x14ac:dyDescent="0.25">
      <c r="A33" s="211" t="s">
        <v>752</v>
      </c>
      <c r="B33" s="64">
        <v>13.17</v>
      </c>
      <c r="C33" s="64">
        <v>5.03</v>
      </c>
      <c r="D33" s="64">
        <v>12.73</v>
      </c>
      <c r="E33" s="64">
        <v>5.08</v>
      </c>
      <c r="F33" s="64">
        <v>3.86</v>
      </c>
      <c r="G33" s="64">
        <v>49.64</v>
      </c>
      <c r="H33" s="64">
        <v>16.41</v>
      </c>
      <c r="I33" s="64">
        <v>2.2599999999999998</v>
      </c>
      <c r="J33" s="64">
        <v>0.05</v>
      </c>
      <c r="K33" s="64">
        <v>354.96</v>
      </c>
      <c r="L33" s="64">
        <v>19.899999999999999</v>
      </c>
      <c r="M33" s="64">
        <v>98.11</v>
      </c>
      <c r="N33" s="64">
        <v>54</v>
      </c>
      <c r="O33" s="64">
        <v>0</v>
      </c>
      <c r="P33" s="64">
        <v>0.56000000000000005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1" t="s">
        <v>753</v>
      </c>
      <c r="B34" s="64">
        <v>14.83</v>
      </c>
      <c r="C34" s="64">
        <v>6.47</v>
      </c>
      <c r="D34" s="64">
        <v>14.81</v>
      </c>
      <c r="E34" s="64">
        <v>5.14</v>
      </c>
      <c r="F34" s="64">
        <v>4.05</v>
      </c>
      <c r="G34" s="64">
        <v>50.84</v>
      </c>
      <c r="H34" s="64">
        <v>19.260000000000002</v>
      </c>
      <c r="I34" s="64">
        <v>2.2400000000000002</v>
      </c>
      <c r="J34" s="64">
        <v>0.36</v>
      </c>
      <c r="K34" s="64">
        <v>341.44</v>
      </c>
      <c r="L34" s="64">
        <v>20.02</v>
      </c>
      <c r="M34" s="64">
        <v>98.14</v>
      </c>
      <c r="N34" s="64">
        <v>66.3</v>
      </c>
      <c r="O34" s="64">
        <v>0</v>
      </c>
      <c r="P34" s="64">
        <v>0.57999999999999996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11" t="s">
        <v>754</v>
      </c>
      <c r="B35" s="64">
        <v>13.83</v>
      </c>
      <c r="C35" s="64">
        <v>5.04</v>
      </c>
      <c r="D35" s="64">
        <v>13.27</v>
      </c>
      <c r="E35" s="64">
        <v>5.24</v>
      </c>
      <c r="F35" s="64">
        <v>3.89</v>
      </c>
      <c r="G35" s="64">
        <v>54.16</v>
      </c>
      <c r="H35" s="64">
        <v>24.6</v>
      </c>
      <c r="I35" s="64">
        <v>2.23</v>
      </c>
      <c r="J35" s="64">
        <v>0.78</v>
      </c>
      <c r="K35" s="64">
        <v>342.75</v>
      </c>
      <c r="L35" s="64">
        <v>20.55</v>
      </c>
      <c r="M35" s="64">
        <v>98.12</v>
      </c>
      <c r="N35" s="64">
        <v>84.8</v>
      </c>
      <c r="O35" s="64">
        <v>0</v>
      </c>
      <c r="P35" s="64">
        <v>0.56999999999999995</v>
      </c>
      <c r="Q35" s="64">
        <v>9.34</v>
      </c>
      <c r="R35" s="198"/>
      <c r="S35" s="198"/>
      <c r="T35" s="198"/>
      <c r="U35" s="198"/>
    </row>
    <row r="36" spans="1:21" s="12" customFormat="1" x14ac:dyDescent="0.25">
      <c r="A36" s="211" t="s">
        <v>755</v>
      </c>
      <c r="B36" s="64">
        <v>13.84</v>
      </c>
      <c r="C36" s="64">
        <v>4.1900000000000004</v>
      </c>
      <c r="D36" s="64">
        <v>12.83</v>
      </c>
      <c r="E36" s="64">
        <v>5.12</v>
      </c>
      <c r="F36" s="64">
        <v>4</v>
      </c>
      <c r="G36" s="64">
        <v>54.16</v>
      </c>
      <c r="H36" s="64">
        <v>24.6</v>
      </c>
      <c r="I36" s="64">
        <v>2.2200000000000002</v>
      </c>
      <c r="J36" s="64">
        <v>0.99</v>
      </c>
      <c r="K36" s="64">
        <v>342.86</v>
      </c>
      <c r="L36" s="64">
        <v>21.18</v>
      </c>
      <c r="M36" s="64">
        <v>98.13</v>
      </c>
      <c r="N36" s="64">
        <v>110.6</v>
      </c>
      <c r="O36" s="64">
        <v>0</v>
      </c>
      <c r="P36" s="64">
        <v>0.56999999999999995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1" t="s">
        <v>756</v>
      </c>
      <c r="B37" s="64">
        <v>14.86</v>
      </c>
      <c r="C37" s="64">
        <v>4.01</v>
      </c>
      <c r="D37" s="64">
        <v>13.52</v>
      </c>
      <c r="E37" s="64">
        <v>5.19</v>
      </c>
      <c r="F37" s="64">
        <v>2.89</v>
      </c>
      <c r="G37" s="64">
        <v>54.16</v>
      </c>
      <c r="H37" s="64">
        <v>24.6</v>
      </c>
      <c r="I37" s="64">
        <v>2.2000000000000002</v>
      </c>
      <c r="J37" s="64">
        <v>0.94</v>
      </c>
      <c r="K37" s="64">
        <v>343.3</v>
      </c>
      <c r="L37" s="64">
        <v>21.97</v>
      </c>
      <c r="M37" s="64">
        <v>97.45</v>
      </c>
      <c r="N37" s="64">
        <v>154.4</v>
      </c>
      <c r="O37" s="64">
        <v>0</v>
      </c>
      <c r="P37" s="64">
        <v>0.56000000000000005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1" t="s">
        <v>757</v>
      </c>
      <c r="B38" s="64">
        <v>14.46</v>
      </c>
      <c r="C38" s="64">
        <v>3.71</v>
      </c>
      <c r="D38" s="64">
        <v>13.08</v>
      </c>
      <c r="E38" s="64">
        <v>5.23</v>
      </c>
      <c r="F38" s="64">
        <v>4.3499999999999996</v>
      </c>
      <c r="G38" s="64">
        <v>58.14</v>
      </c>
      <c r="H38" s="64">
        <v>24.69</v>
      </c>
      <c r="I38" s="64">
        <v>2.17</v>
      </c>
      <c r="J38" s="64">
        <v>0.86</v>
      </c>
      <c r="K38" s="64">
        <v>346.39</v>
      </c>
      <c r="L38" s="64">
        <v>23.42</v>
      </c>
      <c r="M38" s="64">
        <v>88.69</v>
      </c>
      <c r="N38" s="64">
        <v>206.1</v>
      </c>
      <c r="O38" s="64">
        <v>0</v>
      </c>
      <c r="P38" s="64">
        <v>0.62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1" t="s">
        <v>758</v>
      </c>
      <c r="B39" s="64">
        <v>15.59</v>
      </c>
      <c r="C39" s="64">
        <v>4.67</v>
      </c>
      <c r="D39" s="64">
        <v>14.49</v>
      </c>
      <c r="E39" s="64">
        <v>5.3</v>
      </c>
      <c r="F39" s="64">
        <v>2.73</v>
      </c>
      <c r="G39" s="64">
        <v>69.08</v>
      </c>
      <c r="H39" s="64">
        <v>24.84</v>
      </c>
      <c r="I39" s="64">
        <v>2.1800000000000002</v>
      </c>
      <c r="J39" s="64">
        <v>1.17</v>
      </c>
      <c r="K39" s="64">
        <v>344.49</v>
      </c>
      <c r="L39" s="64">
        <v>24.9</v>
      </c>
      <c r="M39" s="64">
        <v>78.45</v>
      </c>
      <c r="N39" s="64">
        <v>266.5</v>
      </c>
      <c r="O39" s="64">
        <v>0</v>
      </c>
      <c r="P39" s="64">
        <v>0.63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1" t="s">
        <v>759</v>
      </c>
      <c r="B40" s="64">
        <v>15.86</v>
      </c>
      <c r="C40" s="64">
        <v>4.95</v>
      </c>
      <c r="D40" s="64">
        <v>14.85</v>
      </c>
      <c r="E40" s="64">
        <v>4.46</v>
      </c>
      <c r="F40" s="64">
        <v>3.65</v>
      </c>
      <c r="G40" s="64">
        <v>69.08</v>
      </c>
      <c r="H40" s="64">
        <v>24.84</v>
      </c>
      <c r="I40" s="64">
        <v>2.2000000000000002</v>
      </c>
      <c r="J40" s="64">
        <v>0.91</v>
      </c>
      <c r="K40" s="64">
        <v>342.28</v>
      </c>
      <c r="L40" s="64">
        <v>26.52</v>
      </c>
      <c r="M40" s="64">
        <v>70.86</v>
      </c>
      <c r="N40" s="64">
        <v>319.89999999999998</v>
      </c>
      <c r="O40" s="64">
        <v>0</v>
      </c>
      <c r="P40" s="64">
        <v>0.66</v>
      </c>
      <c r="Q40" s="64">
        <v>9.35</v>
      </c>
      <c r="R40" s="198"/>
      <c r="S40" s="198"/>
      <c r="T40" s="198"/>
      <c r="U40" s="198"/>
    </row>
    <row r="41" spans="1:21" s="12" customFormat="1" x14ac:dyDescent="0.25">
      <c r="A41" s="211" t="s">
        <v>760</v>
      </c>
      <c r="B41" s="64">
        <v>17.079999999999998</v>
      </c>
      <c r="C41" s="64">
        <v>5.48</v>
      </c>
      <c r="D41" s="64">
        <v>16.100000000000001</v>
      </c>
      <c r="E41" s="64">
        <v>4.6399999999999997</v>
      </c>
      <c r="F41" s="64">
        <v>3.7</v>
      </c>
      <c r="G41" s="64">
        <v>69.08</v>
      </c>
      <c r="H41" s="64">
        <v>24.84</v>
      </c>
      <c r="I41" s="64">
        <v>2.23</v>
      </c>
      <c r="J41" s="64">
        <v>1.08</v>
      </c>
      <c r="K41" s="64">
        <v>344.69</v>
      </c>
      <c r="L41" s="64">
        <v>27.97</v>
      </c>
      <c r="M41" s="64">
        <v>63.69</v>
      </c>
      <c r="N41" s="64">
        <v>369.8</v>
      </c>
      <c r="O41" s="64">
        <v>0</v>
      </c>
      <c r="P41" s="64">
        <v>0.68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1" t="s">
        <v>761</v>
      </c>
      <c r="B42" s="64">
        <v>16.489999999999998</v>
      </c>
      <c r="C42" s="64">
        <v>7.23</v>
      </c>
      <c r="D42" s="64">
        <v>16.54</v>
      </c>
      <c r="E42" s="64">
        <v>5.1100000000000003</v>
      </c>
      <c r="F42" s="64">
        <v>3.94</v>
      </c>
      <c r="G42" s="64">
        <v>73.599999999999994</v>
      </c>
      <c r="H42" s="64">
        <v>26.01</v>
      </c>
      <c r="I42" s="64">
        <v>2.2599999999999998</v>
      </c>
      <c r="J42" s="64">
        <v>1.32</v>
      </c>
      <c r="K42" s="64">
        <v>345.3</v>
      </c>
      <c r="L42" s="64">
        <v>28.5</v>
      </c>
      <c r="M42" s="64">
        <v>59.56</v>
      </c>
      <c r="N42" s="64">
        <v>430.7</v>
      </c>
      <c r="O42" s="64">
        <v>0</v>
      </c>
      <c r="P42" s="64">
        <v>0.69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1" t="s">
        <v>762</v>
      </c>
      <c r="B43" s="64">
        <v>16.29</v>
      </c>
      <c r="C43" s="64">
        <v>6.54</v>
      </c>
      <c r="D43" s="64">
        <v>16.02</v>
      </c>
      <c r="E43" s="64">
        <v>5.34</v>
      </c>
      <c r="F43" s="64">
        <v>5.52</v>
      </c>
      <c r="G43" s="64">
        <v>86.05</v>
      </c>
      <c r="H43" s="64">
        <v>30.56</v>
      </c>
      <c r="I43" s="64">
        <v>2.2799999999999998</v>
      </c>
      <c r="J43" s="64">
        <v>1.63</v>
      </c>
      <c r="K43" s="64">
        <v>343.87</v>
      </c>
      <c r="L43" s="64">
        <v>28.78</v>
      </c>
      <c r="M43" s="64">
        <v>57.83</v>
      </c>
      <c r="N43" s="64">
        <v>475.9</v>
      </c>
      <c r="O43" s="64">
        <v>0</v>
      </c>
      <c r="P43" s="64">
        <v>0.7</v>
      </c>
      <c r="Q43" s="64">
        <v>9.3800000000000008</v>
      </c>
      <c r="R43" s="198"/>
      <c r="S43" s="198"/>
      <c r="T43" s="198"/>
      <c r="U43" s="198"/>
    </row>
    <row r="44" spans="1:21" s="12" customFormat="1" x14ac:dyDescent="0.25">
      <c r="A44" s="211" t="s">
        <v>763</v>
      </c>
      <c r="B44" s="64">
        <v>16.34</v>
      </c>
      <c r="C44" s="64">
        <v>8.52</v>
      </c>
      <c r="D44" s="64">
        <v>17.09</v>
      </c>
      <c r="E44" s="64">
        <v>5.91</v>
      </c>
      <c r="F44" s="64">
        <v>4.1900000000000004</v>
      </c>
      <c r="G44" s="64">
        <v>86.05</v>
      </c>
      <c r="H44" s="64">
        <v>30.56</v>
      </c>
      <c r="I44" s="64">
        <v>2.2999999999999998</v>
      </c>
      <c r="J44" s="64">
        <v>1.22</v>
      </c>
      <c r="K44" s="64">
        <v>343.98</v>
      </c>
      <c r="L44" s="64">
        <v>29.83</v>
      </c>
      <c r="M44" s="64">
        <v>54.4</v>
      </c>
      <c r="N44" s="64">
        <v>513.5</v>
      </c>
      <c r="O44" s="64">
        <v>0</v>
      </c>
      <c r="P44" s="64">
        <v>0.69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11" t="s">
        <v>764</v>
      </c>
      <c r="B45" s="64">
        <v>15.11</v>
      </c>
      <c r="C45" s="64">
        <v>7.53</v>
      </c>
      <c r="D45" s="64">
        <v>15.59</v>
      </c>
      <c r="E45" s="64">
        <v>5.62</v>
      </c>
      <c r="F45" s="64">
        <v>4.26</v>
      </c>
      <c r="G45" s="64">
        <v>86.05</v>
      </c>
      <c r="H45" s="64">
        <v>30.56</v>
      </c>
      <c r="I45" s="64">
        <v>2.29</v>
      </c>
      <c r="J45" s="64">
        <v>0.87</v>
      </c>
      <c r="K45" s="64">
        <v>341.01</v>
      </c>
      <c r="L45" s="64">
        <v>30.12</v>
      </c>
      <c r="M45" s="64">
        <v>53.48</v>
      </c>
      <c r="N45" s="64">
        <v>551.5</v>
      </c>
      <c r="O45" s="64">
        <v>0</v>
      </c>
      <c r="P45" s="64">
        <v>0.72</v>
      </c>
      <c r="Q45" s="64">
        <v>9.3800000000000008</v>
      </c>
      <c r="R45" s="198"/>
      <c r="S45" s="198"/>
      <c r="T45" s="198"/>
      <c r="U45" s="198"/>
    </row>
    <row r="46" spans="1:21" s="12" customFormat="1" x14ac:dyDescent="0.25">
      <c r="A46" s="211" t="s">
        <v>765</v>
      </c>
      <c r="B46" s="64">
        <v>14.37</v>
      </c>
      <c r="C46" s="64">
        <v>12.24</v>
      </c>
      <c r="D46" s="64">
        <v>17.46</v>
      </c>
      <c r="E46" s="64">
        <v>8.49</v>
      </c>
      <c r="F46" s="64">
        <v>7.01</v>
      </c>
      <c r="G46" s="64">
        <v>85.12</v>
      </c>
      <c r="H46" s="64">
        <v>30.57</v>
      </c>
      <c r="I46" s="64">
        <v>2.46</v>
      </c>
      <c r="J46" s="64">
        <v>0.87</v>
      </c>
      <c r="K46" s="64">
        <v>341.86</v>
      </c>
      <c r="L46" s="64">
        <v>30.98</v>
      </c>
      <c r="M46" s="64">
        <v>50.15</v>
      </c>
      <c r="N46" s="64">
        <v>584.9</v>
      </c>
      <c r="O46" s="64">
        <v>0</v>
      </c>
      <c r="P46" s="64">
        <v>0.82</v>
      </c>
      <c r="Q46" s="64">
        <v>9.3699999999999992</v>
      </c>
      <c r="R46" s="198"/>
      <c r="S46" s="198"/>
      <c r="T46" s="198"/>
      <c r="U46" s="198"/>
    </row>
    <row r="47" spans="1:21" s="12" customFormat="1" x14ac:dyDescent="0.25">
      <c r="A47" s="211" t="s">
        <v>766</v>
      </c>
      <c r="B47" s="64">
        <v>14.38</v>
      </c>
      <c r="C47" s="64">
        <v>14.32</v>
      </c>
      <c r="D47" s="64">
        <v>18.55</v>
      </c>
      <c r="E47" s="64">
        <v>11.74</v>
      </c>
      <c r="F47" s="64">
        <v>7.41</v>
      </c>
      <c r="G47" s="64">
        <v>82.55</v>
      </c>
      <c r="H47" s="64">
        <v>30.6</v>
      </c>
      <c r="I47" s="64">
        <v>2.46</v>
      </c>
      <c r="J47" s="64">
        <v>0.67</v>
      </c>
      <c r="K47" s="64">
        <v>346.16</v>
      </c>
      <c r="L47" s="64">
        <v>31.23</v>
      </c>
      <c r="M47" s="64">
        <v>47.78</v>
      </c>
      <c r="N47" s="64">
        <v>625.6</v>
      </c>
      <c r="O47" s="64">
        <v>0</v>
      </c>
      <c r="P47" s="64">
        <v>0.82</v>
      </c>
      <c r="Q47" s="64">
        <v>9.39</v>
      </c>
      <c r="R47" s="198"/>
      <c r="S47" s="198"/>
      <c r="T47" s="198"/>
      <c r="U47" s="198"/>
    </row>
    <row r="48" spans="1:21" s="12" customFormat="1" x14ac:dyDescent="0.25">
      <c r="A48" s="211" t="s">
        <v>767</v>
      </c>
      <c r="B48" s="64">
        <v>13.96</v>
      </c>
      <c r="C48" s="64">
        <v>11.18</v>
      </c>
      <c r="D48" s="64">
        <v>16.57</v>
      </c>
      <c r="E48" s="64">
        <v>10.48</v>
      </c>
      <c r="F48" s="64">
        <v>8.1300000000000008</v>
      </c>
      <c r="G48" s="64">
        <v>82.55</v>
      </c>
      <c r="H48" s="64">
        <v>30.6</v>
      </c>
      <c r="I48" s="64">
        <v>2.38</v>
      </c>
      <c r="J48" s="64">
        <v>0.69</v>
      </c>
      <c r="K48" s="64">
        <v>341.17</v>
      </c>
      <c r="L48" s="64">
        <v>30.84</v>
      </c>
      <c r="M48" s="64">
        <v>45.34</v>
      </c>
      <c r="N48" s="64">
        <v>671</v>
      </c>
      <c r="O48" s="64">
        <v>0</v>
      </c>
      <c r="P48" s="64">
        <v>0.76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1" t="s">
        <v>768</v>
      </c>
      <c r="B49" s="64">
        <v>10.59</v>
      </c>
      <c r="C49" s="64">
        <v>10.29</v>
      </c>
      <c r="D49" s="64">
        <v>13.4</v>
      </c>
      <c r="E49" s="64">
        <v>7.78</v>
      </c>
      <c r="F49" s="64">
        <v>9.64</v>
      </c>
      <c r="G49" s="64">
        <v>82.55</v>
      </c>
      <c r="H49" s="64">
        <v>30.6</v>
      </c>
      <c r="I49" s="64">
        <v>2.37</v>
      </c>
      <c r="J49" s="64">
        <v>0.72</v>
      </c>
      <c r="K49" s="64">
        <v>334.11</v>
      </c>
      <c r="L49" s="64">
        <v>30.79</v>
      </c>
      <c r="M49" s="64">
        <v>45.05</v>
      </c>
      <c r="N49" s="64">
        <v>701.5</v>
      </c>
      <c r="O49" s="64">
        <v>0</v>
      </c>
      <c r="P49" s="64">
        <v>0.74</v>
      </c>
      <c r="Q49" s="64">
        <v>9.3800000000000008</v>
      </c>
      <c r="R49" s="198"/>
      <c r="S49" s="198"/>
      <c r="T49" s="198"/>
      <c r="U49" s="198"/>
    </row>
    <row r="50" spans="1:21" s="12" customFormat="1" x14ac:dyDescent="0.25">
      <c r="A50" s="211" t="s">
        <v>769</v>
      </c>
      <c r="B50" s="64">
        <v>9.39</v>
      </c>
      <c r="C50" s="64">
        <v>10.89</v>
      </c>
      <c r="D50" s="64">
        <v>12.75</v>
      </c>
      <c r="E50" s="64">
        <v>7.09</v>
      </c>
      <c r="F50" s="64">
        <v>9.6999999999999993</v>
      </c>
      <c r="G50" s="64">
        <v>82.06</v>
      </c>
      <c r="H50" s="64">
        <v>29.05</v>
      </c>
      <c r="I50" s="64">
        <v>2.34</v>
      </c>
      <c r="J50" s="64">
        <v>0.49</v>
      </c>
      <c r="K50" s="64">
        <v>353.19</v>
      </c>
      <c r="L50" s="64">
        <v>30.33</v>
      </c>
      <c r="M50" s="64">
        <v>48.57</v>
      </c>
      <c r="N50" s="64">
        <v>688.2</v>
      </c>
      <c r="O50" s="64">
        <v>0</v>
      </c>
      <c r="P50" s="64">
        <v>0.78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1" t="s">
        <v>770</v>
      </c>
      <c r="B51" s="64">
        <v>9.4</v>
      </c>
      <c r="C51" s="64">
        <v>10.54</v>
      </c>
      <c r="D51" s="64">
        <v>12.58</v>
      </c>
      <c r="E51" s="64">
        <v>6.32</v>
      </c>
      <c r="F51" s="64">
        <v>9.0399999999999991</v>
      </c>
      <c r="G51" s="64">
        <v>80.72</v>
      </c>
      <c r="H51" s="64">
        <v>26.29</v>
      </c>
      <c r="I51" s="64">
        <v>2.29</v>
      </c>
      <c r="J51" s="64">
        <v>1.24</v>
      </c>
      <c r="K51" s="64">
        <v>340.81</v>
      </c>
      <c r="L51" s="64">
        <v>31.04</v>
      </c>
      <c r="M51" s="64">
        <v>46.08</v>
      </c>
      <c r="N51" s="64">
        <v>692.9</v>
      </c>
      <c r="O51" s="64">
        <v>0</v>
      </c>
      <c r="P51" s="64">
        <v>0.77</v>
      </c>
      <c r="Q51" s="64">
        <v>9.34</v>
      </c>
      <c r="R51" s="198"/>
      <c r="S51" s="198"/>
      <c r="T51" s="198"/>
      <c r="U51" s="198"/>
    </row>
    <row r="52" spans="1:21" s="12" customFormat="1" x14ac:dyDescent="0.25">
      <c r="A52" s="211" t="s">
        <v>771</v>
      </c>
      <c r="B52" s="64">
        <v>9.9600000000000009</v>
      </c>
      <c r="C52" s="64">
        <v>11.8</v>
      </c>
      <c r="D52" s="64">
        <v>13.69</v>
      </c>
      <c r="E52" s="64">
        <v>6.5</v>
      </c>
      <c r="F52" s="64">
        <v>10.67</v>
      </c>
      <c r="G52" s="64">
        <v>80.72</v>
      </c>
      <c r="H52" s="64">
        <v>26.29</v>
      </c>
      <c r="I52" s="64">
        <v>2.25</v>
      </c>
      <c r="J52" s="64">
        <v>1.18</v>
      </c>
      <c r="K52" s="64">
        <v>341.6</v>
      </c>
      <c r="L52" s="64">
        <v>31.23</v>
      </c>
      <c r="M52" s="64">
        <v>44.92</v>
      </c>
      <c r="N52" s="64">
        <v>575.79999999999995</v>
      </c>
      <c r="O52" s="64">
        <v>0</v>
      </c>
      <c r="P52" s="64">
        <v>0.75</v>
      </c>
      <c r="Q52" s="64">
        <v>9.32</v>
      </c>
      <c r="R52" s="198"/>
      <c r="S52" s="198"/>
      <c r="T52" s="198"/>
      <c r="U52" s="198"/>
    </row>
    <row r="53" spans="1:21" s="12" customFormat="1" x14ac:dyDescent="0.25">
      <c r="A53" s="211" t="s">
        <v>772</v>
      </c>
      <c r="B53" s="64">
        <v>7.94</v>
      </c>
      <c r="C53" s="64">
        <v>11.75</v>
      </c>
      <c r="D53" s="64">
        <v>12.05</v>
      </c>
      <c r="E53" s="64">
        <v>6.35</v>
      </c>
      <c r="F53" s="64">
        <v>9.39</v>
      </c>
      <c r="G53" s="64">
        <v>80.72</v>
      </c>
      <c r="H53" s="64">
        <v>26.29</v>
      </c>
      <c r="I53" s="64">
        <v>2.21</v>
      </c>
      <c r="J53" s="64">
        <v>0.47</v>
      </c>
      <c r="K53" s="64">
        <v>342.4</v>
      </c>
      <c r="L53" s="64">
        <v>30.62</v>
      </c>
      <c r="M53" s="64">
        <v>46.11</v>
      </c>
      <c r="N53" s="64">
        <v>546.4</v>
      </c>
      <c r="O53" s="64">
        <v>0</v>
      </c>
      <c r="P53" s="64">
        <v>0.73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11" t="s">
        <v>773</v>
      </c>
      <c r="B54" s="64">
        <v>8.34</v>
      </c>
      <c r="C54" s="64">
        <v>11.4</v>
      </c>
      <c r="D54" s="64">
        <v>12.19</v>
      </c>
      <c r="E54" s="64">
        <v>5.86</v>
      </c>
      <c r="F54" s="64">
        <v>7.27</v>
      </c>
      <c r="G54" s="64">
        <v>77.73</v>
      </c>
      <c r="H54" s="64">
        <v>25.92</v>
      </c>
      <c r="I54" s="64">
        <v>2.17</v>
      </c>
      <c r="J54" s="64">
        <v>0.66</v>
      </c>
      <c r="K54" s="64">
        <v>354.05</v>
      </c>
      <c r="L54" s="64">
        <v>29.89</v>
      </c>
      <c r="M54" s="64">
        <v>47.18</v>
      </c>
      <c r="N54" s="64">
        <v>615.29999999999995</v>
      </c>
      <c r="O54" s="64">
        <v>0</v>
      </c>
      <c r="P54" s="64">
        <v>0.72</v>
      </c>
      <c r="Q54" s="64">
        <v>9.26</v>
      </c>
      <c r="R54" s="198"/>
      <c r="S54" s="198"/>
      <c r="T54" s="198"/>
      <c r="U54" s="198"/>
    </row>
    <row r="55" spans="1:21" s="12" customFormat="1" x14ac:dyDescent="0.25">
      <c r="A55" s="211" t="s">
        <v>774</v>
      </c>
      <c r="B55" s="64">
        <v>7.22</v>
      </c>
      <c r="C55" s="64">
        <v>11.43</v>
      </c>
      <c r="D55" s="64">
        <v>11.3</v>
      </c>
      <c r="E55" s="64">
        <v>5.48</v>
      </c>
      <c r="F55" s="64">
        <v>10.06</v>
      </c>
      <c r="G55" s="64">
        <v>69.5</v>
      </c>
      <c r="H55" s="64">
        <v>25.25</v>
      </c>
      <c r="I55" s="64">
        <v>2.14</v>
      </c>
      <c r="J55" s="64">
        <v>0.66</v>
      </c>
      <c r="K55" s="64">
        <v>334.97</v>
      </c>
      <c r="L55" s="64">
        <v>30.18</v>
      </c>
      <c r="M55" s="64">
        <v>45.29</v>
      </c>
      <c r="N55" s="64">
        <v>537.70000000000005</v>
      </c>
      <c r="O55" s="64">
        <v>0</v>
      </c>
      <c r="P55" s="64">
        <v>0.66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11" t="s">
        <v>775</v>
      </c>
      <c r="B56" s="64">
        <v>6.46</v>
      </c>
      <c r="C56" s="64">
        <v>11.19</v>
      </c>
      <c r="D56" s="64">
        <v>10.56</v>
      </c>
      <c r="E56" s="64">
        <v>5.24</v>
      </c>
      <c r="F56" s="64">
        <v>5.64</v>
      </c>
      <c r="G56" s="64">
        <v>69.5</v>
      </c>
      <c r="H56" s="64">
        <v>25.25</v>
      </c>
      <c r="I56" s="64">
        <v>2.11</v>
      </c>
      <c r="J56" s="64">
        <v>0.45</v>
      </c>
      <c r="K56" s="64">
        <v>342.85</v>
      </c>
      <c r="L56" s="64">
        <v>30.3</v>
      </c>
      <c r="M56" s="64">
        <v>45.56</v>
      </c>
      <c r="N56" s="64">
        <v>540.5</v>
      </c>
      <c r="O56" s="64">
        <v>0</v>
      </c>
      <c r="P56" s="64">
        <v>0.67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11" t="s">
        <v>776</v>
      </c>
      <c r="B57" s="64">
        <v>5.6</v>
      </c>
      <c r="C57" s="64">
        <v>11.43</v>
      </c>
      <c r="D57" s="64">
        <v>10</v>
      </c>
      <c r="E57" s="64">
        <v>5.29</v>
      </c>
      <c r="F57" s="64">
        <v>6.15</v>
      </c>
      <c r="G57" s="64">
        <v>69.5</v>
      </c>
      <c r="H57" s="64">
        <v>25.25</v>
      </c>
      <c r="I57" s="64">
        <v>2.08</v>
      </c>
      <c r="J57" s="64">
        <v>1.06</v>
      </c>
      <c r="K57" s="64">
        <v>344.35</v>
      </c>
      <c r="L57" s="64">
        <v>29.99</v>
      </c>
      <c r="M57" s="64">
        <v>46.31</v>
      </c>
      <c r="N57" s="64">
        <v>293.3</v>
      </c>
      <c r="O57" s="64">
        <v>0</v>
      </c>
      <c r="P57" s="64">
        <v>0.65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1" t="s">
        <v>777</v>
      </c>
      <c r="B58" s="64">
        <v>5.28</v>
      </c>
      <c r="C58" s="64">
        <v>11.42</v>
      </c>
      <c r="D58" s="64">
        <v>9.74</v>
      </c>
      <c r="E58" s="64">
        <v>4.93</v>
      </c>
      <c r="F58" s="64">
        <v>9.26</v>
      </c>
      <c r="G58" s="64">
        <v>66.98</v>
      </c>
      <c r="H58" s="64">
        <v>23.74</v>
      </c>
      <c r="I58" s="64">
        <v>2.0499999999999998</v>
      </c>
      <c r="J58" s="64">
        <v>0.81</v>
      </c>
      <c r="K58" s="64">
        <v>346.31</v>
      </c>
      <c r="L58" s="64">
        <v>29.04</v>
      </c>
      <c r="M58" s="64">
        <v>48.21</v>
      </c>
      <c r="N58" s="64">
        <v>206.9</v>
      </c>
      <c r="O58" s="64">
        <v>0</v>
      </c>
      <c r="P58" s="64">
        <v>0.6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1" t="s">
        <v>778</v>
      </c>
      <c r="B59" s="64">
        <v>6.01</v>
      </c>
      <c r="C59" s="64">
        <v>13.71</v>
      </c>
      <c r="D59" s="64">
        <v>11.53</v>
      </c>
      <c r="E59" s="64">
        <v>5.17</v>
      </c>
      <c r="F59" s="64">
        <v>8.89</v>
      </c>
      <c r="G59" s="64">
        <v>60.05</v>
      </c>
      <c r="H59" s="64">
        <v>17.829999999999998</v>
      </c>
      <c r="I59" s="64">
        <v>2.02</v>
      </c>
      <c r="J59" s="64">
        <v>0.97</v>
      </c>
      <c r="K59" s="64">
        <v>342.44</v>
      </c>
      <c r="L59" s="64">
        <v>28.48</v>
      </c>
      <c r="M59" s="64">
        <v>51</v>
      </c>
      <c r="N59" s="64">
        <v>201.6</v>
      </c>
      <c r="O59" s="64">
        <v>0</v>
      </c>
      <c r="P59" s="64">
        <v>0.62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1" t="s">
        <v>779</v>
      </c>
      <c r="B60" s="64">
        <v>6.61</v>
      </c>
      <c r="C60" s="64">
        <v>12.6</v>
      </c>
      <c r="D60" s="64">
        <v>11.43</v>
      </c>
      <c r="E60" s="64">
        <v>5.32</v>
      </c>
      <c r="F60" s="64">
        <v>10.19</v>
      </c>
      <c r="G60" s="64">
        <v>60.05</v>
      </c>
      <c r="H60" s="64">
        <v>17.829999999999998</v>
      </c>
      <c r="I60" s="64">
        <v>2.13</v>
      </c>
      <c r="J60" s="64">
        <v>1.06</v>
      </c>
      <c r="K60" s="64">
        <v>341.84</v>
      </c>
      <c r="L60" s="64">
        <v>29.25</v>
      </c>
      <c r="M60" s="64">
        <v>48.22</v>
      </c>
      <c r="N60" s="64">
        <v>414.2</v>
      </c>
      <c r="O60" s="64">
        <v>0</v>
      </c>
      <c r="P60" s="64">
        <v>0.61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1" t="s">
        <v>780</v>
      </c>
      <c r="B61" s="64">
        <v>9.33</v>
      </c>
      <c r="C61" s="64">
        <v>17.239999999999998</v>
      </c>
      <c r="D61" s="64">
        <v>16.03</v>
      </c>
      <c r="E61" s="64">
        <v>5.61</v>
      </c>
      <c r="F61" s="64">
        <v>12.85</v>
      </c>
      <c r="G61" s="64">
        <v>60.05</v>
      </c>
      <c r="H61" s="64">
        <v>17.829999999999998</v>
      </c>
      <c r="I61" s="64">
        <v>2.21</v>
      </c>
      <c r="J61" s="64">
        <v>0.63</v>
      </c>
      <c r="K61" s="64">
        <v>348.28</v>
      </c>
      <c r="L61" s="64">
        <v>29.18</v>
      </c>
      <c r="M61" s="64">
        <v>47.68</v>
      </c>
      <c r="N61" s="64">
        <v>181.3</v>
      </c>
      <c r="O61" s="64">
        <v>0</v>
      </c>
      <c r="P61" s="64">
        <v>0.61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1" t="s">
        <v>781</v>
      </c>
      <c r="B62" s="64">
        <v>6.15</v>
      </c>
      <c r="C62" s="64">
        <v>13.35</v>
      </c>
      <c r="D62" s="64">
        <v>11.45</v>
      </c>
      <c r="E62" s="64">
        <v>5.95</v>
      </c>
      <c r="F62" s="64">
        <v>5.88</v>
      </c>
      <c r="G62" s="64">
        <v>58.39</v>
      </c>
      <c r="H62" s="64">
        <v>17.07</v>
      </c>
      <c r="I62" s="64">
        <v>2.1800000000000002</v>
      </c>
      <c r="J62" s="64">
        <v>1.08</v>
      </c>
      <c r="K62" s="64">
        <v>345.52</v>
      </c>
      <c r="L62" s="64">
        <v>28.48</v>
      </c>
      <c r="M62" s="64">
        <v>50.3</v>
      </c>
      <c r="N62" s="64">
        <v>191.6</v>
      </c>
      <c r="O62" s="64">
        <v>0</v>
      </c>
      <c r="P62" s="64">
        <v>0.65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1" t="s">
        <v>782</v>
      </c>
      <c r="B63" s="64">
        <v>6.13</v>
      </c>
      <c r="C63" s="64">
        <v>13.28</v>
      </c>
      <c r="D63" s="64">
        <v>11.39</v>
      </c>
      <c r="E63" s="64">
        <v>5.51</v>
      </c>
      <c r="F63" s="64">
        <v>11.55</v>
      </c>
      <c r="G63" s="64">
        <v>53.82</v>
      </c>
      <c r="H63" s="64">
        <v>15.71</v>
      </c>
      <c r="I63" s="64">
        <v>2.04</v>
      </c>
      <c r="J63" s="64">
        <v>0.88</v>
      </c>
      <c r="K63" s="64">
        <v>350.1</v>
      </c>
      <c r="L63" s="64">
        <v>29.24</v>
      </c>
      <c r="M63" s="64">
        <v>48.36</v>
      </c>
      <c r="N63" s="64">
        <v>296.39999999999998</v>
      </c>
      <c r="O63" s="64">
        <v>0</v>
      </c>
      <c r="P63" s="64">
        <v>0.57999999999999996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1" t="s">
        <v>783</v>
      </c>
      <c r="B64" s="64">
        <v>6.82</v>
      </c>
      <c r="C64" s="64">
        <v>13.75</v>
      </c>
      <c r="D64" s="64">
        <v>12.19</v>
      </c>
      <c r="E64" s="64">
        <v>6.38</v>
      </c>
      <c r="F64" s="64">
        <v>12.04</v>
      </c>
      <c r="G64" s="64">
        <v>53.82</v>
      </c>
      <c r="H64" s="64">
        <v>15.71</v>
      </c>
      <c r="I64" s="64">
        <v>1.94</v>
      </c>
      <c r="J64" s="64">
        <v>1.25</v>
      </c>
      <c r="K64" s="64">
        <v>343.53</v>
      </c>
      <c r="L64" s="64">
        <v>30.01</v>
      </c>
      <c r="M64" s="64">
        <v>44.32</v>
      </c>
      <c r="N64" s="64">
        <v>202.6</v>
      </c>
      <c r="O64" s="64">
        <v>0</v>
      </c>
      <c r="P64" s="64">
        <v>0.57999999999999996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1" t="s">
        <v>784</v>
      </c>
      <c r="B65" s="64">
        <v>6.27</v>
      </c>
      <c r="C65" s="64">
        <v>15.28</v>
      </c>
      <c r="D65" s="64">
        <v>12.54</v>
      </c>
      <c r="E65" s="64">
        <v>6.45</v>
      </c>
      <c r="F65" s="64">
        <v>11.97</v>
      </c>
      <c r="G65" s="64">
        <v>53.82</v>
      </c>
      <c r="H65" s="64">
        <v>15.71</v>
      </c>
      <c r="I65" s="64">
        <v>2.0499999999999998</v>
      </c>
      <c r="J65" s="64">
        <v>0.86</v>
      </c>
      <c r="K65" s="64">
        <v>343.08</v>
      </c>
      <c r="L65" s="64">
        <v>28.95</v>
      </c>
      <c r="M65" s="64">
        <v>45.95</v>
      </c>
      <c r="N65" s="64">
        <v>140.9</v>
      </c>
      <c r="O65" s="64">
        <v>0</v>
      </c>
      <c r="P65" s="64">
        <v>0.65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11" t="s">
        <v>785</v>
      </c>
      <c r="B66" s="64">
        <v>6.46</v>
      </c>
      <c r="C66" s="64">
        <v>15.27</v>
      </c>
      <c r="D66" s="64">
        <v>12.7</v>
      </c>
      <c r="E66" s="64">
        <v>6.79</v>
      </c>
      <c r="F66" s="64">
        <v>12.91</v>
      </c>
      <c r="G66" s="64">
        <v>52.57</v>
      </c>
      <c r="H66" s="64">
        <v>16.649999999999999</v>
      </c>
      <c r="I66" s="64">
        <v>2.12</v>
      </c>
      <c r="J66" s="64">
        <v>0.88</v>
      </c>
      <c r="K66" s="64">
        <v>339.18</v>
      </c>
      <c r="L66" s="64">
        <v>28.95</v>
      </c>
      <c r="M66" s="64">
        <v>47.62</v>
      </c>
      <c r="N66" s="64">
        <v>177.8</v>
      </c>
      <c r="O66" s="64">
        <v>0</v>
      </c>
      <c r="P66" s="64">
        <v>0.61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1" t="s">
        <v>786</v>
      </c>
      <c r="B67" s="64">
        <v>6.19</v>
      </c>
      <c r="C67" s="64">
        <v>16.95</v>
      </c>
      <c r="D67" s="64">
        <v>13.36</v>
      </c>
      <c r="E67" s="64">
        <v>7.61</v>
      </c>
      <c r="F67" s="64">
        <v>14.27</v>
      </c>
      <c r="G67" s="64">
        <v>49.31</v>
      </c>
      <c r="H67" s="64">
        <v>18.329999999999998</v>
      </c>
      <c r="I67" s="64">
        <v>2.1</v>
      </c>
      <c r="J67" s="64">
        <v>0.59</v>
      </c>
      <c r="K67" s="64">
        <v>338.51</v>
      </c>
      <c r="L67" s="64">
        <v>28.7</v>
      </c>
      <c r="M67" s="64">
        <v>48.93</v>
      </c>
      <c r="N67" s="64">
        <v>143.1</v>
      </c>
      <c r="O67" s="64">
        <v>0</v>
      </c>
      <c r="P67" s="64">
        <v>0.63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11" t="s">
        <v>787</v>
      </c>
      <c r="B68" s="64">
        <v>5.63</v>
      </c>
      <c r="C68" s="64">
        <v>15.65</v>
      </c>
      <c r="D68" s="64">
        <v>12.23</v>
      </c>
      <c r="E68" s="64">
        <v>8.56</v>
      </c>
      <c r="F68" s="64">
        <v>13.79</v>
      </c>
      <c r="G68" s="64">
        <v>49.31</v>
      </c>
      <c r="H68" s="64">
        <v>18.329999999999998</v>
      </c>
      <c r="I68" s="64">
        <v>1.97</v>
      </c>
      <c r="J68" s="64">
        <v>0.34</v>
      </c>
      <c r="K68" s="64">
        <v>352.15</v>
      </c>
      <c r="L68" s="64">
        <v>28.19</v>
      </c>
      <c r="M68" s="64">
        <v>48.17</v>
      </c>
      <c r="N68" s="64">
        <v>120.1</v>
      </c>
      <c r="O68" s="64">
        <v>0</v>
      </c>
      <c r="P68" s="64">
        <v>0.6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1" t="s">
        <v>788</v>
      </c>
      <c r="B69" s="64">
        <v>3.18</v>
      </c>
      <c r="C69" s="64">
        <v>18.25</v>
      </c>
      <c r="D69" s="64">
        <v>11.62</v>
      </c>
      <c r="E69" s="64">
        <v>8.73</v>
      </c>
      <c r="F69" s="64">
        <v>18.55</v>
      </c>
      <c r="G69" s="64">
        <v>49.31</v>
      </c>
      <c r="H69" s="64">
        <v>18.329999999999998</v>
      </c>
      <c r="I69" s="64">
        <v>1.99</v>
      </c>
      <c r="J69" s="64">
        <v>0.51</v>
      </c>
      <c r="K69" s="64">
        <v>121.35</v>
      </c>
      <c r="L69" s="64">
        <v>27.31</v>
      </c>
      <c r="M69" s="64">
        <v>50</v>
      </c>
      <c r="N69" s="64">
        <v>130</v>
      </c>
      <c r="O69" s="64">
        <v>0</v>
      </c>
      <c r="P69" s="64">
        <v>0.47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1" t="s">
        <v>789</v>
      </c>
      <c r="B70" s="64">
        <v>3.91</v>
      </c>
      <c r="C70" s="64">
        <v>15.47</v>
      </c>
      <c r="D70" s="64">
        <v>13.81</v>
      </c>
      <c r="E70" s="64">
        <v>9.08</v>
      </c>
      <c r="F70" s="64">
        <v>17.809999999999999</v>
      </c>
      <c r="G70" s="64">
        <v>44.43</v>
      </c>
      <c r="H70" s="64">
        <v>15.94</v>
      </c>
      <c r="I70" s="64">
        <v>2.0499999999999998</v>
      </c>
      <c r="J70" s="64">
        <v>0.37</v>
      </c>
      <c r="K70" s="64">
        <v>351.3</v>
      </c>
      <c r="L70" s="64">
        <v>27.7</v>
      </c>
      <c r="M70" s="64">
        <v>50.45</v>
      </c>
      <c r="N70" s="64">
        <v>99.3</v>
      </c>
      <c r="O70" s="64">
        <v>0</v>
      </c>
      <c r="P70" s="64">
        <v>0.54</v>
      </c>
      <c r="Q70" s="64">
        <v>9.19</v>
      </c>
      <c r="R70" s="198"/>
      <c r="S70" s="198"/>
      <c r="T70" s="198"/>
      <c r="U70" s="198"/>
    </row>
    <row r="71" spans="1:21" s="12" customFormat="1" x14ac:dyDescent="0.25">
      <c r="A71" s="211" t="s">
        <v>790</v>
      </c>
      <c r="B71" s="64">
        <v>7.7</v>
      </c>
      <c r="C71" s="64">
        <v>16.27</v>
      </c>
      <c r="D71" s="64">
        <v>14.21</v>
      </c>
      <c r="E71" s="64">
        <v>8.9499999999999993</v>
      </c>
      <c r="F71" s="64">
        <v>7.94</v>
      </c>
      <c r="G71" s="64">
        <v>44.43</v>
      </c>
      <c r="H71" s="64">
        <v>15.94</v>
      </c>
      <c r="I71" s="64">
        <v>2.04</v>
      </c>
      <c r="J71" s="64">
        <v>0.35</v>
      </c>
      <c r="K71" s="64">
        <v>331.47</v>
      </c>
      <c r="L71" s="64">
        <v>27.52</v>
      </c>
      <c r="M71" s="64">
        <v>51.02</v>
      </c>
      <c r="N71" s="64">
        <v>91.1</v>
      </c>
      <c r="O71" s="64">
        <v>0</v>
      </c>
      <c r="P71" s="64">
        <v>0.69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1" t="s">
        <v>791</v>
      </c>
      <c r="B72" s="64">
        <v>6</v>
      </c>
      <c r="C72" s="64">
        <v>17.600000000000001</v>
      </c>
      <c r="D72" s="64">
        <v>13.54</v>
      </c>
      <c r="E72" s="64">
        <v>6.64</v>
      </c>
      <c r="F72" s="64">
        <v>14.85</v>
      </c>
      <c r="G72" s="64">
        <v>44.43</v>
      </c>
      <c r="H72" s="64">
        <v>15.94</v>
      </c>
      <c r="I72" s="64">
        <v>2.04</v>
      </c>
      <c r="J72" s="64">
        <v>0.17</v>
      </c>
      <c r="K72" s="64">
        <v>40.11</v>
      </c>
      <c r="L72" s="64">
        <v>27.38</v>
      </c>
      <c r="M72" s="64">
        <v>50.99</v>
      </c>
      <c r="N72" s="64">
        <v>86.7</v>
      </c>
      <c r="O72" s="64">
        <v>0</v>
      </c>
      <c r="P72" s="64">
        <v>0.52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1" t="s">
        <v>792</v>
      </c>
      <c r="B73" s="64">
        <v>7.9</v>
      </c>
      <c r="C73" s="64">
        <v>16.29</v>
      </c>
      <c r="D73" s="64">
        <v>14.39</v>
      </c>
      <c r="E73" s="64">
        <v>7.92</v>
      </c>
      <c r="F73" s="64">
        <v>8.43</v>
      </c>
      <c r="G73" s="64">
        <v>44.43</v>
      </c>
      <c r="H73" s="64">
        <v>15.94</v>
      </c>
      <c r="I73" s="64">
        <v>1.92</v>
      </c>
      <c r="J73" s="64">
        <v>0.73</v>
      </c>
      <c r="K73" s="64">
        <v>344.27</v>
      </c>
      <c r="L73" s="64">
        <v>27.31</v>
      </c>
      <c r="M73" s="64">
        <v>52.12</v>
      </c>
      <c r="N73" s="64">
        <v>78</v>
      </c>
      <c r="O73" s="64">
        <v>0</v>
      </c>
      <c r="P73" s="64">
        <v>0.61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1" t="s">
        <v>793</v>
      </c>
      <c r="B74" s="64">
        <v>7.71</v>
      </c>
      <c r="C74" s="64">
        <v>14.24</v>
      </c>
      <c r="D74" s="64">
        <v>13.16</v>
      </c>
      <c r="E74" s="64">
        <v>7.27</v>
      </c>
      <c r="F74" s="64">
        <v>9.48</v>
      </c>
      <c r="G74" s="64">
        <v>45.2</v>
      </c>
      <c r="H74" s="64">
        <v>16.12</v>
      </c>
      <c r="I74" s="64">
        <v>1.83</v>
      </c>
      <c r="J74" s="64">
        <v>0.95</v>
      </c>
      <c r="K74" s="64">
        <v>345.67</v>
      </c>
      <c r="L74" s="64">
        <v>27.2</v>
      </c>
      <c r="M74" s="64">
        <v>51.06</v>
      </c>
      <c r="N74" s="64">
        <v>68.2</v>
      </c>
      <c r="O74" s="64">
        <v>0</v>
      </c>
      <c r="P74" s="64">
        <v>0.61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1" t="s">
        <v>794</v>
      </c>
      <c r="B75" s="64">
        <v>6.62</v>
      </c>
      <c r="C75" s="64">
        <v>15.63</v>
      </c>
      <c r="D75" s="64">
        <v>13.02</v>
      </c>
      <c r="E75" s="64">
        <v>7.31</v>
      </c>
      <c r="F75" s="64">
        <v>12.98</v>
      </c>
      <c r="G75" s="64">
        <v>47.31</v>
      </c>
      <c r="H75" s="64">
        <v>16.809999999999999</v>
      </c>
      <c r="I75" s="64">
        <v>1.84</v>
      </c>
      <c r="J75" s="64">
        <v>0.85</v>
      </c>
      <c r="K75" s="64">
        <v>347.66</v>
      </c>
      <c r="L75" s="64">
        <v>26.92</v>
      </c>
      <c r="M75" s="64">
        <v>53.22</v>
      </c>
      <c r="N75" s="64">
        <v>59.3</v>
      </c>
      <c r="O75" s="64">
        <v>0</v>
      </c>
      <c r="P75" s="64">
        <v>0.64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1" t="s">
        <v>795</v>
      </c>
      <c r="B76" s="64">
        <v>14.34</v>
      </c>
      <c r="C76" s="64">
        <v>15.86</v>
      </c>
      <c r="D76" s="64">
        <v>19.32</v>
      </c>
      <c r="E76" s="64">
        <v>7.28</v>
      </c>
      <c r="F76" s="64">
        <v>8.59</v>
      </c>
      <c r="G76" s="64">
        <v>47.31</v>
      </c>
      <c r="H76" s="64">
        <v>16.809999999999999</v>
      </c>
      <c r="I76" s="64">
        <v>1.84</v>
      </c>
      <c r="J76" s="64">
        <v>0.43</v>
      </c>
      <c r="K76" s="64">
        <v>347.86</v>
      </c>
      <c r="L76" s="64">
        <v>26.5</v>
      </c>
      <c r="M76" s="64">
        <v>54.7</v>
      </c>
      <c r="N76" s="64">
        <v>52.3</v>
      </c>
      <c r="O76" s="64">
        <v>0</v>
      </c>
      <c r="P76" s="64">
        <v>0.73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11" t="s">
        <v>796</v>
      </c>
      <c r="B77" s="64">
        <v>22.31</v>
      </c>
      <c r="C77" s="64">
        <v>37.770000000000003</v>
      </c>
      <c r="D77" s="64">
        <v>37.159999999999997</v>
      </c>
      <c r="E77" s="64">
        <v>7.44</v>
      </c>
      <c r="F77" s="64">
        <v>7.3</v>
      </c>
      <c r="G77" s="64">
        <v>47.31</v>
      </c>
      <c r="H77" s="64">
        <v>16.809999999999999</v>
      </c>
      <c r="I77" s="64">
        <v>1.85</v>
      </c>
      <c r="J77" s="64">
        <v>0.06</v>
      </c>
      <c r="K77" s="64">
        <v>87.17</v>
      </c>
      <c r="L77" s="64">
        <v>25.94</v>
      </c>
      <c r="M77" s="64">
        <v>57.29</v>
      </c>
      <c r="N77" s="64">
        <v>46.4</v>
      </c>
      <c r="O77" s="64">
        <v>0</v>
      </c>
      <c r="P77" s="64">
        <v>1.02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1" t="s">
        <v>797</v>
      </c>
      <c r="B78" s="64">
        <v>8.64</v>
      </c>
      <c r="C78" s="64">
        <v>17.45</v>
      </c>
      <c r="D78" s="64">
        <v>15.58</v>
      </c>
      <c r="E78" s="64">
        <v>6.62</v>
      </c>
      <c r="F78" s="64">
        <v>9.34</v>
      </c>
      <c r="G78" s="64">
        <v>47.66</v>
      </c>
      <c r="H78" s="64">
        <v>16.46</v>
      </c>
      <c r="I78" s="64">
        <v>1.89</v>
      </c>
      <c r="J78" s="64">
        <v>0.05</v>
      </c>
      <c r="K78" s="64">
        <v>32.22</v>
      </c>
      <c r="L78" s="64">
        <v>25.4</v>
      </c>
      <c r="M78" s="64">
        <v>60.26</v>
      </c>
      <c r="N78" s="64">
        <v>42.9</v>
      </c>
      <c r="O78" s="64">
        <v>0</v>
      </c>
      <c r="P78" s="64">
        <v>0.77</v>
      </c>
      <c r="Q78" s="64">
        <v>9.18</v>
      </c>
      <c r="R78" s="198"/>
      <c r="S78" s="198"/>
      <c r="T78" s="198"/>
      <c r="U78" s="198"/>
    </row>
    <row r="79" spans="1:21" s="12" customFormat="1" x14ac:dyDescent="0.25">
      <c r="A79" s="211" t="s">
        <v>798</v>
      </c>
      <c r="B79" s="64">
        <v>28.6</v>
      </c>
      <c r="C79" s="64">
        <v>32.880000000000003</v>
      </c>
      <c r="D79" s="64">
        <v>39.659999999999997</v>
      </c>
      <c r="E79" s="64">
        <v>7.57</v>
      </c>
      <c r="F79" s="64">
        <v>4.9800000000000004</v>
      </c>
      <c r="G79" s="64">
        <v>48.64</v>
      </c>
      <c r="H79" s="64">
        <v>15.83</v>
      </c>
      <c r="I79" s="64">
        <v>1.95</v>
      </c>
      <c r="J79" s="64">
        <v>0.12</v>
      </c>
      <c r="K79" s="64">
        <v>3.34</v>
      </c>
      <c r="L79" s="64">
        <v>24.91</v>
      </c>
      <c r="M79" s="64">
        <v>65.540000000000006</v>
      </c>
      <c r="N79" s="64">
        <v>41.9</v>
      </c>
      <c r="O79" s="64">
        <v>0</v>
      </c>
      <c r="P79" s="64">
        <v>1.67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1" t="s">
        <v>799</v>
      </c>
      <c r="B80" s="64">
        <v>13.78</v>
      </c>
      <c r="C80" s="64">
        <v>22.9</v>
      </c>
      <c r="D80" s="64">
        <v>22.56</v>
      </c>
      <c r="E80" s="64">
        <v>6.51</v>
      </c>
      <c r="F80" s="64">
        <v>6.84</v>
      </c>
      <c r="G80" s="64">
        <v>48.64</v>
      </c>
      <c r="H80" s="64">
        <v>15.83</v>
      </c>
      <c r="I80" s="64">
        <v>2.0099999999999998</v>
      </c>
      <c r="J80" s="64">
        <v>0.04</v>
      </c>
      <c r="K80" s="64">
        <v>9.23</v>
      </c>
      <c r="L80" s="64">
        <v>24.7</v>
      </c>
      <c r="M80" s="64">
        <v>66.27</v>
      </c>
      <c r="N80" s="64">
        <v>41.7</v>
      </c>
      <c r="O80" s="64">
        <v>0</v>
      </c>
      <c r="P80" s="64">
        <v>1.1200000000000001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1" t="s">
        <v>800</v>
      </c>
      <c r="B81" s="64">
        <v>17.12</v>
      </c>
      <c r="C81" s="64">
        <v>31.24</v>
      </c>
      <c r="D81" s="64">
        <v>29.59</v>
      </c>
      <c r="E81" s="64">
        <v>7.29</v>
      </c>
      <c r="F81" s="64">
        <v>6.25</v>
      </c>
      <c r="G81" s="64">
        <v>48.64</v>
      </c>
      <c r="H81" s="64">
        <v>15.83</v>
      </c>
      <c r="I81" s="64">
        <v>2.13</v>
      </c>
      <c r="J81" s="64">
        <v>0.08</v>
      </c>
      <c r="K81" s="64">
        <v>62.25</v>
      </c>
      <c r="L81" s="64">
        <v>24.53</v>
      </c>
      <c r="M81" s="64">
        <v>68.44</v>
      </c>
      <c r="N81" s="64">
        <v>41.6</v>
      </c>
      <c r="O81" s="64">
        <v>0</v>
      </c>
      <c r="P81" s="64">
        <v>1.54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1" t="s">
        <v>801</v>
      </c>
      <c r="B82" s="64">
        <v>4.75</v>
      </c>
      <c r="C82" s="64">
        <v>30.28</v>
      </c>
      <c r="D82" s="64">
        <v>19.170000000000002</v>
      </c>
      <c r="E82" s="64">
        <v>6.78</v>
      </c>
      <c r="F82" s="64">
        <v>9.18</v>
      </c>
      <c r="G82" s="64">
        <v>52.56</v>
      </c>
      <c r="H82" s="64">
        <v>18.73</v>
      </c>
      <c r="I82" s="64">
        <v>2.2799999999999998</v>
      </c>
      <c r="J82" s="64">
        <v>0.02</v>
      </c>
      <c r="K82" s="64">
        <v>34.43</v>
      </c>
      <c r="L82" s="64">
        <v>24.29</v>
      </c>
      <c r="M82" s="64">
        <v>70.88</v>
      </c>
      <c r="N82" s="64">
        <v>41.5</v>
      </c>
      <c r="O82" s="64">
        <v>0</v>
      </c>
      <c r="P82" s="64">
        <v>1.17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1" t="s">
        <v>802</v>
      </c>
      <c r="B83" s="64">
        <v>26.26</v>
      </c>
      <c r="C83" s="64">
        <v>21.45</v>
      </c>
      <c r="D83" s="64">
        <v>31.8</v>
      </c>
      <c r="E83" s="64">
        <v>6.76</v>
      </c>
      <c r="F83" s="64">
        <v>7.23</v>
      </c>
      <c r="G83" s="64">
        <v>63.36</v>
      </c>
      <c r="H83" s="64">
        <v>23.91</v>
      </c>
      <c r="I83" s="64">
        <v>2.4</v>
      </c>
      <c r="J83" s="64">
        <v>0.17</v>
      </c>
      <c r="K83" s="64">
        <v>344.09</v>
      </c>
      <c r="L83" s="64">
        <v>24.06</v>
      </c>
      <c r="M83" s="64">
        <v>78.64</v>
      </c>
      <c r="N83" s="64">
        <v>41.7</v>
      </c>
      <c r="O83" s="64">
        <v>0</v>
      </c>
      <c r="P83" s="64">
        <v>1.79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11" t="s">
        <v>803</v>
      </c>
      <c r="B84" s="64">
        <v>23.52</v>
      </c>
      <c r="C84" s="64">
        <v>26</v>
      </c>
      <c r="D84" s="64">
        <v>31.98</v>
      </c>
      <c r="E84" s="64">
        <v>6.41</v>
      </c>
      <c r="F84" s="64">
        <v>5.95</v>
      </c>
      <c r="G84" s="64">
        <v>63.36</v>
      </c>
      <c r="H84" s="64">
        <v>23.91</v>
      </c>
      <c r="I84" s="64">
        <v>2.4900000000000002</v>
      </c>
      <c r="J84" s="64">
        <v>0.08</v>
      </c>
      <c r="K84" s="64">
        <v>312.77999999999997</v>
      </c>
      <c r="L84" s="64">
        <v>23.52</v>
      </c>
      <c r="M84" s="64">
        <v>83.54</v>
      </c>
      <c r="N84" s="64">
        <v>41.5</v>
      </c>
      <c r="O84" s="64">
        <v>0</v>
      </c>
      <c r="P84" s="64">
        <v>1.79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1" t="s">
        <v>804</v>
      </c>
      <c r="B85" s="64">
        <v>24.5</v>
      </c>
      <c r="C85" s="64">
        <v>28.58</v>
      </c>
      <c r="D85" s="64">
        <v>34.119999999999997</v>
      </c>
      <c r="E85" s="64">
        <v>6.39</v>
      </c>
      <c r="F85" s="64">
        <v>5.61</v>
      </c>
      <c r="G85" s="64">
        <v>63.36</v>
      </c>
      <c r="H85" s="64">
        <v>23.91</v>
      </c>
      <c r="I85" s="64">
        <v>2.64</v>
      </c>
      <c r="J85" s="64">
        <v>0.05</v>
      </c>
      <c r="K85" s="64">
        <v>8.51</v>
      </c>
      <c r="L85" s="64">
        <v>23.27</v>
      </c>
      <c r="M85" s="64">
        <v>84.18</v>
      </c>
      <c r="N85" s="64">
        <v>41.5</v>
      </c>
      <c r="O85" s="64">
        <v>0</v>
      </c>
      <c r="P85" s="64">
        <v>1.74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11" t="s">
        <v>805</v>
      </c>
      <c r="B86" s="64">
        <v>53.73</v>
      </c>
      <c r="C86" s="64">
        <v>18.41</v>
      </c>
      <c r="D86" s="64">
        <v>50.8</v>
      </c>
      <c r="E86" s="64">
        <v>6.44</v>
      </c>
      <c r="F86" s="64">
        <v>5.29</v>
      </c>
      <c r="G86" s="64">
        <v>67.03</v>
      </c>
      <c r="H86" s="64">
        <v>26.43</v>
      </c>
      <c r="I86" s="64">
        <v>2.82</v>
      </c>
      <c r="J86" s="64">
        <v>0.08</v>
      </c>
      <c r="K86" s="64">
        <v>302.5</v>
      </c>
      <c r="L86" s="64">
        <v>23.28</v>
      </c>
      <c r="M86" s="64">
        <v>83.7</v>
      </c>
      <c r="N86" s="64">
        <v>41.5</v>
      </c>
      <c r="O86" s="64">
        <v>0</v>
      </c>
      <c r="P86" s="64">
        <v>1.43</v>
      </c>
      <c r="Q86" s="64">
        <v>9.3699999999999992</v>
      </c>
      <c r="R86" s="198"/>
      <c r="S86" s="198"/>
      <c r="T86" s="198"/>
      <c r="U86" s="198"/>
    </row>
    <row r="87" spans="1:26" s="12" customFormat="1" x14ac:dyDescent="0.25">
      <c r="A87" s="211" t="s">
        <v>806</v>
      </c>
      <c r="B87" s="64">
        <v>82.11</v>
      </c>
      <c r="C87" s="64">
        <v>5.91</v>
      </c>
      <c r="D87" s="64">
        <v>67.52</v>
      </c>
      <c r="E87" s="64">
        <v>6.66</v>
      </c>
      <c r="F87" s="64">
        <v>5.55</v>
      </c>
      <c r="G87" s="64">
        <v>77.12</v>
      </c>
      <c r="H87" s="64">
        <v>30.94</v>
      </c>
      <c r="I87" s="64">
        <v>2.94</v>
      </c>
      <c r="J87" s="64">
        <v>0.12</v>
      </c>
      <c r="K87" s="64">
        <v>319.95999999999998</v>
      </c>
      <c r="L87" s="64">
        <v>23.1</v>
      </c>
      <c r="M87" s="64">
        <v>87.69</v>
      </c>
      <c r="N87" s="64">
        <v>41.5</v>
      </c>
      <c r="O87" s="64">
        <v>0</v>
      </c>
      <c r="P87" s="64">
        <v>1.92</v>
      </c>
      <c r="Q87" s="64">
        <v>9.41</v>
      </c>
      <c r="R87" s="198"/>
      <c r="S87" s="198"/>
      <c r="T87" s="198"/>
      <c r="U87" s="198"/>
    </row>
    <row r="88" spans="1:26" s="12" customFormat="1" x14ac:dyDescent="0.25">
      <c r="A88" s="211" t="s">
        <v>807</v>
      </c>
      <c r="B88" s="64">
        <v>82.56</v>
      </c>
      <c r="C88" s="64">
        <v>5.46</v>
      </c>
      <c r="D88" s="64">
        <v>66.47</v>
      </c>
      <c r="E88" s="64">
        <v>7.01</v>
      </c>
      <c r="F88" s="64">
        <v>5.92</v>
      </c>
      <c r="G88" s="64">
        <v>77.12</v>
      </c>
      <c r="H88" s="64">
        <v>30.94</v>
      </c>
      <c r="I88" s="64">
        <v>3.03</v>
      </c>
      <c r="J88" s="64">
        <v>0.17</v>
      </c>
      <c r="K88" s="64">
        <v>323.08</v>
      </c>
      <c r="L88" s="64">
        <v>22.8</v>
      </c>
      <c r="M88" s="64">
        <v>92.44</v>
      </c>
      <c r="N88" s="64">
        <v>41.5</v>
      </c>
      <c r="O88" s="64">
        <v>0</v>
      </c>
      <c r="P88" s="64">
        <v>2.35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1" t="s">
        <v>808</v>
      </c>
      <c r="B89" s="64">
        <v>31.44</v>
      </c>
      <c r="C89" s="64">
        <v>2.34</v>
      </c>
      <c r="D89" s="64">
        <v>25.34</v>
      </c>
      <c r="E89" s="64">
        <v>6.41</v>
      </c>
      <c r="F89" s="64">
        <v>4.71</v>
      </c>
      <c r="G89" s="64">
        <v>77.12</v>
      </c>
      <c r="H89" s="64">
        <v>30.94</v>
      </c>
      <c r="I89" s="64">
        <v>3.15</v>
      </c>
      <c r="J89" s="64">
        <v>0.12</v>
      </c>
      <c r="K89" s="64">
        <v>306.44</v>
      </c>
      <c r="L89" s="64">
        <v>22.62</v>
      </c>
      <c r="M89" s="64">
        <v>94.31</v>
      </c>
      <c r="N89" s="64">
        <v>41.4</v>
      </c>
      <c r="O89" s="64">
        <v>0</v>
      </c>
      <c r="P89" s="64">
        <v>1.28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1" t="s">
        <v>809</v>
      </c>
      <c r="B90" s="64">
        <v>45.24</v>
      </c>
      <c r="C90" s="64">
        <v>16.079999999999998</v>
      </c>
      <c r="D90" s="64">
        <v>44.07</v>
      </c>
      <c r="E90" s="64">
        <v>6.36</v>
      </c>
      <c r="F90" s="64">
        <v>4.3899999999999997</v>
      </c>
      <c r="G90" s="64">
        <v>83.62</v>
      </c>
      <c r="H90" s="64">
        <v>31.77</v>
      </c>
      <c r="I90" s="64">
        <v>3.34</v>
      </c>
      <c r="J90" s="64">
        <v>0.12</v>
      </c>
      <c r="K90" s="64">
        <v>235.38</v>
      </c>
      <c r="L90" s="64">
        <v>22.94</v>
      </c>
      <c r="M90" s="64">
        <v>87.63</v>
      </c>
      <c r="N90" s="64">
        <v>41</v>
      </c>
      <c r="O90" s="64">
        <v>0</v>
      </c>
      <c r="P90" s="64">
        <v>1.57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1" t="s">
        <v>810</v>
      </c>
      <c r="B91" s="64">
        <v>27.74</v>
      </c>
      <c r="C91" s="64">
        <v>7.79</v>
      </c>
      <c r="D91" s="64">
        <v>25.85</v>
      </c>
      <c r="E91" s="64">
        <v>5.83</v>
      </c>
      <c r="F91" s="64">
        <v>4.76</v>
      </c>
      <c r="G91" s="64">
        <v>101.52</v>
      </c>
      <c r="H91" s="64">
        <v>34.99</v>
      </c>
      <c r="I91" s="64">
        <v>3.52</v>
      </c>
      <c r="J91" s="64">
        <v>0.19</v>
      </c>
      <c r="K91" s="64">
        <v>259.20999999999998</v>
      </c>
      <c r="L91" s="64">
        <v>23.49</v>
      </c>
      <c r="M91" s="64">
        <v>80.31</v>
      </c>
      <c r="N91" s="64">
        <v>41.1</v>
      </c>
      <c r="O91" s="64">
        <v>0</v>
      </c>
      <c r="P91" s="64">
        <v>1.18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1" t="s">
        <v>811</v>
      </c>
      <c r="B92" s="64">
        <v>32.86</v>
      </c>
      <c r="C92" s="64">
        <v>1.97</v>
      </c>
      <c r="D92" s="64">
        <v>26.21</v>
      </c>
      <c r="E92" s="64">
        <v>5.37</v>
      </c>
      <c r="F92" s="64">
        <v>3.51</v>
      </c>
      <c r="G92" s="64">
        <v>101.52</v>
      </c>
      <c r="H92" s="64">
        <v>34.99</v>
      </c>
      <c r="I92" s="64">
        <v>3.62</v>
      </c>
      <c r="J92" s="64">
        <v>0.21</v>
      </c>
      <c r="K92" s="64">
        <v>339.74</v>
      </c>
      <c r="L92" s="64">
        <v>23.07</v>
      </c>
      <c r="M92" s="64">
        <v>91.92</v>
      </c>
      <c r="N92" s="64">
        <v>42</v>
      </c>
      <c r="O92" s="64">
        <v>0</v>
      </c>
      <c r="P92" s="64">
        <v>1.26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1" t="s">
        <v>812</v>
      </c>
      <c r="B93" s="64">
        <v>35.58</v>
      </c>
      <c r="C93" s="64">
        <v>7.43</v>
      </c>
      <c r="D93" s="64">
        <v>31.72</v>
      </c>
      <c r="E93" s="64">
        <v>5.18</v>
      </c>
      <c r="F93" s="64">
        <v>3.91</v>
      </c>
      <c r="G93" s="64">
        <v>101.52</v>
      </c>
      <c r="H93" s="64">
        <v>34.99</v>
      </c>
      <c r="I93" s="64">
        <v>3.69</v>
      </c>
      <c r="J93" s="64">
        <v>0.05</v>
      </c>
      <c r="K93" s="64">
        <v>6.07</v>
      </c>
      <c r="L93" s="64">
        <v>22.51</v>
      </c>
      <c r="M93" s="64">
        <v>92</v>
      </c>
      <c r="N93" s="64">
        <v>41.5</v>
      </c>
      <c r="O93" s="64">
        <v>0</v>
      </c>
      <c r="P93" s="64">
        <v>1.39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1" t="s">
        <v>813</v>
      </c>
      <c r="B94" s="64">
        <v>33.46</v>
      </c>
      <c r="C94" s="64">
        <v>0.28999999999999998</v>
      </c>
      <c r="D94" s="64">
        <v>25.15</v>
      </c>
      <c r="E94" s="64">
        <v>5.01</v>
      </c>
      <c r="F94" s="64">
        <v>3.44</v>
      </c>
      <c r="G94" s="64">
        <v>102</v>
      </c>
      <c r="H94" s="64">
        <v>35.43</v>
      </c>
      <c r="I94" s="64">
        <v>3.76</v>
      </c>
      <c r="J94" s="64">
        <v>0.12</v>
      </c>
      <c r="K94" s="64">
        <v>257.95999999999998</v>
      </c>
      <c r="L94" s="64">
        <v>22.38</v>
      </c>
      <c r="M94" s="64">
        <v>93.84</v>
      </c>
      <c r="N94" s="64">
        <v>41.6</v>
      </c>
      <c r="O94" s="64">
        <v>0</v>
      </c>
      <c r="P94" s="64">
        <v>1.29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1" t="s">
        <v>814</v>
      </c>
      <c r="B95" s="64">
        <v>40.229999999999997</v>
      </c>
      <c r="C95" s="64">
        <v>10.56</v>
      </c>
      <c r="D95" s="64">
        <v>37.07</v>
      </c>
      <c r="E95" s="64">
        <v>5.42</v>
      </c>
      <c r="F95" s="64">
        <v>3.69</v>
      </c>
      <c r="G95" s="64">
        <v>103.33</v>
      </c>
      <c r="H95" s="64">
        <v>36.229999999999997</v>
      </c>
      <c r="I95" s="64">
        <v>3.84</v>
      </c>
      <c r="J95" s="64">
        <v>7.0000000000000007E-2</v>
      </c>
      <c r="K95" s="64">
        <v>168.56</v>
      </c>
      <c r="L95" s="64">
        <v>22.1</v>
      </c>
      <c r="M95" s="64">
        <v>94.74</v>
      </c>
      <c r="N95" s="64">
        <v>41.4</v>
      </c>
      <c r="O95" s="64">
        <v>0</v>
      </c>
      <c r="P95" s="64">
        <v>1.39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1" t="s">
        <v>815</v>
      </c>
      <c r="B96" s="64">
        <v>44.61</v>
      </c>
      <c r="C96" s="64">
        <v>0.51</v>
      </c>
      <c r="D96" s="64">
        <v>33.47</v>
      </c>
      <c r="E96" s="64">
        <v>5.31</v>
      </c>
      <c r="F96" s="64">
        <v>4.75</v>
      </c>
      <c r="G96" s="64">
        <v>103.33</v>
      </c>
      <c r="H96" s="64">
        <v>36.229999999999997</v>
      </c>
      <c r="I96" s="64">
        <v>3.91</v>
      </c>
      <c r="J96" s="64">
        <v>0.11</v>
      </c>
      <c r="K96" s="64">
        <v>345.87</v>
      </c>
      <c r="L96" s="64">
        <v>21.89</v>
      </c>
      <c r="M96" s="64">
        <v>97.96</v>
      </c>
      <c r="N96" s="64">
        <v>41.5</v>
      </c>
      <c r="O96" s="64">
        <v>0</v>
      </c>
      <c r="P96" s="64">
        <v>1.39</v>
      </c>
      <c r="Q96" s="64">
        <v>9.65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816</v>
      </c>
      <c r="B97" s="64">
        <v>56.35</v>
      </c>
      <c r="C97" s="64">
        <v>0.43</v>
      </c>
      <c r="D97" s="64">
        <v>41.11</v>
      </c>
      <c r="E97" s="64">
        <v>5.3</v>
      </c>
      <c r="F97" s="64">
        <v>3.13</v>
      </c>
      <c r="G97" s="64">
        <v>103.33</v>
      </c>
      <c r="H97" s="64">
        <v>36.229999999999997</v>
      </c>
      <c r="I97" s="64">
        <v>4</v>
      </c>
      <c r="J97" s="64">
        <v>0.13</v>
      </c>
      <c r="K97" s="64">
        <v>1.56</v>
      </c>
      <c r="L97" s="64">
        <v>21.61</v>
      </c>
      <c r="M97" s="64">
        <v>98.24</v>
      </c>
      <c r="N97" s="64">
        <v>41.5</v>
      </c>
      <c r="O97" s="64">
        <v>0</v>
      </c>
      <c r="P97" s="64">
        <v>1.65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1" t="s">
        <v>817</v>
      </c>
      <c r="B98" s="64">
        <v>39.94</v>
      </c>
      <c r="C98" s="64">
        <v>4.0999999999999996</v>
      </c>
      <c r="D98" s="64">
        <v>31.31</v>
      </c>
      <c r="E98" s="64">
        <v>5.35</v>
      </c>
      <c r="F98" s="64">
        <v>3.51</v>
      </c>
      <c r="G98" s="64">
        <v>108.05</v>
      </c>
      <c r="H98" s="64">
        <v>37.9</v>
      </c>
      <c r="I98" s="64">
        <v>4.1500000000000004</v>
      </c>
      <c r="J98" s="64">
        <v>7.0000000000000007E-2</v>
      </c>
      <c r="K98" s="64">
        <v>353.31</v>
      </c>
      <c r="L98" s="64">
        <v>21.4</v>
      </c>
      <c r="M98" s="64">
        <v>98.25</v>
      </c>
      <c r="N98" s="64">
        <v>41.5</v>
      </c>
      <c r="O98" s="64">
        <v>0</v>
      </c>
      <c r="P98" s="64">
        <v>1.45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1" t="s">
        <v>818</v>
      </c>
      <c r="B99" s="64">
        <v>44.58</v>
      </c>
      <c r="C99" s="64">
        <v>6.63</v>
      </c>
      <c r="D99" s="64">
        <v>37.549999999999997</v>
      </c>
      <c r="E99" s="64">
        <v>5.19</v>
      </c>
      <c r="F99" s="64">
        <v>4.5599999999999996</v>
      </c>
      <c r="G99" s="64">
        <v>121.04</v>
      </c>
      <c r="H99" s="64">
        <v>40.9</v>
      </c>
      <c r="I99" s="64">
        <v>4.28</v>
      </c>
      <c r="J99" s="64">
        <v>0.13</v>
      </c>
      <c r="K99" s="64">
        <v>346.9</v>
      </c>
      <c r="L99" s="64">
        <v>21.38</v>
      </c>
      <c r="M99" s="64">
        <v>98.28</v>
      </c>
      <c r="N99" s="64">
        <v>41.4</v>
      </c>
      <c r="O99" s="64">
        <v>0</v>
      </c>
      <c r="P99" s="64">
        <v>1.6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1" t="s">
        <v>819</v>
      </c>
      <c r="B100" s="64">
        <v>55.65</v>
      </c>
      <c r="C100" s="64">
        <v>2.27</v>
      </c>
      <c r="D100" s="64">
        <v>42.54</v>
      </c>
      <c r="E100" s="64">
        <v>5.18</v>
      </c>
      <c r="F100" s="64">
        <v>4.66</v>
      </c>
      <c r="G100" s="64">
        <v>121.04</v>
      </c>
      <c r="H100" s="64">
        <v>40.9</v>
      </c>
      <c r="I100" s="64">
        <v>4.3499999999999996</v>
      </c>
      <c r="J100" s="64">
        <v>0.14000000000000001</v>
      </c>
      <c r="K100" s="64">
        <v>331.85</v>
      </c>
      <c r="L100" s="64">
        <v>21.32</v>
      </c>
      <c r="M100" s="64">
        <v>98.33</v>
      </c>
      <c r="N100" s="64">
        <v>41.4</v>
      </c>
      <c r="O100" s="64">
        <v>0</v>
      </c>
      <c r="P100" s="64">
        <v>1.71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820</v>
      </c>
      <c r="B101" s="64">
        <v>45.55</v>
      </c>
      <c r="C101" s="64">
        <v>1.1499999999999999</v>
      </c>
      <c r="D101" s="64">
        <v>33.06</v>
      </c>
      <c r="E101" s="64">
        <v>5.35</v>
      </c>
      <c r="F101" s="64">
        <v>4.54</v>
      </c>
      <c r="G101" s="64">
        <v>121.04</v>
      </c>
      <c r="H101" s="64">
        <v>40.9</v>
      </c>
      <c r="I101" s="64">
        <v>4.43</v>
      </c>
      <c r="J101" s="64">
        <v>0.68</v>
      </c>
      <c r="K101" s="64">
        <v>325.45999999999998</v>
      </c>
      <c r="L101" s="64">
        <v>21.26</v>
      </c>
      <c r="M101" s="64">
        <v>98.36</v>
      </c>
      <c r="N101" s="64">
        <v>40.299999999999997</v>
      </c>
      <c r="O101" s="64">
        <v>0</v>
      </c>
      <c r="P101" s="64">
        <v>1.54</v>
      </c>
      <c r="Q101" s="64">
        <v>9.69</v>
      </c>
      <c r="R101" s="198"/>
      <c r="S101" s="198"/>
      <c r="T101" s="198"/>
      <c r="U101" s="198"/>
    </row>
    <row r="102" spans="1:33" s="12" customFormat="1" x14ac:dyDescent="0.25">
      <c r="A102" s="211" t="s">
        <v>821</v>
      </c>
      <c r="B102" s="64">
        <v>44.51</v>
      </c>
      <c r="C102" s="64">
        <v>0.06</v>
      </c>
      <c r="D102" s="64">
        <v>31.94</v>
      </c>
      <c r="E102" s="64">
        <v>5.07</v>
      </c>
      <c r="F102" s="64">
        <v>3.71</v>
      </c>
      <c r="G102" s="64">
        <v>119.82</v>
      </c>
      <c r="H102" s="64">
        <v>40.18</v>
      </c>
      <c r="I102" s="64">
        <v>4.5</v>
      </c>
      <c r="J102" s="64">
        <v>0.64</v>
      </c>
      <c r="K102" s="64">
        <v>337.8</v>
      </c>
      <c r="L102" s="64">
        <v>21.6</v>
      </c>
      <c r="M102" s="64">
        <v>97.6</v>
      </c>
      <c r="N102" s="64">
        <v>41.2</v>
      </c>
      <c r="O102" s="64">
        <v>0</v>
      </c>
      <c r="P102" s="64">
        <v>1.56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1" t="s">
        <v>822</v>
      </c>
      <c r="B103" s="64">
        <v>38.5</v>
      </c>
      <c r="C103" s="64">
        <v>4.78</v>
      </c>
      <c r="D103" s="64">
        <v>30.59</v>
      </c>
      <c r="E103" s="64">
        <v>5.18</v>
      </c>
      <c r="F103" s="64">
        <v>3.77</v>
      </c>
      <c r="G103" s="64">
        <v>116.47</v>
      </c>
      <c r="H103" s="64">
        <v>38.89</v>
      </c>
      <c r="I103" s="64">
        <v>4.55</v>
      </c>
      <c r="J103" s="64">
        <v>0.26</v>
      </c>
      <c r="K103" s="64">
        <v>322.83999999999997</v>
      </c>
      <c r="L103" s="64">
        <v>21.49</v>
      </c>
      <c r="M103" s="64">
        <v>97.83</v>
      </c>
      <c r="N103" s="64">
        <v>41.5</v>
      </c>
      <c r="O103" s="64">
        <v>0</v>
      </c>
      <c r="P103" s="64">
        <v>1.48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1" t="s">
        <v>823</v>
      </c>
      <c r="B104" s="64">
        <v>37.68</v>
      </c>
      <c r="C104" s="64">
        <v>3.79</v>
      </c>
      <c r="D104" s="64">
        <v>29.32</v>
      </c>
      <c r="E104" s="64">
        <v>5.54</v>
      </c>
      <c r="F104" s="64">
        <v>4.76</v>
      </c>
      <c r="G104" s="64">
        <v>116.47</v>
      </c>
      <c r="H104" s="64">
        <v>38.89</v>
      </c>
      <c r="I104" s="64">
        <v>4.57</v>
      </c>
      <c r="J104" s="64">
        <v>0.13</v>
      </c>
      <c r="K104" s="64">
        <v>317.62</v>
      </c>
      <c r="L104" s="64">
        <v>21.24</v>
      </c>
      <c r="M104" s="64">
        <v>98.39</v>
      </c>
      <c r="N104" s="64">
        <v>41.7</v>
      </c>
      <c r="O104" s="64">
        <v>0</v>
      </c>
      <c r="P104" s="64">
        <v>1.49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3.18</v>
      </c>
      <c r="C106" s="67">
        <f>MIN(C9:C104)</f>
        <v>0.06</v>
      </c>
      <c r="D106" s="67">
        <f t="shared" ref="D106:Q106" si="0">MIN(D9:D104)</f>
        <v>8.92</v>
      </c>
      <c r="E106" s="67">
        <f t="shared" si="0"/>
        <v>4.46</v>
      </c>
      <c r="F106" s="67">
        <f t="shared" si="0"/>
        <v>2.73</v>
      </c>
      <c r="G106" s="67">
        <f t="shared" si="0"/>
        <v>42.56</v>
      </c>
      <c r="H106" s="67">
        <f t="shared" si="0"/>
        <v>15.49</v>
      </c>
      <c r="I106" s="67">
        <f t="shared" si="0"/>
        <v>1.83</v>
      </c>
      <c r="J106" s="67">
        <f t="shared" si="0"/>
        <v>0.02</v>
      </c>
      <c r="K106" s="67">
        <f t="shared" si="0"/>
        <v>1.29</v>
      </c>
      <c r="L106" s="67">
        <f t="shared" si="0"/>
        <v>19.78</v>
      </c>
      <c r="M106" s="67">
        <f t="shared" si="0"/>
        <v>44.32</v>
      </c>
      <c r="N106" s="67">
        <f t="shared" si="0"/>
        <v>40.299999999999997</v>
      </c>
      <c r="O106" s="67">
        <f t="shared" si="0"/>
        <v>0</v>
      </c>
      <c r="P106" s="67">
        <f t="shared" si="0"/>
        <v>0.47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82.56</v>
      </c>
      <c r="C107" s="66">
        <f t="shared" ref="C107:Q107" si="1">MAX(C9:C104)</f>
        <v>37.770000000000003</v>
      </c>
      <c r="D107" s="66">
        <f t="shared" si="1"/>
        <v>67.52</v>
      </c>
      <c r="E107" s="66">
        <f t="shared" si="1"/>
        <v>11.74</v>
      </c>
      <c r="F107" s="66">
        <f t="shared" si="1"/>
        <v>18.55</v>
      </c>
      <c r="G107" s="66">
        <f t="shared" si="1"/>
        <v>121.04</v>
      </c>
      <c r="H107" s="66">
        <f t="shared" si="1"/>
        <v>40.9</v>
      </c>
      <c r="I107" s="66">
        <f t="shared" si="1"/>
        <v>4.57</v>
      </c>
      <c r="J107" s="66">
        <f t="shared" si="1"/>
        <v>1.63</v>
      </c>
      <c r="K107" s="66">
        <f t="shared" si="1"/>
        <v>354.96</v>
      </c>
      <c r="L107" s="66">
        <f t="shared" si="1"/>
        <v>31.23</v>
      </c>
      <c r="M107" s="66">
        <f t="shared" si="1"/>
        <v>99.42</v>
      </c>
      <c r="N107" s="66">
        <f t="shared" si="1"/>
        <v>701.5</v>
      </c>
      <c r="O107" s="66">
        <f t="shared" si="1"/>
        <v>0</v>
      </c>
      <c r="P107" s="66">
        <f t="shared" si="1"/>
        <v>2.35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17.910208333333333</v>
      </c>
      <c r="C108" s="67">
        <f t="shared" ref="C108:Q108" si="2">AVERAGE(C9:C104)</f>
        <v>10.347812499999998</v>
      </c>
      <c r="D108" s="67">
        <f t="shared" si="2"/>
        <v>19.006979166666657</v>
      </c>
      <c r="E108" s="67">
        <f t="shared" si="2"/>
        <v>5.965937499999999</v>
      </c>
      <c r="F108" s="67">
        <f t="shared" si="2"/>
        <v>6.3067708333333323</v>
      </c>
      <c r="G108" s="67">
        <f t="shared" si="2"/>
        <v>66.001458333333332</v>
      </c>
      <c r="H108" s="67">
        <f t="shared" si="2"/>
        <v>23.742604166666666</v>
      </c>
      <c r="I108" s="67">
        <f t="shared" si="2"/>
        <v>2.5557291666666671</v>
      </c>
      <c r="J108" s="67">
        <f t="shared" si="2"/>
        <v>0.43874999999999981</v>
      </c>
      <c r="K108" s="67">
        <f t="shared" si="2"/>
        <v>279.48354166666661</v>
      </c>
      <c r="L108" s="67">
        <f t="shared" si="2"/>
        <v>24.611250000000002</v>
      </c>
      <c r="M108" s="67">
        <f t="shared" si="2"/>
        <v>75.766770833333354</v>
      </c>
      <c r="N108" s="67">
        <f t="shared" si="2"/>
        <v>166.03541666666663</v>
      </c>
      <c r="O108" s="67">
        <f t="shared" si="2"/>
        <v>0</v>
      </c>
      <c r="P108" s="67">
        <f t="shared" si="2"/>
        <v>0.87500000000000033</v>
      </c>
      <c r="Q108" s="67">
        <f t="shared" si="2"/>
        <v>9.3278124999999985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16.113933622745432</v>
      </c>
      <c r="C109" s="67">
        <f t="shared" ref="C109:Q109" si="3">STDEV(C9:C104)</f>
        <v>7.4627207121552939</v>
      </c>
      <c r="D109" s="67">
        <f t="shared" si="3"/>
        <v>12.127406814388099</v>
      </c>
      <c r="E109" s="67">
        <f t="shared" si="3"/>
        <v>1.3328525627192855</v>
      </c>
      <c r="F109" s="67">
        <f t="shared" si="3"/>
        <v>3.5458496108435433</v>
      </c>
      <c r="G109" s="67">
        <f t="shared" si="3"/>
        <v>22.58217536391626</v>
      </c>
      <c r="H109" s="67">
        <f t="shared" si="3"/>
        <v>7.5849795121385322</v>
      </c>
      <c r="I109" s="67">
        <f t="shared" si="3"/>
        <v>0.70034840170584389</v>
      </c>
      <c r="J109" s="67">
        <f t="shared" si="3"/>
        <v>0.4092335583296634</v>
      </c>
      <c r="K109" s="67">
        <f t="shared" si="3"/>
        <v>109.85152114970265</v>
      </c>
      <c r="L109" s="67">
        <f t="shared" si="3"/>
        <v>3.8734584709682478</v>
      </c>
      <c r="M109" s="67">
        <f t="shared" si="3"/>
        <v>22.19831612840045</v>
      </c>
      <c r="N109" s="67">
        <f t="shared" si="3"/>
        <v>198.56264395540614</v>
      </c>
      <c r="O109" s="67">
        <f t="shared" si="3"/>
        <v>0</v>
      </c>
      <c r="P109" s="67">
        <f t="shared" si="3"/>
        <v>0.43046364233047679</v>
      </c>
      <c r="Q109" s="67">
        <f t="shared" si="3"/>
        <v>0.16694911374112578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M107" sqref="M10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824</v>
      </c>
      <c r="B9" s="64">
        <v>40.11</v>
      </c>
      <c r="C9" s="64">
        <v>3.2</v>
      </c>
      <c r="D9" s="64">
        <v>31.63</v>
      </c>
      <c r="E9" s="64">
        <v>5.98</v>
      </c>
      <c r="F9" s="64">
        <v>4.26</v>
      </c>
      <c r="G9" s="64">
        <v>116.47</v>
      </c>
      <c r="H9" s="64">
        <v>38.89</v>
      </c>
      <c r="I9" s="64">
        <v>4.5599999999999996</v>
      </c>
      <c r="J9" s="64">
        <v>0.13</v>
      </c>
      <c r="K9" s="64">
        <v>344.99</v>
      </c>
      <c r="L9" s="64">
        <v>20.9</v>
      </c>
      <c r="M9" s="64">
        <v>98.43</v>
      </c>
      <c r="N9" s="64">
        <v>41.7</v>
      </c>
      <c r="O9" s="64">
        <v>0</v>
      </c>
      <c r="P9" s="64">
        <v>1.49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1" t="s">
        <v>825</v>
      </c>
      <c r="B10" s="64">
        <v>40.630000000000003</v>
      </c>
      <c r="C10" s="64">
        <v>1.28</v>
      </c>
      <c r="D10" s="64">
        <v>29.81</v>
      </c>
      <c r="E10" s="64">
        <v>5.61</v>
      </c>
      <c r="F10" s="64">
        <v>4.32</v>
      </c>
      <c r="G10" s="64">
        <v>117.95</v>
      </c>
      <c r="H10" s="64">
        <v>39.81</v>
      </c>
      <c r="I10" s="64">
        <v>4.54</v>
      </c>
      <c r="J10" s="64">
        <v>0.22</v>
      </c>
      <c r="K10" s="64">
        <v>350.65</v>
      </c>
      <c r="L10" s="64">
        <v>20.71</v>
      </c>
      <c r="M10" s="64">
        <v>98.4</v>
      </c>
      <c r="N10" s="64">
        <v>41.5</v>
      </c>
      <c r="O10" s="64">
        <v>0</v>
      </c>
      <c r="P10" s="64">
        <v>1.5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1" t="s">
        <v>826</v>
      </c>
      <c r="B11" s="64">
        <v>42.92</v>
      </c>
      <c r="C11" s="6" t="s">
        <v>42</v>
      </c>
      <c r="D11" s="64">
        <v>29.97</v>
      </c>
      <c r="E11" s="64">
        <v>5.21</v>
      </c>
      <c r="F11" s="64">
        <v>4.41</v>
      </c>
      <c r="G11" s="64">
        <v>122.01</v>
      </c>
      <c r="H11" s="64">
        <v>43.41</v>
      </c>
      <c r="I11" s="64">
        <v>4.51</v>
      </c>
      <c r="J11" s="64">
        <v>0.3</v>
      </c>
      <c r="K11" s="64">
        <v>352.72</v>
      </c>
      <c r="L11" s="64">
        <v>20.69</v>
      </c>
      <c r="M11" s="64">
        <v>98.27</v>
      </c>
      <c r="N11" s="64">
        <v>41.3</v>
      </c>
      <c r="O11" s="64">
        <v>0</v>
      </c>
      <c r="P11" s="64">
        <v>1.52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1" t="s">
        <v>827</v>
      </c>
      <c r="B12" s="64">
        <v>37.880000000000003</v>
      </c>
      <c r="C12" s="64">
        <v>0.48</v>
      </c>
      <c r="D12" s="64">
        <v>28.15</v>
      </c>
      <c r="E12" s="64">
        <v>5.24</v>
      </c>
      <c r="F12" s="64">
        <v>3.2</v>
      </c>
      <c r="G12" s="64">
        <v>122.01</v>
      </c>
      <c r="H12" s="64">
        <v>43.41</v>
      </c>
      <c r="I12" s="64">
        <v>4.46</v>
      </c>
      <c r="J12" s="64">
        <v>0.12</v>
      </c>
      <c r="K12" s="64">
        <v>15.66</v>
      </c>
      <c r="L12" s="64">
        <v>20.68</v>
      </c>
      <c r="M12" s="64">
        <v>98.28</v>
      </c>
      <c r="N12" s="64">
        <v>41.5</v>
      </c>
      <c r="O12" s="64">
        <v>0</v>
      </c>
      <c r="P12" s="64">
        <v>1.35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1" t="s">
        <v>828</v>
      </c>
      <c r="B13" s="64">
        <v>40.57</v>
      </c>
      <c r="C13" s="64">
        <v>0.05</v>
      </c>
      <c r="D13" s="64">
        <v>28.4</v>
      </c>
      <c r="E13" s="64">
        <v>5.05</v>
      </c>
      <c r="F13" s="64">
        <v>4.49</v>
      </c>
      <c r="G13" s="64">
        <v>122.01</v>
      </c>
      <c r="H13" s="64">
        <v>43.41</v>
      </c>
      <c r="I13" s="64">
        <v>4.41</v>
      </c>
      <c r="J13" s="64">
        <v>0.09</v>
      </c>
      <c r="K13" s="64">
        <v>14.5</v>
      </c>
      <c r="L13" s="64">
        <v>20.61</v>
      </c>
      <c r="M13" s="64">
        <v>96.32</v>
      </c>
      <c r="N13" s="64">
        <v>41.5</v>
      </c>
      <c r="O13" s="64">
        <v>0</v>
      </c>
      <c r="P13" s="64">
        <v>1.19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1" t="s">
        <v>829</v>
      </c>
      <c r="B14" s="64">
        <v>36.270000000000003</v>
      </c>
      <c r="C14" s="64">
        <v>0.64</v>
      </c>
      <c r="D14" s="64">
        <v>26.58</v>
      </c>
      <c r="E14" s="64">
        <v>5.25</v>
      </c>
      <c r="F14" s="64">
        <v>3.08</v>
      </c>
      <c r="G14" s="64">
        <v>119.43</v>
      </c>
      <c r="H14" s="64">
        <v>41.74</v>
      </c>
      <c r="I14" s="64">
        <v>4.3899999999999997</v>
      </c>
      <c r="J14" s="64">
        <v>7.0000000000000007E-2</v>
      </c>
      <c r="K14" s="64">
        <v>39.700000000000003</v>
      </c>
      <c r="L14" s="64">
        <v>20.66</v>
      </c>
      <c r="M14" s="64">
        <v>93.39</v>
      </c>
      <c r="N14" s="64">
        <v>41.5</v>
      </c>
      <c r="O14" s="64">
        <v>0</v>
      </c>
      <c r="P14" s="64">
        <v>1.1299999999999999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1" t="s">
        <v>830</v>
      </c>
      <c r="B15" s="64">
        <v>39.51</v>
      </c>
      <c r="C15" s="6" t="s">
        <v>42</v>
      </c>
      <c r="D15" s="64">
        <v>27.51</v>
      </c>
      <c r="E15" s="64">
        <v>5.12</v>
      </c>
      <c r="F15" s="64">
        <v>3.97</v>
      </c>
      <c r="G15" s="64">
        <v>112.34</v>
      </c>
      <c r="H15" s="64">
        <v>38.76</v>
      </c>
      <c r="I15" s="64">
        <v>4.3600000000000003</v>
      </c>
      <c r="J15" s="64">
        <v>0.11</v>
      </c>
      <c r="K15" s="64">
        <v>16.579999999999998</v>
      </c>
      <c r="L15" s="64">
        <v>20.64</v>
      </c>
      <c r="M15" s="64">
        <v>94.08</v>
      </c>
      <c r="N15" s="64">
        <v>41.5</v>
      </c>
      <c r="O15" s="64">
        <v>0</v>
      </c>
      <c r="P15" s="64">
        <v>1.21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1" t="s">
        <v>831</v>
      </c>
      <c r="B16" s="64">
        <v>35.15</v>
      </c>
      <c r="C16" s="64">
        <v>0.42</v>
      </c>
      <c r="D16" s="64">
        <v>25.8</v>
      </c>
      <c r="E16" s="64">
        <v>4.8899999999999997</v>
      </c>
      <c r="F16" s="64">
        <v>3.27</v>
      </c>
      <c r="G16" s="64">
        <v>112.34</v>
      </c>
      <c r="H16" s="64">
        <v>38.76</v>
      </c>
      <c r="I16" s="64">
        <v>4.3099999999999996</v>
      </c>
      <c r="J16" s="64">
        <v>0.04</v>
      </c>
      <c r="K16" s="64">
        <v>23.91</v>
      </c>
      <c r="L16" s="64">
        <v>20.64</v>
      </c>
      <c r="M16" s="64">
        <v>92.87</v>
      </c>
      <c r="N16" s="64">
        <v>41.4</v>
      </c>
      <c r="O16" s="64">
        <v>0</v>
      </c>
      <c r="P16" s="64">
        <v>1.1100000000000001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1" t="s">
        <v>832</v>
      </c>
      <c r="B17" s="64">
        <v>36.94</v>
      </c>
      <c r="C17" s="6" t="s">
        <v>42</v>
      </c>
      <c r="D17" s="64">
        <v>26.05</v>
      </c>
      <c r="E17" s="64">
        <v>4.96</v>
      </c>
      <c r="F17" s="64">
        <v>3.49</v>
      </c>
      <c r="G17" s="64">
        <v>112.34</v>
      </c>
      <c r="H17" s="64">
        <v>38.76</v>
      </c>
      <c r="I17" s="64">
        <v>4.28</v>
      </c>
      <c r="J17" s="64">
        <v>0.05</v>
      </c>
      <c r="K17" s="64">
        <v>209.57</v>
      </c>
      <c r="L17" s="64">
        <v>20.81</v>
      </c>
      <c r="M17" s="64">
        <v>92.38</v>
      </c>
      <c r="N17" s="64">
        <v>41.5</v>
      </c>
      <c r="O17" s="64">
        <v>0</v>
      </c>
      <c r="P17" s="64">
        <v>1.17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1" t="s">
        <v>833</v>
      </c>
      <c r="B18" s="64">
        <v>36.15</v>
      </c>
      <c r="C18" s="6" t="s">
        <v>42</v>
      </c>
      <c r="D18" s="64">
        <v>25.63</v>
      </c>
      <c r="E18" s="64">
        <v>4.5</v>
      </c>
      <c r="F18" s="64">
        <v>3.44</v>
      </c>
      <c r="G18" s="64">
        <v>112.21</v>
      </c>
      <c r="H18" s="64">
        <v>39.81</v>
      </c>
      <c r="I18" s="64">
        <v>4.2300000000000004</v>
      </c>
      <c r="J18" s="64">
        <v>0.1</v>
      </c>
      <c r="K18" s="64">
        <v>313.79000000000002</v>
      </c>
      <c r="L18" s="64">
        <v>20.7</v>
      </c>
      <c r="M18" s="64">
        <v>93.99</v>
      </c>
      <c r="N18" s="64">
        <v>41.5</v>
      </c>
      <c r="O18" s="64">
        <v>0</v>
      </c>
      <c r="P18" s="64">
        <v>1.1299999999999999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1" t="s">
        <v>834</v>
      </c>
      <c r="B19" s="64">
        <v>35.619999999999997</v>
      </c>
      <c r="C19" s="6" t="s">
        <v>42</v>
      </c>
      <c r="D19" s="64">
        <v>25.33</v>
      </c>
      <c r="E19" s="64">
        <v>4.9400000000000004</v>
      </c>
      <c r="F19" s="64">
        <v>2.87</v>
      </c>
      <c r="G19" s="64">
        <v>111.85</v>
      </c>
      <c r="H19" s="64">
        <v>41.69</v>
      </c>
      <c r="I19" s="64">
        <v>4.18</v>
      </c>
      <c r="J19" s="64">
        <v>0.08</v>
      </c>
      <c r="K19" s="64">
        <v>73.290000000000006</v>
      </c>
      <c r="L19" s="64">
        <v>20.48</v>
      </c>
      <c r="M19" s="64">
        <v>96.92</v>
      </c>
      <c r="N19" s="64">
        <v>41.6</v>
      </c>
      <c r="O19" s="64">
        <v>0</v>
      </c>
      <c r="P19" s="64">
        <v>1.1299999999999999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1" t="s">
        <v>835</v>
      </c>
      <c r="B20" s="64">
        <v>33.04</v>
      </c>
      <c r="C20" s="64">
        <v>1.1399999999999999</v>
      </c>
      <c r="D20" s="64">
        <v>24.44</v>
      </c>
      <c r="E20" s="64">
        <v>4.9000000000000004</v>
      </c>
      <c r="F20" s="64">
        <v>3.72</v>
      </c>
      <c r="G20" s="64">
        <v>111.85</v>
      </c>
      <c r="H20" s="64">
        <v>41.69</v>
      </c>
      <c r="I20" s="64">
        <v>4.1399999999999997</v>
      </c>
      <c r="J20" s="64">
        <v>0.12</v>
      </c>
      <c r="K20" s="64">
        <v>347.71</v>
      </c>
      <c r="L20" s="64">
        <v>20.309999999999999</v>
      </c>
      <c r="M20" s="64">
        <v>98.27</v>
      </c>
      <c r="N20" s="64">
        <v>41.6</v>
      </c>
      <c r="O20" s="64">
        <v>0</v>
      </c>
      <c r="P20" s="64">
        <v>1.06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1" t="s">
        <v>836</v>
      </c>
      <c r="B21" s="64">
        <v>32.159999999999997</v>
      </c>
      <c r="C21" s="64">
        <v>0.55000000000000004</v>
      </c>
      <c r="D21" s="64">
        <v>23.78</v>
      </c>
      <c r="E21" s="64">
        <v>5.05</v>
      </c>
      <c r="F21" s="64">
        <v>3.7</v>
      </c>
      <c r="G21" s="64">
        <v>111.85</v>
      </c>
      <c r="H21" s="64">
        <v>41.69</v>
      </c>
      <c r="I21" s="64">
        <v>4.12</v>
      </c>
      <c r="J21" s="64">
        <v>0.2</v>
      </c>
      <c r="K21" s="64">
        <v>337.63</v>
      </c>
      <c r="L21" s="64">
        <v>20.079999999999998</v>
      </c>
      <c r="M21" s="64">
        <v>98.36</v>
      </c>
      <c r="N21" s="64">
        <v>41.3</v>
      </c>
      <c r="O21" s="64">
        <v>0</v>
      </c>
      <c r="P21" s="64">
        <v>1.0900000000000001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1" t="s">
        <v>837</v>
      </c>
      <c r="B22" s="64">
        <v>28.93</v>
      </c>
      <c r="C22" s="64">
        <v>3.33</v>
      </c>
      <c r="D22" s="64">
        <v>22.82</v>
      </c>
      <c r="E22" s="64">
        <v>5.14</v>
      </c>
      <c r="F22" s="64">
        <v>3.43</v>
      </c>
      <c r="G22" s="64">
        <v>111.19</v>
      </c>
      <c r="H22" s="64">
        <v>41.56</v>
      </c>
      <c r="I22" s="64">
        <v>4.0999999999999996</v>
      </c>
      <c r="J22" s="64">
        <v>0.14000000000000001</v>
      </c>
      <c r="K22" s="64">
        <v>347.74</v>
      </c>
      <c r="L22" s="64">
        <v>19.97</v>
      </c>
      <c r="M22" s="64">
        <v>97.79</v>
      </c>
      <c r="N22" s="64">
        <v>41.4</v>
      </c>
      <c r="O22" s="64">
        <v>0</v>
      </c>
      <c r="P22" s="64">
        <v>1.02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1" t="s">
        <v>838</v>
      </c>
      <c r="B23" s="64">
        <v>29.62</v>
      </c>
      <c r="C23" s="64">
        <v>2.12</v>
      </c>
      <c r="D23" s="64">
        <v>22.9</v>
      </c>
      <c r="E23" s="64">
        <v>5.26</v>
      </c>
      <c r="F23" s="64">
        <v>3.86</v>
      </c>
      <c r="G23" s="64">
        <v>109.4</v>
      </c>
      <c r="H23" s="64">
        <v>41.34</v>
      </c>
      <c r="I23" s="64">
        <v>4.0599999999999996</v>
      </c>
      <c r="J23" s="64">
        <v>0.12</v>
      </c>
      <c r="K23" s="64">
        <v>355.07</v>
      </c>
      <c r="L23" s="64">
        <v>19.760000000000002</v>
      </c>
      <c r="M23" s="64">
        <v>98.33</v>
      </c>
      <c r="N23" s="64">
        <v>41.4</v>
      </c>
      <c r="O23" s="64">
        <v>0</v>
      </c>
      <c r="P23" s="64">
        <v>1.04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1" t="s">
        <v>839</v>
      </c>
      <c r="B24" s="64">
        <v>29.51</v>
      </c>
      <c r="C24" s="64">
        <v>2.65</v>
      </c>
      <c r="D24" s="64">
        <v>23.27</v>
      </c>
      <c r="E24" s="64">
        <v>5.14</v>
      </c>
      <c r="F24" s="64">
        <v>3.44</v>
      </c>
      <c r="G24" s="64">
        <v>109.4</v>
      </c>
      <c r="H24" s="64">
        <v>41.34</v>
      </c>
      <c r="I24" s="64">
        <v>4.03</v>
      </c>
      <c r="J24" s="64">
        <v>0.09</v>
      </c>
      <c r="K24" s="64">
        <v>343.6</v>
      </c>
      <c r="L24" s="64">
        <v>19.5</v>
      </c>
      <c r="M24" s="64">
        <v>98.21</v>
      </c>
      <c r="N24" s="64">
        <v>41.5</v>
      </c>
      <c r="O24" s="64">
        <v>0</v>
      </c>
      <c r="P24" s="64">
        <v>1.01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1" t="s">
        <v>840</v>
      </c>
      <c r="B25" s="64">
        <v>27.73</v>
      </c>
      <c r="C25" s="64">
        <v>2.85</v>
      </c>
      <c r="D25" s="64">
        <v>22.16</v>
      </c>
      <c r="E25" s="64">
        <v>5.46</v>
      </c>
      <c r="F25" s="64">
        <v>4.2</v>
      </c>
      <c r="G25" s="64">
        <v>109.4</v>
      </c>
      <c r="H25" s="64">
        <v>41.34</v>
      </c>
      <c r="I25" s="64">
        <v>3.98</v>
      </c>
      <c r="J25" s="64">
        <v>0.25</v>
      </c>
      <c r="K25" s="64">
        <v>349.09</v>
      </c>
      <c r="L25" s="64">
        <v>19.850000000000001</v>
      </c>
      <c r="M25" s="64">
        <v>91.72</v>
      </c>
      <c r="N25" s="64">
        <v>41.2</v>
      </c>
      <c r="O25" s="64">
        <v>0</v>
      </c>
      <c r="P25" s="64">
        <v>0.95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1" t="s">
        <v>841</v>
      </c>
      <c r="B26" s="64">
        <v>28.38</v>
      </c>
      <c r="C26" s="64">
        <v>2.2799999999999998</v>
      </c>
      <c r="D26" s="64">
        <v>22.38</v>
      </c>
      <c r="E26" s="64">
        <v>5.42</v>
      </c>
      <c r="F26" s="64">
        <v>3.62</v>
      </c>
      <c r="G26" s="64">
        <v>106.34</v>
      </c>
      <c r="H26" s="64">
        <v>40.82</v>
      </c>
      <c r="I26" s="64">
        <v>3.93</v>
      </c>
      <c r="J26" s="64">
        <v>0.02</v>
      </c>
      <c r="K26" s="64">
        <v>339.9</v>
      </c>
      <c r="L26" s="64">
        <v>20</v>
      </c>
      <c r="M26" s="64">
        <v>89.62</v>
      </c>
      <c r="N26" s="64">
        <v>41.5</v>
      </c>
      <c r="O26" s="64">
        <v>0</v>
      </c>
      <c r="P26" s="64">
        <v>0.97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1" t="s">
        <v>842</v>
      </c>
      <c r="B27" s="64">
        <v>28.67</v>
      </c>
      <c r="C27" s="64">
        <v>1.87</v>
      </c>
      <c r="D27" s="64">
        <v>22.89</v>
      </c>
      <c r="E27" s="64">
        <v>5.58</v>
      </c>
      <c r="F27" s="64">
        <v>3.88</v>
      </c>
      <c r="G27" s="64">
        <v>97.94</v>
      </c>
      <c r="H27" s="64">
        <v>38.79</v>
      </c>
      <c r="I27" s="64">
        <v>3.87</v>
      </c>
      <c r="J27" s="64">
        <v>0.02</v>
      </c>
      <c r="K27" s="64">
        <v>299.67</v>
      </c>
      <c r="L27" s="64">
        <v>19.45</v>
      </c>
      <c r="M27" s="64">
        <v>97.65</v>
      </c>
      <c r="N27" s="64">
        <v>41.5</v>
      </c>
      <c r="O27" s="64">
        <v>0</v>
      </c>
      <c r="P27" s="64">
        <v>1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1" t="s">
        <v>843</v>
      </c>
      <c r="B28" s="64">
        <v>28.9</v>
      </c>
      <c r="C28" s="64">
        <v>1.37</v>
      </c>
      <c r="D28" s="64">
        <v>22.72</v>
      </c>
      <c r="E28" s="64">
        <v>5.71</v>
      </c>
      <c r="F28" s="64">
        <v>3.36</v>
      </c>
      <c r="G28" s="64">
        <v>97.94</v>
      </c>
      <c r="H28" s="64">
        <v>38.79</v>
      </c>
      <c r="I28" s="64">
        <v>3.84</v>
      </c>
      <c r="J28" s="64">
        <v>0.02</v>
      </c>
      <c r="K28" s="64">
        <v>205.15</v>
      </c>
      <c r="L28" s="64">
        <v>19.760000000000002</v>
      </c>
      <c r="M28" s="64">
        <v>94.33</v>
      </c>
      <c r="N28" s="64">
        <v>41.5</v>
      </c>
      <c r="O28" s="64">
        <v>0</v>
      </c>
      <c r="P28" s="64">
        <v>1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1" t="s">
        <v>844</v>
      </c>
      <c r="B29" s="64">
        <v>30.13</v>
      </c>
      <c r="C29" s="6" t="s">
        <v>42</v>
      </c>
      <c r="D29" s="64">
        <v>22.34</v>
      </c>
      <c r="E29" s="64">
        <v>4.96</v>
      </c>
      <c r="F29" s="64">
        <v>3.12</v>
      </c>
      <c r="G29" s="64">
        <v>97.94</v>
      </c>
      <c r="H29" s="64">
        <v>38.79</v>
      </c>
      <c r="I29" s="64">
        <v>3.81</v>
      </c>
      <c r="J29" s="64">
        <v>0.01</v>
      </c>
      <c r="K29" s="64">
        <v>338.71</v>
      </c>
      <c r="L29" s="64">
        <v>20.03</v>
      </c>
      <c r="M29" s="64">
        <v>89.88</v>
      </c>
      <c r="N29" s="64">
        <v>41.6</v>
      </c>
      <c r="O29" s="64">
        <v>0</v>
      </c>
      <c r="P29" s="64">
        <v>0.99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1" t="s">
        <v>845</v>
      </c>
      <c r="B30" s="64">
        <v>29.86</v>
      </c>
      <c r="C30" s="6" t="s">
        <v>42</v>
      </c>
      <c r="D30" s="64">
        <v>21.94</v>
      </c>
      <c r="E30" s="64">
        <v>5.13</v>
      </c>
      <c r="F30" s="64">
        <v>3.66</v>
      </c>
      <c r="G30" s="64">
        <v>102.53</v>
      </c>
      <c r="H30" s="64">
        <v>39.200000000000003</v>
      </c>
      <c r="I30" s="64">
        <v>3.77</v>
      </c>
      <c r="J30" s="64">
        <v>0.1</v>
      </c>
      <c r="K30" s="64">
        <v>45.17</v>
      </c>
      <c r="L30" s="64">
        <v>19.97</v>
      </c>
      <c r="M30" s="64">
        <v>90.39</v>
      </c>
      <c r="N30" s="64">
        <v>41.6</v>
      </c>
      <c r="O30" s="64">
        <v>0</v>
      </c>
      <c r="P30" s="64">
        <v>0.97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1" t="s">
        <v>846</v>
      </c>
      <c r="B31" s="64">
        <v>29.75</v>
      </c>
      <c r="C31" s="6" t="s">
        <v>42</v>
      </c>
      <c r="D31" s="64">
        <v>21.86</v>
      </c>
      <c r="E31" s="64">
        <v>4.91</v>
      </c>
      <c r="F31" s="64">
        <v>2.68</v>
      </c>
      <c r="G31" s="64">
        <v>115.16</v>
      </c>
      <c r="H31" s="64">
        <v>39.909999999999997</v>
      </c>
      <c r="I31" s="64">
        <v>3.75</v>
      </c>
      <c r="J31" s="64">
        <v>0.09</v>
      </c>
      <c r="K31" s="64">
        <v>62.53</v>
      </c>
      <c r="L31" s="64">
        <v>19.760000000000002</v>
      </c>
      <c r="M31" s="64">
        <v>91.15</v>
      </c>
      <c r="N31" s="64">
        <v>41.6</v>
      </c>
      <c r="O31" s="64">
        <v>0</v>
      </c>
      <c r="P31" s="64">
        <v>0.95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1" t="s">
        <v>847</v>
      </c>
      <c r="B32" s="64">
        <v>29.63</v>
      </c>
      <c r="C32" s="6" t="s">
        <v>42</v>
      </c>
      <c r="D32" s="64">
        <v>21.64</v>
      </c>
      <c r="E32" s="64">
        <v>4.9400000000000004</v>
      </c>
      <c r="F32" s="64">
        <v>3.22</v>
      </c>
      <c r="G32" s="64">
        <v>115.16</v>
      </c>
      <c r="H32" s="64">
        <v>39.909999999999997</v>
      </c>
      <c r="I32" s="64">
        <v>3.76</v>
      </c>
      <c r="J32" s="64">
        <v>0.28999999999999998</v>
      </c>
      <c r="K32" s="64">
        <v>343.67</v>
      </c>
      <c r="L32" s="64">
        <v>19.61</v>
      </c>
      <c r="M32" s="64">
        <v>92.65</v>
      </c>
      <c r="N32" s="64">
        <v>42.4</v>
      </c>
      <c r="O32" s="64">
        <v>0</v>
      </c>
      <c r="P32" s="64">
        <v>0.95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1" t="s">
        <v>848</v>
      </c>
      <c r="B33" s="64">
        <v>30</v>
      </c>
      <c r="C33" s="6" t="s">
        <v>42</v>
      </c>
      <c r="D33" s="64">
        <v>21.91</v>
      </c>
      <c r="E33" s="64">
        <v>4.83</v>
      </c>
      <c r="F33" s="64">
        <v>3.87</v>
      </c>
      <c r="G33" s="64">
        <v>115.16</v>
      </c>
      <c r="H33" s="64">
        <v>39.909999999999997</v>
      </c>
      <c r="I33" s="64">
        <v>3.76</v>
      </c>
      <c r="J33" s="64">
        <v>0.1</v>
      </c>
      <c r="K33" s="64">
        <v>5.34</v>
      </c>
      <c r="L33" s="64">
        <v>19.46</v>
      </c>
      <c r="M33" s="64">
        <v>91.9</v>
      </c>
      <c r="N33" s="64">
        <v>48.6</v>
      </c>
      <c r="O33" s="64">
        <v>0</v>
      </c>
      <c r="P33" s="64">
        <v>0.95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1" t="s">
        <v>849</v>
      </c>
      <c r="B34" s="64">
        <v>30.2</v>
      </c>
      <c r="C34" s="6" t="s">
        <v>42</v>
      </c>
      <c r="D34" s="64">
        <v>22.23</v>
      </c>
      <c r="E34" s="64">
        <v>4.75</v>
      </c>
      <c r="F34" s="64">
        <v>2.76</v>
      </c>
      <c r="G34" s="64">
        <v>118.52</v>
      </c>
      <c r="H34" s="64">
        <v>41.6</v>
      </c>
      <c r="I34" s="64">
        <v>3.75</v>
      </c>
      <c r="J34" s="64">
        <v>0.23</v>
      </c>
      <c r="K34" s="64">
        <v>350.72</v>
      </c>
      <c r="L34" s="64">
        <v>19.52</v>
      </c>
      <c r="M34" s="64">
        <v>90.03</v>
      </c>
      <c r="N34" s="64">
        <v>64.3</v>
      </c>
      <c r="O34" s="64">
        <v>0</v>
      </c>
      <c r="P34" s="64">
        <v>0.94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1" t="s">
        <v>850</v>
      </c>
      <c r="B35" s="64">
        <v>30.35</v>
      </c>
      <c r="C35" s="6" t="s">
        <v>42</v>
      </c>
      <c r="D35" s="64">
        <v>22.24</v>
      </c>
      <c r="E35" s="64">
        <v>4.53</v>
      </c>
      <c r="F35" s="64">
        <v>3.87</v>
      </c>
      <c r="G35" s="64">
        <v>127.74</v>
      </c>
      <c r="H35" s="64">
        <v>44.63</v>
      </c>
      <c r="I35" s="64">
        <v>3.74</v>
      </c>
      <c r="J35" s="64">
        <v>0.06</v>
      </c>
      <c r="K35" s="64">
        <v>118.47</v>
      </c>
      <c r="L35" s="64">
        <v>19.829999999999998</v>
      </c>
      <c r="M35" s="64">
        <v>87.31</v>
      </c>
      <c r="N35" s="64">
        <v>79.400000000000006</v>
      </c>
      <c r="O35" s="64">
        <v>0</v>
      </c>
      <c r="P35" s="64">
        <v>0.95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1" t="s">
        <v>851</v>
      </c>
      <c r="B36" s="64">
        <v>30.54</v>
      </c>
      <c r="C36" s="6" t="s">
        <v>42</v>
      </c>
      <c r="D36" s="64">
        <v>22.46</v>
      </c>
      <c r="E36" s="64">
        <v>4.71</v>
      </c>
      <c r="F36" s="64">
        <v>2.86</v>
      </c>
      <c r="G36" s="64">
        <v>127.74</v>
      </c>
      <c r="H36" s="64">
        <v>44.63</v>
      </c>
      <c r="I36" s="64">
        <v>3.75</v>
      </c>
      <c r="J36" s="64">
        <v>0.14000000000000001</v>
      </c>
      <c r="K36" s="64">
        <v>356.67</v>
      </c>
      <c r="L36" s="64">
        <v>20.23</v>
      </c>
      <c r="M36" s="64">
        <v>90.33</v>
      </c>
      <c r="N36" s="64">
        <v>100.2</v>
      </c>
      <c r="O36" s="64">
        <v>0</v>
      </c>
      <c r="P36" s="64">
        <v>0.94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1" t="s">
        <v>852</v>
      </c>
      <c r="B37" s="64">
        <v>31.04</v>
      </c>
      <c r="C37" s="6" t="s">
        <v>42</v>
      </c>
      <c r="D37" s="64">
        <v>22.75</v>
      </c>
      <c r="E37" s="64">
        <v>4.79</v>
      </c>
      <c r="F37" s="64">
        <v>3.53</v>
      </c>
      <c r="G37" s="64">
        <v>127.74</v>
      </c>
      <c r="H37" s="64">
        <v>44.63</v>
      </c>
      <c r="I37" s="64">
        <v>3.74</v>
      </c>
      <c r="J37" s="64">
        <v>0.12</v>
      </c>
      <c r="K37" s="64">
        <v>13</v>
      </c>
      <c r="L37" s="64">
        <v>21.12</v>
      </c>
      <c r="M37" s="64">
        <v>83.57</v>
      </c>
      <c r="N37" s="64">
        <v>171.3</v>
      </c>
      <c r="O37" s="64">
        <v>0</v>
      </c>
      <c r="P37" s="64">
        <v>1.06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1" t="s">
        <v>853</v>
      </c>
      <c r="B38" s="64">
        <v>30</v>
      </c>
      <c r="C38" s="64">
        <v>2.0699999999999998</v>
      </c>
      <c r="D38" s="64">
        <v>23.82</v>
      </c>
      <c r="E38" s="64">
        <v>5.52</v>
      </c>
      <c r="F38" s="64">
        <v>3.49</v>
      </c>
      <c r="G38" s="64">
        <v>123.83</v>
      </c>
      <c r="H38" s="64">
        <v>43.45</v>
      </c>
      <c r="I38" s="64">
        <v>3.72</v>
      </c>
      <c r="J38" s="64">
        <v>0.42</v>
      </c>
      <c r="K38" s="64">
        <v>347.53</v>
      </c>
      <c r="L38" s="64">
        <v>23.44</v>
      </c>
      <c r="M38" s="64">
        <v>69.7</v>
      </c>
      <c r="N38" s="64">
        <v>238.2</v>
      </c>
      <c r="O38" s="64">
        <v>0</v>
      </c>
      <c r="P38" s="64">
        <v>1.1100000000000001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1" t="s">
        <v>854</v>
      </c>
      <c r="B39" s="64">
        <v>31.6</v>
      </c>
      <c r="C39" s="64">
        <v>1.1599999999999999</v>
      </c>
      <c r="D39" s="64">
        <v>24.5</v>
      </c>
      <c r="E39" s="64">
        <v>5.97</v>
      </c>
      <c r="F39" s="64">
        <v>3.73</v>
      </c>
      <c r="G39" s="64">
        <v>113.08</v>
      </c>
      <c r="H39" s="64">
        <v>41.35</v>
      </c>
      <c r="I39" s="64">
        <v>3.71</v>
      </c>
      <c r="J39" s="64">
        <v>0.93</v>
      </c>
      <c r="K39" s="64">
        <v>348.72</v>
      </c>
      <c r="L39" s="64">
        <v>25.54</v>
      </c>
      <c r="M39" s="64">
        <v>55.56</v>
      </c>
      <c r="N39" s="64">
        <v>292.39999999999998</v>
      </c>
      <c r="O39" s="64">
        <v>0</v>
      </c>
      <c r="P39" s="64">
        <v>1.1499999999999999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1" t="s">
        <v>855</v>
      </c>
      <c r="B40" s="64">
        <v>29.06</v>
      </c>
      <c r="C40" s="64">
        <v>4.66</v>
      </c>
      <c r="D40" s="64">
        <v>24.97</v>
      </c>
      <c r="E40" s="64">
        <v>6.26</v>
      </c>
      <c r="F40" s="64">
        <v>4.12</v>
      </c>
      <c r="G40" s="64">
        <v>113.08</v>
      </c>
      <c r="H40" s="64">
        <v>41.35</v>
      </c>
      <c r="I40" s="64">
        <v>3.69</v>
      </c>
      <c r="J40" s="64">
        <v>0.98</v>
      </c>
      <c r="K40" s="64">
        <v>346.78</v>
      </c>
      <c r="L40" s="64">
        <v>26.61</v>
      </c>
      <c r="M40" s="64">
        <v>50.72</v>
      </c>
      <c r="N40" s="64">
        <v>345.5</v>
      </c>
      <c r="O40" s="64">
        <v>0</v>
      </c>
      <c r="P40" s="64">
        <v>1.18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1" t="s">
        <v>856</v>
      </c>
      <c r="B41" s="64">
        <v>28.28</v>
      </c>
      <c r="C41" s="64">
        <v>2.59</v>
      </c>
      <c r="D41" s="64">
        <v>23.37</v>
      </c>
      <c r="E41" s="64">
        <v>7.16</v>
      </c>
      <c r="F41" s="64">
        <v>4.3600000000000003</v>
      </c>
      <c r="G41" s="64">
        <v>113.08</v>
      </c>
      <c r="H41" s="64">
        <v>41.35</v>
      </c>
      <c r="I41" s="64">
        <v>3.65</v>
      </c>
      <c r="J41" s="64">
        <v>0.78</v>
      </c>
      <c r="K41" s="64">
        <v>346.01</v>
      </c>
      <c r="L41" s="64">
        <v>27.63</v>
      </c>
      <c r="M41" s="64">
        <v>44.6</v>
      </c>
      <c r="N41" s="64">
        <v>399.4</v>
      </c>
      <c r="O41" s="64">
        <v>0</v>
      </c>
      <c r="P41" s="64">
        <v>1.1399999999999999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1" t="s">
        <v>857</v>
      </c>
      <c r="B42" s="64">
        <v>27.97</v>
      </c>
      <c r="C42" s="64">
        <v>8.14</v>
      </c>
      <c r="D42" s="64">
        <v>26.23</v>
      </c>
      <c r="E42" s="64">
        <v>7.94</v>
      </c>
      <c r="F42" s="64">
        <v>6.17</v>
      </c>
      <c r="G42" s="64">
        <v>114.09</v>
      </c>
      <c r="H42" s="64">
        <v>41.39</v>
      </c>
      <c r="I42" s="64">
        <v>3.6</v>
      </c>
      <c r="J42" s="64">
        <v>0.6</v>
      </c>
      <c r="K42" s="64">
        <v>340.92</v>
      </c>
      <c r="L42" s="64">
        <v>28.32</v>
      </c>
      <c r="M42" s="64">
        <v>41.58</v>
      </c>
      <c r="N42" s="64">
        <v>461.7</v>
      </c>
      <c r="O42" s="64">
        <v>0</v>
      </c>
      <c r="P42" s="64">
        <v>1.1000000000000001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1" t="s">
        <v>858</v>
      </c>
      <c r="B43" s="64">
        <v>25.06</v>
      </c>
      <c r="C43" s="64">
        <v>5.01</v>
      </c>
      <c r="D43" s="64">
        <v>22.25</v>
      </c>
      <c r="E43" s="64">
        <v>7.57</v>
      </c>
      <c r="F43" s="64">
        <v>5.85</v>
      </c>
      <c r="G43" s="64">
        <v>116.87</v>
      </c>
      <c r="H43" s="64">
        <v>41.55</v>
      </c>
      <c r="I43" s="64">
        <v>3.56</v>
      </c>
      <c r="J43" s="64">
        <v>0.33</v>
      </c>
      <c r="K43" s="64">
        <v>342.49</v>
      </c>
      <c r="L43" s="64">
        <v>28.35</v>
      </c>
      <c r="M43" s="64">
        <v>39.99</v>
      </c>
      <c r="N43" s="64">
        <v>522.20000000000005</v>
      </c>
      <c r="O43" s="64">
        <v>0</v>
      </c>
      <c r="P43" s="64">
        <v>1.1100000000000001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1" t="s">
        <v>859</v>
      </c>
      <c r="B44" s="64">
        <v>25.81</v>
      </c>
      <c r="C44" s="64">
        <v>2.44</v>
      </c>
      <c r="D44" s="64">
        <v>21.5</v>
      </c>
      <c r="E44" s="64">
        <v>7.39</v>
      </c>
      <c r="F44" s="64">
        <v>6.2</v>
      </c>
      <c r="G44" s="64">
        <v>116.87</v>
      </c>
      <c r="H44" s="64">
        <v>41.55</v>
      </c>
      <c r="I44" s="64">
        <v>3.52</v>
      </c>
      <c r="J44" s="64">
        <v>0.2</v>
      </c>
      <c r="K44" s="64">
        <v>64.31</v>
      </c>
      <c r="L44" s="64">
        <v>28.38</v>
      </c>
      <c r="M44" s="64">
        <v>41.02</v>
      </c>
      <c r="N44" s="64">
        <v>574.70000000000005</v>
      </c>
      <c r="O44" s="64">
        <v>0</v>
      </c>
      <c r="P44" s="64">
        <v>1.05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1" t="s">
        <v>860</v>
      </c>
      <c r="B45" s="64">
        <v>24.15</v>
      </c>
      <c r="C45" s="64">
        <v>2.04</v>
      </c>
      <c r="D45" s="64">
        <v>19.86</v>
      </c>
      <c r="E45" s="64">
        <v>6.98</v>
      </c>
      <c r="F45" s="64">
        <v>5.07</v>
      </c>
      <c r="G45" s="64">
        <v>116.87</v>
      </c>
      <c r="H45" s="64">
        <v>41.55</v>
      </c>
      <c r="I45" s="64">
        <v>3.46</v>
      </c>
      <c r="J45" s="64">
        <v>0.15</v>
      </c>
      <c r="K45" s="64">
        <v>124.43</v>
      </c>
      <c r="L45" s="64">
        <v>28.31</v>
      </c>
      <c r="M45" s="64">
        <v>40.56</v>
      </c>
      <c r="N45" s="64">
        <v>626.4</v>
      </c>
      <c r="O45" s="64">
        <v>0</v>
      </c>
      <c r="P45" s="64">
        <v>1.04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1" t="s">
        <v>861</v>
      </c>
      <c r="B46" s="64">
        <v>25.02</v>
      </c>
      <c r="C46" s="64">
        <v>1.1100000000000001</v>
      </c>
      <c r="D46" s="64">
        <v>20.190000000000001</v>
      </c>
      <c r="E46" s="64">
        <v>6.54</v>
      </c>
      <c r="F46" s="64">
        <v>4.16</v>
      </c>
      <c r="G46" s="64">
        <v>108.77</v>
      </c>
      <c r="H46" s="64">
        <v>38.31</v>
      </c>
      <c r="I46" s="64">
        <v>3.4</v>
      </c>
      <c r="J46" s="64">
        <v>0.31</v>
      </c>
      <c r="K46" s="64">
        <v>343.04</v>
      </c>
      <c r="L46" s="64">
        <v>29.25</v>
      </c>
      <c r="M46" s="64">
        <v>38.409999999999997</v>
      </c>
      <c r="N46" s="64">
        <v>663.7</v>
      </c>
      <c r="O46" s="64">
        <v>0</v>
      </c>
      <c r="P46" s="64">
        <v>1.05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1" t="s">
        <v>862</v>
      </c>
      <c r="B47" s="64">
        <v>22.1</v>
      </c>
      <c r="C47" s="64">
        <v>3.48</v>
      </c>
      <c r="D47" s="64">
        <v>19.079999999999998</v>
      </c>
      <c r="E47" s="64">
        <v>6.25</v>
      </c>
      <c r="F47" s="64">
        <v>4.18</v>
      </c>
      <c r="G47" s="64">
        <v>86.51</v>
      </c>
      <c r="H47" s="64">
        <v>32.5</v>
      </c>
      <c r="I47" s="64">
        <v>3.33</v>
      </c>
      <c r="J47" s="64">
        <v>0.1</v>
      </c>
      <c r="K47" s="64">
        <v>358.44</v>
      </c>
      <c r="L47" s="64">
        <v>29.86</v>
      </c>
      <c r="M47" s="64">
        <v>37.94</v>
      </c>
      <c r="N47" s="64">
        <v>699</v>
      </c>
      <c r="O47" s="64">
        <v>0</v>
      </c>
      <c r="P47" s="64">
        <v>0.95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863</v>
      </c>
      <c r="B48" s="64">
        <v>21.6</v>
      </c>
      <c r="C48" s="64">
        <v>3.79</v>
      </c>
      <c r="D48" s="64">
        <v>18.84</v>
      </c>
      <c r="E48" s="64">
        <v>6.19</v>
      </c>
      <c r="F48" s="64">
        <v>4.1900000000000004</v>
      </c>
      <c r="G48" s="64">
        <v>86.51</v>
      </c>
      <c r="H48" s="64">
        <v>32.5</v>
      </c>
      <c r="I48" s="64">
        <v>3.26</v>
      </c>
      <c r="J48" s="64">
        <v>0.31</v>
      </c>
      <c r="K48" s="64">
        <v>98.79</v>
      </c>
      <c r="L48" s="64">
        <v>30.05</v>
      </c>
      <c r="M48" s="64">
        <v>39.68</v>
      </c>
      <c r="N48" s="64">
        <v>735.6</v>
      </c>
      <c r="O48" s="64">
        <v>0</v>
      </c>
      <c r="P48" s="64">
        <v>0.95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1" t="s">
        <v>864</v>
      </c>
      <c r="B49" s="64">
        <v>19.690000000000001</v>
      </c>
      <c r="C49" s="64">
        <v>3.16</v>
      </c>
      <c r="D49" s="64">
        <v>16.98</v>
      </c>
      <c r="E49" s="64">
        <v>6.13</v>
      </c>
      <c r="F49" s="64">
        <v>3.88</v>
      </c>
      <c r="G49" s="64">
        <v>86.51</v>
      </c>
      <c r="H49" s="64">
        <v>32.5</v>
      </c>
      <c r="I49" s="64">
        <v>3.2</v>
      </c>
      <c r="J49" s="64">
        <v>0.95</v>
      </c>
      <c r="K49" s="64">
        <v>123.98</v>
      </c>
      <c r="L49" s="64">
        <v>27.88</v>
      </c>
      <c r="M49" s="64">
        <v>46.64</v>
      </c>
      <c r="N49" s="64">
        <v>765.8</v>
      </c>
      <c r="O49" s="64">
        <v>0</v>
      </c>
      <c r="P49" s="64">
        <v>0.87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1" t="s">
        <v>865</v>
      </c>
      <c r="B50" s="64">
        <v>19.68</v>
      </c>
      <c r="C50" s="64">
        <v>3.04</v>
      </c>
      <c r="D50" s="64">
        <v>16.91</v>
      </c>
      <c r="E50" s="64">
        <v>5.69</v>
      </c>
      <c r="F50" s="64">
        <v>3.28</v>
      </c>
      <c r="G50" s="64">
        <v>78.84</v>
      </c>
      <c r="H50" s="64">
        <v>31.48</v>
      </c>
      <c r="I50" s="64">
        <v>3.15</v>
      </c>
      <c r="J50" s="64">
        <v>0.54</v>
      </c>
      <c r="K50" s="64">
        <v>124.26</v>
      </c>
      <c r="L50" s="64">
        <v>28.54</v>
      </c>
      <c r="M50" s="64">
        <v>44.4</v>
      </c>
      <c r="N50" s="64">
        <v>783.6</v>
      </c>
      <c r="O50" s="64">
        <v>0</v>
      </c>
      <c r="P50" s="64">
        <v>0.87</v>
      </c>
      <c r="Q50" s="64">
        <v>9.5299999999999994</v>
      </c>
      <c r="R50" s="198"/>
      <c r="S50" s="198"/>
      <c r="T50" s="198"/>
      <c r="U50" s="198"/>
    </row>
    <row r="51" spans="1:21" s="12" customFormat="1" x14ac:dyDescent="0.25">
      <c r="A51" s="211" t="s">
        <v>866</v>
      </c>
      <c r="B51" s="64">
        <v>18.149999999999999</v>
      </c>
      <c r="C51" s="64">
        <v>3.52</v>
      </c>
      <c r="D51" s="64">
        <v>15.94</v>
      </c>
      <c r="E51" s="64">
        <v>6.19</v>
      </c>
      <c r="F51" s="64">
        <v>4.8</v>
      </c>
      <c r="G51" s="64">
        <v>57.74</v>
      </c>
      <c r="H51" s="64">
        <v>29.64</v>
      </c>
      <c r="I51" s="64">
        <v>3.08</v>
      </c>
      <c r="J51" s="64">
        <v>0.51</v>
      </c>
      <c r="K51" s="64">
        <v>121.1</v>
      </c>
      <c r="L51" s="64">
        <v>28.66</v>
      </c>
      <c r="M51" s="64">
        <v>41.11</v>
      </c>
      <c r="N51" s="64">
        <v>821.5</v>
      </c>
      <c r="O51" s="64">
        <v>0</v>
      </c>
      <c r="P51" s="64">
        <v>0.82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1" t="s">
        <v>867</v>
      </c>
      <c r="B52" s="64">
        <v>17.690000000000001</v>
      </c>
      <c r="C52" s="64">
        <v>3.56</v>
      </c>
      <c r="D52" s="64">
        <v>15.58</v>
      </c>
      <c r="E52" s="64">
        <v>5.6</v>
      </c>
      <c r="F52" s="64">
        <v>3.17</v>
      </c>
      <c r="G52" s="64">
        <v>57.74</v>
      </c>
      <c r="H52" s="64">
        <v>29.64</v>
      </c>
      <c r="I52" s="64">
        <v>3.01</v>
      </c>
      <c r="J52" s="64">
        <v>1.05</v>
      </c>
      <c r="K52" s="64">
        <v>123.67</v>
      </c>
      <c r="L52" s="64">
        <v>27.98</v>
      </c>
      <c r="M52" s="64">
        <v>43.02</v>
      </c>
      <c r="N52" s="64">
        <v>800.3</v>
      </c>
      <c r="O52" s="64">
        <v>0</v>
      </c>
      <c r="P52" s="64">
        <v>0.82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1" t="s">
        <v>868</v>
      </c>
      <c r="B53" s="64">
        <v>14.39</v>
      </c>
      <c r="C53" s="64">
        <v>5.21</v>
      </c>
      <c r="D53" s="64">
        <v>13.8</v>
      </c>
      <c r="E53" s="64">
        <v>5.73</v>
      </c>
      <c r="F53" s="64">
        <v>5.03</v>
      </c>
      <c r="G53" s="64">
        <v>57.74</v>
      </c>
      <c r="H53" s="64">
        <v>29.64</v>
      </c>
      <c r="I53" s="64">
        <v>2.94</v>
      </c>
      <c r="J53" s="64">
        <v>0.56000000000000005</v>
      </c>
      <c r="K53" s="64">
        <v>106.64</v>
      </c>
      <c r="L53" s="64">
        <v>28.37</v>
      </c>
      <c r="M53" s="64">
        <v>40.86</v>
      </c>
      <c r="N53" s="64">
        <v>813.4</v>
      </c>
      <c r="O53" s="64">
        <v>0</v>
      </c>
      <c r="P53" s="64">
        <v>0.74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1" t="s">
        <v>869</v>
      </c>
      <c r="B54" s="64">
        <v>14.85</v>
      </c>
      <c r="C54" s="64">
        <v>5.3</v>
      </c>
      <c r="D54" s="64">
        <v>14.22</v>
      </c>
      <c r="E54" s="64">
        <v>5.18</v>
      </c>
      <c r="F54" s="64">
        <v>3.8</v>
      </c>
      <c r="G54" s="64">
        <v>56.43</v>
      </c>
      <c r="H54" s="64">
        <v>26.37</v>
      </c>
      <c r="I54" s="64">
        <v>2.87</v>
      </c>
      <c r="J54" s="64">
        <v>0.25</v>
      </c>
      <c r="K54" s="64">
        <v>24.88</v>
      </c>
      <c r="L54" s="64">
        <v>29.34</v>
      </c>
      <c r="M54" s="64">
        <v>37.590000000000003</v>
      </c>
      <c r="N54" s="64">
        <v>807.6</v>
      </c>
      <c r="O54" s="64">
        <v>0</v>
      </c>
      <c r="P54" s="64">
        <v>0.75</v>
      </c>
      <c r="Q54" s="64">
        <v>9.4</v>
      </c>
      <c r="R54" s="198"/>
      <c r="S54" s="198"/>
      <c r="T54" s="198"/>
      <c r="U54" s="198"/>
    </row>
    <row r="55" spans="1:21" s="12" customFormat="1" x14ac:dyDescent="0.25">
      <c r="A55" s="211" t="s">
        <v>870</v>
      </c>
      <c r="B55" s="64">
        <v>14.04</v>
      </c>
      <c r="C55" s="64">
        <v>6.76</v>
      </c>
      <c r="D55" s="64">
        <v>14.33</v>
      </c>
      <c r="E55" s="64">
        <v>5.48</v>
      </c>
      <c r="F55" s="64">
        <v>5.26</v>
      </c>
      <c r="G55" s="64">
        <v>52.83</v>
      </c>
      <c r="H55" s="64">
        <v>20.51</v>
      </c>
      <c r="I55" s="64">
        <v>2.78</v>
      </c>
      <c r="J55" s="64">
        <v>0.3</v>
      </c>
      <c r="K55" s="64">
        <v>5.65</v>
      </c>
      <c r="L55" s="64">
        <v>31.19</v>
      </c>
      <c r="M55" s="64">
        <v>31.64</v>
      </c>
      <c r="N55" s="64">
        <v>801.9</v>
      </c>
      <c r="O55" s="64">
        <v>0</v>
      </c>
      <c r="P55" s="64">
        <v>0.7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1" t="s">
        <v>871</v>
      </c>
      <c r="B56" s="64">
        <v>12.86</v>
      </c>
      <c r="C56" s="64">
        <v>9.14</v>
      </c>
      <c r="D56" s="64">
        <v>14.63</v>
      </c>
      <c r="E56" s="64">
        <v>6.13</v>
      </c>
      <c r="F56" s="64">
        <v>6.52</v>
      </c>
      <c r="G56" s="64">
        <v>52.83</v>
      </c>
      <c r="H56" s="64">
        <v>20.51</v>
      </c>
      <c r="I56" s="64">
        <v>2.71</v>
      </c>
      <c r="J56" s="64">
        <v>0.13</v>
      </c>
      <c r="K56" s="64">
        <v>70.08</v>
      </c>
      <c r="L56" s="64">
        <v>30.4</v>
      </c>
      <c r="M56" s="64">
        <v>33.270000000000003</v>
      </c>
      <c r="N56" s="64">
        <v>814.7</v>
      </c>
      <c r="O56" s="64">
        <v>0</v>
      </c>
      <c r="P56" s="64">
        <v>0.67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1" t="s">
        <v>872</v>
      </c>
      <c r="B57" s="64">
        <v>12.99</v>
      </c>
      <c r="C57" s="64">
        <v>9.15</v>
      </c>
      <c r="D57" s="64">
        <v>14.74</v>
      </c>
      <c r="E57" s="64">
        <v>5.97</v>
      </c>
      <c r="F57" s="64">
        <v>7.6</v>
      </c>
      <c r="G57" s="64">
        <v>52.83</v>
      </c>
      <c r="H57" s="64">
        <v>20.51</v>
      </c>
      <c r="I57" s="64">
        <v>2.66</v>
      </c>
      <c r="J57" s="64">
        <v>0.09</v>
      </c>
      <c r="K57" s="64">
        <v>97.61</v>
      </c>
      <c r="L57" s="64">
        <v>29.94</v>
      </c>
      <c r="M57" s="64">
        <v>33.22</v>
      </c>
      <c r="N57" s="64">
        <v>815.8</v>
      </c>
      <c r="O57" s="64">
        <v>0</v>
      </c>
      <c r="P57" s="64">
        <v>0.61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1" t="s">
        <v>873</v>
      </c>
      <c r="B58" s="64">
        <v>9.3800000000000008</v>
      </c>
      <c r="C58" s="64">
        <v>11.1</v>
      </c>
      <c r="D58" s="64">
        <v>12.86</v>
      </c>
      <c r="E58" s="64">
        <v>6.59</v>
      </c>
      <c r="F58" s="64">
        <v>9.52</v>
      </c>
      <c r="G58" s="64">
        <v>49.91</v>
      </c>
      <c r="H58" s="64">
        <v>19.91</v>
      </c>
      <c r="I58" s="64">
        <v>2.62</v>
      </c>
      <c r="J58" s="64">
        <v>0.77</v>
      </c>
      <c r="K58" s="64">
        <v>115.81</v>
      </c>
      <c r="L58" s="64">
        <v>29.93</v>
      </c>
      <c r="M58" s="64">
        <v>31.5</v>
      </c>
      <c r="N58" s="64">
        <v>847.6</v>
      </c>
      <c r="O58" s="64">
        <v>0</v>
      </c>
      <c r="P58" s="64">
        <v>0.62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1" t="s">
        <v>874</v>
      </c>
      <c r="B59" s="64">
        <v>9.15</v>
      </c>
      <c r="C59" s="64">
        <v>9.07</v>
      </c>
      <c r="D59" s="64">
        <v>11.62</v>
      </c>
      <c r="E59" s="64">
        <v>6.44</v>
      </c>
      <c r="F59" s="64">
        <v>8.2799999999999994</v>
      </c>
      <c r="G59" s="64">
        <v>41.9</v>
      </c>
      <c r="H59" s="64">
        <v>17.559999999999999</v>
      </c>
      <c r="I59" s="64">
        <v>2.5499999999999998</v>
      </c>
      <c r="J59" s="64">
        <v>0.27</v>
      </c>
      <c r="K59" s="64">
        <v>340.44</v>
      </c>
      <c r="L59" s="64">
        <v>29.47</v>
      </c>
      <c r="M59" s="64">
        <v>31.88</v>
      </c>
      <c r="N59" s="64">
        <v>650.29999999999995</v>
      </c>
      <c r="O59" s="64">
        <v>0</v>
      </c>
      <c r="P59" s="64">
        <v>0.64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1" t="s">
        <v>875</v>
      </c>
      <c r="B60" s="64">
        <v>8.81</v>
      </c>
      <c r="C60" s="64">
        <v>11.14</v>
      </c>
      <c r="D60" s="64">
        <v>12.43</v>
      </c>
      <c r="E60" s="64">
        <v>6.37</v>
      </c>
      <c r="F60" s="64">
        <v>6.86</v>
      </c>
      <c r="G60" s="64">
        <v>41.9</v>
      </c>
      <c r="H60" s="64">
        <v>17.559999999999999</v>
      </c>
      <c r="I60" s="64">
        <v>2.4900000000000002</v>
      </c>
      <c r="J60" s="64">
        <v>0.84</v>
      </c>
      <c r="K60" s="64">
        <v>336.19</v>
      </c>
      <c r="L60" s="64">
        <v>30.86</v>
      </c>
      <c r="M60" s="64">
        <v>29.61</v>
      </c>
      <c r="N60" s="64">
        <v>528.5</v>
      </c>
      <c r="O60" s="64">
        <v>0</v>
      </c>
      <c r="P60" s="64">
        <v>0.64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1" t="s">
        <v>876</v>
      </c>
      <c r="B61" s="64">
        <v>9.6999999999999993</v>
      </c>
      <c r="C61" s="64">
        <v>13.51</v>
      </c>
      <c r="D61" s="64">
        <v>14.37</v>
      </c>
      <c r="E61" s="64">
        <v>7.78</v>
      </c>
      <c r="F61" s="64">
        <v>9.76</v>
      </c>
      <c r="G61" s="64">
        <v>41.9</v>
      </c>
      <c r="H61" s="64">
        <v>17.559999999999999</v>
      </c>
      <c r="I61" s="64">
        <v>2.4300000000000002</v>
      </c>
      <c r="J61" s="64">
        <v>1.17</v>
      </c>
      <c r="K61" s="64">
        <v>341.98</v>
      </c>
      <c r="L61" s="64">
        <v>30.23</v>
      </c>
      <c r="M61" s="64">
        <v>31.18</v>
      </c>
      <c r="N61" s="64">
        <v>244.4</v>
      </c>
      <c r="O61" s="64">
        <v>0</v>
      </c>
      <c r="P61" s="64">
        <v>0.62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1" t="s">
        <v>877</v>
      </c>
      <c r="B62" s="64">
        <v>8.76</v>
      </c>
      <c r="C62" s="64">
        <v>12.73</v>
      </c>
      <c r="D62" s="64">
        <v>13.21</v>
      </c>
      <c r="E62" s="64">
        <v>9.77</v>
      </c>
      <c r="F62" s="64">
        <v>14.33</v>
      </c>
      <c r="G62" s="64">
        <v>41.24</v>
      </c>
      <c r="H62" s="64">
        <v>16.84</v>
      </c>
      <c r="I62" s="64">
        <v>2.37</v>
      </c>
      <c r="J62" s="64">
        <v>0.55000000000000004</v>
      </c>
      <c r="K62" s="64">
        <v>348.32</v>
      </c>
      <c r="L62" s="64">
        <v>29.95</v>
      </c>
      <c r="M62" s="64">
        <v>31.93</v>
      </c>
      <c r="N62" s="64">
        <v>359.8</v>
      </c>
      <c r="O62" s="64">
        <v>0</v>
      </c>
      <c r="P62" s="64">
        <v>0.59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1" t="s">
        <v>878</v>
      </c>
      <c r="B63" s="64">
        <v>6.06</v>
      </c>
      <c r="C63" s="64">
        <v>12.46</v>
      </c>
      <c r="D63" s="64">
        <v>10.91</v>
      </c>
      <c r="E63" s="64">
        <v>6.34</v>
      </c>
      <c r="F63" s="64">
        <v>10.86</v>
      </c>
      <c r="G63" s="64">
        <v>39.42</v>
      </c>
      <c r="H63" s="64">
        <v>15.55</v>
      </c>
      <c r="I63" s="64">
        <v>2.3199999999999998</v>
      </c>
      <c r="J63" s="64">
        <v>0.22</v>
      </c>
      <c r="K63" s="64">
        <v>20.62</v>
      </c>
      <c r="L63" s="64">
        <v>28.55</v>
      </c>
      <c r="M63" s="64">
        <v>35.950000000000003</v>
      </c>
      <c r="N63" s="64">
        <v>217.4</v>
      </c>
      <c r="O63" s="64">
        <v>0</v>
      </c>
      <c r="P63" s="64">
        <v>0.6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1" t="s">
        <v>879</v>
      </c>
      <c r="B64" s="64">
        <v>8.67</v>
      </c>
      <c r="C64" s="64">
        <v>11.65</v>
      </c>
      <c r="D64" s="64">
        <v>12.58</v>
      </c>
      <c r="E64" s="64">
        <v>6.84</v>
      </c>
      <c r="F64" s="64">
        <v>6.45</v>
      </c>
      <c r="G64" s="64">
        <v>39.42</v>
      </c>
      <c r="H64" s="64">
        <v>15.55</v>
      </c>
      <c r="I64" s="64">
        <v>2.29</v>
      </c>
      <c r="J64" s="64">
        <v>0.88</v>
      </c>
      <c r="K64" s="64">
        <v>340.45</v>
      </c>
      <c r="L64" s="64">
        <v>28.43</v>
      </c>
      <c r="M64" s="64">
        <v>34.29</v>
      </c>
      <c r="N64" s="64">
        <v>169.6</v>
      </c>
      <c r="O64" s="64">
        <v>0</v>
      </c>
      <c r="P64" s="64">
        <v>0.57999999999999996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1" t="s">
        <v>880</v>
      </c>
      <c r="B65" s="64">
        <v>8.15</v>
      </c>
      <c r="C65" s="64">
        <v>11.04</v>
      </c>
      <c r="D65" s="64">
        <v>11.84</v>
      </c>
      <c r="E65" s="64">
        <v>7.01</v>
      </c>
      <c r="F65" s="64">
        <v>6.43</v>
      </c>
      <c r="G65" s="64">
        <v>39.42</v>
      </c>
      <c r="H65" s="64">
        <v>15.55</v>
      </c>
      <c r="I65" s="64">
        <v>2.2400000000000002</v>
      </c>
      <c r="J65" s="64">
        <v>0.86</v>
      </c>
      <c r="K65" s="64">
        <v>346.35</v>
      </c>
      <c r="L65" s="64">
        <v>28.69</v>
      </c>
      <c r="M65" s="64">
        <v>34.07</v>
      </c>
      <c r="N65" s="64">
        <v>184.2</v>
      </c>
      <c r="O65" s="64">
        <v>0</v>
      </c>
      <c r="P65" s="64">
        <v>0.56999999999999995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1" t="s">
        <v>881</v>
      </c>
      <c r="B66" s="64">
        <v>10.7</v>
      </c>
      <c r="C66" s="64">
        <v>17.940000000000001</v>
      </c>
      <c r="D66" s="64">
        <v>17.5</v>
      </c>
      <c r="E66" s="64">
        <v>9.85</v>
      </c>
      <c r="F66" s="64">
        <v>13.13</v>
      </c>
      <c r="G66" s="64">
        <v>41.25</v>
      </c>
      <c r="H66" s="64">
        <v>16.77</v>
      </c>
      <c r="I66" s="64">
        <v>2.21</v>
      </c>
      <c r="J66" s="64">
        <v>0.28000000000000003</v>
      </c>
      <c r="K66" s="64">
        <v>1.42</v>
      </c>
      <c r="L66" s="64">
        <v>28.42</v>
      </c>
      <c r="M66" s="64">
        <v>33.72</v>
      </c>
      <c r="N66" s="64">
        <v>170.8</v>
      </c>
      <c r="O66" s="64">
        <v>0</v>
      </c>
      <c r="P66" s="64">
        <v>0.5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1" t="s">
        <v>882</v>
      </c>
      <c r="B67" s="64">
        <v>8.07</v>
      </c>
      <c r="C67" s="64">
        <v>12.4</v>
      </c>
      <c r="D67" s="64">
        <v>12.49</v>
      </c>
      <c r="E67" s="64">
        <v>9.15</v>
      </c>
      <c r="F67" s="64">
        <v>8.3000000000000007</v>
      </c>
      <c r="G67" s="64">
        <v>46.03</v>
      </c>
      <c r="H67" s="64">
        <v>18.96</v>
      </c>
      <c r="I67" s="64">
        <v>2.19</v>
      </c>
      <c r="J67" s="64">
        <v>0.68</v>
      </c>
      <c r="K67" s="64">
        <v>344.69</v>
      </c>
      <c r="L67" s="64">
        <v>28.21</v>
      </c>
      <c r="M67" s="64">
        <v>34.19</v>
      </c>
      <c r="N67" s="64">
        <v>161.80000000000001</v>
      </c>
      <c r="O67" s="64">
        <v>0</v>
      </c>
      <c r="P67" s="64">
        <v>0.56000000000000005</v>
      </c>
      <c r="Q67" s="64">
        <v>9.2100000000000009</v>
      </c>
      <c r="R67" s="198"/>
      <c r="S67" s="198"/>
      <c r="T67" s="198"/>
      <c r="U67" s="198"/>
    </row>
    <row r="68" spans="1:21" s="12" customFormat="1" x14ac:dyDescent="0.25">
      <c r="A68" s="211" t="s">
        <v>883</v>
      </c>
      <c r="B68" s="64">
        <v>8.6999999999999993</v>
      </c>
      <c r="C68" s="64">
        <v>17.489999999999998</v>
      </c>
      <c r="D68" s="64">
        <v>15.65</v>
      </c>
      <c r="E68" s="64">
        <v>10.37</v>
      </c>
      <c r="F68" s="64">
        <v>9.48</v>
      </c>
      <c r="G68" s="64">
        <v>46.03</v>
      </c>
      <c r="H68" s="64">
        <v>18.96</v>
      </c>
      <c r="I68" s="64">
        <v>2.1800000000000002</v>
      </c>
      <c r="J68" s="64">
        <v>0.28999999999999998</v>
      </c>
      <c r="K68" s="64">
        <v>359.16</v>
      </c>
      <c r="L68" s="64">
        <v>27.82</v>
      </c>
      <c r="M68" s="64">
        <v>35.07</v>
      </c>
      <c r="N68" s="64">
        <v>123.8</v>
      </c>
      <c r="O68" s="64">
        <v>0</v>
      </c>
      <c r="P68" s="64">
        <v>0.49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1" t="s">
        <v>884</v>
      </c>
      <c r="B69" s="64">
        <v>6.83</v>
      </c>
      <c r="C69" s="64">
        <v>14.13</v>
      </c>
      <c r="D69" s="64">
        <v>12.4</v>
      </c>
      <c r="E69" s="64">
        <v>8.2799999999999994</v>
      </c>
      <c r="F69" s="64">
        <v>9.06</v>
      </c>
      <c r="G69" s="64">
        <v>46.03</v>
      </c>
      <c r="H69" s="64">
        <v>18.96</v>
      </c>
      <c r="I69" s="64">
        <v>2.16</v>
      </c>
      <c r="J69" s="64">
        <v>0.1</v>
      </c>
      <c r="K69" s="64">
        <v>92.22</v>
      </c>
      <c r="L69" s="64">
        <v>27.11</v>
      </c>
      <c r="M69" s="64">
        <v>36.700000000000003</v>
      </c>
      <c r="N69" s="64">
        <v>110.1</v>
      </c>
      <c r="O69" s="64">
        <v>0</v>
      </c>
      <c r="P69" s="64">
        <v>0.48</v>
      </c>
      <c r="Q69" s="64">
        <v>9.2100000000000009</v>
      </c>
      <c r="R69" s="198"/>
      <c r="S69" s="198"/>
      <c r="T69" s="198"/>
      <c r="U69" s="198"/>
    </row>
    <row r="70" spans="1:21" s="12" customFormat="1" x14ac:dyDescent="0.25">
      <c r="A70" s="211" t="s">
        <v>885</v>
      </c>
      <c r="B70" s="64">
        <v>4.01</v>
      </c>
      <c r="C70" s="64">
        <v>15.87</v>
      </c>
      <c r="D70" s="64">
        <v>11.05</v>
      </c>
      <c r="E70" s="64">
        <v>10.58</v>
      </c>
      <c r="F70" s="64">
        <v>18.53</v>
      </c>
      <c r="G70" s="64">
        <v>47.22</v>
      </c>
      <c r="H70" s="64">
        <v>18.170000000000002</v>
      </c>
      <c r="I70" s="64">
        <v>2.15</v>
      </c>
      <c r="J70" s="64">
        <v>0.72</v>
      </c>
      <c r="K70" s="64">
        <v>120.57</v>
      </c>
      <c r="L70" s="64">
        <v>26.92</v>
      </c>
      <c r="M70" s="64">
        <v>35.29</v>
      </c>
      <c r="N70" s="64">
        <v>99.3</v>
      </c>
      <c r="O70" s="64">
        <v>0</v>
      </c>
      <c r="P70" s="64">
        <v>0.3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1" t="s">
        <v>886</v>
      </c>
      <c r="B71" s="64">
        <v>5.38</v>
      </c>
      <c r="C71" s="64">
        <v>12.78</v>
      </c>
      <c r="D71" s="64">
        <v>10.52</v>
      </c>
      <c r="E71" s="64">
        <v>8</v>
      </c>
      <c r="F71" s="64">
        <v>8.9600000000000009</v>
      </c>
      <c r="G71" s="64">
        <v>50.49</v>
      </c>
      <c r="H71" s="64">
        <v>16.75</v>
      </c>
      <c r="I71" s="64">
        <v>2.13</v>
      </c>
      <c r="J71" s="64">
        <v>0.25</v>
      </c>
      <c r="K71" s="64">
        <v>118.96</v>
      </c>
      <c r="L71" s="64">
        <v>26.63</v>
      </c>
      <c r="M71" s="64">
        <v>35.57</v>
      </c>
      <c r="N71" s="64">
        <v>87.7</v>
      </c>
      <c r="O71" s="64">
        <v>0</v>
      </c>
      <c r="P71" s="64">
        <v>0.5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11" t="s">
        <v>887</v>
      </c>
      <c r="B72" s="64">
        <v>2.5499999999999998</v>
      </c>
      <c r="C72" s="64">
        <v>15.55</v>
      </c>
      <c r="D72" s="64">
        <v>9.7100000000000009</v>
      </c>
      <c r="E72" s="64">
        <v>8.17</v>
      </c>
      <c r="F72" s="64">
        <v>16.329999999999998</v>
      </c>
      <c r="G72" s="64">
        <v>50.49</v>
      </c>
      <c r="H72" s="64">
        <v>16.75</v>
      </c>
      <c r="I72" s="64">
        <v>2.1</v>
      </c>
      <c r="J72" s="64">
        <v>0.43</v>
      </c>
      <c r="K72" s="64">
        <v>120.06</v>
      </c>
      <c r="L72" s="64">
        <v>26.33</v>
      </c>
      <c r="M72" s="64">
        <v>36.57</v>
      </c>
      <c r="N72" s="64">
        <v>79.5</v>
      </c>
      <c r="O72" s="64">
        <v>0</v>
      </c>
      <c r="P72" s="64">
        <v>0.34</v>
      </c>
      <c r="Q72" s="64">
        <v>9.19</v>
      </c>
      <c r="R72" s="198"/>
      <c r="S72" s="198"/>
      <c r="T72" s="198"/>
      <c r="U72" s="198"/>
    </row>
    <row r="73" spans="1:21" s="12" customFormat="1" x14ac:dyDescent="0.25">
      <c r="A73" s="211" t="s">
        <v>888</v>
      </c>
      <c r="B73" s="64">
        <v>5.23</v>
      </c>
      <c r="C73" s="64">
        <v>13.94</v>
      </c>
      <c r="D73" s="64">
        <v>11.02</v>
      </c>
      <c r="E73" s="64">
        <v>9.0299999999999994</v>
      </c>
      <c r="F73" s="64">
        <v>14.34</v>
      </c>
      <c r="G73" s="64">
        <v>50.49</v>
      </c>
      <c r="H73" s="64">
        <v>16.75</v>
      </c>
      <c r="I73" s="64">
        <v>2.21</v>
      </c>
      <c r="J73" s="64">
        <v>0.25</v>
      </c>
      <c r="K73" s="64">
        <v>107.32</v>
      </c>
      <c r="L73" s="64">
        <v>26.23</v>
      </c>
      <c r="M73" s="64">
        <v>37.44</v>
      </c>
      <c r="N73" s="64">
        <v>74.7</v>
      </c>
      <c r="O73" s="64">
        <v>0</v>
      </c>
      <c r="P73" s="64">
        <v>0.39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1" t="s">
        <v>889</v>
      </c>
      <c r="B74" s="64">
        <v>2.36</v>
      </c>
      <c r="C74" s="64">
        <v>17.059999999999999</v>
      </c>
      <c r="D74" s="64">
        <v>10.35</v>
      </c>
      <c r="E74" s="64">
        <v>10.53</v>
      </c>
      <c r="F74" s="64">
        <v>18.190000000000001</v>
      </c>
      <c r="G74" s="64">
        <v>49.21</v>
      </c>
      <c r="H74" s="64">
        <v>16.309999999999999</v>
      </c>
      <c r="I74" s="64">
        <v>2.14</v>
      </c>
      <c r="J74" s="64">
        <v>0.34</v>
      </c>
      <c r="K74" s="64">
        <v>119.99</v>
      </c>
      <c r="L74" s="64">
        <v>26.09</v>
      </c>
      <c r="M74" s="64">
        <v>38.11</v>
      </c>
      <c r="N74" s="64">
        <v>73.400000000000006</v>
      </c>
      <c r="O74" s="64">
        <v>0</v>
      </c>
      <c r="P74" s="64">
        <v>0.3</v>
      </c>
      <c r="Q74" s="64">
        <v>9.18</v>
      </c>
      <c r="R74" s="198"/>
      <c r="S74" s="198"/>
      <c r="T74" s="198"/>
      <c r="U74" s="198"/>
    </row>
    <row r="75" spans="1:21" s="12" customFormat="1" x14ac:dyDescent="0.25">
      <c r="A75" s="211" t="s">
        <v>890</v>
      </c>
      <c r="B75" s="64">
        <v>9.2200000000000006</v>
      </c>
      <c r="C75" s="64">
        <v>18.05</v>
      </c>
      <c r="D75" s="64">
        <v>16.23</v>
      </c>
      <c r="E75" s="64">
        <v>9.0299999999999994</v>
      </c>
      <c r="F75" s="64">
        <v>13.11</v>
      </c>
      <c r="G75" s="64">
        <v>45.87</v>
      </c>
      <c r="H75" s="64">
        <v>14.56</v>
      </c>
      <c r="I75" s="64">
        <v>2.0299999999999998</v>
      </c>
      <c r="J75" s="64">
        <v>0.51</v>
      </c>
      <c r="K75" s="64">
        <v>348.43</v>
      </c>
      <c r="L75" s="64">
        <v>26.08</v>
      </c>
      <c r="M75" s="64">
        <v>37.74</v>
      </c>
      <c r="N75" s="64">
        <v>63.5</v>
      </c>
      <c r="O75" s="64">
        <v>0</v>
      </c>
      <c r="P75" s="64">
        <v>0.55000000000000004</v>
      </c>
      <c r="Q75" s="64">
        <v>9.19</v>
      </c>
      <c r="R75" s="198"/>
      <c r="S75" s="198"/>
      <c r="T75" s="198"/>
      <c r="U75" s="198"/>
    </row>
    <row r="76" spans="1:21" s="12" customFormat="1" x14ac:dyDescent="0.25">
      <c r="A76" s="211" t="s">
        <v>891</v>
      </c>
      <c r="B76" s="64">
        <v>13.52</v>
      </c>
      <c r="C76" s="64">
        <v>20.82</v>
      </c>
      <c r="D76" s="64">
        <v>21.26</v>
      </c>
      <c r="E76" s="64">
        <v>8.4700000000000006</v>
      </c>
      <c r="F76" s="64">
        <v>9.61</v>
      </c>
      <c r="G76" s="64">
        <v>45.87</v>
      </c>
      <c r="H76" s="64">
        <v>14.56</v>
      </c>
      <c r="I76" s="64">
        <v>2.0099999999999998</v>
      </c>
      <c r="J76" s="64">
        <v>0.38</v>
      </c>
      <c r="K76" s="64">
        <v>346.45</v>
      </c>
      <c r="L76" s="64">
        <v>25.96</v>
      </c>
      <c r="M76" s="64">
        <v>38.17</v>
      </c>
      <c r="N76" s="64">
        <v>53.2</v>
      </c>
      <c r="O76" s="64">
        <v>0</v>
      </c>
      <c r="P76" s="64">
        <v>0.61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1" t="s">
        <v>892</v>
      </c>
      <c r="B77" s="64">
        <v>9.11</v>
      </c>
      <c r="C77" s="64">
        <v>20.440000000000001</v>
      </c>
      <c r="D77" s="64">
        <v>17.53</v>
      </c>
      <c r="E77" s="64">
        <v>8.1999999999999993</v>
      </c>
      <c r="F77" s="64">
        <v>11.68</v>
      </c>
      <c r="G77" s="64">
        <v>45.87</v>
      </c>
      <c r="H77" s="64">
        <v>14.56</v>
      </c>
      <c r="I77" s="64">
        <v>2</v>
      </c>
      <c r="J77" s="64">
        <v>0.53</v>
      </c>
      <c r="K77" s="64">
        <v>346.91</v>
      </c>
      <c r="L77" s="64">
        <v>25.68</v>
      </c>
      <c r="M77" s="64">
        <v>38.18</v>
      </c>
      <c r="N77" s="64">
        <v>46.3</v>
      </c>
      <c r="O77" s="64">
        <v>0</v>
      </c>
      <c r="P77" s="64">
        <v>0.61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11" t="s">
        <v>893</v>
      </c>
      <c r="B78" s="64">
        <v>13.89</v>
      </c>
      <c r="C78" s="64">
        <v>27.82</v>
      </c>
      <c r="D78" s="64">
        <v>25.21</v>
      </c>
      <c r="E78" s="64">
        <v>8.17</v>
      </c>
      <c r="F78" s="64">
        <v>9.8800000000000008</v>
      </c>
      <c r="G78" s="64">
        <v>44.07</v>
      </c>
      <c r="H78" s="64">
        <v>14.66</v>
      </c>
      <c r="I78" s="64">
        <v>1.99</v>
      </c>
      <c r="J78" s="64">
        <v>7.0000000000000007E-2</v>
      </c>
      <c r="K78" s="64">
        <v>4.46</v>
      </c>
      <c r="L78" s="64">
        <v>25.03</v>
      </c>
      <c r="M78" s="64">
        <v>43.32</v>
      </c>
      <c r="N78" s="64">
        <v>43</v>
      </c>
      <c r="O78" s="64">
        <v>0</v>
      </c>
      <c r="P78" s="64">
        <v>0.73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1" t="s">
        <v>894</v>
      </c>
      <c r="B79" s="64">
        <v>9.27</v>
      </c>
      <c r="C79" s="64">
        <v>29.54</v>
      </c>
      <c r="D79" s="64">
        <v>22.4</v>
      </c>
      <c r="E79" s="64">
        <v>8.02</v>
      </c>
      <c r="F79" s="64">
        <v>7.31</v>
      </c>
      <c r="G79" s="64">
        <v>39.11</v>
      </c>
      <c r="H79" s="64">
        <v>14.84</v>
      </c>
      <c r="I79" s="64">
        <v>2</v>
      </c>
      <c r="J79" s="64">
        <v>0.11</v>
      </c>
      <c r="K79" s="64">
        <v>69.849999999999994</v>
      </c>
      <c r="L79" s="64">
        <v>24.39</v>
      </c>
      <c r="M79" s="64">
        <v>45.18</v>
      </c>
      <c r="N79" s="64">
        <v>42</v>
      </c>
      <c r="O79" s="64">
        <v>0</v>
      </c>
      <c r="P79" s="64">
        <v>0.91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11" t="s">
        <v>895</v>
      </c>
      <c r="B80" s="64">
        <v>10.96</v>
      </c>
      <c r="C80" s="64">
        <v>20.79</v>
      </c>
      <c r="D80" s="64">
        <v>19.190000000000001</v>
      </c>
      <c r="E80" s="64">
        <v>7.85</v>
      </c>
      <c r="F80" s="64">
        <v>8.7100000000000009</v>
      </c>
      <c r="G80" s="64">
        <v>39.11</v>
      </c>
      <c r="H80" s="64">
        <v>14.84</v>
      </c>
      <c r="I80" s="64">
        <v>2.0299999999999998</v>
      </c>
      <c r="J80" s="64">
        <v>7.0000000000000007E-2</v>
      </c>
      <c r="K80" s="64">
        <v>343.06</v>
      </c>
      <c r="L80" s="64">
        <v>23.99</v>
      </c>
      <c r="M80" s="64">
        <v>48.11</v>
      </c>
      <c r="N80" s="64">
        <v>41.7</v>
      </c>
      <c r="O80" s="64">
        <v>0</v>
      </c>
      <c r="P80" s="64">
        <v>0.74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1" t="s">
        <v>896</v>
      </c>
      <c r="B81" s="64">
        <v>11.8</v>
      </c>
      <c r="C81" s="64">
        <v>10.57</v>
      </c>
      <c r="D81" s="64">
        <v>14.53</v>
      </c>
      <c r="E81" s="64">
        <v>6.92</v>
      </c>
      <c r="F81" s="64">
        <v>4.93</v>
      </c>
      <c r="G81" s="64">
        <v>39.11</v>
      </c>
      <c r="H81" s="64">
        <v>14.84</v>
      </c>
      <c r="I81" s="64">
        <v>2.0699999999999998</v>
      </c>
      <c r="J81" s="64">
        <v>0.18</v>
      </c>
      <c r="K81" s="64">
        <v>303.52</v>
      </c>
      <c r="L81" s="64">
        <v>23.58</v>
      </c>
      <c r="M81" s="64">
        <v>55.46</v>
      </c>
      <c r="N81" s="64">
        <v>41.9</v>
      </c>
      <c r="O81" s="64">
        <v>0</v>
      </c>
      <c r="P81" s="64">
        <v>0.66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1" t="s">
        <v>897</v>
      </c>
      <c r="B82" s="64">
        <v>14.15</v>
      </c>
      <c r="C82" s="64">
        <v>18.71</v>
      </c>
      <c r="D82" s="64">
        <v>20.61</v>
      </c>
      <c r="E82" s="64">
        <v>6.99</v>
      </c>
      <c r="F82" s="64">
        <v>5.34</v>
      </c>
      <c r="G82" s="64">
        <v>43.22</v>
      </c>
      <c r="H82" s="64">
        <v>16.47</v>
      </c>
      <c r="I82" s="64">
        <v>2.12</v>
      </c>
      <c r="J82" s="64">
        <v>0.1</v>
      </c>
      <c r="K82" s="64">
        <v>333.32</v>
      </c>
      <c r="L82" s="64">
        <v>22.83</v>
      </c>
      <c r="M82" s="64">
        <v>64.19</v>
      </c>
      <c r="N82" s="64">
        <v>41.9</v>
      </c>
      <c r="O82" s="64">
        <v>0</v>
      </c>
      <c r="P82" s="64">
        <v>0.82</v>
      </c>
      <c r="Q82" s="64">
        <v>9.23</v>
      </c>
      <c r="R82" s="198"/>
      <c r="S82" s="198"/>
      <c r="T82" s="198"/>
      <c r="U82" s="198"/>
    </row>
    <row r="83" spans="1:26" s="12" customFormat="1" x14ac:dyDescent="0.25">
      <c r="A83" s="211" t="s">
        <v>898</v>
      </c>
      <c r="B83" s="64">
        <v>27.88</v>
      </c>
      <c r="C83" s="64">
        <v>13.26</v>
      </c>
      <c r="D83" s="64">
        <v>28.73</v>
      </c>
      <c r="E83" s="64">
        <v>6.44</v>
      </c>
      <c r="F83" s="64">
        <v>4.46</v>
      </c>
      <c r="G83" s="64">
        <v>54.51</v>
      </c>
      <c r="H83" s="64">
        <v>19.38</v>
      </c>
      <c r="I83" s="64">
        <v>2.19</v>
      </c>
      <c r="J83" s="64">
        <v>0.2</v>
      </c>
      <c r="K83" s="64">
        <v>326.10000000000002</v>
      </c>
      <c r="L83" s="64">
        <v>22.7</v>
      </c>
      <c r="M83" s="64">
        <v>63.04</v>
      </c>
      <c r="N83" s="64">
        <v>41.6</v>
      </c>
      <c r="O83" s="64">
        <v>0</v>
      </c>
      <c r="P83" s="64">
        <v>1.03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11" t="s">
        <v>899</v>
      </c>
      <c r="B84" s="64">
        <v>21.82</v>
      </c>
      <c r="C84" s="64">
        <v>5.6</v>
      </c>
      <c r="D84" s="64">
        <v>19.53</v>
      </c>
      <c r="E84" s="64">
        <v>6.67</v>
      </c>
      <c r="F84" s="64">
        <v>4.41</v>
      </c>
      <c r="G84" s="64">
        <v>54.51</v>
      </c>
      <c r="H84" s="64">
        <v>19.38</v>
      </c>
      <c r="I84" s="64">
        <v>2.2999999999999998</v>
      </c>
      <c r="J84" s="64">
        <v>0.1</v>
      </c>
      <c r="K84" s="64">
        <v>123.59</v>
      </c>
      <c r="L84" s="64">
        <v>22.23</v>
      </c>
      <c r="M84" s="64">
        <v>71.930000000000007</v>
      </c>
      <c r="N84" s="64">
        <v>41.6</v>
      </c>
      <c r="O84" s="64">
        <v>0</v>
      </c>
      <c r="P84" s="64">
        <v>0.8</v>
      </c>
      <c r="Q84" s="64">
        <v>9.3000000000000007</v>
      </c>
      <c r="R84" s="198"/>
      <c r="S84" s="198"/>
      <c r="T84" s="198"/>
      <c r="U84" s="198"/>
    </row>
    <row r="85" spans="1:26" s="12" customFormat="1" x14ac:dyDescent="0.25">
      <c r="A85" s="211" t="s">
        <v>900</v>
      </c>
      <c r="B85" s="64">
        <v>50.15</v>
      </c>
      <c r="C85" s="64">
        <v>9.9499999999999993</v>
      </c>
      <c r="D85" s="64">
        <v>44.54</v>
      </c>
      <c r="E85" s="64">
        <v>6.83</v>
      </c>
      <c r="F85" s="64">
        <v>3.26</v>
      </c>
      <c r="G85" s="64">
        <v>54.51</v>
      </c>
      <c r="H85" s="64">
        <v>19.38</v>
      </c>
      <c r="I85" s="64">
        <v>2.59</v>
      </c>
      <c r="J85" s="64">
        <v>0.12</v>
      </c>
      <c r="K85" s="64">
        <v>314.24</v>
      </c>
      <c r="L85" s="64">
        <v>22.56</v>
      </c>
      <c r="M85" s="64">
        <v>65.92</v>
      </c>
      <c r="N85" s="64">
        <v>41.1</v>
      </c>
      <c r="O85" s="64">
        <v>0</v>
      </c>
      <c r="P85" s="64">
        <v>1.1499999999999999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1" t="s">
        <v>901</v>
      </c>
      <c r="B86" s="64">
        <v>39.74</v>
      </c>
      <c r="C86" s="64">
        <v>5</v>
      </c>
      <c r="D86" s="64">
        <v>33.76</v>
      </c>
      <c r="E86" s="64">
        <v>6.29</v>
      </c>
      <c r="F86" s="64">
        <v>3.7</v>
      </c>
      <c r="G86" s="64">
        <v>63.26</v>
      </c>
      <c r="H86" s="64">
        <v>21.49</v>
      </c>
      <c r="I86" s="64">
        <v>2.85</v>
      </c>
      <c r="J86" s="64">
        <v>0.16</v>
      </c>
      <c r="K86" s="64">
        <v>357.13</v>
      </c>
      <c r="L86" s="64">
        <v>22.28</v>
      </c>
      <c r="M86" s="64">
        <v>70.73</v>
      </c>
      <c r="N86" s="64">
        <v>41.7</v>
      </c>
      <c r="O86" s="64">
        <v>0</v>
      </c>
      <c r="P86" s="64">
        <v>1.1599999999999999</v>
      </c>
      <c r="Q86" s="64">
        <v>9.4600000000000009</v>
      </c>
      <c r="R86" s="198"/>
      <c r="S86" s="198"/>
      <c r="T86" s="198"/>
      <c r="U86" s="198"/>
    </row>
    <row r="87" spans="1:26" s="12" customFormat="1" x14ac:dyDescent="0.25">
      <c r="A87" s="211" t="s">
        <v>902</v>
      </c>
      <c r="B87" s="64">
        <v>37.82</v>
      </c>
      <c r="C87" s="64">
        <v>3.63</v>
      </c>
      <c r="D87" s="64">
        <v>31.75</v>
      </c>
      <c r="E87" s="64">
        <v>6.47</v>
      </c>
      <c r="F87" s="64">
        <v>3.56</v>
      </c>
      <c r="G87" s="64">
        <v>87.34</v>
      </c>
      <c r="H87" s="64">
        <v>25.26</v>
      </c>
      <c r="I87" s="64">
        <v>2.85</v>
      </c>
      <c r="J87" s="64">
        <v>0.02</v>
      </c>
      <c r="K87" s="64">
        <v>192.05</v>
      </c>
      <c r="L87" s="64">
        <v>21.97</v>
      </c>
      <c r="M87" s="64">
        <v>69.34</v>
      </c>
      <c r="N87" s="64">
        <v>41.5</v>
      </c>
      <c r="O87" s="64">
        <v>0</v>
      </c>
      <c r="P87" s="64">
        <v>1.1200000000000001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1" t="s">
        <v>903</v>
      </c>
      <c r="B88" s="64">
        <v>45.46</v>
      </c>
      <c r="C88" s="64">
        <v>3.54</v>
      </c>
      <c r="D88" s="64">
        <v>37.01</v>
      </c>
      <c r="E88" s="64">
        <v>6.3</v>
      </c>
      <c r="F88" s="64">
        <v>2.82</v>
      </c>
      <c r="G88" s="64">
        <v>87.34</v>
      </c>
      <c r="H88" s="64">
        <v>25.26</v>
      </c>
      <c r="I88" s="64">
        <v>2.92</v>
      </c>
      <c r="J88" s="64">
        <v>0.08</v>
      </c>
      <c r="K88" s="64">
        <v>55.45</v>
      </c>
      <c r="L88" s="64">
        <v>21.7</v>
      </c>
      <c r="M88" s="64">
        <v>76.849999999999994</v>
      </c>
      <c r="N88" s="64">
        <v>41.5</v>
      </c>
      <c r="O88" s="64">
        <v>0</v>
      </c>
      <c r="P88" s="64">
        <v>1.27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1" t="s">
        <v>904</v>
      </c>
      <c r="B89" s="64">
        <v>48.26</v>
      </c>
      <c r="C89" s="64">
        <v>0.62</v>
      </c>
      <c r="D89" s="64">
        <v>36.56</v>
      </c>
      <c r="E89" s="64">
        <v>6.04</v>
      </c>
      <c r="F89" s="64">
        <v>3.16</v>
      </c>
      <c r="G89" s="64">
        <v>87.34</v>
      </c>
      <c r="H89" s="64">
        <v>25.26</v>
      </c>
      <c r="I89" s="64">
        <v>3.12</v>
      </c>
      <c r="J89" s="64">
        <v>0.11</v>
      </c>
      <c r="K89" s="64">
        <v>327.68</v>
      </c>
      <c r="L89" s="64">
        <v>21.82</v>
      </c>
      <c r="M89" s="64">
        <v>74.12</v>
      </c>
      <c r="N89" s="64">
        <v>41.2</v>
      </c>
      <c r="O89" s="64">
        <v>0</v>
      </c>
      <c r="P89" s="64">
        <v>1.24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1" t="s">
        <v>905</v>
      </c>
      <c r="B90" s="64">
        <v>40.28</v>
      </c>
      <c r="C90" s="64">
        <v>0.72</v>
      </c>
      <c r="D90" s="64">
        <v>30.23</v>
      </c>
      <c r="E90" s="64">
        <v>6.22</v>
      </c>
      <c r="F90" s="64">
        <v>3.23</v>
      </c>
      <c r="G90" s="64">
        <v>94.23</v>
      </c>
      <c r="H90" s="64">
        <v>27.21</v>
      </c>
      <c r="I90" s="64">
        <v>3.31</v>
      </c>
      <c r="J90" s="64">
        <v>0.05</v>
      </c>
      <c r="K90" s="64">
        <v>301.18</v>
      </c>
      <c r="L90" s="64">
        <v>21.8</v>
      </c>
      <c r="M90" s="64">
        <v>81.98</v>
      </c>
      <c r="N90" s="64">
        <v>41.3</v>
      </c>
      <c r="O90" s="64">
        <v>0</v>
      </c>
      <c r="P90" s="64">
        <v>1.22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1" t="s">
        <v>906</v>
      </c>
      <c r="B91" s="64">
        <v>70.81</v>
      </c>
      <c r="C91" s="64">
        <v>4.71</v>
      </c>
      <c r="D91" s="64">
        <v>55.86</v>
      </c>
      <c r="E91" s="64">
        <v>6.55</v>
      </c>
      <c r="F91" s="64">
        <v>4.0199999999999996</v>
      </c>
      <c r="G91" s="64">
        <v>112.15</v>
      </c>
      <c r="H91" s="64">
        <v>34.81</v>
      </c>
      <c r="I91" s="64">
        <v>3.5</v>
      </c>
      <c r="J91" s="64">
        <v>0.04</v>
      </c>
      <c r="K91" s="64">
        <v>50.95</v>
      </c>
      <c r="L91" s="64">
        <v>21.99</v>
      </c>
      <c r="M91" s="64">
        <v>77</v>
      </c>
      <c r="N91" s="64">
        <v>41.1</v>
      </c>
      <c r="O91" s="64">
        <v>0</v>
      </c>
      <c r="P91" s="64">
        <v>2.0099999999999998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1" t="s">
        <v>907</v>
      </c>
      <c r="B92" s="64">
        <v>50.05</v>
      </c>
      <c r="C92" s="64">
        <v>6.77</v>
      </c>
      <c r="D92" s="64">
        <v>41.4</v>
      </c>
      <c r="E92" s="64">
        <v>7.2</v>
      </c>
      <c r="F92" s="64">
        <v>4.6100000000000003</v>
      </c>
      <c r="G92" s="64">
        <v>112.15</v>
      </c>
      <c r="H92" s="64">
        <v>34.81</v>
      </c>
      <c r="I92" s="64">
        <v>3.65</v>
      </c>
      <c r="J92" s="64">
        <v>0.03</v>
      </c>
      <c r="K92" s="64">
        <v>319.83999999999997</v>
      </c>
      <c r="L92" s="64">
        <v>21.94</v>
      </c>
      <c r="M92" s="64">
        <v>68.53</v>
      </c>
      <c r="N92" s="64">
        <v>41.4</v>
      </c>
      <c r="O92" s="64">
        <v>0</v>
      </c>
      <c r="P92" s="64">
        <v>1.9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1" t="s">
        <v>908</v>
      </c>
      <c r="B93" s="64">
        <v>55.41</v>
      </c>
      <c r="C93" s="64">
        <v>4.46</v>
      </c>
      <c r="D93" s="64">
        <v>43.56</v>
      </c>
      <c r="E93" s="64">
        <v>7.41</v>
      </c>
      <c r="F93" s="64">
        <v>3.93</v>
      </c>
      <c r="G93" s="64">
        <v>112.15</v>
      </c>
      <c r="H93" s="64">
        <v>34.81</v>
      </c>
      <c r="I93" s="64">
        <v>3.82</v>
      </c>
      <c r="J93" s="64">
        <v>0.05</v>
      </c>
      <c r="K93" s="64">
        <v>286.55</v>
      </c>
      <c r="L93" s="64">
        <v>21.89</v>
      </c>
      <c r="M93" s="64">
        <v>68.790000000000006</v>
      </c>
      <c r="N93" s="64">
        <v>41.5</v>
      </c>
      <c r="O93" s="64">
        <v>0</v>
      </c>
      <c r="P93" s="64">
        <v>1.68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1" t="s">
        <v>909</v>
      </c>
      <c r="B94" s="64">
        <v>76.38</v>
      </c>
      <c r="C94" s="64">
        <v>2.9</v>
      </c>
      <c r="D94" s="64">
        <v>58.5</v>
      </c>
      <c r="E94" s="64">
        <v>7.38</v>
      </c>
      <c r="F94" s="64">
        <v>3.87</v>
      </c>
      <c r="G94" s="64">
        <v>111.98</v>
      </c>
      <c r="H94" s="64">
        <v>35.61</v>
      </c>
      <c r="I94" s="64">
        <v>4</v>
      </c>
      <c r="J94" s="64">
        <v>0.03</v>
      </c>
      <c r="K94" s="64">
        <v>96.2</v>
      </c>
      <c r="L94" s="64">
        <v>21.43</v>
      </c>
      <c r="M94" s="64">
        <v>71.52</v>
      </c>
      <c r="N94" s="64">
        <v>41.6</v>
      </c>
      <c r="O94" s="64">
        <v>0</v>
      </c>
      <c r="P94" s="64">
        <v>2.04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1" t="s">
        <v>910</v>
      </c>
      <c r="B95" s="64">
        <v>53.67</v>
      </c>
      <c r="C95" s="64">
        <v>3.55</v>
      </c>
      <c r="D95" s="64">
        <v>41.85</v>
      </c>
      <c r="E95" s="64">
        <v>7.24</v>
      </c>
      <c r="F95" s="64">
        <v>3.49</v>
      </c>
      <c r="G95" s="64">
        <v>111.5</v>
      </c>
      <c r="H95" s="64">
        <v>37.03</v>
      </c>
      <c r="I95" s="64">
        <v>4.13</v>
      </c>
      <c r="J95" s="64">
        <v>0.19</v>
      </c>
      <c r="K95" s="64">
        <v>333.16</v>
      </c>
      <c r="L95" s="64">
        <v>21.29</v>
      </c>
      <c r="M95" s="64">
        <v>74.209999999999994</v>
      </c>
      <c r="N95" s="64">
        <v>41.6</v>
      </c>
      <c r="O95" s="64">
        <v>0</v>
      </c>
      <c r="P95" s="64">
        <v>1.83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1" t="s">
        <v>911</v>
      </c>
      <c r="B96" s="64">
        <v>54.05</v>
      </c>
      <c r="C96" s="64">
        <v>1.84</v>
      </c>
      <c r="D96" s="64">
        <v>40.130000000000003</v>
      </c>
      <c r="E96" s="64">
        <v>7.03</v>
      </c>
      <c r="F96" s="64">
        <v>3.93</v>
      </c>
      <c r="G96" s="64">
        <v>111.5</v>
      </c>
      <c r="H96" s="64">
        <v>37.03</v>
      </c>
      <c r="I96" s="64">
        <v>4.26</v>
      </c>
      <c r="J96" s="64">
        <v>0.04</v>
      </c>
      <c r="K96" s="64">
        <v>227.2</v>
      </c>
      <c r="L96" s="64">
        <v>20.78</v>
      </c>
      <c r="M96" s="64">
        <v>80.59</v>
      </c>
      <c r="N96" s="64">
        <v>41.6</v>
      </c>
      <c r="O96" s="64">
        <v>0</v>
      </c>
      <c r="P96" s="64">
        <v>1.74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912</v>
      </c>
      <c r="B97" s="64">
        <v>62.9</v>
      </c>
      <c r="C97" s="64">
        <v>1.1299999999999999</v>
      </c>
      <c r="D97" s="64">
        <v>46.82</v>
      </c>
      <c r="E97" s="64">
        <v>6.98</v>
      </c>
      <c r="F97" s="64">
        <v>3.32</v>
      </c>
      <c r="G97" s="64">
        <v>111.5</v>
      </c>
      <c r="H97" s="64">
        <v>37.03</v>
      </c>
      <c r="I97" s="64">
        <v>4.4000000000000004</v>
      </c>
      <c r="J97" s="64">
        <v>0.09</v>
      </c>
      <c r="K97" s="64">
        <v>278.58999999999997</v>
      </c>
      <c r="L97" s="64">
        <v>20.79</v>
      </c>
      <c r="M97" s="64">
        <v>81.89</v>
      </c>
      <c r="N97" s="64">
        <v>41.5</v>
      </c>
      <c r="O97" s="64">
        <v>0</v>
      </c>
      <c r="P97" s="64">
        <v>1.93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1" t="s">
        <v>913</v>
      </c>
      <c r="B98" s="64">
        <v>59.8</v>
      </c>
      <c r="C98" s="64">
        <v>0.22</v>
      </c>
      <c r="D98" s="64">
        <v>42.98</v>
      </c>
      <c r="E98" s="64">
        <v>7.37</v>
      </c>
      <c r="F98" s="64">
        <v>3.59</v>
      </c>
      <c r="G98" s="64">
        <v>108.97</v>
      </c>
      <c r="H98" s="64">
        <v>37.68</v>
      </c>
      <c r="I98" s="64">
        <v>4.5199999999999996</v>
      </c>
      <c r="J98" s="64">
        <v>0.02</v>
      </c>
      <c r="K98" s="64">
        <v>95.15</v>
      </c>
      <c r="L98" s="64">
        <v>20.54</v>
      </c>
      <c r="M98" s="64">
        <v>83.6</v>
      </c>
      <c r="N98" s="64">
        <v>41.5</v>
      </c>
      <c r="O98" s="64">
        <v>0</v>
      </c>
      <c r="P98" s="64">
        <v>1.84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1" t="s">
        <v>914</v>
      </c>
      <c r="B99" s="64">
        <v>56.18</v>
      </c>
      <c r="C99" s="6" t="s">
        <v>42</v>
      </c>
      <c r="D99" s="64">
        <v>38.5</v>
      </c>
      <c r="E99" s="64">
        <v>6.99</v>
      </c>
      <c r="F99" s="64">
        <v>3.57</v>
      </c>
      <c r="G99" s="64">
        <v>102.02</v>
      </c>
      <c r="H99" s="64">
        <v>38.86</v>
      </c>
      <c r="I99" s="64">
        <v>4.6399999999999997</v>
      </c>
      <c r="J99" s="64">
        <v>0.11</v>
      </c>
      <c r="K99" s="64">
        <v>345.79</v>
      </c>
      <c r="L99" s="64">
        <v>20.260000000000002</v>
      </c>
      <c r="M99" s="64">
        <v>89.27</v>
      </c>
      <c r="N99" s="64">
        <v>41.6</v>
      </c>
      <c r="O99" s="64">
        <v>0</v>
      </c>
      <c r="P99" s="64">
        <v>1.71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1" t="s">
        <v>915</v>
      </c>
      <c r="B100" s="64">
        <v>61.29</v>
      </c>
      <c r="C100" s="6" t="s">
        <v>42</v>
      </c>
      <c r="D100" s="64">
        <v>41.92</v>
      </c>
      <c r="E100" s="64">
        <v>6.91</v>
      </c>
      <c r="F100" s="64">
        <v>3.15</v>
      </c>
      <c r="G100" s="64">
        <v>102.02</v>
      </c>
      <c r="H100" s="64">
        <v>38.86</v>
      </c>
      <c r="I100" s="64">
        <v>4.75</v>
      </c>
      <c r="J100" s="64">
        <v>0.1</v>
      </c>
      <c r="K100" s="64">
        <v>135.21</v>
      </c>
      <c r="L100" s="64">
        <v>20.010000000000002</v>
      </c>
      <c r="M100" s="64">
        <v>90.64</v>
      </c>
      <c r="N100" s="64">
        <v>41.3</v>
      </c>
      <c r="O100" s="64">
        <v>0</v>
      </c>
      <c r="P100" s="64">
        <v>1.72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916</v>
      </c>
      <c r="B101" s="64">
        <v>61.09</v>
      </c>
      <c r="C101" s="64">
        <v>0.01</v>
      </c>
      <c r="D101" s="64">
        <v>41.7</v>
      </c>
      <c r="E101" s="64">
        <v>6.54</v>
      </c>
      <c r="F101" s="64">
        <v>3.89</v>
      </c>
      <c r="G101" s="64">
        <v>102.02</v>
      </c>
      <c r="H101" s="64">
        <v>38.86</v>
      </c>
      <c r="I101" s="64">
        <v>4.8600000000000003</v>
      </c>
      <c r="J101" s="64">
        <v>1.17</v>
      </c>
      <c r="K101" s="64">
        <v>338.4</v>
      </c>
      <c r="L101" s="64">
        <v>20.25</v>
      </c>
      <c r="M101" s="64">
        <v>84.91</v>
      </c>
      <c r="N101" s="64">
        <v>40</v>
      </c>
      <c r="O101" s="64">
        <v>0</v>
      </c>
      <c r="P101" s="64">
        <v>1.74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1" t="s">
        <v>917</v>
      </c>
      <c r="B102" s="64">
        <v>59.19</v>
      </c>
      <c r="C102" s="64">
        <v>0.17</v>
      </c>
      <c r="D102" s="64">
        <v>40.53</v>
      </c>
      <c r="E102" s="64">
        <v>6.73</v>
      </c>
      <c r="F102" s="64">
        <v>3.9</v>
      </c>
      <c r="G102" s="64">
        <v>98.8</v>
      </c>
      <c r="H102" s="64">
        <v>39.54</v>
      </c>
      <c r="I102" s="64">
        <v>4.9800000000000004</v>
      </c>
      <c r="J102" s="64">
        <v>0.74</v>
      </c>
      <c r="K102" s="64">
        <v>339.72</v>
      </c>
      <c r="L102" s="64">
        <v>20.6</v>
      </c>
      <c r="M102" s="64">
        <v>74.25</v>
      </c>
      <c r="N102" s="64">
        <v>41.1</v>
      </c>
      <c r="O102" s="64">
        <v>0</v>
      </c>
      <c r="P102" s="64">
        <v>1.71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1" t="s">
        <v>918</v>
      </c>
      <c r="B103" s="64">
        <v>57.78</v>
      </c>
      <c r="C103" s="6" t="s">
        <v>42</v>
      </c>
      <c r="D103" s="64">
        <v>39.590000000000003</v>
      </c>
      <c r="E103" s="64">
        <v>6.65</v>
      </c>
      <c r="F103" s="64">
        <v>3.42</v>
      </c>
      <c r="G103" s="64">
        <v>90.43</v>
      </c>
      <c r="H103" s="64">
        <v>40.75</v>
      </c>
      <c r="I103" s="64">
        <v>5.03</v>
      </c>
      <c r="J103" s="64">
        <v>0.37</v>
      </c>
      <c r="K103" s="64">
        <v>337.63</v>
      </c>
      <c r="L103" s="64">
        <v>20.52</v>
      </c>
      <c r="M103" s="64">
        <v>77.540000000000006</v>
      </c>
      <c r="N103" s="64">
        <v>41.7</v>
      </c>
      <c r="O103" s="64">
        <v>0</v>
      </c>
      <c r="P103" s="64">
        <v>1.67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1" t="s">
        <v>919</v>
      </c>
      <c r="B104" s="64">
        <v>56.59</v>
      </c>
      <c r="C104" s="6" t="s">
        <v>42</v>
      </c>
      <c r="D104" s="64">
        <v>38.81</v>
      </c>
      <c r="E104" s="64">
        <v>5.1100000000000003</v>
      </c>
      <c r="F104" s="64">
        <v>2.96</v>
      </c>
      <c r="G104" s="64">
        <v>90.43</v>
      </c>
      <c r="H104" s="64">
        <v>40.75</v>
      </c>
      <c r="I104" s="64">
        <v>4.99</v>
      </c>
      <c r="J104" s="64">
        <v>0.18</v>
      </c>
      <c r="K104" s="64">
        <v>347.98</v>
      </c>
      <c r="L104" s="64">
        <v>20.12</v>
      </c>
      <c r="M104" s="64">
        <v>80.16</v>
      </c>
      <c r="N104" s="64">
        <v>41.8</v>
      </c>
      <c r="O104" s="64">
        <v>0</v>
      </c>
      <c r="P104" s="64">
        <v>1.65</v>
      </c>
      <c r="Q104" s="64">
        <v>9.73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2.36</v>
      </c>
      <c r="C106" s="67">
        <f>MIN(C9:C104)</f>
        <v>0.01</v>
      </c>
      <c r="D106" s="67">
        <f t="shared" ref="D106:Q106" si="0">MIN(D9:D104)</f>
        <v>9.7100000000000009</v>
      </c>
      <c r="E106" s="67">
        <f t="shared" si="0"/>
        <v>4.5</v>
      </c>
      <c r="F106" s="67">
        <f t="shared" si="0"/>
        <v>2.68</v>
      </c>
      <c r="G106" s="67">
        <f t="shared" si="0"/>
        <v>39.11</v>
      </c>
      <c r="H106" s="67">
        <f t="shared" si="0"/>
        <v>14.56</v>
      </c>
      <c r="I106" s="67">
        <f t="shared" si="0"/>
        <v>1.99</v>
      </c>
      <c r="J106" s="67">
        <f t="shared" si="0"/>
        <v>0.01</v>
      </c>
      <c r="K106" s="67">
        <f t="shared" si="0"/>
        <v>1.42</v>
      </c>
      <c r="L106" s="67">
        <f t="shared" si="0"/>
        <v>19.45</v>
      </c>
      <c r="M106" s="67">
        <f t="shared" si="0"/>
        <v>29.61</v>
      </c>
      <c r="N106" s="67">
        <f t="shared" si="0"/>
        <v>40</v>
      </c>
      <c r="O106" s="67">
        <f t="shared" si="0"/>
        <v>0</v>
      </c>
      <c r="P106" s="67">
        <f t="shared" si="0"/>
        <v>0.3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76.38</v>
      </c>
      <c r="C107" s="66">
        <f t="shared" ref="C107:Q107" si="1">MAX(C9:C104)</f>
        <v>29.54</v>
      </c>
      <c r="D107" s="66">
        <f t="shared" si="1"/>
        <v>58.5</v>
      </c>
      <c r="E107" s="66">
        <f t="shared" si="1"/>
        <v>10.58</v>
      </c>
      <c r="F107" s="66">
        <f t="shared" si="1"/>
        <v>18.53</v>
      </c>
      <c r="G107" s="66">
        <f t="shared" si="1"/>
        <v>127.74</v>
      </c>
      <c r="H107" s="66">
        <f t="shared" si="1"/>
        <v>44.63</v>
      </c>
      <c r="I107" s="66">
        <f t="shared" si="1"/>
        <v>5.03</v>
      </c>
      <c r="J107" s="66">
        <f t="shared" si="1"/>
        <v>1.17</v>
      </c>
      <c r="K107" s="66">
        <f t="shared" si="1"/>
        <v>359.16</v>
      </c>
      <c r="L107" s="66">
        <f t="shared" si="1"/>
        <v>31.19</v>
      </c>
      <c r="M107" s="66">
        <f t="shared" si="1"/>
        <v>98.43</v>
      </c>
      <c r="N107" s="66">
        <f t="shared" si="1"/>
        <v>847.6</v>
      </c>
      <c r="O107" s="66">
        <f t="shared" si="1"/>
        <v>0</v>
      </c>
      <c r="P107" s="66">
        <f t="shared" si="1"/>
        <v>2.04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28.710520833333344</v>
      </c>
      <c r="C108" s="67">
        <f t="shared" ref="C108:Q108" si="2">AVERAGE(C9:C104)</f>
        <v>7.3620512820512838</v>
      </c>
      <c r="D108" s="67">
        <f t="shared" si="2"/>
        <v>24.323541666666671</v>
      </c>
      <c r="E108" s="67">
        <f t="shared" si="2"/>
        <v>6.5201041666666635</v>
      </c>
      <c r="F108" s="67">
        <f t="shared" si="2"/>
        <v>5.6048958333333339</v>
      </c>
      <c r="G108" s="67">
        <f t="shared" si="2"/>
        <v>85.648437499999986</v>
      </c>
      <c r="H108" s="67">
        <f t="shared" si="2"/>
        <v>31.140729166666677</v>
      </c>
      <c r="I108" s="67">
        <f t="shared" si="2"/>
        <v>3.3554166666666663</v>
      </c>
      <c r="J108" s="67">
        <f t="shared" si="2"/>
        <v>0.28927083333333337</v>
      </c>
      <c r="K108" s="67">
        <f t="shared" si="2"/>
        <v>222.65489583333343</v>
      </c>
      <c r="L108" s="67">
        <f t="shared" si="2"/>
        <v>23.965104166666666</v>
      </c>
      <c r="M108" s="67">
        <f t="shared" si="2"/>
        <v>64.651666666666657</v>
      </c>
      <c r="N108" s="67">
        <f t="shared" si="2"/>
        <v>205.32291666666654</v>
      </c>
      <c r="O108" s="67">
        <f t="shared" si="2"/>
        <v>0</v>
      </c>
      <c r="P108" s="67">
        <f t="shared" si="2"/>
        <v>1.0308333333333333</v>
      </c>
      <c r="Q108" s="67">
        <f t="shared" si="2"/>
        <v>9.5186458333333359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17.385261293756621</v>
      </c>
      <c r="C109" s="67">
        <f t="shared" ref="C109:Q109" si="3">STDEV(C9:C104)</f>
        <v>6.9351008867228661</v>
      </c>
      <c r="D109" s="67">
        <f t="shared" si="3"/>
        <v>10.533725584662923</v>
      </c>
      <c r="E109" s="67">
        <f t="shared" si="3"/>
        <v>1.4230881873710926</v>
      </c>
      <c r="F109" s="67">
        <f t="shared" si="3"/>
        <v>3.5006540726560651</v>
      </c>
      <c r="G109" s="67">
        <f t="shared" si="3"/>
        <v>31.154821518485576</v>
      </c>
      <c r="H109" s="67">
        <f t="shared" si="3"/>
        <v>10.708823537998082</v>
      </c>
      <c r="I109" s="67">
        <f t="shared" si="3"/>
        <v>0.89541630031912767</v>
      </c>
      <c r="J109" s="67">
        <f t="shared" si="3"/>
        <v>0.29275189708286092</v>
      </c>
      <c r="K109" s="67">
        <f t="shared" si="3"/>
        <v>132.70867671625115</v>
      </c>
      <c r="L109" s="67">
        <f t="shared" si="3"/>
        <v>3.8340773939396842</v>
      </c>
      <c r="M109" s="67">
        <f t="shared" si="3"/>
        <v>25.054840173913547</v>
      </c>
      <c r="N109" s="67">
        <f t="shared" si="3"/>
        <v>268.3528484267905</v>
      </c>
      <c r="O109" s="67">
        <f t="shared" si="3"/>
        <v>0</v>
      </c>
      <c r="P109" s="67">
        <f t="shared" si="3"/>
        <v>0.41249093557292271</v>
      </c>
      <c r="Q109" s="67">
        <f t="shared" si="3"/>
        <v>0.19466905677756469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COUNT(C9:C104)+18</f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1" sqref="G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920</v>
      </c>
      <c r="B9" s="64">
        <v>55.11</v>
      </c>
      <c r="C9" s="6" t="s">
        <v>42</v>
      </c>
      <c r="D9" s="64">
        <v>37.81</v>
      </c>
      <c r="E9" s="64">
        <v>4.8</v>
      </c>
      <c r="F9" s="64">
        <v>3.49</v>
      </c>
      <c r="G9" s="64">
        <v>90.43</v>
      </c>
      <c r="H9" s="64">
        <v>40.75</v>
      </c>
      <c r="I9" s="64">
        <v>4.93</v>
      </c>
      <c r="J9" s="64">
        <v>0.13</v>
      </c>
      <c r="K9" s="64">
        <v>357.16</v>
      </c>
      <c r="L9" s="64">
        <v>19.940000000000001</v>
      </c>
      <c r="M9" s="64">
        <v>79.22</v>
      </c>
      <c r="N9" s="64">
        <v>41.8</v>
      </c>
      <c r="O9" s="64">
        <v>0</v>
      </c>
      <c r="P9" s="64">
        <v>1.63</v>
      </c>
      <c r="Q9" s="64">
        <v>9.7100000000000009</v>
      </c>
      <c r="R9" s="198"/>
      <c r="S9" s="198"/>
      <c r="T9" s="198"/>
      <c r="U9" s="198"/>
    </row>
    <row r="10" spans="1:21" s="12" customFormat="1" x14ac:dyDescent="0.25">
      <c r="A10" s="211" t="s">
        <v>921</v>
      </c>
      <c r="B10" s="64">
        <v>53</v>
      </c>
      <c r="C10" s="6" t="s">
        <v>42</v>
      </c>
      <c r="D10" s="64">
        <v>36.5</v>
      </c>
      <c r="E10" s="64">
        <v>5.51</v>
      </c>
      <c r="F10" s="64">
        <v>2.76</v>
      </c>
      <c r="G10" s="64">
        <v>137.33000000000001</v>
      </c>
      <c r="H10" s="64">
        <v>42.26</v>
      </c>
      <c r="I10" s="64">
        <v>4.8899999999999997</v>
      </c>
      <c r="J10" s="64">
        <v>0.31</v>
      </c>
      <c r="K10" s="64">
        <v>5.04</v>
      </c>
      <c r="L10" s="64">
        <v>19.93</v>
      </c>
      <c r="M10" s="64">
        <v>77.78</v>
      </c>
      <c r="N10" s="64">
        <v>41.1</v>
      </c>
      <c r="O10" s="64">
        <v>0</v>
      </c>
      <c r="P10" s="64">
        <v>1.59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1" t="s">
        <v>922</v>
      </c>
      <c r="B11" s="64">
        <v>51.95</v>
      </c>
      <c r="C11" s="6" t="s">
        <v>42</v>
      </c>
      <c r="D11" s="64">
        <v>35.83</v>
      </c>
      <c r="E11" s="64">
        <v>5.35</v>
      </c>
      <c r="F11" s="64">
        <v>3.39</v>
      </c>
      <c r="G11" s="64">
        <v>259.27</v>
      </c>
      <c r="H11" s="64">
        <v>48.18</v>
      </c>
      <c r="I11" s="64">
        <v>4.8600000000000003</v>
      </c>
      <c r="J11" s="64">
        <v>0.72</v>
      </c>
      <c r="K11" s="64">
        <v>348.18</v>
      </c>
      <c r="L11" s="64">
        <v>20.350000000000001</v>
      </c>
      <c r="M11" s="64">
        <v>70.75</v>
      </c>
      <c r="N11" s="64">
        <v>40.799999999999997</v>
      </c>
      <c r="O11" s="64">
        <v>0</v>
      </c>
      <c r="P11" s="64">
        <v>1.59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1" t="s">
        <v>923</v>
      </c>
      <c r="B12" s="64">
        <v>48.39</v>
      </c>
      <c r="C12" s="64">
        <v>0.01</v>
      </c>
      <c r="D12" s="64">
        <v>33.86</v>
      </c>
      <c r="E12" s="64">
        <v>5.39</v>
      </c>
      <c r="F12" s="64">
        <v>3.77</v>
      </c>
      <c r="G12" s="64">
        <v>259.27</v>
      </c>
      <c r="H12" s="64">
        <v>48.18</v>
      </c>
      <c r="I12" s="64">
        <v>4.8</v>
      </c>
      <c r="J12" s="64">
        <v>0.71</v>
      </c>
      <c r="K12" s="64">
        <v>351.35</v>
      </c>
      <c r="L12" s="64">
        <v>20.41</v>
      </c>
      <c r="M12" s="64">
        <v>68.400000000000006</v>
      </c>
      <c r="N12" s="64">
        <v>41.3</v>
      </c>
      <c r="O12" s="64">
        <v>0</v>
      </c>
      <c r="P12" s="64">
        <v>1.51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1" t="s">
        <v>924</v>
      </c>
      <c r="B13" s="64">
        <v>44.31</v>
      </c>
      <c r="C13" s="6" t="s">
        <v>42</v>
      </c>
      <c r="D13" s="64">
        <v>31.48</v>
      </c>
      <c r="E13" s="64">
        <v>5.0999999999999996</v>
      </c>
      <c r="F13" s="64">
        <v>4.17</v>
      </c>
      <c r="G13" s="64">
        <v>259.27</v>
      </c>
      <c r="H13" s="64">
        <v>48.18</v>
      </c>
      <c r="I13" s="64">
        <v>4.7300000000000004</v>
      </c>
      <c r="J13" s="64">
        <v>1.26</v>
      </c>
      <c r="K13" s="64">
        <v>343.62</v>
      </c>
      <c r="L13" s="64">
        <v>20.46</v>
      </c>
      <c r="M13" s="64">
        <v>69.540000000000006</v>
      </c>
      <c r="N13" s="64">
        <v>41.4</v>
      </c>
      <c r="O13" s="64">
        <v>0</v>
      </c>
      <c r="P13" s="64">
        <v>1.21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1" t="s">
        <v>925</v>
      </c>
      <c r="B14" s="64">
        <v>41.02</v>
      </c>
      <c r="C14" s="64">
        <v>0.3</v>
      </c>
      <c r="D14" s="64">
        <v>29.78</v>
      </c>
      <c r="E14" s="64">
        <v>5.13</v>
      </c>
      <c r="F14" s="64">
        <v>3.62</v>
      </c>
      <c r="G14" s="64">
        <v>211.14</v>
      </c>
      <c r="H14" s="64">
        <v>44.74</v>
      </c>
      <c r="I14" s="64">
        <v>4.63</v>
      </c>
      <c r="J14" s="64">
        <v>0.93</v>
      </c>
      <c r="K14" s="64">
        <v>343.84</v>
      </c>
      <c r="L14" s="64">
        <v>20.09</v>
      </c>
      <c r="M14" s="64">
        <v>74.39</v>
      </c>
      <c r="N14" s="64">
        <v>41.9</v>
      </c>
      <c r="O14" s="64">
        <v>0</v>
      </c>
      <c r="P14" s="64">
        <v>1.24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1" t="s">
        <v>926</v>
      </c>
      <c r="B15" s="64">
        <v>38.69</v>
      </c>
      <c r="C15" s="64">
        <v>0.16</v>
      </c>
      <c r="D15" s="64">
        <v>28.85</v>
      </c>
      <c r="E15" s="64">
        <v>5.52</v>
      </c>
      <c r="F15" s="64">
        <v>3.7</v>
      </c>
      <c r="G15" s="64">
        <v>78.77</v>
      </c>
      <c r="H15" s="64">
        <v>38.58</v>
      </c>
      <c r="I15" s="64">
        <v>4.47</v>
      </c>
      <c r="J15" s="64">
        <v>0.43</v>
      </c>
      <c r="K15" s="64">
        <v>349.1</v>
      </c>
      <c r="L15" s="64">
        <v>19.87</v>
      </c>
      <c r="M15" s="64">
        <v>75.599999999999994</v>
      </c>
      <c r="N15" s="64">
        <v>41.6</v>
      </c>
      <c r="O15" s="64">
        <v>0</v>
      </c>
      <c r="P15" s="64">
        <v>1.23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1" t="s">
        <v>927</v>
      </c>
      <c r="B16" s="64">
        <v>36.07</v>
      </c>
      <c r="C16" s="64">
        <v>0.43</v>
      </c>
      <c r="D16" s="64">
        <v>27.77</v>
      </c>
      <c r="E16" s="64">
        <v>5.54</v>
      </c>
      <c r="F16" s="64">
        <v>3.61</v>
      </c>
      <c r="G16" s="64">
        <v>78.77</v>
      </c>
      <c r="H16" s="64">
        <v>38.58</v>
      </c>
      <c r="I16" s="64">
        <v>4.37</v>
      </c>
      <c r="J16" s="64">
        <v>0.72</v>
      </c>
      <c r="K16" s="64">
        <v>348.63</v>
      </c>
      <c r="L16" s="64">
        <v>19.670000000000002</v>
      </c>
      <c r="M16" s="64">
        <v>75.239999999999995</v>
      </c>
      <c r="N16" s="64">
        <v>41.3</v>
      </c>
      <c r="O16" s="64">
        <v>0</v>
      </c>
      <c r="P16" s="64">
        <v>1.21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1" t="s">
        <v>928</v>
      </c>
      <c r="B17" s="64">
        <v>33.049999999999997</v>
      </c>
      <c r="C17" s="64">
        <v>0.7</v>
      </c>
      <c r="D17" s="64">
        <v>26.08</v>
      </c>
      <c r="E17" s="64">
        <v>5.94</v>
      </c>
      <c r="F17" s="64">
        <v>3.24</v>
      </c>
      <c r="G17" s="64">
        <v>78.77</v>
      </c>
      <c r="H17" s="64">
        <v>38.58</v>
      </c>
      <c r="I17" s="64">
        <v>4.3099999999999996</v>
      </c>
      <c r="J17" s="64">
        <v>1.3</v>
      </c>
      <c r="K17" s="64">
        <v>348.38</v>
      </c>
      <c r="L17" s="64">
        <v>19.5</v>
      </c>
      <c r="M17" s="64">
        <v>75.040000000000006</v>
      </c>
      <c r="N17" s="64">
        <v>41.2</v>
      </c>
      <c r="O17" s="64">
        <v>0</v>
      </c>
      <c r="P17" s="64">
        <v>1.1299999999999999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1" t="s">
        <v>929</v>
      </c>
      <c r="B18" s="64">
        <v>31.84</v>
      </c>
      <c r="C18" s="64">
        <v>1.1100000000000001</v>
      </c>
      <c r="D18" s="64">
        <v>25.59</v>
      </c>
      <c r="E18" s="64">
        <v>6.09</v>
      </c>
      <c r="F18" s="64">
        <v>3.95</v>
      </c>
      <c r="G18" s="64">
        <v>99.33</v>
      </c>
      <c r="H18" s="64">
        <v>39.72</v>
      </c>
      <c r="I18" s="64">
        <v>4.2699999999999996</v>
      </c>
      <c r="J18" s="64">
        <v>0.83</v>
      </c>
      <c r="K18" s="64">
        <v>346.59</v>
      </c>
      <c r="L18" s="64">
        <v>19.600000000000001</v>
      </c>
      <c r="M18" s="64">
        <v>72.2</v>
      </c>
      <c r="N18" s="64">
        <v>41.4</v>
      </c>
      <c r="O18" s="64">
        <v>0</v>
      </c>
      <c r="P18" s="64">
        <v>1.1000000000000001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1" t="s">
        <v>930</v>
      </c>
      <c r="B19" s="64">
        <v>30.92</v>
      </c>
      <c r="C19" s="64">
        <v>2.2999999999999998</v>
      </c>
      <c r="D19" s="64">
        <v>25.52</v>
      </c>
      <c r="E19" s="64">
        <v>6.1</v>
      </c>
      <c r="F19" s="64">
        <v>3.82</v>
      </c>
      <c r="G19" s="64">
        <v>155.86000000000001</v>
      </c>
      <c r="H19" s="64">
        <v>41.77</v>
      </c>
      <c r="I19" s="64">
        <v>4.21</v>
      </c>
      <c r="J19" s="64">
        <v>0.63</v>
      </c>
      <c r="K19" s="64">
        <v>339.89</v>
      </c>
      <c r="L19" s="64">
        <v>19.48</v>
      </c>
      <c r="M19" s="64">
        <v>74.59</v>
      </c>
      <c r="N19" s="64">
        <v>41.4</v>
      </c>
      <c r="O19" s="64">
        <v>0</v>
      </c>
      <c r="P19" s="64">
        <v>1.1000000000000001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1" t="s">
        <v>931</v>
      </c>
      <c r="B20" s="64">
        <v>29.25</v>
      </c>
      <c r="C20" s="64">
        <v>2.5499999999999998</v>
      </c>
      <c r="D20" s="64">
        <v>24.33</v>
      </c>
      <c r="E20" s="64">
        <v>6.07</v>
      </c>
      <c r="F20" s="64">
        <v>4.0999999999999996</v>
      </c>
      <c r="G20" s="64">
        <v>155.86000000000001</v>
      </c>
      <c r="H20" s="64">
        <v>41.77</v>
      </c>
      <c r="I20" s="64">
        <v>4.1500000000000004</v>
      </c>
      <c r="J20" s="64">
        <v>0.89</v>
      </c>
      <c r="K20" s="64">
        <v>346.53</v>
      </c>
      <c r="L20" s="64">
        <v>19.190000000000001</v>
      </c>
      <c r="M20" s="64">
        <v>73.47</v>
      </c>
      <c r="N20" s="64">
        <v>41.3</v>
      </c>
      <c r="O20" s="64">
        <v>0</v>
      </c>
      <c r="P20" s="64">
        <v>1.06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1" t="s">
        <v>932</v>
      </c>
      <c r="B21" s="64">
        <v>28.69</v>
      </c>
      <c r="C21" s="64">
        <v>1.68</v>
      </c>
      <c r="D21" s="64">
        <v>23.42</v>
      </c>
      <c r="E21" s="64">
        <v>5.45</v>
      </c>
      <c r="F21" s="64">
        <v>3.51</v>
      </c>
      <c r="G21" s="64">
        <v>155.86000000000001</v>
      </c>
      <c r="H21" s="64">
        <v>41.77</v>
      </c>
      <c r="I21" s="64">
        <v>4.0999999999999996</v>
      </c>
      <c r="J21" s="64">
        <v>1.0900000000000001</v>
      </c>
      <c r="K21" s="64">
        <v>344.79</v>
      </c>
      <c r="L21" s="64">
        <v>19.11</v>
      </c>
      <c r="M21" s="64">
        <v>73.59</v>
      </c>
      <c r="N21" s="64">
        <v>41.5</v>
      </c>
      <c r="O21" s="64">
        <v>0</v>
      </c>
      <c r="P21" s="64">
        <v>0.99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1" t="s">
        <v>933</v>
      </c>
      <c r="B22" s="64">
        <v>26.93</v>
      </c>
      <c r="C22" s="64">
        <v>2.04</v>
      </c>
      <c r="D22" s="64">
        <v>22.2</v>
      </c>
      <c r="E22" s="64">
        <v>5.62</v>
      </c>
      <c r="F22" s="64">
        <v>3.49</v>
      </c>
      <c r="G22" s="64">
        <v>161.49</v>
      </c>
      <c r="H22" s="64">
        <v>44.97</v>
      </c>
      <c r="I22" s="64">
        <v>4.01</v>
      </c>
      <c r="J22" s="64">
        <v>1.1399999999999999</v>
      </c>
      <c r="K22" s="64">
        <v>344.1</v>
      </c>
      <c r="L22" s="64">
        <v>19.18</v>
      </c>
      <c r="M22" s="64">
        <v>71.680000000000007</v>
      </c>
      <c r="N22" s="64">
        <v>41.5</v>
      </c>
      <c r="O22" s="64">
        <v>0</v>
      </c>
      <c r="P22" s="64">
        <v>0.91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1" t="s">
        <v>934</v>
      </c>
      <c r="B23" s="64">
        <v>24.94</v>
      </c>
      <c r="C23" s="64">
        <v>2.81</v>
      </c>
      <c r="D23" s="64">
        <v>21.01</v>
      </c>
      <c r="E23" s="64">
        <v>4.9400000000000004</v>
      </c>
      <c r="F23" s="64">
        <v>2.79</v>
      </c>
      <c r="G23" s="64">
        <v>176.98</v>
      </c>
      <c r="H23" s="64">
        <v>50.71</v>
      </c>
      <c r="I23" s="64">
        <v>3.93</v>
      </c>
      <c r="J23" s="64">
        <v>0.78</v>
      </c>
      <c r="K23" s="64">
        <v>344.06</v>
      </c>
      <c r="L23" s="64">
        <v>19</v>
      </c>
      <c r="M23" s="64">
        <v>74.709999999999994</v>
      </c>
      <c r="N23" s="64">
        <v>41.9</v>
      </c>
      <c r="O23" s="64">
        <v>0</v>
      </c>
      <c r="P23" s="64">
        <v>0.86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1" t="s">
        <v>935</v>
      </c>
      <c r="B24" s="64">
        <v>23.45</v>
      </c>
      <c r="C24" s="64">
        <v>3.06</v>
      </c>
      <c r="D24" s="64">
        <v>19.95</v>
      </c>
      <c r="E24" s="64">
        <v>4.79</v>
      </c>
      <c r="F24" s="64">
        <v>3.91</v>
      </c>
      <c r="G24" s="64">
        <v>176.98</v>
      </c>
      <c r="H24" s="64">
        <v>50.71</v>
      </c>
      <c r="I24" s="64">
        <v>3.87</v>
      </c>
      <c r="J24" s="64">
        <v>0.86</v>
      </c>
      <c r="K24" s="64">
        <v>343.2</v>
      </c>
      <c r="L24" s="64">
        <v>18.739999999999998</v>
      </c>
      <c r="M24" s="64">
        <v>77.260000000000005</v>
      </c>
      <c r="N24" s="64">
        <v>41.7</v>
      </c>
      <c r="O24" s="64">
        <v>0</v>
      </c>
      <c r="P24" s="64">
        <v>0.84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1" t="s">
        <v>936</v>
      </c>
      <c r="B25" s="64">
        <v>22.4</v>
      </c>
      <c r="C25" s="64">
        <v>3.34</v>
      </c>
      <c r="D25" s="64">
        <v>19.239999999999998</v>
      </c>
      <c r="E25" s="64">
        <v>4.6500000000000004</v>
      </c>
      <c r="F25" s="64">
        <v>3.5</v>
      </c>
      <c r="G25" s="64">
        <v>176.98</v>
      </c>
      <c r="H25" s="64">
        <v>50.71</v>
      </c>
      <c r="I25" s="64">
        <v>3.83</v>
      </c>
      <c r="J25" s="64">
        <v>0.13</v>
      </c>
      <c r="K25" s="64">
        <v>332.42</v>
      </c>
      <c r="L25" s="64">
        <v>18.45</v>
      </c>
      <c r="M25" s="64">
        <v>81.31</v>
      </c>
      <c r="N25" s="64">
        <v>42</v>
      </c>
      <c r="O25" s="64">
        <v>0</v>
      </c>
      <c r="P25" s="64">
        <v>0.81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1" t="s">
        <v>937</v>
      </c>
      <c r="B26" s="64">
        <v>21.96</v>
      </c>
      <c r="C26" s="64">
        <v>3.12</v>
      </c>
      <c r="D26" s="64">
        <v>18.78</v>
      </c>
      <c r="E26" s="64">
        <v>4.83</v>
      </c>
      <c r="F26" s="64">
        <v>3.1</v>
      </c>
      <c r="G26" s="64">
        <v>163.33000000000001</v>
      </c>
      <c r="H26" s="64">
        <v>49.88</v>
      </c>
      <c r="I26" s="64">
        <v>3.81</v>
      </c>
      <c r="J26" s="64">
        <v>0.28999999999999998</v>
      </c>
      <c r="K26" s="64">
        <v>326.72000000000003</v>
      </c>
      <c r="L26" s="64">
        <v>18.100000000000001</v>
      </c>
      <c r="M26" s="64">
        <v>84.15</v>
      </c>
      <c r="N26" s="64">
        <v>41.5</v>
      </c>
      <c r="O26" s="64">
        <v>0</v>
      </c>
      <c r="P26" s="64">
        <v>0.79</v>
      </c>
      <c r="Q26" s="64">
        <v>9.56</v>
      </c>
      <c r="R26" s="198"/>
      <c r="S26" s="198"/>
      <c r="T26" s="198"/>
      <c r="U26" s="198"/>
    </row>
    <row r="27" spans="1:21" s="12" customFormat="1" x14ac:dyDescent="0.25">
      <c r="A27" s="211" t="s">
        <v>938</v>
      </c>
      <c r="B27" s="64">
        <v>21.43</v>
      </c>
      <c r="C27" s="64">
        <v>3.92</v>
      </c>
      <c r="D27" s="64">
        <v>18.77</v>
      </c>
      <c r="E27" s="64">
        <v>5.18</v>
      </c>
      <c r="F27" s="64">
        <v>3.21</v>
      </c>
      <c r="G27" s="64">
        <v>125.77</v>
      </c>
      <c r="H27" s="64">
        <v>46.63</v>
      </c>
      <c r="I27" s="64">
        <v>3.84</v>
      </c>
      <c r="J27" s="64">
        <v>1.1499999999999999</v>
      </c>
      <c r="K27" s="64">
        <v>343.92</v>
      </c>
      <c r="L27" s="64">
        <v>18.3</v>
      </c>
      <c r="M27" s="64">
        <v>80.28</v>
      </c>
      <c r="N27" s="64">
        <v>40.700000000000003</v>
      </c>
      <c r="O27" s="64">
        <v>0</v>
      </c>
      <c r="P27" s="64">
        <v>0.8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1" t="s">
        <v>939</v>
      </c>
      <c r="B28" s="64">
        <v>20.94</v>
      </c>
      <c r="C28" s="64">
        <v>4.21</v>
      </c>
      <c r="D28" s="64">
        <v>18.53</v>
      </c>
      <c r="E28" s="64">
        <v>4.78</v>
      </c>
      <c r="F28" s="64">
        <v>3.35</v>
      </c>
      <c r="G28" s="64">
        <v>125.77</v>
      </c>
      <c r="H28" s="64">
        <v>46.63</v>
      </c>
      <c r="I28" s="64">
        <v>3.89</v>
      </c>
      <c r="J28" s="64">
        <v>0.45</v>
      </c>
      <c r="K28" s="64">
        <v>345.66</v>
      </c>
      <c r="L28" s="64">
        <v>18.45</v>
      </c>
      <c r="M28" s="64">
        <v>80.03</v>
      </c>
      <c r="N28" s="64">
        <v>41.6</v>
      </c>
      <c r="O28" s="64">
        <v>0</v>
      </c>
      <c r="P28" s="64">
        <v>0.79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1" t="s">
        <v>940</v>
      </c>
      <c r="B29" s="64">
        <v>20.76</v>
      </c>
      <c r="C29" s="64">
        <v>3.96</v>
      </c>
      <c r="D29" s="64">
        <v>18.260000000000002</v>
      </c>
      <c r="E29" s="64">
        <v>4.95</v>
      </c>
      <c r="F29" s="64">
        <v>3.41</v>
      </c>
      <c r="G29" s="64">
        <v>125.77</v>
      </c>
      <c r="H29" s="64">
        <v>46.63</v>
      </c>
      <c r="I29" s="64">
        <v>3.93</v>
      </c>
      <c r="J29" s="64">
        <v>0.11</v>
      </c>
      <c r="K29" s="64">
        <v>338.18</v>
      </c>
      <c r="L29" s="64">
        <v>18.13</v>
      </c>
      <c r="M29" s="64">
        <v>83.81</v>
      </c>
      <c r="N29" s="64">
        <v>41.8</v>
      </c>
      <c r="O29" s="64">
        <v>0</v>
      </c>
      <c r="P29" s="64">
        <v>0.78</v>
      </c>
      <c r="Q29" s="64">
        <v>9.52</v>
      </c>
      <c r="R29" s="198"/>
      <c r="S29" s="198"/>
      <c r="T29" s="198"/>
      <c r="U29" s="198"/>
    </row>
    <row r="30" spans="1:21" s="12" customFormat="1" x14ac:dyDescent="0.25">
      <c r="A30" s="211" t="s">
        <v>941</v>
      </c>
      <c r="B30" s="64">
        <v>20.18</v>
      </c>
      <c r="C30" s="64">
        <v>4.4400000000000004</v>
      </c>
      <c r="D30" s="64">
        <v>18.04</v>
      </c>
      <c r="E30" s="64">
        <v>5.13</v>
      </c>
      <c r="F30" s="64">
        <v>3.04</v>
      </c>
      <c r="G30" s="64">
        <v>137.68</v>
      </c>
      <c r="H30" s="64">
        <v>48.48</v>
      </c>
      <c r="I30" s="64">
        <v>3.95</v>
      </c>
      <c r="J30" s="64">
        <v>0.31</v>
      </c>
      <c r="K30" s="64">
        <v>342.71</v>
      </c>
      <c r="L30" s="64">
        <v>17.84</v>
      </c>
      <c r="M30" s="64">
        <v>85.19</v>
      </c>
      <c r="N30" s="64">
        <v>41.5</v>
      </c>
      <c r="O30" s="64">
        <v>0</v>
      </c>
      <c r="P30" s="64">
        <v>0.77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1" t="s">
        <v>942</v>
      </c>
      <c r="B31" s="64">
        <v>20.059999999999999</v>
      </c>
      <c r="C31" s="64">
        <v>4.0599999999999996</v>
      </c>
      <c r="D31" s="64">
        <v>17.75</v>
      </c>
      <c r="E31" s="64">
        <v>5.0199999999999996</v>
      </c>
      <c r="F31" s="64">
        <v>3.73</v>
      </c>
      <c r="G31" s="64">
        <v>170.43</v>
      </c>
      <c r="H31" s="64">
        <v>51.8</v>
      </c>
      <c r="I31" s="64">
        <v>3.97</v>
      </c>
      <c r="J31" s="64">
        <v>0.22</v>
      </c>
      <c r="K31" s="64">
        <v>346.68</v>
      </c>
      <c r="L31" s="64">
        <v>17.91</v>
      </c>
      <c r="M31" s="64">
        <v>84.05</v>
      </c>
      <c r="N31" s="64">
        <v>41.6</v>
      </c>
      <c r="O31" s="64">
        <v>0</v>
      </c>
      <c r="P31" s="64">
        <v>0.78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11" t="s">
        <v>943</v>
      </c>
      <c r="B32" s="64">
        <v>19.84</v>
      </c>
      <c r="C32" s="64">
        <v>4.04</v>
      </c>
      <c r="D32" s="64">
        <v>17.559999999999999</v>
      </c>
      <c r="E32" s="64">
        <v>4.78</v>
      </c>
      <c r="F32" s="64">
        <v>3.61</v>
      </c>
      <c r="G32" s="64">
        <v>170.43</v>
      </c>
      <c r="H32" s="64">
        <v>51.8</v>
      </c>
      <c r="I32" s="64">
        <v>3.98</v>
      </c>
      <c r="J32" s="64">
        <v>0.22</v>
      </c>
      <c r="K32" s="64">
        <v>356.03</v>
      </c>
      <c r="L32" s="64">
        <v>17.87</v>
      </c>
      <c r="M32" s="64">
        <v>83.32</v>
      </c>
      <c r="N32" s="64">
        <v>42.6</v>
      </c>
      <c r="O32" s="64">
        <v>0</v>
      </c>
      <c r="P32" s="64">
        <v>0.82</v>
      </c>
      <c r="Q32" s="64">
        <v>9.5299999999999994</v>
      </c>
      <c r="R32" s="198"/>
      <c r="S32" s="198"/>
      <c r="T32" s="198"/>
      <c r="U32" s="198"/>
    </row>
    <row r="33" spans="1:21" s="12" customFormat="1" x14ac:dyDescent="0.25">
      <c r="A33" s="211" t="s">
        <v>944</v>
      </c>
      <c r="B33" s="64">
        <v>20.04</v>
      </c>
      <c r="C33" s="64">
        <v>3.89</v>
      </c>
      <c r="D33" s="64">
        <v>17.64</v>
      </c>
      <c r="E33" s="64">
        <v>4.7</v>
      </c>
      <c r="F33" s="64">
        <v>3.33</v>
      </c>
      <c r="G33" s="64">
        <v>170.43</v>
      </c>
      <c r="H33" s="64">
        <v>51.8</v>
      </c>
      <c r="I33" s="64">
        <v>4.2300000000000004</v>
      </c>
      <c r="J33" s="64">
        <v>0.14000000000000001</v>
      </c>
      <c r="K33" s="64">
        <v>309.82</v>
      </c>
      <c r="L33" s="64">
        <v>17.600000000000001</v>
      </c>
      <c r="M33" s="64">
        <v>88.51</v>
      </c>
      <c r="N33" s="64">
        <v>47.3</v>
      </c>
      <c r="O33" s="64">
        <v>0</v>
      </c>
      <c r="P33" s="64">
        <v>0.84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1" t="s">
        <v>945</v>
      </c>
      <c r="B34" s="64">
        <v>20.84</v>
      </c>
      <c r="C34" s="64">
        <v>4.84</v>
      </c>
      <c r="D34" s="64">
        <v>18.78</v>
      </c>
      <c r="E34" s="64">
        <v>4.83</v>
      </c>
      <c r="F34" s="64">
        <v>3.09</v>
      </c>
      <c r="G34" s="64">
        <v>164</v>
      </c>
      <c r="H34" s="64">
        <v>52.2</v>
      </c>
      <c r="I34" s="64">
        <v>4.38</v>
      </c>
      <c r="J34" s="64">
        <v>0.11</v>
      </c>
      <c r="K34" s="64">
        <v>329</v>
      </c>
      <c r="L34" s="64">
        <v>17.55</v>
      </c>
      <c r="M34" s="64">
        <v>91.23</v>
      </c>
      <c r="N34" s="64">
        <v>59.1</v>
      </c>
      <c r="O34" s="64">
        <v>0</v>
      </c>
      <c r="P34" s="64">
        <v>0.88</v>
      </c>
      <c r="Q34" s="64">
        <v>9.5399999999999991</v>
      </c>
      <c r="R34" s="198"/>
      <c r="S34" s="198"/>
      <c r="T34" s="198"/>
      <c r="U34" s="198"/>
    </row>
    <row r="35" spans="1:21" s="12" customFormat="1" x14ac:dyDescent="0.25">
      <c r="A35" s="211" t="s">
        <v>946</v>
      </c>
      <c r="B35" s="64">
        <v>20.91</v>
      </c>
      <c r="C35" s="64">
        <v>3.79</v>
      </c>
      <c r="D35" s="64">
        <v>18.29</v>
      </c>
      <c r="E35" s="64">
        <v>4.78</v>
      </c>
      <c r="F35" s="64">
        <v>3.27</v>
      </c>
      <c r="G35" s="64">
        <v>146.32</v>
      </c>
      <c r="H35" s="64">
        <v>52.92</v>
      </c>
      <c r="I35" s="64">
        <v>4.3499999999999996</v>
      </c>
      <c r="J35" s="64">
        <v>0.03</v>
      </c>
      <c r="K35" s="64">
        <v>347.85</v>
      </c>
      <c r="L35" s="64">
        <v>17.63</v>
      </c>
      <c r="M35" s="64">
        <v>90.58</v>
      </c>
      <c r="N35" s="64">
        <v>74.3</v>
      </c>
      <c r="O35" s="64">
        <v>0</v>
      </c>
      <c r="P35" s="64">
        <v>0.9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11" t="s">
        <v>947</v>
      </c>
      <c r="B36" s="64">
        <v>21.27</v>
      </c>
      <c r="C36" s="64">
        <v>3.5</v>
      </c>
      <c r="D36" s="64">
        <v>18.420000000000002</v>
      </c>
      <c r="E36" s="64">
        <v>4.99</v>
      </c>
      <c r="F36" s="64">
        <v>3.75</v>
      </c>
      <c r="G36" s="64">
        <v>146.32</v>
      </c>
      <c r="H36" s="64">
        <v>52.92</v>
      </c>
      <c r="I36" s="64">
        <v>4.34</v>
      </c>
      <c r="J36" s="64">
        <v>7.0000000000000007E-2</v>
      </c>
      <c r="K36" s="64">
        <v>284.64999999999998</v>
      </c>
      <c r="L36" s="64">
        <v>18.100000000000001</v>
      </c>
      <c r="M36" s="64">
        <v>89.47</v>
      </c>
      <c r="N36" s="64">
        <v>94.9</v>
      </c>
      <c r="O36" s="64">
        <v>0</v>
      </c>
      <c r="P36" s="64">
        <v>0.9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1" t="s">
        <v>948</v>
      </c>
      <c r="B37" s="64">
        <v>20.09</v>
      </c>
      <c r="C37" s="64">
        <v>7.53</v>
      </c>
      <c r="D37" s="64">
        <v>19.579999999999998</v>
      </c>
      <c r="E37" s="64">
        <v>5.13</v>
      </c>
      <c r="F37" s="64">
        <v>3.82</v>
      </c>
      <c r="G37" s="64">
        <v>146.32</v>
      </c>
      <c r="H37" s="64">
        <v>52.92</v>
      </c>
      <c r="I37" s="64">
        <v>4.34</v>
      </c>
      <c r="J37" s="64">
        <v>0.27</v>
      </c>
      <c r="K37" s="64">
        <v>117.61</v>
      </c>
      <c r="L37" s="64">
        <v>19.05</v>
      </c>
      <c r="M37" s="64">
        <v>76.19</v>
      </c>
      <c r="N37" s="64">
        <v>175.7</v>
      </c>
      <c r="O37" s="64">
        <v>0</v>
      </c>
      <c r="P37" s="64">
        <v>0.89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1" t="s">
        <v>949</v>
      </c>
      <c r="B38" s="64">
        <v>20.6</v>
      </c>
      <c r="C38" s="64">
        <v>4.74</v>
      </c>
      <c r="D38" s="64">
        <v>18.53</v>
      </c>
      <c r="E38" s="64">
        <v>4.84</v>
      </c>
      <c r="F38" s="64">
        <v>3.91</v>
      </c>
      <c r="G38" s="64">
        <v>142.24</v>
      </c>
      <c r="H38" s="64">
        <v>52.4</v>
      </c>
      <c r="I38" s="64">
        <v>4.38</v>
      </c>
      <c r="J38" s="64">
        <v>0.14000000000000001</v>
      </c>
      <c r="K38" s="64">
        <v>130.57</v>
      </c>
      <c r="L38" s="64">
        <v>20.92</v>
      </c>
      <c r="M38" s="64">
        <v>63.53</v>
      </c>
      <c r="N38" s="64">
        <v>245.6</v>
      </c>
      <c r="O38" s="64">
        <v>0</v>
      </c>
      <c r="P38" s="64">
        <v>0.96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1" t="s">
        <v>950</v>
      </c>
      <c r="B39" s="64">
        <v>21.67</v>
      </c>
      <c r="C39" s="64">
        <v>3.65</v>
      </c>
      <c r="D39" s="64">
        <v>18.82</v>
      </c>
      <c r="E39" s="64">
        <v>4.7300000000000004</v>
      </c>
      <c r="F39" s="64">
        <v>3.22</v>
      </c>
      <c r="G39" s="64">
        <v>131.04</v>
      </c>
      <c r="H39" s="64">
        <v>51.47</v>
      </c>
      <c r="I39" s="64">
        <v>4.38</v>
      </c>
      <c r="J39" s="64">
        <v>0.33</v>
      </c>
      <c r="K39" s="64">
        <v>346.56</v>
      </c>
      <c r="L39" s="64">
        <v>23.12</v>
      </c>
      <c r="M39" s="64">
        <v>52.37</v>
      </c>
      <c r="N39" s="64">
        <v>300.10000000000002</v>
      </c>
      <c r="O39" s="64">
        <v>0</v>
      </c>
      <c r="P39" s="64">
        <v>0.93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1" t="s">
        <v>951</v>
      </c>
      <c r="B40" s="64">
        <v>21.93</v>
      </c>
      <c r="C40" s="64">
        <v>3.4</v>
      </c>
      <c r="D40" s="64">
        <v>18.899999999999999</v>
      </c>
      <c r="E40" s="64">
        <v>5.09</v>
      </c>
      <c r="F40" s="64">
        <v>3.51</v>
      </c>
      <c r="G40" s="64">
        <v>131.04</v>
      </c>
      <c r="H40" s="64">
        <v>51.47</v>
      </c>
      <c r="I40" s="64">
        <v>4.3600000000000003</v>
      </c>
      <c r="J40" s="64">
        <v>0.34</v>
      </c>
      <c r="K40" s="64">
        <v>344.83</v>
      </c>
      <c r="L40" s="64">
        <v>25.2</v>
      </c>
      <c r="M40" s="64">
        <v>42.7</v>
      </c>
      <c r="N40" s="64">
        <v>360.2</v>
      </c>
      <c r="O40" s="64">
        <v>0</v>
      </c>
      <c r="P40" s="64">
        <v>0.91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11" t="s">
        <v>952</v>
      </c>
      <c r="B41" s="64">
        <v>21.64</v>
      </c>
      <c r="C41" s="64">
        <v>3.14</v>
      </c>
      <c r="D41" s="64">
        <v>18.53</v>
      </c>
      <c r="E41" s="64">
        <v>5.0199999999999996</v>
      </c>
      <c r="F41" s="64">
        <v>3.56</v>
      </c>
      <c r="G41" s="64">
        <v>131.04</v>
      </c>
      <c r="H41" s="64">
        <v>51.47</v>
      </c>
      <c r="I41" s="64">
        <v>4.33</v>
      </c>
      <c r="J41" s="64">
        <v>0.43</v>
      </c>
      <c r="K41" s="64">
        <v>123.67</v>
      </c>
      <c r="L41" s="64">
        <v>24.52</v>
      </c>
      <c r="M41" s="64">
        <v>43.97</v>
      </c>
      <c r="N41" s="64">
        <v>425.3</v>
      </c>
      <c r="O41" s="64">
        <v>0</v>
      </c>
      <c r="P41" s="64">
        <v>0.88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1" t="s">
        <v>953</v>
      </c>
      <c r="B42" s="64">
        <v>20.98</v>
      </c>
      <c r="C42" s="64">
        <v>3.07</v>
      </c>
      <c r="D42" s="64">
        <v>17.97</v>
      </c>
      <c r="E42" s="64">
        <v>4.67</v>
      </c>
      <c r="F42" s="64">
        <v>2.98</v>
      </c>
      <c r="G42" s="64">
        <v>117.07</v>
      </c>
      <c r="H42" s="64">
        <v>50.42</v>
      </c>
      <c r="I42" s="64">
        <v>4.3</v>
      </c>
      <c r="J42" s="64">
        <v>0.42</v>
      </c>
      <c r="K42" s="64">
        <v>110.74</v>
      </c>
      <c r="L42" s="64">
        <v>24.34</v>
      </c>
      <c r="M42" s="64">
        <v>44</v>
      </c>
      <c r="N42" s="64">
        <v>476.7</v>
      </c>
      <c r="O42" s="64">
        <v>0</v>
      </c>
      <c r="P42" s="64">
        <v>0.86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11" t="s">
        <v>954</v>
      </c>
      <c r="B43" s="64">
        <v>18.91</v>
      </c>
      <c r="C43" s="64">
        <v>5.61</v>
      </c>
      <c r="D43" s="64">
        <v>17.64</v>
      </c>
      <c r="E43" s="64">
        <v>5.18</v>
      </c>
      <c r="F43" s="64">
        <v>3.53</v>
      </c>
      <c r="G43" s="64">
        <v>78.64</v>
      </c>
      <c r="H43" s="64">
        <v>46.35</v>
      </c>
      <c r="I43" s="64">
        <v>4.26</v>
      </c>
      <c r="J43" s="64">
        <v>0.2</v>
      </c>
      <c r="K43" s="64">
        <v>47.74</v>
      </c>
      <c r="L43" s="64">
        <v>26.38</v>
      </c>
      <c r="M43" s="64">
        <v>36.49</v>
      </c>
      <c r="N43" s="64">
        <v>523.9</v>
      </c>
      <c r="O43" s="64">
        <v>0</v>
      </c>
      <c r="P43" s="64">
        <v>0.85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11" t="s">
        <v>955</v>
      </c>
      <c r="B44" s="64">
        <v>18.350000000000001</v>
      </c>
      <c r="C44" s="64">
        <v>5.64</v>
      </c>
      <c r="D44" s="64">
        <v>17.2</v>
      </c>
      <c r="E44" s="64">
        <v>4.92</v>
      </c>
      <c r="F44" s="64">
        <v>3.72</v>
      </c>
      <c r="G44" s="64">
        <v>78.64</v>
      </c>
      <c r="H44" s="64">
        <v>46.35</v>
      </c>
      <c r="I44" s="64">
        <v>4.2</v>
      </c>
      <c r="J44" s="64">
        <v>0.56999999999999995</v>
      </c>
      <c r="K44" s="64">
        <v>342.18</v>
      </c>
      <c r="L44" s="64">
        <v>27.53</v>
      </c>
      <c r="M44" s="64">
        <v>35.14</v>
      </c>
      <c r="N44" s="64">
        <v>569.4</v>
      </c>
      <c r="O44" s="64">
        <v>0</v>
      </c>
      <c r="P44" s="64">
        <v>0.84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1" t="s">
        <v>956</v>
      </c>
      <c r="B45" s="64">
        <v>18.07</v>
      </c>
      <c r="C45" s="64">
        <v>5.8</v>
      </c>
      <c r="D45" s="64">
        <v>17.059999999999999</v>
      </c>
      <c r="E45" s="64">
        <v>5.59</v>
      </c>
      <c r="F45" s="64">
        <v>3.38</v>
      </c>
      <c r="G45" s="64">
        <v>78.64</v>
      </c>
      <c r="H45" s="64">
        <v>46.35</v>
      </c>
      <c r="I45" s="64">
        <v>4.1399999999999997</v>
      </c>
      <c r="J45" s="64">
        <v>1.03</v>
      </c>
      <c r="K45" s="64">
        <v>343.99</v>
      </c>
      <c r="L45" s="64">
        <v>29.01</v>
      </c>
      <c r="M45" s="64">
        <v>31.73</v>
      </c>
      <c r="N45" s="64">
        <v>614.79999999999995</v>
      </c>
      <c r="O45" s="64">
        <v>0</v>
      </c>
      <c r="P45" s="64">
        <v>0.8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11" t="s">
        <v>957</v>
      </c>
      <c r="B46" s="64">
        <v>15.97</v>
      </c>
      <c r="C46" s="64">
        <v>7.9</v>
      </c>
      <c r="D46" s="64">
        <v>16.47</v>
      </c>
      <c r="E46" s="64">
        <v>5.52</v>
      </c>
      <c r="F46" s="64">
        <v>3.68</v>
      </c>
      <c r="G46" s="64">
        <v>67.09</v>
      </c>
      <c r="H46" s="64">
        <v>42.88</v>
      </c>
      <c r="I46" s="64">
        <v>4.08</v>
      </c>
      <c r="J46" s="64">
        <v>1.1100000000000001</v>
      </c>
      <c r="K46" s="64">
        <v>344.77</v>
      </c>
      <c r="L46" s="64">
        <v>29.19</v>
      </c>
      <c r="M46" s="64">
        <v>31.13</v>
      </c>
      <c r="N46" s="64">
        <v>658.3</v>
      </c>
      <c r="O46" s="64">
        <v>0</v>
      </c>
      <c r="P46" s="64">
        <v>0.76</v>
      </c>
      <c r="Q46" s="64">
        <v>9.44</v>
      </c>
      <c r="R46" s="198"/>
      <c r="S46" s="198"/>
      <c r="T46" s="198"/>
      <c r="U46" s="198"/>
    </row>
    <row r="47" spans="1:21" s="12" customFormat="1" x14ac:dyDescent="0.25">
      <c r="A47" s="211" t="s">
        <v>958</v>
      </c>
      <c r="B47" s="64">
        <v>14.81</v>
      </c>
      <c r="C47" s="64">
        <v>9.64</v>
      </c>
      <c r="D47" s="64">
        <v>16.45</v>
      </c>
      <c r="E47" s="64">
        <v>5.52</v>
      </c>
      <c r="F47" s="64">
        <v>3.85</v>
      </c>
      <c r="G47" s="64">
        <v>35.33</v>
      </c>
      <c r="H47" s="64">
        <v>36.67</v>
      </c>
      <c r="I47" s="64">
        <v>4.01</v>
      </c>
      <c r="J47" s="64">
        <v>0.99</v>
      </c>
      <c r="K47" s="64">
        <v>342.07</v>
      </c>
      <c r="L47" s="64">
        <v>29.44</v>
      </c>
      <c r="M47" s="64">
        <v>31</v>
      </c>
      <c r="N47" s="64">
        <v>677.9</v>
      </c>
      <c r="O47" s="64">
        <v>0</v>
      </c>
      <c r="P47" s="64">
        <v>0.75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1" t="s">
        <v>959</v>
      </c>
      <c r="B48" s="64">
        <v>13.16</v>
      </c>
      <c r="C48" s="64">
        <v>10.8</v>
      </c>
      <c r="D48" s="64">
        <v>15.73</v>
      </c>
      <c r="E48" s="64">
        <v>7.88</v>
      </c>
      <c r="F48" s="64">
        <v>5.26</v>
      </c>
      <c r="G48" s="64">
        <v>35.33</v>
      </c>
      <c r="H48" s="64">
        <v>36.67</v>
      </c>
      <c r="I48" s="64">
        <v>3.91</v>
      </c>
      <c r="J48" s="64">
        <v>1.01</v>
      </c>
      <c r="K48" s="64">
        <v>343.75</v>
      </c>
      <c r="L48" s="64">
        <v>29.84</v>
      </c>
      <c r="M48" s="64">
        <v>31.63</v>
      </c>
      <c r="N48" s="64">
        <v>689.1</v>
      </c>
      <c r="O48" s="64">
        <v>0</v>
      </c>
      <c r="P48" s="64">
        <v>0.73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1" t="s">
        <v>960</v>
      </c>
      <c r="B49" s="64">
        <v>12.77</v>
      </c>
      <c r="C49" s="64">
        <v>12.47</v>
      </c>
      <c r="D49" s="64">
        <v>16.3</v>
      </c>
      <c r="E49" s="64">
        <v>9.06</v>
      </c>
      <c r="F49" s="64">
        <v>6.85</v>
      </c>
      <c r="G49" s="64">
        <v>35.33</v>
      </c>
      <c r="H49" s="64">
        <v>36.67</v>
      </c>
      <c r="I49" s="64">
        <v>3.82</v>
      </c>
      <c r="J49" s="64">
        <v>1.1000000000000001</v>
      </c>
      <c r="K49" s="64">
        <v>342.22</v>
      </c>
      <c r="L49" s="64">
        <v>29.89</v>
      </c>
      <c r="M49" s="64">
        <v>29.89</v>
      </c>
      <c r="N49" s="64">
        <v>723.9</v>
      </c>
      <c r="O49" s="64">
        <v>0</v>
      </c>
      <c r="P49" s="64">
        <v>0.76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1" t="s">
        <v>961</v>
      </c>
      <c r="B50" s="64">
        <v>11.81</v>
      </c>
      <c r="C50" s="64">
        <v>13.11</v>
      </c>
      <c r="D50" s="64">
        <v>15.86</v>
      </c>
      <c r="E50" s="64">
        <v>8.36</v>
      </c>
      <c r="F50" s="64">
        <v>7.46</v>
      </c>
      <c r="G50" s="64">
        <v>53.22</v>
      </c>
      <c r="H50" s="64">
        <v>36.24</v>
      </c>
      <c r="I50" s="64">
        <v>3.78</v>
      </c>
      <c r="J50" s="64">
        <v>1.71</v>
      </c>
      <c r="K50" s="64">
        <v>340.4</v>
      </c>
      <c r="L50" s="64">
        <v>29.94</v>
      </c>
      <c r="M50" s="64">
        <v>28.78</v>
      </c>
      <c r="N50" s="64">
        <v>748</v>
      </c>
      <c r="O50" s="64">
        <v>0</v>
      </c>
      <c r="P50" s="64">
        <v>0.8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1" t="s">
        <v>962</v>
      </c>
      <c r="B51" s="64">
        <v>10.58</v>
      </c>
      <c r="C51" s="64">
        <v>13.87</v>
      </c>
      <c r="D51" s="64">
        <v>15.27</v>
      </c>
      <c r="E51" s="64">
        <v>7.13</v>
      </c>
      <c r="F51" s="64">
        <v>7.55</v>
      </c>
      <c r="G51" s="64">
        <v>102.41</v>
      </c>
      <c r="H51" s="64">
        <v>35.47</v>
      </c>
      <c r="I51" s="64">
        <v>3.73</v>
      </c>
      <c r="J51" s="64">
        <v>2.02</v>
      </c>
      <c r="K51" s="64">
        <v>339.85</v>
      </c>
      <c r="L51" s="64">
        <v>30.1</v>
      </c>
      <c r="M51" s="64">
        <v>27.56</v>
      </c>
      <c r="N51" s="64">
        <v>790.4</v>
      </c>
      <c r="O51" s="64">
        <v>0</v>
      </c>
      <c r="P51" s="64">
        <v>0.79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1" t="s">
        <v>963</v>
      </c>
      <c r="B52" s="64">
        <v>8.32</v>
      </c>
      <c r="C52" s="64">
        <v>15.35</v>
      </c>
      <c r="D52" s="64">
        <v>14.23</v>
      </c>
      <c r="E52" s="64">
        <v>7.57</v>
      </c>
      <c r="F52" s="64">
        <v>5.04</v>
      </c>
      <c r="G52" s="64">
        <v>102.41</v>
      </c>
      <c r="H52" s="64">
        <v>35.47</v>
      </c>
      <c r="I52" s="64">
        <v>3.64</v>
      </c>
      <c r="J52" s="64">
        <v>1.45</v>
      </c>
      <c r="K52" s="64">
        <v>332.87</v>
      </c>
      <c r="L52" s="64">
        <v>29.8</v>
      </c>
      <c r="M52" s="64">
        <v>28.77</v>
      </c>
      <c r="N52" s="64">
        <v>813</v>
      </c>
      <c r="O52" s="64">
        <v>0</v>
      </c>
      <c r="P52" s="64">
        <v>0.74</v>
      </c>
      <c r="Q52" s="64">
        <v>9.32</v>
      </c>
      <c r="R52" s="198"/>
      <c r="S52" s="198"/>
      <c r="T52" s="198"/>
      <c r="U52" s="198"/>
    </row>
    <row r="53" spans="1:21" s="12" customFormat="1" x14ac:dyDescent="0.25">
      <c r="A53" s="211" t="s">
        <v>964</v>
      </c>
      <c r="B53" s="64">
        <v>6.74</v>
      </c>
      <c r="C53" s="64">
        <v>15.51</v>
      </c>
      <c r="D53" s="64">
        <v>13.04</v>
      </c>
      <c r="E53" s="64">
        <v>5.99</v>
      </c>
      <c r="F53" s="64">
        <v>4.2699999999999996</v>
      </c>
      <c r="G53" s="64">
        <v>102.41</v>
      </c>
      <c r="H53" s="64">
        <v>35.47</v>
      </c>
      <c r="I53" s="64">
        <v>3.51</v>
      </c>
      <c r="J53" s="64">
        <v>1.74</v>
      </c>
      <c r="K53" s="64">
        <v>333.91</v>
      </c>
      <c r="L53" s="64">
        <v>30.54</v>
      </c>
      <c r="M53" s="64">
        <v>27.96</v>
      </c>
      <c r="N53" s="64">
        <v>811.7</v>
      </c>
      <c r="O53" s="64">
        <v>0</v>
      </c>
      <c r="P53" s="64">
        <v>0.73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11" t="s">
        <v>965</v>
      </c>
      <c r="B54" s="64">
        <v>5.51</v>
      </c>
      <c r="C54" s="64">
        <v>16.23</v>
      </c>
      <c r="D54" s="64">
        <v>12.44</v>
      </c>
      <c r="E54" s="64">
        <v>5.71</v>
      </c>
      <c r="F54" s="64">
        <v>8.61</v>
      </c>
      <c r="G54" s="64">
        <v>75.099999999999994</v>
      </c>
      <c r="H54" s="64">
        <v>32.659999999999997</v>
      </c>
      <c r="I54" s="64">
        <v>3.39</v>
      </c>
      <c r="J54" s="64">
        <v>1.37</v>
      </c>
      <c r="K54" s="64">
        <v>336.3</v>
      </c>
      <c r="L54" s="64">
        <v>30.59</v>
      </c>
      <c r="M54" s="64">
        <v>27.21</v>
      </c>
      <c r="N54" s="64">
        <v>807.1</v>
      </c>
      <c r="O54" s="64">
        <v>0</v>
      </c>
      <c r="P54" s="64">
        <v>0.7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1" t="s">
        <v>966</v>
      </c>
      <c r="B55" s="64">
        <v>4.22</v>
      </c>
      <c r="C55" s="64">
        <v>16.829999999999998</v>
      </c>
      <c r="D55" s="64">
        <v>11.71</v>
      </c>
      <c r="E55" s="64">
        <v>6.22</v>
      </c>
      <c r="F55" s="64">
        <v>8.32</v>
      </c>
      <c r="G55" s="6" t="s">
        <v>42</v>
      </c>
      <c r="H55" s="64">
        <v>27.6</v>
      </c>
      <c r="I55" s="64">
        <v>3.26</v>
      </c>
      <c r="J55" s="64">
        <v>1.74</v>
      </c>
      <c r="K55" s="64">
        <v>341.02</v>
      </c>
      <c r="L55" s="64">
        <v>30.26</v>
      </c>
      <c r="M55" s="64">
        <v>26.36</v>
      </c>
      <c r="N55" s="64">
        <v>813</v>
      </c>
      <c r="O55" s="64">
        <v>0</v>
      </c>
      <c r="P55" s="64">
        <v>0.68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1" t="s">
        <v>967</v>
      </c>
      <c r="B56" s="64">
        <v>4.07</v>
      </c>
      <c r="C56" s="64">
        <v>16.7</v>
      </c>
      <c r="D56" s="64">
        <v>11.53</v>
      </c>
      <c r="E56" s="64">
        <v>5.57</v>
      </c>
      <c r="F56" s="64">
        <v>5.07</v>
      </c>
      <c r="G56" s="6" t="s">
        <v>42</v>
      </c>
      <c r="H56" s="64">
        <v>27.6</v>
      </c>
      <c r="I56" s="64">
        <v>3.16</v>
      </c>
      <c r="J56" s="64">
        <v>1.24</v>
      </c>
      <c r="K56" s="64">
        <v>337.31</v>
      </c>
      <c r="L56" s="64">
        <v>30.69</v>
      </c>
      <c r="M56" s="64">
        <v>25.27</v>
      </c>
      <c r="N56" s="64">
        <v>816.6</v>
      </c>
      <c r="O56" s="64">
        <v>0</v>
      </c>
      <c r="P56" s="64">
        <v>0.66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1" t="s">
        <v>968</v>
      </c>
      <c r="B57" s="64">
        <v>3.31</v>
      </c>
      <c r="C57" s="64">
        <v>16.45</v>
      </c>
      <c r="D57" s="64">
        <v>10.78</v>
      </c>
      <c r="E57" s="64">
        <v>5.07</v>
      </c>
      <c r="F57" s="64">
        <v>6.27</v>
      </c>
      <c r="G57" s="6" t="s">
        <v>42</v>
      </c>
      <c r="H57" s="64">
        <v>27.6</v>
      </c>
      <c r="I57" s="64">
        <v>3.05</v>
      </c>
      <c r="J57" s="64">
        <v>1.19</v>
      </c>
      <c r="K57" s="64">
        <v>337.17</v>
      </c>
      <c r="L57" s="64">
        <v>30.37</v>
      </c>
      <c r="M57" s="64">
        <v>25.07</v>
      </c>
      <c r="N57" s="64">
        <v>778.7</v>
      </c>
      <c r="O57" s="64">
        <v>0</v>
      </c>
      <c r="P57" s="64">
        <v>0.57999999999999996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1" t="s">
        <v>969</v>
      </c>
      <c r="B58" s="64">
        <v>2.6</v>
      </c>
      <c r="C58" s="64">
        <v>15.93</v>
      </c>
      <c r="D58" s="64">
        <v>9.9499999999999993</v>
      </c>
      <c r="E58" s="64">
        <v>4.9400000000000004</v>
      </c>
      <c r="F58" s="64">
        <v>6.45</v>
      </c>
      <c r="G58" s="64">
        <v>25.91</v>
      </c>
      <c r="H58" s="64">
        <v>27.1</v>
      </c>
      <c r="I58" s="64">
        <v>2.93</v>
      </c>
      <c r="J58" s="64">
        <v>1.1000000000000001</v>
      </c>
      <c r="K58" s="64">
        <v>333.69</v>
      </c>
      <c r="L58" s="64">
        <v>30.5</v>
      </c>
      <c r="M58" s="64">
        <v>23.92</v>
      </c>
      <c r="N58" s="64">
        <v>779</v>
      </c>
      <c r="O58" s="64">
        <v>0</v>
      </c>
      <c r="P58" s="64">
        <v>0.54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1" t="s">
        <v>970</v>
      </c>
      <c r="B59" s="64">
        <v>2.2000000000000002</v>
      </c>
      <c r="C59" s="64">
        <v>15.32</v>
      </c>
      <c r="D59" s="64">
        <v>9.31</v>
      </c>
      <c r="E59" s="64">
        <v>5.16</v>
      </c>
      <c r="F59" s="64">
        <v>5.6</v>
      </c>
      <c r="G59" s="64">
        <v>93.26</v>
      </c>
      <c r="H59" s="64">
        <v>25.12</v>
      </c>
      <c r="I59" s="64">
        <v>2.84</v>
      </c>
      <c r="J59" s="64">
        <v>1.36</v>
      </c>
      <c r="K59" s="64">
        <v>340.12</v>
      </c>
      <c r="L59" s="64">
        <v>30.46</v>
      </c>
      <c r="M59" s="64">
        <v>23.98</v>
      </c>
      <c r="N59" s="64">
        <v>758</v>
      </c>
      <c r="O59" s="64">
        <v>0</v>
      </c>
      <c r="P59" s="64">
        <v>0.52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1" t="s">
        <v>971</v>
      </c>
      <c r="B60" s="64">
        <v>2.4300000000000002</v>
      </c>
      <c r="C60" s="64">
        <v>14.12</v>
      </c>
      <c r="D60" s="64">
        <v>8.86</v>
      </c>
      <c r="E60" s="64">
        <v>5.25</v>
      </c>
      <c r="F60" s="64">
        <v>4.22</v>
      </c>
      <c r="G60" s="64">
        <v>93.26</v>
      </c>
      <c r="H60" s="64">
        <v>25.12</v>
      </c>
      <c r="I60" s="64">
        <v>2.78</v>
      </c>
      <c r="J60" s="64">
        <v>1.39</v>
      </c>
      <c r="K60" s="64">
        <v>339.52</v>
      </c>
      <c r="L60" s="64">
        <v>30.01</v>
      </c>
      <c r="M60" s="64">
        <v>24.85</v>
      </c>
      <c r="N60" s="64">
        <v>690.2</v>
      </c>
      <c r="O60" s="64">
        <v>0</v>
      </c>
      <c r="P60" s="64">
        <v>0.5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1" t="s">
        <v>972</v>
      </c>
      <c r="B61" s="64">
        <v>2.11</v>
      </c>
      <c r="C61" s="64">
        <v>14.83</v>
      </c>
      <c r="D61" s="64">
        <v>8.98</v>
      </c>
      <c r="E61" s="64">
        <v>4.6900000000000004</v>
      </c>
      <c r="F61" s="64">
        <v>4.88</v>
      </c>
      <c r="G61" s="64">
        <v>93.26</v>
      </c>
      <c r="H61" s="64">
        <v>25.12</v>
      </c>
      <c r="I61" s="64">
        <v>2.71</v>
      </c>
      <c r="J61" s="64">
        <v>0.91</v>
      </c>
      <c r="K61" s="64">
        <v>337.25</v>
      </c>
      <c r="L61" s="64">
        <v>29.76</v>
      </c>
      <c r="M61" s="64">
        <v>25.57</v>
      </c>
      <c r="N61" s="64">
        <v>481.8</v>
      </c>
      <c r="O61" s="64">
        <v>0</v>
      </c>
      <c r="P61" s="64">
        <v>0.6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1" t="s">
        <v>973</v>
      </c>
      <c r="B62" s="64">
        <v>1.81</v>
      </c>
      <c r="C62" s="64">
        <v>14.82</v>
      </c>
      <c r="D62" s="64">
        <v>8.73</v>
      </c>
      <c r="E62" s="64">
        <v>4.29</v>
      </c>
      <c r="F62" s="64">
        <v>4.97</v>
      </c>
      <c r="G62" s="64">
        <v>77.239999999999995</v>
      </c>
      <c r="H62" s="64">
        <v>23.41</v>
      </c>
      <c r="I62" s="64">
        <v>2.64</v>
      </c>
      <c r="J62" s="64">
        <v>1.18</v>
      </c>
      <c r="K62" s="64">
        <v>320.41000000000003</v>
      </c>
      <c r="L62" s="64">
        <v>29.96</v>
      </c>
      <c r="M62" s="64">
        <v>26.05</v>
      </c>
      <c r="N62" s="64">
        <v>301.3</v>
      </c>
      <c r="O62" s="64">
        <v>0</v>
      </c>
      <c r="P62" s="64">
        <v>0.65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11" t="s">
        <v>974</v>
      </c>
      <c r="B63" s="64">
        <v>1.41</v>
      </c>
      <c r="C63" s="64">
        <v>15.41</v>
      </c>
      <c r="D63" s="64">
        <v>8.7200000000000006</v>
      </c>
      <c r="E63" s="64">
        <v>5.34</v>
      </c>
      <c r="F63" s="64">
        <v>6.58</v>
      </c>
      <c r="G63" s="64">
        <v>35.590000000000003</v>
      </c>
      <c r="H63" s="64">
        <v>20.350000000000001</v>
      </c>
      <c r="I63" s="64">
        <v>2.58</v>
      </c>
      <c r="J63" s="64">
        <v>0.76</v>
      </c>
      <c r="K63" s="64">
        <v>326.41000000000003</v>
      </c>
      <c r="L63" s="64">
        <v>29.49</v>
      </c>
      <c r="M63" s="64">
        <v>27.09</v>
      </c>
      <c r="N63" s="64">
        <v>276.60000000000002</v>
      </c>
      <c r="O63" s="64">
        <v>0</v>
      </c>
      <c r="P63" s="64">
        <v>0.63</v>
      </c>
      <c r="Q63" s="64">
        <v>9.11</v>
      </c>
      <c r="R63" s="198"/>
      <c r="S63" s="198"/>
      <c r="T63" s="198"/>
      <c r="U63" s="198"/>
    </row>
    <row r="64" spans="1:21" s="12" customFormat="1" x14ac:dyDescent="0.25">
      <c r="A64" s="211" t="s">
        <v>975</v>
      </c>
      <c r="B64" s="64">
        <v>1.39</v>
      </c>
      <c r="C64" s="64">
        <v>16.170000000000002</v>
      </c>
      <c r="D64" s="64">
        <v>9.1</v>
      </c>
      <c r="E64" s="64">
        <v>5.0199999999999996</v>
      </c>
      <c r="F64" s="64">
        <v>5.71</v>
      </c>
      <c r="G64" s="64">
        <v>35.590000000000003</v>
      </c>
      <c r="H64" s="64">
        <v>20.350000000000001</v>
      </c>
      <c r="I64" s="64">
        <v>2.5099999999999998</v>
      </c>
      <c r="J64" s="64">
        <v>0.99</v>
      </c>
      <c r="K64" s="64">
        <v>339.7</v>
      </c>
      <c r="L64" s="64">
        <v>28.85</v>
      </c>
      <c r="M64" s="64">
        <v>27.37</v>
      </c>
      <c r="N64" s="64">
        <v>190.7</v>
      </c>
      <c r="O64" s="64">
        <v>0</v>
      </c>
      <c r="P64" s="64">
        <v>0.6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1" t="s">
        <v>976</v>
      </c>
      <c r="B65" s="64">
        <v>2.19</v>
      </c>
      <c r="C65" s="64">
        <v>13.5</v>
      </c>
      <c r="D65" s="64">
        <v>8.34</v>
      </c>
      <c r="E65" s="64">
        <v>4.62</v>
      </c>
      <c r="F65" s="64">
        <v>7.77</v>
      </c>
      <c r="G65" s="64">
        <v>35.590000000000003</v>
      </c>
      <c r="H65" s="64">
        <v>20.350000000000001</v>
      </c>
      <c r="I65" s="64">
        <v>2.46</v>
      </c>
      <c r="J65" s="64">
        <v>1.07</v>
      </c>
      <c r="K65" s="64">
        <v>337.3</v>
      </c>
      <c r="L65" s="64">
        <v>28.32</v>
      </c>
      <c r="M65" s="64">
        <v>27.9</v>
      </c>
      <c r="N65" s="64">
        <v>142.1</v>
      </c>
      <c r="O65" s="64">
        <v>0</v>
      </c>
      <c r="P65" s="64">
        <v>0.57999999999999996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1" t="s">
        <v>977</v>
      </c>
      <c r="B66" s="64">
        <v>3.35</v>
      </c>
      <c r="C66" s="64">
        <v>17.5</v>
      </c>
      <c r="D66" s="64">
        <v>11.37</v>
      </c>
      <c r="E66" s="64">
        <v>5.21</v>
      </c>
      <c r="F66" s="64">
        <v>10.69</v>
      </c>
      <c r="G66" s="64">
        <v>43.91</v>
      </c>
      <c r="H66" s="64">
        <v>18.829999999999998</v>
      </c>
      <c r="I66" s="64">
        <v>2.4500000000000002</v>
      </c>
      <c r="J66" s="64">
        <v>0.78</v>
      </c>
      <c r="K66" s="64">
        <v>331.77</v>
      </c>
      <c r="L66" s="64">
        <v>27.8</v>
      </c>
      <c r="M66" s="64">
        <v>28.5</v>
      </c>
      <c r="N66" s="64">
        <v>139.6</v>
      </c>
      <c r="O66" s="64">
        <v>0</v>
      </c>
      <c r="P66" s="64">
        <v>0.57999999999999996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11" t="s">
        <v>978</v>
      </c>
      <c r="B67" s="64">
        <v>2.2799999999999998</v>
      </c>
      <c r="C67" s="64">
        <v>16.399999999999999</v>
      </c>
      <c r="D67" s="64">
        <v>9.94</v>
      </c>
      <c r="E67" s="64">
        <v>5.0199999999999996</v>
      </c>
      <c r="F67" s="64">
        <v>12.8</v>
      </c>
      <c r="G67" s="64">
        <v>66.81</v>
      </c>
      <c r="H67" s="64">
        <v>16.09</v>
      </c>
      <c r="I67" s="64">
        <v>2.44</v>
      </c>
      <c r="J67" s="64">
        <v>0.79</v>
      </c>
      <c r="K67" s="64">
        <v>335.77</v>
      </c>
      <c r="L67" s="64">
        <v>27.4</v>
      </c>
      <c r="M67" s="64">
        <v>29.76</v>
      </c>
      <c r="N67" s="64">
        <v>139.4</v>
      </c>
      <c r="O67" s="64">
        <v>0</v>
      </c>
      <c r="P67" s="64">
        <v>0.6</v>
      </c>
      <c r="Q67" s="64">
        <v>9.1199999999999992</v>
      </c>
      <c r="R67" s="198"/>
      <c r="S67" s="198"/>
      <c r="T67" s="198"/>
      <c r="U67" s="198"/>
    </row>
    <row r="68" spans="1:21" s="12" customFormat="1" x14ac:dyDescent="0.25">
      <c r="A68" s="211" t="s">
        <v>979</v>
      </c>
      <c r="B68" s="64">
        <v>2.9</v>
      </c>
      <c r="C68" s="64">
        <v>19.18</v>
      </c>
      <c r="D68" s="64">
        <v>11.89</v>
      </c>
      <c r="E68" s="64">
        <v>5.61</v>
      </c>
      <c r="F68" s="64">
        <v>11.68</v>
      </c>
      <c r="G68" s="64">
        <v>66.81</v>
      </c>
      <c r="H68" s="64">
        <v>16.09</v>
      </c>
      <c r="I68" s="64">
        <v>2.44</v>
      </c>
      <c r="J68" s="64">
        <v>0.84</v>
      </c>
      <c r="K68" s="64">
        <v>331.81</v>
      </c>
      <c r="L68" s="64">
        <v>27.06</v>
      </c>
      <c r="M68" s="64">
        <v>28.95</v>
      </c>
      <c r="N68" s="64">
        <v>119.3</v>
      </c>
      <c r="O68" s="64">
        <v>0</v>
      </c>
      <c r="P68" s="64">
        <v>0.6</v>
      </c>
      <c r="Q68" s="64">
        <v>9.1199999999999992</v>
      </c>
      <c r="R68" s="198"/>
      <c r="S68" s="198"/>
      <c r="T68" s="198"/>
      <c r="U68" s="198"/>
    </row>
    <row r="69" spans="1:21" s="12" customFormat="1" x14ac:dyDescent="0.25">
      <c r="A69" s="211" t="s">
        <v>980</v>
      </c>
      <c r="B69" s="64">
        <v>2.98</v>
      </c>
      <c r="C69" s="64">
        <v>17.39</v>
      </c>
      <c r="D69" s="64">
        <v>11.01</v>
      </c>
      <c r="E69" s="64">
        <v>5.38</v>
      </c>
      <c r="F69" s="64">
        <v>10.82</v>
      </c>
      <c r="G69" s="64">
        <v>66.81</v>
      </c>
      <c r="H69" s="64">
        <v>16.09</v>
      </c>
      <c r="I69" s="64">
        <v>2.44</v>
      </c>
      <c r="J69" s="64">
        <v>0.8</v>
      </c>
      <c r="K69" s="64">
        <v>327.19</v>
      </c>
      <c r="L69" s="64">
        <v>26.93</v>
      </c>
      <c r="M69" s="64">
        <v>28.19</v>
      </c>
      <c r="N69" s="64">
        <v>111</v>
      </c>
      <c r="O69" s="64">
        <v>0</v>
      </c>
      <c r="P69" s="64">
        <v>0.64</v>
      </c>
      <c r="Q69" s="64">
        <v>9.14</v>
      </c>
      <c r="R69" s="198"/>
      <c r="S69" s="198"/>
      <c r="T69" s="198"/>
      <c r="U69" s="198"/>
    </row>
    <row r="70" spans="1:21" s="12" customFormat="1" x14ac:dyDescent="0.25">
      <c r="A70" s="211" t="s">
        <v>981</v>
      </c>
      <c r="B70" s="64">
        <v>3.25</v>
      </c>
      <c r="C70" s="64">
        <v>13.74</v>
      </c>
      <c r="D70" s="64">
        <v>9.33</v>
      </c>
      <c r="E70" s="64">
        <v>5.05</v>
      </c>
      <c r="F70" s="64">
        <v>7.4</v>
      </c>
      <c r="G70" s="64">
        <v>55.99</v>
      </c>
      <c r="H70" s="64">
        <v>15.84</v>
      </c>
      <c r="I70" s="64">
        <v>2.4300000000000002</v>
      </c>
      <c r="J70" s="64">
        <v>1.37</v>
      </c>
      <c r="K70" s="64">
        <v>342.25</v>
      </c>
      <c r="L70" s="64">
        <v>26.56</v>
      </c>
      <c r="M70" s="64">
        <v>27.04</v>
      </c>
      <c r="N70" s="64">
        <v>103.2</v>
      </c>
      <c r="O70" s="64">
        <v>0</v>
      </c>
      <c r="P70" s="64">
        <v>0.62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1" t="s">
        <v>982</v>
      </c>
      <c r="B71" s="64">
        <v>2.93</v>
      </c>
      <c r="C71" s="64">
        <v>15.47</v>
      </c>
      <c r="D71" s="64">
        <v>9.9700000000000006</v>
      </c>
      <c r="E71" s="64">
        <v>4.4400000000000004</v>
      </c>
      <c r="F71" s="64">
        <v>6.09</v>
      </c>
      <c r="G71" s="64">
        <v>26.25</v>
      </c>
      <c r="H71" s="64">
        <v>15.38</v>
      </c>
      <c r="I71" s="64">
        <v>2.4300000000000002</v>
      </c>
      <c r="J71" s="64">
        <v>1.29</v>
      </c>
      <c r="K71" s="64">
        <v>336.29</v>
      </c>
      <c r="L71" s="64">
        <v>26.3</v>
      </c>
      <c r="M71" s="64">
        <v>27.3</v>
      </c>
      <c r="N71" s="64">
        <v>96.1</v>
      </c>
      <c r="O71" s="64">
        <v>0</v>
      </c>
      <c r="P71" s="64">
        <v>0.63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1" t="s">
        <v>983</v>
      </c>
      <c r="B72" s="64">
        <v>3.36</v>
      </c>
      <c r="C72" s="64">
        <v>14.76</v>
      </c>
      <c r="D72" s="64">
        <v>9.9499999999999993</v>
      </c>
      <c r="E72" s="64">
        <v>4.38</v>
      </c>
      <c r="F72" s="64">
        <v>6.75</v>
      </c>
      <c r="G72" s="64">
        <v>26.25</v>
      </c>
      <c r="H72" s="64">
        <v>15.38</v>
      </c>
      <c r="I72" s="64">
        <v>2.41</v>
      </c>
      <c r="J72" s="64">
        <v>1.06</v>
      </c>
      <c r="K72" s="64">
        <v>339.61</v>
      </c>
      <c r="L72" s="64">
        <v>25.99</v>
      </c>
      <c r="M72" s="64">
        <v>27.46</v>
      </c>
      <c r="N72" s="64">
        <v>89.3</v>
      </c>
      <c r="O72" s="64">
        <v>0</v>
      </c>
      <c r="P72" s="64">
        <v>0.62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1" t="s">
        <v>984</v>
      </c>
      <c r="B73" s="64">
        <v>2.09</v>
      </c>
      <c r="C73" s="64">
        <v>14.77</v>
      </c>
      <c r="D73" s="64">
        <v>8.93</v>
      </c>
      <c r="E73" s="64">
        <v>3.67</v>
      </c>
      <c r="F73" s="64">
        <v>4.76</v>
      </c>
      <c r="G73" s="64">
        <v>26.25</v>
      </c>
      <c r="H73" s="64">
        <v>15.38</v>
      </c>
      <c r="I73" s="64">
        <v>2.39</v>
      </c>
      <c r="J73" s="64">
        <v>0.96</v>
      </c>
      <c r="K73" s="64">
        <v>337.3</v>
      </c>
      <c r="L73" s="64">
        <v>25.73</v>
      </c>
      <c r="M73" s="64">
        <v>28.97</v>
      </c>
      <c r="N73" s="64">
        <v>84.8</v>
      </c>
      <c r="O73" s="64">
        <v>0</v>
      </c>
      <c r="P73" s="64">
        <v>0.62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985</v>
      </c>
      <c r="B74" s="64">
        <v>3.29</v>
      </c>
      <c r="C74" s="64">
        <v>15.97</v>
      </c>
      <c r="D74" s="64">
        <v>10.52</v>
      </c>
      <c r="E74" s="64">
        <v>4.18</v>
      </c>
      <c r="F74" s="64">
        <v>5.96</v>
      </c>
      <c r="G74" s="64">
        <v>28.48</v>
      </c>
      <c r="H74" s="64">
        <v>14.98</v>
      </c>
      <c r="I74" s="64">
        <v>2.37</v>
      </c>
      <c r="J74" s="64">
        <v>0.95</v>
      </c>
      <c r="K74" s="64">
        <v>340.5</v>
      </c>
      <c r="L74" s="64">
        <v>25.42</v>
      </c>
      <c r="M74" s="64">
        <v>29.69</v>
      </c>
      <c r="N74" s="64">
        <v>77</v>
      </c>
      <c r="O74" s="64">
        <v>0</v>
      </c>
      <c r="P74" s="64">
        <v>0.6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1" t="s">
        <v>986</v>
      </c>
      <c r="B75" s="64">
        <v>3.38</v>
      </c>
      <c r="C75" s="64">
        <v>16.329999999999998</v>
      </c>
      <c r="D75" s="64">
        <v>10.78</v>
      </c>
      <c r="E75" s="64">
        <v>4.22</v>
      </c>
      <c r="F75" s="64">
        <v>6.21</v>
      </c>
      <c r="G75" s="64">
        <v>34.6</v>
      </c>
      <c r="H75" s="64">
        <v>13.39</v>
      </c>
      <c r="I75" s="64">
        <v>2.34</v>
      </c>
      <c r="J75" s="64">
        <v>0.79</v>
      </c>
      <c r="K75" s="64">
        <v>339.7</v>
      </c>
      <c r="L75" s="64">
        <v>25.12</v>
      </c>
      <c r="M75" s="64">
        <v>32.25</v>
      </c>
      <c r="N75" s="64">
        <v>69.400000000000006</v>
      </c>
      <c r="O75" s="64">
        <v>0</v>
      </c>
      <c r="P75" s="64">
        <v>0.61</v>
      </c>
      <c r="Q75" s="64">
        <v>9.1</v>
      </c>
      <c r="R75" s="198"/>
      <c r="S75" s="198"/>
      <c r="T75" s="198"/>
      <c r="U75" s="198"/>
    </row>
    <row r="76" spans="1:21" s="12" customFormat="1" x14ac:dyDescent="0.25">
      <c r="A76" s="211" t="s">
        <v>987</v>
      </c>
      <c r="B76" s="64">
        <v>3.78</v>
      </c>
      <c r="C76" s="64">
        <v>17.420000000000002</v>
      </c>
      <c r="D76" s="64">
        <v>11.68</v>
      </c>
      <c r="E76" s="64">
        <v>4.6500000000000004</v>
      </c>
      <c r="F76" s="64">
        <v>7.91</v>
      </c>
      <c r="G76" s="64">
        <v>34.6</v>
      </c>
      <c r="H76" s="64">
        <v>13.39</v>
      </c>
      <c r="I76" s="64">
        <v>2.33</v>
      </c>
      <c r="J76" s="64">
        <v>0.74</v>
      </c>
      <c r="K76" s="64">
        <v>340.96</v>
      </c>
      <c r="L76" s="64">
        <v>24.63</v>
      </c>
      <c r="M76" s="64">
        <v>33.72</v>
      </c>
      <c r="N76" s="64">
        <v>60.6</v>
      </c>
      <c r="O76" s="64">
        <v>0</v>
      </c>
      <c r="P76" s="64">
        <v>0.62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1" t="s">
        <v>988</v>
      </c>
      <c r="B77" s="64">
        <v>8.7100000000000009</v>
      </c>
      <c r="C77" s="64">
        <v>18.16</v>
      </c>
      <c r="D77" s="64">
        <v>16.010000000000002</v>
      </c>
      <c r="E77" s="64">
        <v>5.24</v>
      </c>
      <c r="F77" s="64">
        <v>6.75</v>
      </c>
      <c r="G77" s="64">
        <v>34.6</v>
      </c>
      <c r="H77" s="64">
        <v>13.39</v>
      </c>
      <c r="I77" s="64">
        <v>2.35</v>
      </c>
      <c r="J77" s="64">
        <v>0.76</v>
      </c>
      <c r="K77" s="64">
        <v>342.54</v>
      </c>
      <c r="L77" s="64">
        <v>24.13</v>
      </c>
      <c r="M77" s="64">
        <v>34.78</v>
      </c>
      <c r="N77" s="64">
        <v>52.3</v>
      </c>
      <c r="O77" s="64">
        <v>0</v>
      </c>
      <c r="P77" s="64">
        <v>0.65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1" t="s">
        <v>989</v>
      </c>
      <c r="B78" s="64">
        <v>7.06</v>
      </c>
      <c r="C78" s="64">
        <v>15.47</v>
      </c>
      <c r="D78" s="64">
        <v>13.28</v>
      </c>
      <c r="E78" s="64">
        <v>4.43</v>
      </c>
      <c r="F78" s="64">
        <v>5.71</v>
      </c>
      <c r="G78" s="64">
        <v>34.57</v>
      </c>
      <c r="H78" s="64">
        <v>12.76</v>
      </c>
      <c r="I78" s="64">
        <v>2.39</v>
      </c>
      <c r="J78" s="64">
        <v>0.61</v>
      </c>
      <c r="K78" s="64">
        <v>334.89</v>
      </c>
      <c r="L78" s="64">
        <v>23.44</v>
      </c>
      <c r="M78" s="64">
        <v>36.46</v>
      </c>
      <c r="N78" s="64">
        <v>48.2</v>
      </c>
      <c r="O78" s="64">
        <v>0</v>
      </c>
      <c r="P78" s="64">
        <v>0.68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11" t="s">
        <v>990</v>
      </c>
      <c r="B79" s="64">
        <v>8.9700000000000006</v>
      </c>
      <c r="C79" s="64">
        <v>19.11</v>
      </c>
      <c r="D79" s="64">
        <v>16.72</v>
      </c>
      <c r="E79" s="64">
        <v>4.18</v>
      </c>
      <c r="F79" s="64">
        <v>5.74</v>
      </c>
      <c r="G79" s="64">
        <v>34.5</v>
      </c>
      <c r="H79" s="64">
        <v>11.62</v>
      </c>
      <c r="I79" s="64">
        <v>2.4500000000000002</v>
      </c>
      <c r="J79" s="64">
        <v>0.52</v>
      </c>
      <c r="K79" s="64">
        <v>345.68</v>
      </c>
      <c r="L79" s="64">
        <v>23.09</v>
      </c>
      <c r="M79" s="64">
        <v>38.130000000000003</v>
      </c>
      <c r="N79" s="64">
        <v>47.2</v>
      </c>
      <c r="O79" s="64">
        <v>0</v>
      </c>
      <c r="P79" s="64">
        <v>0.82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1" t="s">
        <v>991</v>
      </c>
      <c r="B80" s="64">
        <v>11.14</v>
      </c>
      <c r="C80" s="64">
        <v>16.13</v>
      </c>
      <c r="D80" s="64">
        <v>16.71</v>
      </c>
      <c r="E80" s="64">
        <v>4.42</v>
      </c>
      <c r="F80" s="64">
        <v>5.49</v>
      </c>
      <c r="G80" s="64">
        <v>34.5</v>
      </c>
      <c r="H80" s="64">
        <v>11.62</v>
      </c>
      <c r="I80" s="64">
        <v>2.54</v>
      </c>
      <c r="J80" s="64">
        <v>0.33</v>
      </c>
      <c r="K80" s="64">
        <v>346.32</v>
      </c>
      <c r="L80" s="64">
        <v>22.72</v>
      </c>
      <c r="M80" s="64">
        <v>39.630000000000003</v>
      </c>
      <c r="N80" s="64">
        <v>47.1</v>
      </c>
      <c r="O80" s="64">
        <v>0</v>
      </c>
      <c r="P80" s="64">
        <v>0.8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11" t="s">
        <v>992</v>
      </c>
      <c r="B81" s="64">
        <v>13.87</v>
      </c>
      <c r="C81" s="64">
        <v>15.21</v>
      </c>
      <c r="D81" s="64">
        <v>18.61</v>
      </c>
      <c r="E81" s="64">
        <v>4.57</v>
      </c>
      <c r="F81" s="64">
        <v>4.26</v>
      </c>
      <c r="G81" s="64">
        <v>34.5</v>
      </c>
      <c r="H81" s="64">
        <v>11.62</v>
      </c>
      <c r="I81" s="64">
        <v>2.62</v>
      </c>
      <c r="J81" s="64">
        <v>0.43</v>
      </c>
      <c r="K81" s="64">
        <v>339.12</v>
      </c>
      <c r="L81" s="64">
        <v>22.65</v>
      </c>
      <c r="M81" s="64">
        <v>37.340000000000003</v>
      </c>
      <c r="N81" s="64">
        <v>46.7</v>
      </c>
      <c r="O81" s="64">
        <v>0</v>
      </c>
      <c r="P81" s="64">
        <v>0.82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1" t="s">
        <v>993</v>
      </c>
      <c r="B82" s="64">
        <v>19.57</v>
      </c>
      <c r="C82" s="64">
        <v>15.8</v>
      </c>
      <c r="D82" s="64">
        <v>23.49</v>
      </c>
      <c r="E82" s="64">
        <v>5.0599999999999996</v>
      </c>
      <c r="F82" s="64">
        <v>3.41</v>
      </c>
      <c r="G82" s="64">
        <v>48.63</v>
      </c>
      <c r="H82" s="64">
        <v>14.17</v>
      </c>
      <c r="I82" s="64">
        <v>2.71</v>
      </c>
      <c r="J82" s="64">
        <v>7.0000000000000007E-2</v>
      </c>
      <c r="K82" s="64">
        <v>35.25</v>
      </c>
      <c r="L82" s="64">
        <v>22.2</v>
      </c>
      <c r="M82" s="64">
        <v>38.61</v>
      </c>
      <c r="N82" s="64">
        <v>47.6</v>
      </c>
      <c r="O82" s="64">
        <v>0</v>
      </c>
      <c r="P82" s="64">
        <v>0.96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1" t="s">
        <v>994</v>
      </c>
      <c r="B83" s="64">
        <v>13.74</v>
      </c>
      <c r="C83" s="64">
        <v>20.21</v>
      </c>
      <c r="D83" s="64">
        <v>21.12</v>
      </c>
      <c r="E83" s="64">
        <v>8.02</v>
      </c>
      <c r="F83" s="64">
        <v>3.72</v>
      </c>
      <c r="G83" s="64">
        <v>87.5</v>
      </c>
      <c r="H83" s="64">
        <v>18.73</v>
      </c>
      <c r="I83" s="64">
        <v>2.82</v>
      </c>
      <c r="J83" s="64">
        <v>0.05</v>
      </c>
      <c r="K83" s="64">
        <v>53.51</v>
      </c>
      <c r="L83" s="64">
        <v>21.61</v>
      </c>
      <c r="M83" s="64">
        <v>39.96</v>
      </c>
      <c r="N83" s="64">
        <v>47.3</v>
      </c>
      <c r="O83" s="64">
        <v>0</v>
      </c>
      <c r="P83" s="64">
        <v>1.04</v>
      </c>
      <c r="Q83" s="64">
        <v>9.3000000000000007</v>
      </c>
      <c r="R83" s="198"/>
      <c r="S83" s="198"/>
      <c r="T83" s="198"/>
      <c r="U83" s="198"/>
    </row>
    <row r="84" spans="1:26" s="12" customFormat="1" x14ac:dyDescent="0.25">
      <c r="A84" s="211" t="s">
        <v>995</v>
      </c>
      <c r="B84" s="64">
        <v>15.05</v>
      </c>
      <c r="C84" s="64">
        <v>25.29</v>
      </c>
      <c r="D84" s="64">
        <v>24.82</v>
      </c>
      <c r="E84" s="64">
        <v>9.2200000000000006</v>
      </c>
      <c r="F84" s="64">
        <v>4.5</v>
      </c>
      <c r="G84" s="64">
        <v>87.5</v>
      </c>
      <c r="H84" s="64">
        <v>18.73</v>
      </c>
      <c r="I84" s="64">
        <v>2.72</v>
      </c>
      <c r="J84" s="64">
        <v>0.05</v>
      </c>
      <c r="K84" s="64">
        <v>323.67</v>
      </c>
      <c r="L84" s="64">
        <v>21.44</v>
      </c>
      <c r="M84" s="64">
        <v>42.05</v>
      </c>
      <c r="N84" s="64">
        <v>47.1</v>
      </c>
      <c r="O84" s="64">
        <v>0</v>
      </c>
      <c r="P84" s="64">
        <v>1.3</v>
      </c>
      <c r="Q84" s="64">
        <v>9.35</v>
      </c>
      <c r="R84" s="198"/>
      <c r="S84" s="198"/>
      <c r="T84" s="198"/>
      <c r="U84" s="198"/>
    </row>
    <row r="85" spans="1:26" s="12" customFormat="1" x14ac:dyDescent="0.25">
      <c r="A85" s="211" t="s">
        <v>996</v>
      </c>
      <c r="B85" s="64">
        <v>24.7</v>
      </c>
      <c r="C85" s="64">
        <v>22.45</v>
      </c>
      <c r="D85" s="64">
        <v>31.07</v>
      </c>
      <c r="E85" s="64">
        <v>7.83</v>
      </c>
      <c r="F85" s="64">
        <v>3.94</v>
      </c>
      <c r="G85" s="64">
        <v>87.5</v>
      </c>
      <c r="H85" s="64">
        <v>18.73</v>
      </c>
      <c r="I85" s="64">
        <v>2.68</v>
      </c>
      <c r="J85" s="64">
        <v>0.1</v>
      </c>
      <c r="K85" s="64">
        <v>74.67</v>
      </c>
      <c r="L85" s="64">
        <v>21.03</v>
      </c>
      <c r="M85" s="64">
        <v>45.11</v>
      </c>
      <c r="N85" s="64">
        <v>47</v>
      </c>
      <c r="O85" s="64">
        <v>0</v>
      </c>
      <c r="P85" s="64">
        <v>1.18</v>
      </c>
      <c r="Q85" s="64">
        <v>9.39</v>
      </c>
      <c r="R85" s="198"/>
      <c r="S85" s="198"/>
      <c r="T85" s="198"/>
      <c r="U85" s="198"/>
    </row>
    <row r="86" spans="1:26" s="12" customFormat="1" x14ac:dyDescent="0.25">
      <c r="A86" s="211" t="s">
        <v>997</v>
      </c>
      <c r="B86" s="64">
        <v>18.86</v>
      </c>
      <c r="C86" s="64">
        <v>26.85</v>
      </c>
      <c r="D86" s="64">
        <v>28.69</v>
      </c>
      <c r="E86" s="64">
        <v>9.65</v>
      </c>
      <c r="F86" s="64">
        <v>4.1100000000000003</v>
      </c>
      <c r="G86" s="64">
        <v>90.67</v>
      </c>
      <c r="H86" s="64">
        <v>21.74</v>
      </c>
      <c r="I86" s="64">
        <v>2.83</v>
      </c>
      <c r="J86" s="64">
        <v>7.0000000000000007E-2</v>
      </c>
      <c r="K86" s="64">
        <v>35.369999999999997</v>
      </c>
      <c r="L86" s="64">
        <v>21.17</v>
      </c>
      <c r="M86" s="64">
        <v>42.84</v>
      </c>
      <c r="N86" s="64">
        <v>46.8</v>
      </c>
      <c r="O86" s="64">
        <v>0</v>
      </c>
      <c r="P86" s="64">
        <v>1.49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11" t="s">
        <v>998</v>
      </c>
      <c r="B87" s="64">
        <v>14.68</v>
      </c>
      <c r="C87" s="64">
        <v>19.739999999999998</v>
      </c>
      <c r="D87" s="64">
        <v>21.62</v>
      </c>
      <c r="E87" s="64">
        <v>11.76</v>
      </c>
      <c r="F87" s="64">
        <v>4.8499999999999996</v>
      </c>
      <c r="G87" s="64">
        <v>98.92</v>
      </c>
      <c r="H87" s="64">
        <v>27.13</v>
      </c>
      <c r="I87" s="64">
        <v>2.98</v>
      </c>
      <c r="J87" s="64">
        <v>0.04</v>
      </c>
      <c r="K87" s="64">
        <v>57.68</v>
      </c>
      <c r="L87" s="64">
        <v>21.02</v>
      </c>
      <c r="M87" s="64">
        <v>41.33</v>
      </c>
      <c r="N87" s="64">
        <v>46.9</v>
      </c>
      <c r="O87" s="64">
        <v>0</v>
      </c>
      <c r="P87" s="64">
        <v>1.21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1" t="s">
        <v>999</v>
      </c>
      <c r="B88" s="64">
        <v>13.85</v>
      </c>
      <c r="C88" s="64">
        <v>22.16</v>
      </c>
      <c r="D88" s="64">
        <v>22.22</v>
      </c>
      <c r="E88" s="64">
        <v>9.2799999999999994</v>
      </c>
      <c r="F88" s="64">
        <v>5.94</v>
      </c>
      <c r="G88" s="64">
        <v>98.92</v>
      </c>
      <c r="H88" s="64">
        <v>27.13</v>
      </c>
      <c r="I88" s="64">
        <v>3.1</v>
      </c>
      <c r="J88" s="64">
        <v>0.09</v>
      </c>
      <c r="K88" s="64">
        <v>41.16</v>
      </c>
      <c r="L88" s="64">
        <v>20.94</v>
      </c>
      <c r="M88" s="64">
        <v>42.53</v>
      </c>
      <c r="N88" s="64">
        <v>46.8</v>
      </c>
      <c r="O88" s="64">
        <v>0</v>
      </c>
      <c r="P88" s="64">
        <v>1.27</v>
      </c>
      <c r="Q88" s="64">
        <v>9.4600000000000009</v>
      </c>
      <c r="R88" s="198"/>
      <c r="S88" s="198"/>
      <c r="T88" s="198"/>
      <c r="U88" s="198"/>
    </row>
    <row r="89" spans="1:26" s="12" customFormat="1" x14ac:dyDescent="0.25">
      <c r="A89" s="211" t="s">
        <v>1000</v>
      </c>
      <c r="B89" s="64">
        <v>12.49</v>
      </c>
      <c r="C89" s="64">
        <v>21.38</v>
      </c>
      <c r="D89" s="64">
        <v>20.73</v>
      </c>
      <c r="E89" s="64">
        <v>6.67</v>
      </c>
      <c r="F89" s="64">
        <v>6.32</v>
      </c>
      <c r="G89" s="64">
        <v>98.92</v>
      </c>
      <c r="H89" s="64">
        <v>27.13</v>
      </c>
      <c r="I89" s="64">
        <v>3.2</v>
      </c>
      <c r="J89" s="64">
        <v>0.05</v>
      </c>
      <c r="K89" s="64">
        <v>22.82</v>
      </c>
      <c r="L89" s="64">
        <v>20.87</v>
      </c>
      <c r="M89" s="64">
        <v>43.21</v>
      </c>
      <c r="N89" s="64">
        <v>46.8</v>
      </c>
      <c r="O89" s="64">
        <v>0</v>
      </c>
      <c r="P89" s="64">
        <v>1.1399999999999999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1" t="s">
        <v>1001</v>
      </c>
      <c r="B90" s="64">
        <v>13.44</v>
      </c>
      <c r="C90" s="64">
        <v>16.18</v>
      </c>
      <c r="D90" s="64">
        <v>18.77</v>
      </c>
      <c r="E90" s="64">
        <v>6.23</v>
      </c>
      <c r="F90" s="64">
        <v>7.24</v>
      </c>
      <c r="G90" s="64">
        <v>97.64</v>
      </c>
      <c r="H90" s="64">
        <v>28.1</v>
      </c>
      <c r="I90" s="64">
        <v>3.28</v>
      </c>
      <c r="J90" s="64">
        <v>0.04</v>
      </c>
      <c r="K90" s="64">
        <v>19.25</v>
      </c>
      <c r="L90" s="64">
        <v>20.76</v>
      </c>
      <c r="M90" s="64">
        <v>42.49</v>
      </c>
      <c r="N90" s="64">
        <v>46.7</v>
      </c>
      <c r="O90" s="64">
        <v>0</v>
      </c>
      <c r="P90" s="64">
        <v>1.0900000000000001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1" t="s">
        <v>1002</v>
      </c>
      <c r="B91" s="64">
        <v>15.64</v>
      </c>
      <c r="C91" s="64">
        <v>9.23</v>
      </c>
      <c r="D91" s="64">
        <v>16.899999999999999</v>
      </c>
      <c r="E91" s="64">
        <v>4.95</v>
      </c>
      <c r="F91" s="64">
        <v>3.53</v>
      </c>
      <c r="G91" s="64">
        <v>94.09</v>
      </c>
      <c r="H91" s="64">
        <v>31.9</v>
      </c>
      <c r="I91" s="64">
        <v>3.34</v>
      </c>
      <c r="J91" s="64">
        <v>0.14000000000000001</v>
      </c>
      <c r="K91" s="64">
        <v>323.63</v>
      </c>
      <c r="L91" s="64">
        <v>20.66</v>
      </c>
      <c r="M91" s="64">
        <v>44.18</v>
      </c>
      <c r="N91" s="64">
        <v>46.9</v>
      </c>
      <c r="O91" s="64">
        <v>0</v>
      </c>
      <c r="P91" s="64">
        <v>1.07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1" t="s">
        <v>1003</v>
      </c>
      <c r="B92" s="64">
        <v>18.5</v>
      </c>
      <c r="C92" s="64">
        <v>7.28</v>
      </c>
      <c r="D92" s="64">
        <v>18.170000000000002</v>
      </c>
      <c r="E92" s="64">
        <v>4.87</v>
      </c>
      <c r="F92" s="64">
        <v>2.95</v>
      </c>
      <c r="G92" s="64">
        <v>94.09</v>
      </c>
      <c r="H92" s="64">
        <v>31.9</v>
      </c>
      <c r="I92" s="64">
        <v>3.37</v>
      </c>
      <c r="J92" s="64">
        <v>0.3</v>
      </c>
      <c r="K92" s="64">
        <v>312.70999999999998</v>
      </c>
      <c r="L92" s="64">
        <v>20.28</v>
      </c>
      <c r="M92" s="64">
        <v>50.17</v>
      </c>
      <c r="N92" s="64">
        <v>47</v>
      </c>
      <c r="O92" s="64">
        <v>0</v>
      </c>
      <c r="P92" s="64">
        <v>1.08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1" t="s">
        <v>1004</v>
      </c>
      <c r="B93" s="64">
        <v>19.54</v>
      </c>
      <c r="C93" s="64">
        <v>6.19</v>
      </c>
      <c r="D93" s="64">
        <v>18.440000000000001</v>
      </c>
      <c r="E93" s="64">
        <v>4.66</v>
      </c>
      <c r="F93" s="64">
        <v>3.11</v>
      </c>
      <c r="G93" s="64">
        <v>94.09</v>
      </c>
      <c r="H93" s="64">
        <v>31.9</v>
      </c>
      <c r="I93" s="64">
        <v>3.41</v>
      </c>
      <c r="J93" s="64">
        <v>0.75</v>
      </c>
      <c r="K93" s="64">
        <v>333.77</v>
      </c>
      <c r="L93" s="64">
        <v>19.96</v>
      </c>
      <c r="M93" s="64">
        <v>52.53</v>
      </c>
      <c r="N93" s="64">
        <v>46.3</v>
      </c>
      <c r="O93" s="64">
        <v>0</v>
      </c>
      <c r="P93" s="64">
        <v>1.08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1" t="s">
        <v>1005</v>
      </c>
      <c r="B94" s="64">
        <v>20.46</v>
      </c>
      <c r="C94" s="64">
        <v>6.83</v>
      </c>
      <c r="D94" s="64">
        <v>19.52</v>
      </c>
      <c r="E94" s="64">
        <v>4.24</v>
      </c>
      <c r="F94" s="64">
        <v>3.14</v>
      </c>
      <c r="G94" s="64">
        <v>88.85</v>
      </c>
      <c r="H94" s="64">
        <v>32.340000000000003</v>
      </c>
      <c r="I94" s="64">
        <v>3.75</v>
      </c>
      <c r="J94" s="64">
        <v>0.73</v>
      </c>
      <c r="K94" s="64">
        <v>338.99</v>
      </c>
      <c r="L94" s="64">
        <v>19.739999999999998</v>
      </c>
      <c r="M94" s="64">
        <v>53.45</v>
      </c>
      <c r="N94" s="64">
        <v>46.8</v>
      </c>
      <c r="O94" s="64">
        <v>0</v>
      </c>
      <c r="P94" s="64">
        <v>1.1200000000000001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1" t="s">
        <v>1006</v>
      </c>
      <c r="B95" s="64">
        <v>21.23</v>
      </c>
      <c r="C95" s="64">
        <v>6.52</v>
      </c>
      <c r="D95" s="64">
        <v>19.97</v>
      </c>
      <c r="E95" s="64">
        <v>4.54</v>
      </c>
      <c r="F95" s="64">
        <v>3.19</v>
      </c>
      <c r="G95" s="64">
        <v>75.22</v>
      </c>
      <c r="H95" s="64">
        <v>33.130000000000003</v>
      </c>
      <c r="I95" s="64">
        <v>3.78</v>
      </c>
      <c r="J95" s="64">
        <v>0.28000000000000003</v>
      </c>
      <c r="K95" s="64">
        <v>347.85</v>
      </c>
      <c r="L95" s="64">
        <v>19.57</v>
      </c>
      <c r="M95" s="64">
        <v>52.1</v>
      </c>
      <c r="N95" s="64">
        <v>47.2</v>
      </c>
      <c r="O95" s="64">
        <v>0</v>
      </c>
      <c r="P95" s="64">
        <v>1.1399999999999999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1" t="s">
        <v>1007</v>
      </c>
      <c r="B96" s="64">
        <v>21.96</v>
      </c>
      <c r="C96" s="64">
        <v>5.58</v>
      </c>
      <c r="D96" s="64">
        <v>20.07</v>
      </c>
      <c r="E96" s="64">
        <v>4.1900000000000004</v>
      </c>
      <c r="F96" s="64">
        <v>3.08</v>
      </c>
      <c r="G96" s="64">
        <v>75.22</v>
      </c>
      <c r="H96" s="64">
        <v>33.130000000000003</v>
      </c>
      <c r="I96" s="64">
        <v>3.67</v>
      </c>
      <c r="J96" s="64">
        <v>7.0000000000000007E-2</v>
      </c>
      <c r="K96" s="64">
        <v>311.58</v>
      </c>
      <c r="L96" s="64">
        <v>19.309999999999999</v>
      </c>
      <c r="M96" s="64">
        <v>53.41</v>
      </c>
      <c r="N96" s="64">
        <v>47.5</v>
      </c>
      <c r="O96" s="64">
        <v>0</v>
      </c>
      <c r="P96" s="64">
        <v>1.1499999999999999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1008</v>
      </c>
      <c r="B97" s="64">
        <v>22.72</v>
      </c>
      <c r="C97" s="64">
        <v>4.8899999999999997</v>
      </c>
      <c r="D97" s="64">
        <v>20.32</v>
      </c>
      <c r="E97" s="64">
        <v>4.34</v>
      </c>
      <c r="F97" s="64">
        <v>3.2</v>
      </c>
      <c r="G97" s="64">
        <v>75.22</v>
      </c>
      <c r="H97" s="64">
        <v>33.130000000000003</v>
      </c>
      <c r="I97" s="64">
        <v>3.72</v>
      </c>
      <c r="J97" s="64">
        <v>0.21</v>
      </c>
      <c r="K97" s="64">
        <v>342.3</v>
      </c>
      <c r="L97" s="64">
        <v>18.79</v>
      </c>
      <c r="M97" s="64">
        <v>60.99</v>
      </c>
      <c r="N97" s="64">
        <v>47.1</v>
      </c>
      <c r="O97" s="64">
        <v>0</v>
      </c>
      <c r="P97" s="64">
        <v>1.17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1" t="s">
        <v>1009</v>
      </c>
      <c r="B98" s="64">
        <v>23.38</v>
      </c>
      <c r="C98" s="64">
        <v>4.4800000000000004</v>
      </c>
      <c r="D98" s="64">
        <v>20.63</v>
      </c>
      <c r="E98" s="64">
        <v>4.2300000000000004</v>
      </c>
      <c r="F98" s="64">
        <v>3.07</v>
      </c>
      <c r="G98" s="64">
        <v>79.89</v>
      </c>
      <c r="H98" s="64">
        <v>34.659999999999997</v>
      </c>
      <c r="I98" s="64">
        <v>3.76</v>
      </c>
      <c r="J98" s="64">
        <v>0.74</v>
      </c>
      <c r="K98" s="64">
        <v>340.22</v>
      </c>
      <c r="L98" s="64">
        <v>18.940000000000001</v>
      </c>
      <c r="M98" s="64">
        <v>58</v>
      </c>
      <c r="N98" s="64">
        <v>45.9</v>
      </c>
      <c r="O98" s="64">
        <v>0</v>
      </c>
      <c r="P98" s="64">
        <v>1.19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1" t="s">
        <v>1010</v>
      </c>
      <c r="B99" s="64">
        <v>23.24</v>
      </c>
      <c r="C99" s="64">
        <v>4.72</v>
      </c>
      <c r="D99" s="64">
        <v>20.64</v>
      </c>
      <c r="E99" s="64">
        <v>4.0999999999999996</v>
      </c>
      <c r="F99" s="64">
        <v>3.14</v>
      </c>
      <c r="G99" s="64">
        <v>92.05</v>
      </c>
      <c r="H99" s="64">
        <v>37.39</v>
      </c>
      <c r="I99" s="64">
        <v>3.79</v>
      </c>
      <c r="J99" s="64">
        <v>1.17</v>
      </c>
      <c r="K99" s="64">
        <v>339.82</v>
      </c>
      <c r="L99" s="64">
        <v>19.45</v>
      </c>
      <c r="M99" s="64">
        <v>53.45</v>
      </c>
      <c r="N99" s="64">
        <v>45.8</v>
      </c>
      <c r="O99" s="64">
        <v>0</v>
      </c>
      <c r="P99" s="64">
        <v>1.18</v>
      </c>
      <c r="Q99" s="64">
        <v>9.6</v>
      </c>
      <c r="R99" s="198"/>
      <c r="S99" s="198"/>
      <c r="T99" s="198"/>
      <c r="U99" s="198"/>
    </row>
    <row r="100" spans="1:33" s="12" customFormat="1" x14ac:dyDescent="0.25">
      <c r="A100" s="211" t="s">
        <v>1011</v>
      </c>
      <c r="B100" s="64">
        <v>21.62</v>
      </c>
      <c r="C100" s="64">
        <v>6.25</v>
      </c>
      <c r="D100" s="64">
        <v>20.14</v>
      </c>
      <c r="E100" s="64">
        <v>4.6100000000000003</v>
      </c>
      <c r="F100" s="64">
        <v>3.32</v>
      </c>
      <c r="G100" s="64">
        <v>92.05</v>
      </c>
      <c r="H100" s="64">
        <v>37.39</v>
      </c>
      <c r="I100" s="64">
        <v>3.79</v>
      </c>
      <c r="J100" s="64">
        <v>1.21</v>
      </c>
      <c r="K100" s="64">
        <v>345.72</v>
      </c>
      <c r="L100" s="64">
        <v>19.7</v>
      </c>
      <c r="M100" s="64">
        <v>49.77</v>
      </c>
      <c r="N100" s="64">
        <v>46.4</v>
      </c>
      <c r="O100" s="64">
        <v>0</v>
      </c>
      <c r="P100" s="64">
        <v>1.1299999999999999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1012</v>
      </c>
      <c r="B101" s="64">
        <v>19.29</v>
      </c>
      <c r="C101" s="64">
        <v>8.25</v>
      </c>
      <c r="D101" s="64">
        <v>19.32</v>
      </c>
      <c r="E101" s="64">
        <v>5.03</v>
      </c>
      <c r="F101" s="64">
        <v>4.51</v>
      </c>
      <c r="G101" s="64">
        <v>92.05</v>
      </c>
      <c r="H101" s="64">
        <v>37.39</v>
      </c>
      <c r="I101" s="64">
        <v>3.75</v>
      </c>
      <c r="J101" s="64">
        <v>0.93</v>
      </c>
      <c r="K101" s="64">
        <v>344.33</v>
      </c>
      <c r="L101" s="64">
        <v>19.510000000000002</v>
      </c>
      <c r="M101" s="64">
        <v>51.83</v>
      </c>
      <c r="N101" s="64">
        <v>46.8</v>
      </c>
      <c r="O101" s="64">
        <v>0</v>
      </c>
      <c r="P101" s="64">
        <v>1.08</v>
      </c>
      <c r="Q101" s="64">
        <v>9.56</v>
      </c>
      <c r="R101" s="198"/>
      <c r="S101" s="198"/>
      <c r="T101" s="198"/>
      <c r="U101" s="198"/>
    </row>
    <row r="102" spans="1:33" s="12" customFormat="1" x14ac:dyDescent="0.25">
      <c r="A102" s="211" t="s">
        <v>1013</v>
      </c>
      <c r="B102" s="64">
        <v>17.23</v>
      </c>
      <c r="C102" s="64">
        <v>10.15</v>
      </c>
      <c r="D102" s="64">
        <v>18.66</v>
      </c>
      <c r="E102" s="64">
        <v>5.44</v>
      </c>
      <c r="F102" s="64">
        <v>4.34</v>
      </c>
      <c r="G102" s="64">
        <v>83.36</v>
      </c>
      <c r="H102" s="64">
        <v>36.47</v>
      </c>
      <c r="I102" s="64">
        <v>3.7</v>
      </c>
      <c r="J102" s="64">
        <v>0.89</v>
      </c>
      <c r="K102" s="64">
        <v>344.42</v>
      </c>
      <c r="L102" s="64">
        <v>19.29</v>
      </c>
      <c r="M102" s="64">
        <v>50.9</v>
      </c>
      <c r="N102" s="64">
        <v>46.8</v>
      </c>
      <c r="O102" s="64">
        <v>0</v>
      </c>
      <c r="P102" s="64">
        <v>1.1100000000000001</v>
      </c>
      <c r="Q102" s="64">
        <v>9.5500000000000007</v>
      </c>
      <c r="R102" s="198"/>
      <c r="S102" s="198"/>
      <c r="T102" s="198"/>
      <c r="U102" s="198"/>
    </row>
    <row r="103" spans="1:33" s="12" customFormat="1" x14ac:dyDescent="0.25">
      <c r="A103" s="211" t="s">
        <v>1014</v>
      </c>
      <c r="B103" s="64">
        <v>16.57</v>
      </c>
      <c r="C103" s="64">
        <v>11.39</v>
      </c>
      <c r="D103" s="64">
        <v>18.78</v>
      </c>
      <c r="E103" s="64">
        <v>5.49</v>
      </c>
      <c r="F103" s="64">
        <v>4.42</v>
      </c>
      <c r="G103" s="64">
        <v>60.78</v>
      </c>
      <c r="H103" s="64">
        <v>34.82</v>
      </c>
      <c r="I103" s="64">
        <v>3.69</v>
      </c>
      <c r="J103" s="64">
        <v>0.82</v>
      </c>
      <c r="K103" s="64">
        <v>343.96</v>
      </c>
      <c r="L103" s="64">
        <v>19.25</v>
      </c>
      <c r="M103" s="64">
        <v>51.69</v>
      </c>
      <c r="N103" s="64">
        <v>46.9</v>
      </c>
      <c r="O103" s="64">
        <v>0</v>
      </c>
      <c r="P103" s="64">
        <v>1.1299999999999999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11" t="s">
        <v>1015</v>
      </c>
      <c r="B104" s="64">
        <v>14.31</v>
      </c>
      <c r="C104" s="64">
        <v>12.59</v>
      </c>
      <c r="D104" s="64">
        <v>17.59</v>
      </c>
      <c r="E104" s="64">
        <v>6.73</v>
      </c>
      <c r="F104" s="64">
        <v>5.01</v>
      </c>
      <c r="G104" s="64">
        <v>60.78</v>
      </c>
      <c r="H104" s="64">
        <v>34.82</v>
      </c>
      <c r="I104" s="64">
        <v>3.67</v>
      </c>
      <c r="J104" s="64">
        <v>0.54</v>
      </c>
      <c r="K104" s="64">
        <v>342.32</v>
      </c>
      <c r="L104" s="64">
        <v>19.059999999999999</v>
      </c>
      <c r="M104" s="64">
        <v>54.22</v>
      </c>
      <c r="N104" s="64">
        <v>47.2</v>
      </c>
      <c r="O104" s="64">
        <v>0</v>
      </c>
      <c r="P104" s="64">
        <v>1.1299999999999999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1.39</v>
      </c>
      <c r="C106" s="67">
        <f>MIN(C9:C104)</f>
        <v>0.01</v>
      </c>
      <c r="D106" s="67">
        <f t="shared" ref="D106:Q106" si="0">MIN(D9:D104)</f>
        <v>8.34</v>
      </c>
      <c r="E106" s="67">
        <f t="shared" si="0"/>
        <v>3.67</v>
      </c>
      <c r="F106" s="67">
        <f t="shared" si="0"/>
        <v>2.76</v>
      </c>
      <c r="G106" s="67">
        <f t="shared" si="0"/>
        <v>25.91</v>
      </c>
      <c r="H106" s="67">
        <f t="shared" si="0"/>
        <v>11.62</v>
      </c>
      <c r="I106" s="67">
        <f t="shared" si="0"/>
        <v>2.33</v>
      </c>
      <c r="J106" s="67">
        <f t="shared" si="0"/>
        <v>0.03</v>
      </c>
      <c r="K106" s="67">
        <f t="shared" si="0"/>
        <v>5.04</v>
      </c>
      <c r="L106" s="67">
        <f t="shared" si="0"/>
        <v>17.55</v>
      </c>
      <c r="M106" s="67">
        <f t="shared" si="0"/>
        <v>23.92</v>
      </c>
      <c r="N106" s="67">
        <f t="shared" si="0"/>
        <v>40.700000000000003</v>
      </c>
      <c r="O106" s="67">
        <f t="shared" si="0"/>
        <v>0</v>
      </c>
      <c r="P106" s="67">
        <f t="shared" si="0"/>
        <v>0.5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55.11</v>
      </c>
      <c r="C107" s="66">
        <f t="shared" ref="C107:Q107" si="1">MAX(C9:C104)</f>
        <v>26.85</v>
      </c>
      <c r="D107" s="66">
        <f t="shared" si="1"/>
        <v>37.81</v>
      </c>
      <c r="E107" s="66">
        <f t="shared" si="1"/>
        <v>11.76</v>
      </c>
      <c r="F107" s="66">
        <f t="shared" si="1"/>
        <v>12.8</v>
      </c>
      <c r="G107" s="66">
        <f t="shared" si="1"/>
        <v>259.27</v>
      </c>
      <c r="H107" s="66">
        <f t="shared" si="1"/>
        <v>52.92</v>
      </c>
      <c r="I107" s="66">
        <f t="shared" si="1"/>
        <v>4.93</v>
      </c>
      <c r="J107" s="66">
        <f t="shared" si="1"/>
        <v>2.02</v>
      </c>
      <c r="K107" s="66">
        <f t="shared" si="1"/>
        <v>357.16</v>
      </c>
      <c r="L107" s="66">
        <f t="shared" si="1"/>
        <v>30.69</v>
      </c>
      <c r="M107" s="66">
        <f t="shared" si="1"/>
        <v>91.23</v>
      </c>
      <c r="N107" s="66">
        <f t="shared" si="1"/>
        <v>816.6</v>
      </c>
      <c r="O107" s="66">
        <f t="shared" si="1"/>
        <v>0</v>
      </c>
      <c r="P107" s="66">
        <f t="shared" si="1"/>
        <v>1.63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17.326041666666661</v>
      </c>
      <c r="C108" s="67">
        <f t="shared" ref="C108:Q108" si="2">AVERAGE(C9:C104)</f>
        <v>10.317608695652176</v>
      </c>
      <c r="D108" s="67">
        <f t="shared" si="2"/>
        <v>18.275520833333328</v>
      </c>
      <c r="E108" s="67">
        <f t="shared" si="2"/>
        <v>5.4773958333333352</v>
      </c>
      <c r="F108" s="67">
        <f t="shared" si="2"/>
        <v>4.8001041666666664</v>
      </c>
      <c r="G108" s="67">
        <f t="shared" si="2"/>
        <v>97.795483870967743</v>
      </c>
      <c r="H108" s="67">
        <f t="shared" si="2"/>
        <v>33.987291666666671</v>
      </c>
      <c r="I108" s="67">
        <f t="shared" si="2"/>
        <v>3.5295833333333335</v>
      </c>
      <c r="J108" s="67">
        <f t="shared" si="2"/>
        <v>0.70291666666666675</v>
      </c>
      <c r="K108" s="67">
        <f t="shared" si="2"/>
        <v>298.42427083333331</v>
      </c>
      <c r="L108" s="67">
        <f t="shared" si="2"/>
        <v>23.104583333333338</v>
      </c>
      <c r="M108" s="67">
        <f t="shared" si="2"/>
        <v>50.019375000000004</v>
      </c>
      <c r="N108" s="67">
        <f t="shared" si="2"/>
        <v>209.58229166666661</v>
      </c>
      <c r="O108" s="67">
        <f t="shared" si="2"/>
        <v>0</v>
      </c>
      <c r="P108" s="67">
        <f t="shared" si="2"/>
        <v>0.90864583333333293</v>
      </c>
      <c r="Q108" s="67">
        <f t="shared" si="2"/>
        <v>9.4202083333333331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12.165640440378048</v>
      </c>
      <c r="C109" s="67">
        <f t="shared" ref="C109:Q109" si="3">STDEV(C9:C104)</f>
        <v>6.7684780650989556</v>
      </c>
      <c r="D109" s="67">
        <f t="shared" si="3"/>
        <v>6.575273117368023</v>
      </c>
      <c r="E109" s="67">
        <f t="shared" si="3"/>
        <v>1.3585133087635533</v>
      </c>
      <c r="F109" s="67">
        <f t="shared" si="3"/>
        <v>2.0241247594124889</v>
      </c>
      <c r="G109" s="67">
        <f t="shared" si="3"/>
        <v>53.669728746572872</v>
      </c>
      <c r="H109" s="67">
        <f t="shared" si="3"/>
        <v>13.045844386072284</v>
      </c>
      <c r="I109" s="67">
        <f t="shared" si="3"/>
        <v>0.75690493968483119</v>
      </c>
      <c r="J109" s="67">
        <f t="shared" si="3"/>
        <v>0.4780396739022415</v>
      </c>
      <c r="K109" s="67">
        <f t="shared" si="3"/>
        <v>99.697040327128022</v>
      </c>
      <c r="L109" s="67">
        <f t="shared" si="3"/>
        <v>4.4369121355110721</v>
      </c>
      <c r="M109" s="67">
        <f t="shared" si="3"/>
        <v>21.250028349826263</v>
      </c>
      <c r="N109" s="67">
        <f t="shared" si="3"/>
        <v>267.7973507179172</v>
      </c>
      <c r="O109" s="67">
        <f t="shared" si="3"/>
        <v>0</v>
      </c>
      <c r="P109" s="67">
        <f t="shared" si="3"/>
        <v>0.26239231291559156</v>
      </c>
      <c r="Q109" s="67">
        <f t="shared" si="3"/>
        <v>0.20090311446940975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COUNT(C9:C104)+4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4" sqref="G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1016</v>
      </c>
      <c r="B9" s="64">
        <v>15.01</v>
      </c>
      <c r="C9" s="64">
        <v>11.45</v>
      </c>
      <c r="D9" s="64">
        <v>17.559999999999999</v>
      </c>
      <c r="E9" s="64">
        <v>7.84</v>
      </c>
      <c r="F9" s="64">
        <v>4.25</v>
      </c>
      <c r="G9" s="64">
        <v>60.78</v>
      </c>
      <c r="H9" s="64">
        <v>34.82</v>
      </c>
      <c r="I9" s="64">
        <v>3.65</v>
      </c>
      <c r="J9" s="64">
        <v>0.4</v>
      </c>
      <c r="K9" s="64">
        <v>336.25</v>
      </c>
      <c r="L9" s="64">
        <v>18.760000000000002</v>
      </c>
      <c r="M9" s="64">
        <v>55.87</v>
      </c>
      <c r="N9" s="64">
        <v>47</v>
      </c>
      <c r="O9" s="64">
        <v>0</v>
      </c>
      <c r="P9" s="64">
        <v>1.1399999999999999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11" t="s">
        <v>1017</v>
      </c>
      <c r="B10" s="64">
        <v>14.23</v>
      </c>
      <c r="C10" s="64">
        <v>11.23</v>
      </c>
      <c r="D10" s="64">
        <v>16.82</v>
      </c>
      <c r="E10" s="64">
        <v>7.23</v>
      </c>
      <c r="F10" s="64">
        <v>4.1100000000000003</v>
      </c>
      <c r="G10" s="64">
        <v>86.08</v>
      </c>
      <c r="H10" s="64">
        <v>34.869999999999997</v>
      </c>
      <c r="I10" s="64">
        <v>3.63</v>
      </c>
      <c r="J10" s="64">
        <v>0.59</v>
      </c>
      <c r="K10" s="64">
        <v>344.28</v>
      </c>
      <c r="L10" s="64">
        <v>18.55</v>
      </c>
      <c r="M10" s="64">
        <v>58.53</v>
      </c>
      <c r="N10" s="64">
        <v>46.8</v>
      </c>
      <c r="O10" s="64">
        <v>0</v>
      </c>
      <c r="P10" s="64">
        <v>1.1599999999999999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11" t="s">
        <v>1018</v>
      </c>
      <c r="B11" s="64">
        <v>12.78</v>
      </c>
      <c r="C11" s="64">
        <v>13.69</v>
      </c>
      <c r="D11" s="64">
        <v>16.940000000000001</v>
      </c>
      <c r="E11" s="64">
        <v>8.2899999999999991</v>
      </c>
      <c r="F11" s="64">
        <v>3.79</v>
      </c>
      <c r="G11" s="64">
        <v>151.86000000000001</v>
      </c>
      <c r="H11" s="64">
        <v>35.090000000000003</v>
      </c>
      <c r="I11" s="64">
        <v>3.62</v>
      </c>
      <c r="J11" s="64">
        <v>0.43</v>
      </c>
      <c r="K11" s="64">
        <v>343.2</v>
      </c>
      <c r="L11" s="64">
        <v>18.329999999999998</v>
      </c>
      <c r="M11" s="64">
        <v>60.28</v>
      </c>
      <c r="N11" s="64">
        <v>46.8</v>
      </c>
      <c r="O11" s="64">
        <v>0</v>
      </c>
      <c r="P11" s="64">
        <v>1.23</v>
      </c>
      <c r="Q11" s="64">
        <v>9.4499999999999993</v>
      </c>
      <c r="R11" s="198"/>
      <c r="S11" s="198"/>
      <c r="T11" s="198"/>
      <c r="U11" s="198"/>
    </row>
    <row r="12" spans="1:21" s="12" customFormat="1" x14ac:dyDescent="0.25">
      <c r="A12" s="211" t="s">
        <v>1019</v>
      </c>
      <c r="B12" s="64">
        <v>13.41</v>
      </c>
      <c r="C12" s="64">
        <v>11.25</v>
      </c>
      <c r="D12" s="64">
        <v>16.170000000000002</v>
      </c>
      <c r="E12" s="64">
        <v>7.49</v>
      </c>
      <c r="F12" s="64">
        <v>3.71</v>
      </c>
      <c r="G12" s="64">
        <v>151.86000000000001</v>
      </c>
      <c r="H12" s="64">
        <v>35.090000000000003</v>
      </c>
      <c r="I12" s="64">
        <v>3.61</v>
      </c>
      <c r="J12" s="64">
        <v>0.83</v>
      </c>
      <c r="K12" s="64">
        <v>343.73</v>
      </c>
      <c r="L12" s="64">
        <v>18.32</v>
      </c>
      <c r="M12" s="64">
        <v>58.16</v>
      </c>
      <c r="N12" s="64">
        <v>46.4</v>
      </c>
      <c r="O12" s="64">
        <v>0</v>
      </c>
      <c r="P12" s="64">
        <v>1.19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1" t="s">
        <v>1020</v>
      </c>
      <c r="B13" s="64">
        <v>12.99</v>
      </c>
      <c r="C13" s="64">
        <v>10.55</v>
      </c>
      <c r="D13" s="64">
        <v>15.47</v>
      </c>
      <c r="E13" s="64">
        <v>6.72</v>
      </c>
      <c r="F13" s="64">
        <v>3.51</v>
      </c>
      <c r="G13" s="64">
        <v>151.86000000000001</v>
      </c>
      <c r="H13" s="64">
        <v>35.090000000000003</v>
      </c>
      <c r="I13" s="64">
        <v>3.6</v>
      </c>
      <c r="J13" s="64">
        <v>0.82</v>
      </c>
      <c r="K13" s="64">
        <v>342.5</v>
      </c>
      <c r="L13" s="64">
        <v>18.329999999999998</v>
      </c>
      <c r="M13" s="64">
        <v>55.7</v>
      </c>
      <c r="N13" s="64">
        <v>46.6</v>
      </c>
      <c r="O13" s="64">
        <v>0</v>
      </c>
      <c r="P13" s="64">
        <v>0.95</v>
      </c>
      <c r="Q13" s="64">
        <v>9.41</v>
      </c>
      <c r="R13" s="198"/>
      <c r="S13" s="198"/>
      <c r="T13" s="198"/>
      <c r="U13" s="198"/>
    </row>
    <row r="14" spans="1:21" s="12" customFormat="1" x14ac:dyDescent="0.25">
      <c r="A14" s="211" t="s">
        <v>1021</v>
      </c>
      <c r="B14" s="64">
        <v>11.89</v>
      </c>
      <c r="C14" s="64">
        <v>10.93</v>
      </c>
      <c r="D14" s="64">
        <v>14.78</v>
      </c>
      <c r="E14" s="64">
        <v>6.31</v>
      </c>
      <c r="F14" s="64">
        <v>3.52</v>
      </c>
      <c r="G14" s="64">
        <v>143.55000000000001</v>
      </c>
      <c r="H14" s="64">
        <v>35.58</v>
      </c>
      <c r="I14" s="64">
        <v>3.84</v>
      </c>
      <c r="J14" s="64">
        <v>1.04</v>
      </c>
      <c r="K14" s="64">
        <v>342.46</v>
      </c>
      <c r="L14" s="64">
        <v>18.21</v>
      </c>
      <c r="M14" s="64">
        <v>56.95</v>
      </c>
      <c r="N14" s="64">
        <v>46.8</v>
      </c>
      <c r="O14" s="64">
        <v>0</v>
      </c>
      <c r="P14" s="64">
        <v>0.93</v>
      </c>
      <c r="Q14" s="64">
        <v>9.36</v>
      </c>
      <c r="R14" s="198"/>
      <c r="S14" s="198"/>
      <c r="T14" s="198"/>
      <c r="U14" s="198"/>
    </row>
    <row r="15" spans="1:21" s="12" customFormat="1" x14ac:dyDescent="0.25">
      <c r="A15" s="211" t="s">
        <v>1022</v>
      </c>
      <c r="B15" s="64">
        <v>10.72</v>
      </c>
      <c r="C15" s="64">
        <v>11.44</v>
      </c>
      <c r="D15" s="64">
        <v>14.11</v>
      </c>
      <c r="E15" s="64">
        <v>6.47</v>
      </c>
      <c r="F15" s="64">
        <v>3.63</v>
      </c>
      <c r="G15" s="64">
        <v>120.71</v>
      </c>
      <c r="H15" s="64">
        <v>36.47</v>
      </c>
      <c r="I15" s="64">
        <v>3.99</v>
      </c>
      <c r="J15" s="64">
        <v>0.9</v>
      </c>
      <c r="K15" s="64">
        <v>337.97</v>
      </c>
      <c r="L15" s="64">
        <v>17.96</v>
      </c>
      <c r="M15" s="64">
        <v>59.4</v>
      </c>
      <c r="N15" s="64">
        <v>47</v>
      </c>
      <c r="O15" s="64">
        <v>0</v>
      </c>
      <c r="P15" s="64">
        <v>0.88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1" t="s">
        <v>1023</v>
      </c>
      <c r="B16" s="64">
        <v>9.52</v>
      </c>
      <c r="C16" s="64">
        <v>11.89</v>
      </c>
      <c r="D16" s="64">
        <v>13.39</v>
      </c>
      <c r="E16" s="64">
        <v>6.23</v>
      </c>
      <c r="F16" s="64">
        <v>3.76</v>
      </c>
      <c r="G16" s="64">
        <v>120.71</v>
      </c>
      <c r="H16" s="64">
        <v>36.47</v>
      </c>
      <c r="I16" s="64">
        <v>3.95</v>
      </c>
      <c r="J16" s="64">
        <v>0.79</v>
      </c>
      <c r="K16" s="64">
        <v>341.74</v>
      </c>
      <c r="L16" s="64">
        <v>17.8</v>
      </c>
      <c r="M16" s="64">
        <v>58.6</v>
      </c>
      <c r="N16" s="64">
        <v>47</v>
      </c>
      <c r="O16" s="64">
        <v>0</v>
      </c>
      <c r="P16" s="64">
        <v>0.82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1" t="s">
        <v>1024</v>
      </c>
      <c r="B17" s="64">
        <v>8.34</v>
      </c>
      <c r="C17" s="64">
        <v>12.11</v>
      </c>
      <c r="D17" s="64">
        <v>12.55</v>
      </c>
      <c r="E17" s="64">
        <v>5.79</v>
      </c>
      <c r="F17" s="64">
        <v>3.57</v>
      </c>
      <c r="G17" s="64">
        <v>120.71</v>
      </c>
      <c r="H17" s="64">
        <v>36.47</v>
      </c>
      <c r="I17" s="64">
        <v>3.91</v>
      </c>
      <c r="J17" s="64">
        <v>0.64</v>
      </c>
      <c r="K17" s="64">
        <v>342.9</v>
      </c>
      <c r="L17" s="64">
        <v>17.559999999999999</v>
      </c>
      <c r="M17" s="64">
        <v>60.99</v>
      </c>
      <c r="N17" s="64">
        <v>47</v>
      </c>
      <c r="O17" s="64">
        <v>0</v>
      </c>
      <c r="P17" s="64">
        <v>0.78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1" t="s">
        <v>1025</v>
      </c>
      <c r="B18" s="64">
        <v>7.62</v>
      </c>
      <c r="C18" s="64">
        <v>12.66</v>
      </c>
      <c r="D18" s="64">
        <v>12.26</v>
      </c>
      <c r="E18" s="64">
        <v>6</v>
      </c>
      <c r="F18" s="64">
        <v>3.36</v>
      </c>
      <c r="G18" s="64">
        <v>119.05</v>
      </c>
      <c r="H18" s="64">
        <v>36.61</v>
      </c>
      <c r="I18" s="64">
        <v>3.87</v>
      </c>
      <c r="J18" s="64">
        <v>0.7</v>
      </c>
      <c r="K18" s="64">
        <v>337.36</v>
      </c>
      <c r="L18" s="64">
        <v>17.399999999999999</v>
      </c>
      <c r="M18" s="64">
        <v>63.99</v>
      </c>
      <c r="N18" s="64">
        <v>46.9</v>
      </c>
      <c r="O18" s="64">
        <v>0</v>
      </c>
      <c r="P18" s="64">
        <v>0.75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11" t="s">
        <v>1026</v>
      </c>
      <c r="B19" s="64">
        <v>7.71</v>
      </c>
      <c r="C19" s="64">
        <v>13.08</v>
      </c>
      <c r="D19" s="64">
        <v>12.56</v>
      </c>
      <c r="E19" s="64">
        <v>6</v>
      </c>
      <c r="F19" s="64">
        <v>3.12</v>
      </c>
      <c r="G19" s="64">
        <v>114.5</v>
      </c>
      <c r="H19" s="64">
        <v>36.85</v>
      </c>
      <c r="I19" s="64">
        <v>3.84</v>
      </c>
      <c r="J19" s="64">
        <v>0.52</v>
      </c>
      <c r="K19" s="64">
        <v>341.15</v>
      </c>
      <c r="L19" s="64">
        <v>17.12</v>
      </c>
      <c r="M19" s="64">
        <v>68.290000000000006</v>
      </c>
      <c r="N19" s="64">
        <v>47.1</v>
      </c>
      <c r="O19" s="64">
        <v>0</v>
      </c>
      <c r="P19" s="64">
        <v>0.75</v>
      </c>
      <c r="Q19" s="64">
        <v>9.25</v>
      </c>
      <c r="R19" s="198"/>
      <c r="S19" s="198"/>
      <c r="T19" s="198"/>
      <c r="U19" s="198"/>
    </row>
    <row r="20" spans="1:21" s="12" customFormat="1" x14ac:dyDescent="0.25">
      <c r="A20" s="211" t="s">
        <v>1027</v>
      </c>
      <c r="B20" s="64">
        <v>7.95</v>
      </c>
      <c r="C20" s="64">
        <v>13.03</v>
      </c>
      <c r="D20" s="64">
        <v>12.72</v>
      </c>
      <c r="E20" s="64">
        <v>5.46</v>
      </c>
      <c r="F20" s="64">
        <v>3.05</v>
      </c>
      <c r="G20" s="64">
        <v>114.5</v>
      </c>
      <c r="H20" s="64">
        <v>36.85</v>
      </c>
      <c r="I20" s="64">
        <v>3.84</v>
      </c>
      <c r="J20" s="64">
        <v>0.11</v>
      </c>
      <c r="K20" s="64">
        <v>331.78</v>
      </c>
      <c r="L20" s="64">
        <v>16.73</v>
      </c>
      <c r="M20" s="64">
        <v>72.16</v>
      </c>
      <c r="N20" s="64">
        <v>47.5</v>
      </c>
      <c r="O20" s="64">
        <v>0</v>
      </c>
      <c r="P20" s="64">
        <v>0.75</v>
      </c>
      <c r="Q20" s="64">
        <v>9.25</v>
      </c>
      <c r="R20" s="198"/>
      <c r="S20" s="198"/>
      <c r="T20" s="198"/>
      <c r="U20" s="198"/>
    </row>
    <row r="21" spans="1:21" s="12" customFormat="1" x14ac:dyDescent="0.25">
      <c r="A21" s="211" t="s">
        <v>1028</v>
      </c>
      <c r="B21" s="64">
        <v>7.99</v>
      </c>
      <c r="C21" s="64">
        <v>12.61</v>
      </c>
      <c r="D21" s="64">
        <v>12.53</v>
      </c>
      <c r="E21" s="64">
        <v>5.32</v>
      </c>
      <c r="F21" s="64">
        <v>3.12</v>
      </c>
      <c r="G21" s="64">
        <v>114.5</v>
      </c>
      <c r="H21" s="64">
        <v>36.85</v>
      </c>
      <c r="I21" s="64">
        <v>3.85</v>
      </c>
      <c r="J21" s="64">
        <v>0.24</v>
      </c>
      <c r="K21" s="64">
        <v>320.56</v>
      </c>
      <c r="L21" s="64">
        <v>16.260000000000002</v>
      </c>
      <c r="M21" s="64">
        <v>76.599999999999994</v>
      </c>
      <c r="N21" s="64">
        <v>47.2</v>
      </c>
      <c r="O21" s="64">
        <v>0</v>
      </c>
      <c r="P21" s="64">
        <v>0.74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1" t="s">
        <v>1029</v>
      </c>
      <c r="B22" s="64">
        <v>7.9</v>
      </c>
      <c r="C22" s="64">
        <v>12.31</v>
      </c>
      <c r="D22" s="64">
        <v>12.31</v>
      </c>
      <c r="E22" s="64">
        <v>5.4</v>
      </c>
      <c r="F22" s="64">
        <v>3.2</v>
      </c>
      <c r="G22" s="64">
        <v>120.22</v>
      </c>
      <c r="H22" s="64">
        <v>39.97</v>
      </c>
      <c r="I22" s="64">
        <v>3.85</v>
      </c>
      <c r="J22" s="64">
        <v>0.45</v>
      </c>
      <c r="K22" s="64">
        <v>341.6</v>
      </c>
      <c r="L22" s="64">
        <v>16.100000000000001</v>
      </c>
      <c r="M22" s="64">
        <v>76.819999999999993</v>
      </c>
      <c r="N22" s="64">
        <v>46.6</v>
      </c>
      <c r="O22" s="64">
        <v>0</v>
      </c>
      <c r="P22" s="64">
        <v>0.75</v>
      </c>
      <c r="Q22" s="64">
        <v>9.26</v>
      </c>
      <c r="R22" s="198"/>
      <c r="S22" s="198"/>
      <c r="T22" s="198"/>
      <c r="U22" s="198"/>
    </row>
    <row r="23" spans="1:21" s="12" customFormat="1" x14ac:dyDescent="0.25">
      <c r="A23" s="211" t="s">
        <v>1030</v>
      </c>
      <c r="B23" s="64">
        <v>7.85</v>
      </c>
      <c r="C23" s="64">
        <v>12.24</v>
      </c>
      <c r="D23" s="64">
        <v>12.23</v>
      </c>
      <c r="E23" s="64">
        <v>5.73</v>
      </c>
      <c r="F23" s="64">
        <v>3.41</v>
      </c>
      <c r="G23" s="64">
        <v>135.96</v>
      </c>
      <c r="H23" s="64">
        <v>45.56</v>
      </c>
      <c r="I23" s="64">
        <v>3.84</v>
      </c>
      <c r="J23" s="64">
        <v>0.46</v>
      </c>
      <c r="K23" s="64">
        <v>341.19</v>
      </c>
      <c r="L23" s="64">
        <v>16.05</v>
      </c>
      <c r="M23" s="64">
        <v>74.319999999999993</v>
      </c>
      <c r="N23" s="64">
        <v>46.6</v>
      </c>
      <c r="O23" s="64">
        <v>0</v>
      </c>
      <c r="P23" s="64">
        <v>0.76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11" t="s">
        <v>1031</v>
      </c>
      <c r="B24" s="64">
        <v>8.0299999999999994</v>
      </c>
      <c r="C24" s="64">
        <v>12.36</v>
      </c>
      <c r="D24" s="64">
        <v>12.44</v>
      </c>
      <c r="E24" s="64">
        <v>5.47</v>
      </c>
      <c r="F24" s="64">
        <v>3.49</v>
      </c>
      <c r="G24" s="64">
        <v>135.96</v>
      </c>
      <c r="H24" s="64">
        <v>45.56</v>
      </c>
      <c r="I24" s="64">
        <v>3.83</v>
      </c>
      <c r="J24" s="64">
        <v>0.33</v>
      </c>
      <c r="K24" s="64">
        <v>342.94</v>
      </c>
      <c r="L24" s="64">
        <v>15.92</v>
      </c>
      <c r="M24" s="64">
        <v>74.12</v>
      </c>
      <c r="N24" s="64">
        <v>46.8</v>
      </c>
      <c r="O24" s="64">
        <v>0</v>
      </c>
      <c r="P24" s="64">
        <v>0.79</v>
      </c>
      <c r="Q24" s="64">
        <v>9.2799999999999994</v>
      </c>
      <c r="R24" s="198"/>
      <c r="S24" s="198"/>
      <c r="T24" s="198"/>
      <c r="U24" s="198"/>
    </row>
    <row r="25" spans="1:21" s="12" customFormat="1" x14ac:dyDescent="0.25">
      <c r="A25" s="211" t="s">
        <v>1032</v>
      </c>
      <c r="B25" s="64">
        <v>8.6199999999999992</v>
      </c>
      <c r="C25" s="64">
        <v>12.44</v>
      </c>
      <c r="D25" s="64">
        <v>12.95</v>
      </c>
      <c r="E25" s="64">
        <v>5.43</v>
      </c>
      <c r="F25" s="64">
        <v>3.37</v>
      </c>
      <c r="G25" s="64">
        <v>135.96</v>
      </c>
      <c r="H25" s="64">
        <v>45.56</v>
      </c>
      <c r="I25" s="64">
        <v>3.81</v>
      </c>
      <c r="J25" s="64">
        <v>0.42</v>
      </c>
      <c r="K25" s="64">
        <v>331.04</v>
      </c>
      <c r="L25" s="64">
        <v>15.94</v>
      </c>
      <c r="M25" s="64">
        <v>74.09</v>
      </c>
      <c r="N25" s="64">
        <v>46.7</v>
      </c>
      <c r="O25" s="64">
        <v>0</v>
      </c>
      <c r="P25" s="64">
        <v>0.81</v>
      </c>
      <c r="Q25" s="64">
        <v>9.3000000000000007</v>
      </c>
      <c r="R25" s="198"/>
      <c r="S25" s="198"/>
      <c r="T25" s="198"/>
      <c r="U25" s="198"/>
    </row>
    <row r="26" spans="1:21" s="12" customFormat="1" x14ac:dyDescent="0.25">
      <c r="A26" s="211" t="s">
        <v>1033</v>
      </c>
      <c r="B26" s="64">
        <v>9.06</v>
      </c>
      <c r="C26" s="64">
        <v>12.56</v>
      </c>
      <c r="D26" s="64">
        <v>13.36</v>
      </c>
      <c r="E26" s="64">
        <v>5.3</v>
      </c>
      <c r="F26" s="64">
        <v>3.37</v>
      </c>
      <c r="G26" s="64">
        <v>133.97999999999999</v>
      </c>
      <c r="H26" s="64">
        <v>46.68</v>
      </c>
      <c r="I26" s="64">
        <v>3.78</v>
      </c>
      <c r="J26" s="64">
        <v>0.32</v>
      </c>
      <c r="K26" s="64">
        <v>328.12</v>
      </c>
      <c r="L26" s="64">
        <v>15.76</v>
      </c>
      <c r="M26" s="64">
        <v>74.37</v>
      </c>
      <c r="N26" s="64">
        <v>47</v>
      </c>
      <c r="O26" s="64">
        <v>0</v>
      </c>
      <c r="P26" s="64">
        <v>0.83</v>
      </c>
      <c r="Q26" s="64">
        <v>9.32</v>
      </c>
      <c r="R26" s="198"/>
      <c r="S26" s="198"/>
      <c r="T26" s="198"/>
      <c r="U26" s="198"/>
    </row>
    <row r="27" spans="1:21" s="12" customFormat="1" x14ac:dyDescent="0.25">
      <c r="A27" s="211" t="s">
        <v>1034</v>
      </c>
      <c r="B27" s="64">
        <v>9.1999999999999993</v>
      </c>
      <c r="C27" s="64">
        <v>12.48</v>
      </c>
      <c r="D27" s="64">
        <v>13.44</v>
      </c>
      <c r="E27" s="64">
        <v>5.61</v>
      </c>
      <c r="F27" s="64">
        <v>3.36</v>
      </c>
      <c r="G27" s="64">
        <v>128.52000000000001</v>
      </c>
      <c r="H27" s="64">
        <v>51.09</v>
      </c>
      <c r="I27" s="64">
        <v>3.74</v>
      </c>
      <c r="J27" s="64">
        <v>0.28000000000000003</v>
      </c>
      <c r="K27" s="64">
        <v>340.54</v>
      </c>
      <c r="L27" s="64">
        <v>15.38</v>
      </c>
      <c r="M27" s="64">
        <v>79.900000000000006</v>
      </c>
      <c r="N27" s="64">
        <v>47.1</v>
      </c>
      <c r="O27" s="64">
        <v>0</v>
      </c>
      <c r="P27" s="64">
        <v>0.84</v>
      </c>
      <c r="Q27" s="64">
        <v>9.33</v>
      </c>
      <c r="R27" s="198"/>
      <c r="S27" s="198"/>
      <c r="T27" s="198"/>
      <c r="U27" s="198"/>
    </row>
    <row r="28" spans="1:21" s="12" customFormat="1" x14ac:dyDescent="0.25">
      <c r="A28" s="211" t="s">
        <v>1035</v>
      </c>
      <c r="B28" s="64">
        <v>9.42</v>
      </c>
      <c r="C28" s="64">
        <v>12.1</v>
      </c>
      <c r="D28" s="64">
        <v>13.42</v>
      </c>
      <c r="E28" s="64">
        <v>5.34</v>
      </c>
      <c r="F28" s="64">
        <v>4</v>
      </c>
      <c r="G28" s="64">
        <v>128.52000000000001</v>
      </c>
      <c r="H28" s="64">
        <v>51.09</v>
      </c>
      <c r="I28" s="64">
        <v>3.72</v>
      </c>
      <c r="J28" s="64">
        <v>0.38</v>
      </c>
      <c r="K28" s="64">
        <v>349.44</v>
      </c>
      <c r="L28" s="64">
        <v>15.24</v>
      </c>
      <c r="M28" s="64">
        <v>77.22</v>
      </c>
      <c r="N28" s="64">
        <v>46.7</v>
      </c>
      <c r="O28" s="64">
        <v>0</v>
      </c>
      <c r="P28" s="64">
        <v>0.84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1" t="s">
        <v>1036</v>
      </c>
      <c r="B29" s="64">
        <v>9.83</v>
      </c>
      <c r="C29" s="64">
        <v>12.05</v>
      </c>
      <c r="D29" s="64">
        <v>13.72</v>
      </c>
      <c r="E29" s="64">
        <v>5.45</v>
      </c>
      <c r="F29" s="64">
        <v>3.75</v>
      </c>
      <c r="G29" s="64">
        <v>128.52000000000001</v>
      </c>
      <c r="H29" s="64">
        <v>51.09</v>
      </c>
      <c r="I29" s="64">
        <v>3.69</v>
      </c>
      <c r="J29" s="64">
        <v>0.16</v>
      </c>
      <c r="K29" s="64">
        <v>329.67</v>
      </c>
      <c r="L29" s="64">
        <v>15.17</v>
      </c>
      <c r="M29" s="64">
        <v>77.849999999999994</v>
      </c>
      <c r="N29" s="64">
        <v>46.9</v>
      </c>
      <c r="O29" s="64">
        <v>0</v>
      </c>
      <c r="P29" s="64">
        <v>0.84</v>
      </c>
      <c r="Q29" s="64">
        <v>9.35</v>
      </c>
      <c r="R29" s="198"/>
      <c r="S29" s="198"/>
      <c r="T29" s="198"/>
      <c r="U29" s="198"/>
    </row>
    <row r="30" spans="1:21" s="12" customFormat="1" x14ac:dyDescent="0.25">
      <c r="A30" s="211" t="s">
        <v>1037</v>
      </c>
      <c r="B30" s="64">
        <v>10.39</v>
      </c>
      <c r="C30" s="64">
        <v>11.89</v>
      </c>
      <c r="D30" s="64">
        <v>14.08</v>
      </c>
      <c r="E30" s="64">
        <v>5.37</v>
      </c>
      <c r="F30" s="64">
        <v>3.76</v>
      </c>
      <c r="G30" s="64">
        <v>155.4</v>
      </c>
      <c r="H30" s="64">
        <v>54.6</v>
      </c>
      <c r="I30" s="64">
        <v>3.66</v>
      </c>
      <c r="J30" s="64">
        <v>0.33</v>
      </c>
      <c r="K30" s="64">
        <v>338.32</v>
      </c>
      <c r="L30" s="64">
        <v>15.04</v>
      </c>
      <c r="M30" s="64">
        <v>78.040000000000006</v>
      </c>
      <c r="N30" s="64">
        <v>46.6</v>
      </c>
      <c r="O30" s="64">
        <v>0</v>
      </c>
      <c r="P30" s="64">
        <v>0.85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1" t="s">
        <v>1038</v>
      </c>
      <c r="B31" s="64">
        <v>11</v>
      </c>
      <c r="C31" s="64">
        <v>11.59</v>
      </c>
      <c r="D31" s="64">
        <v>14.42</v>
      </c>
      <c r="E31" s="64">
        <v>5.79</v>
      </c>
      <c r="F31" s="64">
        <v>3.79</v>
      </c>
      <c r="G31" s="64">
        <v>229.3</v>
      </c>
      <c r="H31" s="64">
        <v>60.9</v>
      </c>
      <c r="I31" s="64">
        <v>3.63</v>
      </c>
      <c r="J31" s="64">
        <v>0.41</v>
      </c>
      <c r="K31" s="64">
        <v>346.82</v>
      </c>
      <c r="L31" s="64">
        <v>15.19</v>
      </c>
      <c r="M31" s="64">
        <v>74.56</v>
      </c>
      <c r="N31" s="64">
        <v>46.6</v>
      </c>
      <c r="O31" s="64">
        <v>0</v>
      </c>
      <c r="P31" s="64">
        <v>0.84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1" t="s">
        <v>1039</v>
      </c>
      <c r="B32" s="64">
        <v>12.13</v>
      </c>
      <c r="C32" s="64">
        <v>11.3</v>
      </c>
      <c r="D32" s="64">
        <v>15.17</v>
      </c>
      <c r="E32" s="64">
        <v>5.83</v>
      </c>
      <c r="F32" s="64">
        <v>3.45</v>
      </c>
      <c r="G32" s="64">
        <v>229.3</v>
      </c>
      <c r="H32" s="64">
        <v>60.9</v>
      </c>
      <c r="I32" s="64">
        <v>3.59</v>
      </c>
      <c r="J32" s="64">
        <v>0.49</v>
      </c>
      <c r="K32" s="64">
        <v>340.74</v>
      </c>
      <c r="L32" s="64">
        <v>15.23</v>
      </c>
      <c r="M32" s="64">
        <v>74.34</v>
      </c>
      <c r="N32" s="64">
        <v>47.5</v>
      </c>
      <c r="O32" s="64">
        <v>0</v>
      </c>
      <c r="P32" s="64">
        <v>0.82</v>
      </c>
      <c r="Q32" s="64">
        <v>9.3699999999999992</v>
      </c>
      <c r="R32" s="198"/>
      <c r="S32" s="198"/>
      <c r="T32" s="198"/>
      <c r="U32" s="198"/>
    </row>
    <row r="33" spans="1:21" s="12" customFormat="1" x14ac:dyDescent="0.25">
      <c r="A33" s="211" t="s">
        <v>1040</v>
      </c>
      <c r="B33" s="64">
        <v>13.25</v>
      </c>
      <c r="C33" s="64">
        <v>11.14</v>
      </c>
      <c r="D33" s="64">
        <v>15.99</v>
      </c>
      <c r="E33" s="64">
        <v>5.38</v>
      </c>
      <c r="F33" s="64">
        <v>3.5</v>
      </c>
      <c r="G33" s="64">
        <v>229.3</v>
      </c>
      <c r="H33" s="64">
        <v>60.9</v>
      </c>
      <c r="I33" s="64">
        <v>3.54</v>
      </c>
      <c r="J33" s="64">
        <v>0.52</v>
      </c>
      <c r="K33" s="64">
        <v>342.13</v>
      </c>
      <c r="L33" s="64">
        <v>15.45</v>
      </c>
      <c r="M33" s="64">
        <v>67.489999999999995</v>
      </c>
      <c r="N33" s="64">
        <v>51.4</v>
      </c>
      <c r="O33" s="64">
        <v>0</v>
      </c>
      <c r="P33" s="64">
        <v>0.81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1" t="s">
        <v>1041</v>
      </c>
      <c r="B34" s="64">
        <v>13.06</v>
      </c>
      <c r="C34" s="64">
        <v>11.36</v>
      </c>
      <c r="D34" s="64">
        <v>15.95</v>
      </c>
      <c r="E34" s="64">
        <v>5.51</v>
      </c>
      <c r="F34" s="64">
        <v>3.38</v>
      </c>
      <c r="G34" s="64">
        <v>211.51</v>
      </c>
      <c r="H34" s="64">
        <v>61.07</v>
      </c>
      <c r="I34" s="64">
        <v>3.53</v>
      </c>
      <c r="J34" s="64">
        <v>0.84</v>
      </c>
      <c r="K34" s="64">
        <v>339.83</v>
      </c>
      <c r="L34" s="64">
        <v>15.97</v>
      </c>
      <c r="M34" s="64">
        <v>59.17</v>
      </c>
      <c r="N34" s="64">
        <v>62.3</v>
      </c>
      <c r="O34" s="64">
        <v>0</v>
      </c>
      <c r="P34" s="64">
        <v>0.79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1" t="s">
        <v>1042</v>
      </c>
      <c r="B35" s="64">
        <v>12.01</v>
      </c>
      <c r="C35" s="64">
        <v>12.03</v>
      </c>
      <c r="D35" s="64">
        <v>15.45</v>
      </c>
      <c r="E35" s="64">
        <v>5.63</v>
      </c>
      <c r="F35" s="64">
        <v>3.76</v>
      </c>
      <c r="G35" s="64">
        <v>162.6</v>
      </c>
      <c r="H35" s="64">
        <v>61.37</v>
      </c>
      <c r="I35" s="64">
        <v>3.54</v>
      </c>
      <c r="J35" s="64">
        <v>1.01</v>
      </c>
      <c r="K35" s="64">
        <v>339.17</v>
      </c>
      <c r="L35" s="64">
        <v>16.36</v>
      </c>
      <c r="M35" s="64">
        <v>56.41</v>
      </c>
      <c r="N35" s="64">
        <v>79.7</v>
      </c>
      <c r="O35" s="64">
        <v>0</v>
      </c>
      <c r="P35" s="64">
        <v>0.75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11" t="s">
        <v>1043</v>
      </c>
      <c r="B36" s="64">
        <v>10.48</v>
      </c>
      <c r="C36" s="64">
        <v>13.09</v>
      </c>
      <c r="D36" s="64">
        <v>14.78</v>
      </c>
      <c r="E36" s="64">
        <v>5.38</v>
      </c>
      <c r="F36" s="64">
        <v>3.8</v>
      </c>
      <c r="G36" s="64">
        <v>162.6</v>
      </c>
      <c r="H36" s="64">
        <v>61.37</v>
      </c>
      <c r="I36" s="64">
        <v>3.55</v>
      </c>
      <c r="J36" s="64">
        <v>0.55000000000000004</v>
      </c>
      <c r="K36" s="64">
        <v>330.81</v>
      </c>
      <c r="L36" s="64">
        <v>16.68</v>
      </c>
      <c r="M36" s="64">
        <v>57.34</v>
      </c>
      <c r="N36" s="64">
        <v>100.7</v>
      </c>
      <c r="O36" s="64">
        <v>0</v>
      </c>
      <c r="P36" s="64">
        <v>0.72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1" t="s">
        <v>1044</v>
      </c>
      <c r="B37" s="64">
        <v>9.49</v>
      </c>
      <c r="C37" s="64">
        <v>13.53</v>
      </c>
      <c r="D37" s="64">
        <v>14.22</v>
      </c>
      <c r="E37" s="64">
        <v>5.5</v>
      </c>
      <c r="F37" s="64">
        <v>3.47</v>
      </c>
      <c r="G37" s="64">
        <v>162.6</v>
      </c>
      <c r="H37" s="64">
        <v>61.37</v>
      </c>
      <c r="I37" s="64">
        <v>3.54</v>
      </c>
      <c r="J37" s="64">
        <v>0.06</v>
      </c>
      <c r="K37" s="64">
        <v>91.06</v>
      </c>
      <c r="L37" s="64">
        <v>17.18</v>
      </c>
      <c r="M37" s="64">
        <v>57.78</v>
      </c>
      <c r="N37" s="64">
        <v>161.5</v>
      </c>
      <c r="O37" s="64">
        <v>0</v>
      </c>
      <c r="P37" s="64">
        <v>0.86</v>
      </c>
      <c r="Q37" s="64">
        <v>9.3000000000000007</v>
      </c>
      <c r="R37" s="198"/>
      <c r="S37" s="198"/>
      <c r="T37" s="198"/>
      <c r="U37" s="198"/>
    </row>
    <row r="38" spans="1:21" s="12" customFormat="1" x14ac:dyDescent="0.25">
      <c r="A38" s="211" t="s">
        <v>1045</v>
      </c>
      <c r="B38" s="64">
        <v>9.75</v>
      </c>
      <c r="C38" s="64">
        <v>13.54</v>
      </c>
      <c r="D38" s="64">
        <v>14.43</v>
      </c>
      <c r="E38" s="64">
        <v>5.85</v>
      </c>
      <c r="F38" s="64">
        <v>3.18</v>
      </c>
      <c r="G38" s="64">
        <v>155.43</v>
      </c>
      <c r="H38" s="64">
        <v>58.8</v>
      </c>
      <c r="I38" s="64">
        <v>3.56</v>
      </c>
      <c r="J38" s="64">
        <v>0.48</v>
      </c>
      <c r="K38" s="64">
        <v>342.01</v>
      </c>
      <c r="L38" s="64">
        <v>19.46</v>
      </c>
      <c r="M38" s="64">
        <v>50.4</v>
      </c>
      <c r="N38" s="64">
        <v>229.7</v>
      </c>
      <c r="O38" s="64">
        <v>0</v>
      </c>
      <c r="P38" s="64">
        <v>0.92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1" t="s">
        <v>1046</v>
      </c>
      <c r="B39" s="64">
        <v>10.14</v>
      </c>
      <c r="C39" s="64">
        <v>13.39</v>
      </c>
      <c r="D39" s="64">
        <v>14.67</v>
      </c>
      <c r="E39" s="64">
        <v>5.46</v>
      </c>
      <c r="F39" s="64">
        <v>3.35</v>
      </c>
      <c r="G39" s="64">
        <v>135.72</v>
      </c>
      <c r="H39" s="64">
        <v>54.2</v>
      </c>
      <c r="I39" s="64">
        <v>3.63</v>
      </c>
      <c r="J39" s="64">
        <v>0.47</v>
      </c>
      <c r="K39" s="64">
        <v>326.10000000000002</v>
      </c>
      <c r="L39" s="64">
        <v>21.67</v>
      </c>
      <c r="M39" s="64">
        <v>41.98</v>
      </c>
      <c r="N39" s="64">
        <v>272.5</v>
      </c>
      <c r="O39" s="64">
        <v>0</v>
      </c>
      <c r="P39" s="64">
        <v>0.92</v>
      </c>
      <c r="Q39" s="64">
        <v>9.31</v>
      </c>
      <c r="R39" s="198"/>
      <c r="S39" s="198"/>
      <c r="T39" s="198"/>
      <c r="U39" s="198"/>
    </row>
    <row r="40" spans="1:21" s="12" customFormat="1" x14ac:dyDescent="0.25">
      <c r="A40" s="211" t="s">
        <v>1047</v>
      </c>
      <c r="B40" s="64">
        <v>10.5</v>
      </c>
      <c r="C40" s="64">
        <v>13.13</v>
      </c>
      <c r="D40" s="64">
        <v>14.82</v>
      </c>
      <c r="E40" s="64">
        <v>6.16</v>
      </c>
      <c r="F40" s="64">
        <v>3.44</v>
      </c>
      <c r="G40" s="64">
        <v>135.72</v>
      </c>
      <c r="H40" s="64">
        <v>54.2</v>
      </c>
      <c r="I40" s="64">
        <v>3.7</v>
      </c>
      <c r="J40" s="64">
        <v>0.85</v>
      </c>
      <c r="K40" s="64">
        <v>344.07</v>
      </c>
      <c r="L40" s="64">
        <v>22.65</v>
      </c>
      <c r="M40" s="64">
        <v>36.520000000000003</v>
      </c>
      <c r="N40" s="64">
        <v>327.10000000000002</v>
      </c>
      <c r="O40" s="64">
        <v>0</v>
      </c>
      <c r="P40" s="64">
        <v>0.91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1" t="s">
        <v>1048</v>
      </c>
      <c r="B41" s="64">
        <v>10.08</v>
      </c>
      <c r="C41" s="64">
        <v>15.1</v>
      </c>
      <c r="D41" s="64">
        <v>15.51</v>
      </c>
      <c r="E41" s="64">
        <v>6.04</v>
      </c>
      <c r="F41" s="64">
        <v>3.21</v>
      </c>
      <c r="G41" s="64">
        <v>135.72</v>
      </c>
      <c r="H41" s="64">
        <v>54.2</v>
      </c>
      <c r="I41" s="64">
        <v>3.74</v>
      </c>
      <c r="J41" s="64">
        <v>0.49</v>
      </c>
      <c r="K41" s="64">
        <v>337.36</v>
      </c>
      <c r="L41" s="64">
        <v>23.94</v>
      </c>
      <c r="M41" s="64">
        <v>35.619999999999997</v>
      </c>
      <c r="N41" s="64">
        <v>363.9</v>
      </c>
      <c r="O41" s="64">
        <v>0</v>
      </c>
      <c r="P41" s="64">
        <v>0.94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1" t="s">
        <v>1049</v>
      </c>
      <c r="B42" s="64">
        <v>10.52</v>
      </c>
      <c r="C42" s="64">
        <v>15.16</v>
      </c>
      <c r="D42" s="64">
        <v>15.9</v>
      </c>
      <c r="E42" s="64">
        <v>6.05</v>
      </c>
      <c r="F42" s="64">
        <v>3.46</v>
      </c>
      <c r="G42" s="64">
        <v>131.31</v>
      </c>
      <c r="H42" s="64">
        <v>54.16</v>
      </c>
      <c r="I42" s="64">
        <v>3.79</v>
      </c>
      <c r="J42" s="64">
        <v>0.57999999999999996</v>
      </c>
      <c r="K42" s="64">
        <v>339.91</v>
      </c>
      <c r="L42" s="64">
        <v>25.12</v>
      </c>
      <c r="M42" s="64">
        <v>35.049999999999997</v>
      </c>
      <c r="N42" s="64">
        <v>413.7</v>
      </c>
      <c r="O42" s="64">
        <v>0</v>
      </c>
      <c r="P42" s="64">
        <v>0.99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11" t="s">
        <v>1050</v>
      </c>
      <c r="B43" s="64">
        <v>11.6</v>
      </c>
      <c r="C43" s="64">
        <v>16.61</v>
      </c>
      <c r="D43" s="64">
        <v>17.52</v>
      </c>
      <c r="E43" s="64">
        <v>6.07</v>
      </c>
      <c r="F43" s="64">
        <v>3.77</v>
      </c>
      <c r="G43" s="64">
        <v>119.18</v>
      </c>
      <c r="H43" s="64">
        <v>54.03</v>
      </c>
      <c r="I43" s="64">
        <v>3.88</v>
      </c>
      <c r="J43" s="64">
        <v>0.68</v>
      </c>
      <c r="K43" s="64">
        <v>342.8</v>
      </c>
      <c r="L43" s="64">
        <v>25.75</v>
      </c>
      <c r="M43" s="64">
        <v>32.94</v>
      </c>
      <c r="N43" s="64">
        <v>455.5</v>
      </c>
      <c r="O43" s="64">
        <v>0</v>
      </c>
      <c r="P43" s="64">
        <v>1.03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1" t="s">
        <v>1051</v>
      </c>
      <c r="B44" s="64">
        <v>11.35</v>
      </c>
      <c r="C44" s="64">
        <v>18.309999999999999</v>
      </c>
      <c r="D44" s="64">
        <v>18.21</v>
      </c>
      <c r="E44" s="64">
        <v>9.09</v>
      </c>
      <c r="F44" s="64">
        <v>4.55</v>
      </c>
      <c r="G44" s="64">
        <v>119.18</v>
      </c>
      <c r="H44" s="64">
        <v>54.03</v>
      </c>
      <c r="I44" s="64">
        <v>3.94</v>
      </c>
      <c r="J44" s="64">
        <v>0.7</v>
      </c>
      <c r="K44" s="64">
        <v>339.51</v>
      </c>
      <c r="L44" s="64">
        <v>26.43</v>
      </c>
      <c r="M44" s="64">
        <v>30.57</v>
      </c>
      <c r="N44" s="64">
        <v>492.3</v>
      </c>
      <c r="O44" s="64">
        <v>0</v>
      </c>
      <c r="P44" s="64">
        <v>1.07</v>
      </c>
      <c r="Q44" s="64">
        <v>9.4</v>
      </c>
      <c r="R44" s="198"/>
      <c r="S44" s="198"/>
      <c r="T44" s="198"/>
      <c r="U44" s="198"/>
    </row>
    <row r="45" spans="1:21" s="12" customFormat="1" x14ac:dyDescent="0.25">
      <c r="A45" s="211" t="s">
        <v>1052</v>
      </c>
      <c r="B45" s="64">
        <v>11.17</v>
      </c>
      <c r="C45" s="64">
        <v>17.95</v>
      </c>
      <c r="D45" s="64">
        <v>17.87</v>
      </c>
      <c r="E45" s="64">
        <v>7.49</v>
      </c>
      <c r="F45" s="64">
        <v>4.1500000000000004</v>
      </c>
      <c r="G45" s="64">
        <v>119.18</v>
      </c>
      <c r="H45" s="64">
        <v>54.03</v>
      </c>
      <c r="I45" s="64">
        <v>3.97</v>
      </c>
      <c r="J45" s="64">
        <v>0.84</v>
      </c>
      <c r="K45" s="64">
        <v>342.09</v>
      </c>
      <c r="L45" s="64">
        <v>26.96</v>
      </c>
      <c r="M45" s="64">
        <v>30.48</v>
      </c>
      <c r="N45" s="64">
        <v>525.6</v>
      </c>
      <c r="O45" s="64">
        <v>0</v>
      </c>
      <c r="P45" s="64">
        <v>1.07</v>
      </c>
      <c r="Q45" s="64">
        <v>9.42</v>
      </c>
      <c r="R45" s="198"/>
      <c r="S45" s="198"/>
      <c r="T45" s="198"/>
      <c r="U45" s="198"/>
    </row>
    <row r="46" spans="1:21" s="12" customFormat="1" x14ac:dyDescent="0.25">
      <c r="A46" s="211" t="s">
        <v>1053</v>
      </c>
      <c r="B46" s="64">
        <v>10.8</v>
      </c>
      <c r="C46" s="64">
        <v>16.68</v>
      </c>
      <c r="D46" s="64">
        <v>16.920000000000002</v>
      </c>
      <c r="E46" s="64">
        <v>7.31</v>
      </c>
      <c r="F46" s="64">
        <v>4.62</v>
      </c>
      <c r="G46" s="64">
        <v>122.93</v>
      </c>
      <c r="H46" s="64">
        <v>52.31</v>
      </c>
      <c r="I46" s="64">
        <v>4.0199999999999996</v>
      </c>
      <c r="J46" s="64">
        <v>0.27</v>
      </c>
      <c r="K46" s="64">
        <v>358.11</v>
      </c>
      <c r="L46" s="64">
        <v>26.86</v>
      </c>
      <c r="M46" s="64">
        <v>29.29</v>
      </c>
      <c r="N46" s="64">
        <v>570.79999999999995</v>
      </c>
      <c r="O46" s="64">
        <v>0</v>
      </c>
      <c r="P46" s="64">
        <v>1.08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1" t="s">
        <v>1054</v>
      </c>
      <c r="B47" s="64">
        <v>10.35</v>
      </c>
      <c r="C47" s="64">
        <v>17.64</v>
      </c>
      <c r="D47" s="64">
        <v>17.059999999999999</v>
      </c>
      <c r="E47" s="64">
        <v>7.76</v>
      </c>
      <c r="F47" s="64">
        <v>5.57</v>
      </c>
      <c r="G47" s="64">
        <v>133.26</v>
      </c>
      <c r="H47" s="64">
        <v>49.23</v>
      </c>
      <c r="I47" s="64">
        <v>4.0599999999999996</v>
      </c>
      <c r="J47" s="64">
        <v>0.23</v>
      </c>
      <c r="K47" s="64">
        <v>331.12</v>
      </c>
      <c r="L47" s="64">
        <v>26.23</v>
      </c>
      <c r="M47" s="64">
        <v>31.48</v>
      </c>
      <c r="N47" s="64">
        <v>614.4</v>
      </c>
      <c r="O47" s="64">
        <v>0</v>
      </c>
      <c r="P47" s="64">
        <v>1.08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11" t="s">
        <v>1055</v>
      </c>
      <c r="B48" s="64">
        <v>9.98</v>
      </c>
      <c r="C48" s="64">
        <v>16.77</v>
      </c>
      <c r="D48" s="64">
        <v>16.3</v>
      </c>
      <c r="E48" s="64">
        <v>6.58</v>
      </c>
      <c r="F48" s="64">
        <v>4.1500000000000004</v>
      </c>
      <c r="G48" s="64">
        <v>133.26</v>
      </c>
      <c r="H48" s="64">
        <v>49.23</v>
      </c>
      <c r="I48" s="64">
        <v>4.09</v>
      </c>
      <c r="J48" s="64">
        <v>0.41</v>
      </c>
      <c r="K48" s="64">
        <v>343.46</v>
      </c>
      <c r="L48" s="64">
        <v>26.57</v>
      </c>
      <c r="M48" s="64">
        <v>29.23</v>
      </c>
      <c r="N48" s="64">
        <v>664</v>
      </c>
      <c r="O48" s="64">
        <v>0</v>
      </c>
      <c r="P48" s="64">
        <v>1.07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1" t="s">
        <v>1056</v>
      </c>
      <c r="B49" s="64">
        <v>9.1999999999999993</v>
      </c>
      <c r="C49" s="64">
        <v>15.96</v>
      </c>
      <c r="D49" s="64">
        <v>15.25</v>
      </c>
      <c r="E49" s="64">
        <v>5.83</v>
      </c>
      <c r="F49" s="64">
        <v>3.83</v>
      </c>
      <c r="G49" s="64">
        <v>133.26</v>
      </c>
      <c r="H49" s="64">
        <v>49.23</v>
      </c>
      <c r="I49" s="64">
        <v>4.08</v>
      </c>
      <c r="J49" s="64">
        <v>0.38</v>
      </c>
      <c r="K49" s="64">
        <v>124.77</v>
      </c>
      <c r="L49" s="64">
        <v>25.04</v>
      </c>
      <c r="M49" s="64">
        <v>34.159999999999997</v>
      </c>
      <c r="N49" s="64">
        <v>689.1</v>
      </c>
      <c r="O49" s="64">
        <v>0</v>
      </c>
      <c r="P49" s="64">
        <v>1.01</v>
      </c>
      <c r="Q49" s="64">
        <v>9.36</v>
      </c>
      <c r="R49" s="198"/>
      <c r="S49" s="198"/>
      <c r="T49" s="198"/>
      <c r="U49" s="198"/>
    </row>
    <row r="50" spans="1:21" s="12" customFormat="1" x14ac:dyDescent="0.25">
      <c r="A50" s="211" t="s">
        <v>1057</v>
      </c>
      <c r="B50" s="64">
        <v>8.09</v>
      </c>
      <c r="C50" s="64">
        <v>16.13</v>
      </c>
      <c r="D50" s="64">
        <v>14.45</v>
      </c>
      <c r="E50" s="64">
        <v>5.81</v>
      </c>
      <c r="F50" s="64">
        <v>3.63</v>
      </c>
      <c r="G50" s="64">
        <v>126.87</v>
      </c>
      <c r="H50" s="64">
        <v>48.61</v>
      </c>
      <c r="I50" s="64">
        <v>4.01</v>
      </c>
      <c r="J50" s="64">
        <v>0.57999999999999996</v>
      </c>
      <c r="K50" s="64">
        <v>338</v>
      </c>
      <c r="L50" s="64">
        <v>26.66</v>
      </c>
      <c r="M50" s="64">
        <v>28.85</v>
      </c>
      <c r="N50" s="64">
        <v>713.3</v>
      </c>
      <c r="O50" s="64">
        <v>0</v>
      </c>
      <c r="P50" s="64">
        <v>0.97</v>
      </c>
      <c r="Q50" s="64">
        <v>9.31</v>
      </c>
      <c r="R50" s="198"/>
      <c r="S50" s="198"/>
      <c r="T50" s="198"/>
      <c r="U50" s="198"/>
    </row>
    <row r="51" spans="1:21" s="12" customFormat="1" x14ac:dyDescent="0.25">
      <c r="A51" s="211" t="s">
        <v>1058</v>
      </c>
      <c r="B51" s="64">
        <v>6.92</v>
      </c>
      <c r="C51" s="64">
        <v>16.78</v>
      </c>
      <c r="D51" s="64">
        <v>13.86</v>
      </c>
      <c r="E51" s="64">
        <v>5.78</v>
      </c>
      <c r="F51" s="64">
        <v>3.64</v>
      </c>
      <c r="G51" s="64">
        <v>109.29</v>
      </c>
      <c r="H51" s="64">
        <v>47.5</v>
      </c>
      <c r="I51" s="64">
        <v>3.93</v>
      </c>
      <c r="J51" s="64">
        <v>0.74</v>
      </c>
      <c r="K51" s="64">
        <v>341.57</v>
      </c>
      <c r="L51" s="64">
        <v>27.33</v>
      </c>
      <c r="M51" s="64">
        <v>27.88</v>
      </c>
      <c r="N51" s="64">
        <v>736.3</v>
      </c>
      <c r="O51" s="64">
        <v>0</v>
      </c>
      <c r="P51" s="64">
        <v>0.94</v>
      </c>
      <c r="Q51" s="64">
        <v>9.2899999999999991</v>
      </c>
      <c r="R51" s="198"/>
      <c r="S51" s="198"/>
      <c r="T51" s="198"/>
      <c r="U51" s="198"/>
    </row>
    <row r="52" spans="1:21" s="12" customFormat="1" x14ac:dyDescent="0.25">
      <c r="A52" s="211" t="s">
        <v>1059</v>
      </c>
      <c r="B52" s="64">
        <v>5.93</v>
      </c>
      <c r="C52" s="64">
        <v>18.100000000000001</v>
      </c>
      <c r="D52" s="64">
        <v>13.75</v>
      </c>
      <c r="E52" s="64">
        <v>5.64</v>
      </c>
      <c r="F52" s="64">
        <v>4.26</v>
      </c>
      <c r="G52" s="64">
        <v>109.29</v>
      </c>
      <c r="H52" s="64">
        <v>47.5</v>
      </c>
      <c r="I52" s="64">
        <v>3.86</v>
      </c>
      <c r="J52" s="64">
        <v>0.19</v>
      </c>
      <c r="K52" s="64">
        <v>71.72</v>
      </c>
      <c r="L52" s="64">
        <v>27.83</v>
      </c>
      <c r="M52" s="64">
        <v>27.83</v>
      </c>
      <c r="N52" s="64">
        <v>754.1</v>
      </c>
      <c r="O52" s="64">
        <v>0</v>
      </c>
      <c r="P52" s="64">
        <v>0.91</v>
      </c>
      <c r="Q52" s="64">
        <v>9.26</v>
      </c>
      <c r="R52" s="198"/>
      <c r="S52" s="198"/>
      <c r="T52" s="198"/>
      <c r="U52" s="198"/>
    </row>
    <row r="53" spans="1:21" s="12" customFormat="1" x14ac:dyDescent="0.25">
      <c r="A53" s="211" t="s">
        <v>1060</v>
      </c>
      <c r="B53" s="64">
        <v>4.71</v>
      </c>
      <c r="C53" s="64">
        <v>17.29</v>
      </c>
      <c r="D53" s="64">
        <v>12.35</v>
      </c>
      <c r="E53" s="64">
        <v>5.2</v>
      </c>
      <c r="F53" s="64">
        <v>3.74</v>
      </c>
      <c r="G53" s="64">
        <v>109.29</v>
      </c>
      <c r="H53" s="64">
        <v>47.5</v>
      </c>
      <c r="I53" s="64">
        <v>3.78</v>
      </c>
      <c r="J53" s="64">
        <v>0.71</v>
      </c>
      <c r="K53" s="64">
        <v>121.75</v>
      </c>
      <c r="L53" s="64">
        <v>25.04</v>
      </c>
      <c r="M53" s="64">
        <v>32.28</v>
      </c>
      <c r="N53" s="64">
        <v>776.4</v>
      </c>
      <c r="O53" s="64">
        <v>0</v>
      </c>
      <c r="P53" s="64">
        <v>0.89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1" t="s">
        <v>1061</v>
      </c>
      <c r="B54" s="64">
        <v>3.9</v>
      </c>
      <c r="C54" s="64">
        <v>16.670000000000002</v>
      </c>
      <c r="D54" s="64">
        <v>11.37</v>
      </c>
      <c r="E54" s="64">
        <v>5.22</v>
      </c>
      <c r="F54" s="64">
        <v>3.89</v>
      </c>
      <c r="G54" s="64">
        <v>94.7</v>
      </c>
      <c r="H54" s="64">
        <v>43.47</v>
      </c>
      <c r="I54" s="64">
        <v>3.72</v>
      </c>
      <c r="J54" s="64">
        <v>0.28999999999999998</v>
      </c>
      <c r="K54" s="64">
        <v>112.89</v>
      </c>
      <c r="L54" s="64">
        <v>25.88</v>
      </c>
      <c r="M54" s="64">
        <v>30.53</v>
      </c>
      <c r="N54" s="64">
        <v>736.1</v>
      </c>
      <c r="O54" s="64">
        <v>0</v>
      </c>
      <c r="P54" s="64">
        <v>0.87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1" t="s">
        <v>1062</v>
      </c>
      <c r="B55" s="64">
        <v>3.22</v>
      </c>
      <c r="C55" s="64">
        <v>16.39</v>
      </c>
      <c r="D55" s="64">
        <v>10.69</v>
      </c>
      <c r="E55" s="64">
        <v>5.46</v>
      </c>
      <c r="F55" s="64">
        <v>3.54</v>
      </c>
      <c r="G55" s="64">
        <v>54.6</v>
      </c>
      <c r="H55" s="64">
        <v>36.24</v>
      </c>
      <c r="I55" s="64">
        <v>3.68</v>
      </c>
      <c r="J55" s="64">
        <v>0.3</v>
      </c>
      <c r="K55" s="64">
        <v>291.47000000000003</v>
      </c>
      <c r="L55" s="64">
        <v>27.7</v>
      </c>
      <c r="M55" s="64">
        <v>27.78</v>
      </c>
      <c r="N55" s="64">
        <v>734.4</v>
      </c>
      <c r="O55" s="64">
        <v>0</v>
      </c>
      <c r="P55" s="64">
        <v>0.87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11" t="s">
        <v>1063</v>
      </c>
      <c r="B56" s="64">
        <v>2.5099999999999998</v>
      </c>
      <c r="C56" s="64">
        <v>16.48</v>
      </c>
      <c r="D56" s="64">
        <v>10.17</v>
      </c>
      <c r="E56" s="64">
        <v>5.4</v>
      </c>
      <c r="F56" s="64">
        <v>3.67</v>
      </c>
      <c r="G56" s="64">
        <v>54.6</v>
      </c>
      <c r="H56" s="64">
        <v>36.24</v>
      </c>
      <c r="I56" s="64">
        <v>3.62</v>
      </c>
      <c r="J56" s="64">
        <v>0.39</v>
      </c>
      <c r="K56" s="64">
        <v>327.26</v>
      </c>
      <c r="L56" s="64">
        <v>28.11</v>
      </c>
      <c r="M56" s="64">
        <v>26.86</v>
      </c>
      <c r="N56" s="64">
        <v>716.1</v>
      </c>
      <c r="O56" s="64">
        <v>0</v>
      </c>
      <c r="P56" s="64">
        <v>0.86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11" t="s">
        <v>1064</v>
      </c>
      <c r="B57" s="64">
        <v>2.0299999999999998</v>
      </c>
      <c r="C57" s="64">
        <v>16.510000000000002</v>
      </c>
      <c r="D57" s="64">
        <v>9.7899999999999991</v>
      </c>
      <c r="E57" s="64">
        <v>5.08</v>
      </c>
      <c r="F57" s="64">
        <v>4.0599999999999996</v>
      </c>
      <c r="G57" s="64">
        <v>54.6</v>
      </c>
      <c r="H57" s="64">
        <v>36.24</v>
      </c>
      <c r="I57" s="64">
        <v>3.58</v>
      </c>
      <c r="J57" s="64">
        <v>0.18</v>
      </c>
      <c r="K57" s="64">
        <v>323.45</v>
      </c>
      <c r="L57" s="64">
        <v>27.98</v>
      </c>
      <c r="M57" s="64">
        <v>26.74</v>
      </c>
      <c r="N57" s="64">
        <v>700.9</v>
      </c>
      <c r="O57" s="64">
        <v>0</v>
      </c>
      <c r="P57" s="64">
        <v>0.85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1" t="s">
        <v>1065</v>
      </c>
      <c r="B58" s="64">
        <v>1.54</v>
      </c>
      <c r="C58" s="64">
        <v>16.68</v>
      </c>
      <c r="D58" s="64">
        <v>9.49</v>
      </c>
      <c r="E58" s="64">
        <v>6.09</v>
      </c>
      <c r="F58" s="64">
        <v>5.72</v>
      </c>
      <c r="G58" s="64">
        <v>58.82</v>
      </c>
      <c r="H58" s="64">
        <v>35.770000000000003</v>
      </c>
      <c r="I58" s="64">
        <v>3.53</v>
      </c>
      <c r="J58" s="64">
        <v>0.5</v>
      </c>
      <c r="K58" s="64">
        <v>322.56</v>
      </c>
      <c r="L58" s="64">
        <v>28.24</v>
      </c>
      <c r="M58" s="64">
        <v>27.1</v>
      </c>
      <c r="N58" s="64">
        <v>677</v>
      </c>
      <c r="O58" s="64">
        <v>0</v>
      </c>
      <c r="P58" s="64">
        <v>0.85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1" t="s">
        <v>1066</v>
      </c>
      <c r="B59" s="64">
        <v>1.62</v>
      </c>
      <c r="C59" s="64">
        <v>19.46</v>
      </c>
      <c r="D59" s="64">
        <v>11.01</v>
      </c>
      <c r="E59" s="64">
        <v>7.27</v>
      </c>
      <c r="F59" s="64">
        <v>8.99</v>
      </c>
      <c r="G59" s="64">
        <v>70.430000000000007</v>
      </c>
      <c r="H59" s="64">
        <v>33.97</v>
      </c>
      <c r="I59" s="64">
        <v>3.51</v>
      </c>
      <c r="J59" s="64">
        <v>0.93</v>
      </c>
      <c r="K59" s="64">
        <v>338.41</v>
      </c>
      <c r="L59" s="64">
        <v>28.95</v>
      </c>
      <c r="M59" s="64">
        <v>26.02</v>
      </c>
      <c r="N59" s="64">
        <v>666.2</v>
      </c>
      <c r="O59" s="64">
        <v>0</v>
      </c>
      <c r="P59" s="64">
        <v>0.9</v>
      </c>
      <c r="Q59" s="64">
        <v>9.15</v>
      </c>
      <c r="R59" s="198"/>
      <c r="S59" s="198"/>
      <c r="T59" s="198"/>
      <c r="U59" s="198"/>
    </row>
    <row r="60" spans="1:21" s="12" customFormat="1" x14ac:dyDescent="0.25">
      <c r="A60" s="211" t="s">
        <v>1067</v>
      </c>
      <c r="B60" s="64">
        <v>1.87</v>
      </c>
      <c r="C60" s="64">
        <v>20.149999999999999</v>
      </c>
      <c r="D60" s="64">
        <v>11.57</v>
      </c>
      <c r="E60" s="64">
        <v>8.2100000000000009</v>
      </c>
      <c r="F60" s="64">
        <v>10.62</v>
      </c>
      <c r="G60" s="64">
        <v>70.430000000000007</v>
      </c>
      <c r="H60" s="64">
        <v>33.97</v>
      </c>
      <c r="I60" s="64">
        <v>3.51</v>
      </c>
      <c r="J60" s="64">
        <v>0.26</v>
      </c>
      <c r="K60" s="64">
        <v>294.85000000000002</v>
      </c>
      <c r="L60" s="64">
        <v>28.61</v>
      </c>
      <c r="M60" s="64">
        <v>25.95</v>
      </c>
      <c r="N60" s="64">
        <v>555.5</v>
      </c>
      <c r="O60" s="64">
        <v>0</v>
      </c>
      <c r="P60" s="64">
        <v>0.9</v>
      </c>
      <c r="Q60" s="64">
        <v>9.15</v>
      </c>
      <c r="R60" s="198"/>
      <c r="S60" s="198"/>
      <c r="T60" s="198"/>
      <c r="U60" s="198"/>
    </row>
    <row r="61" spans="1:21" s="12" customFormat="1" x14ac:dyDescent="0.25">
      <c r="A61" s="211" t="s">
        <v>1068</v>
      </c>
      <c r="B61" s="64">
        <v>0.99</v>
      </c>
      <c r="C61" s="64">
        <v>19.63</v>
      </c>
      <c r="D61" s="64">
        <v>10.59</v>
      </c>
      <c r="E61" s="64">
        <v>7.88</v>
      </c>
      <c r="F61" s="64">
        <v>8.8800000000000008</v>
      </c>
      <c r="G61" s="64">
        <v>70.430000000000007</v>
      </c>
      <c r="H61" s="64">
        <v>33.97</v>
      </c>
      <c r="I61" s="64">
        <v>3.49</v>
      </c>
      <c r="J61" s="64">
        <v>0.09</v>
      </c>
      <c r="K61" s="64">
        <v>247.1</v>
      </c>
      <c r="L61" s="64">
        <v>27.51</v>
      </c>
      <c r="M61" s="64">
        <v>28.02</v>
      </c>
      <c r="N61" s="64">
        <v>477.7</v>
      </c>
      <c r="O61" s="64">
        <v>0</v>
      </c>
      <c r="P61" s="64">
        <v>0.74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1" t="s">
        <v>1069</v>
      </c>
      <c r="B62" s="64">
        <v>1.0900000000000001</v>
      </c>
      <c r="C62" s="64">
        <v>20.98</v>
      </c>
      <c r="D62" s="64">
        <v>11.37</v>
      </c>
      <c r="E62" s="64">
        <v>13.74</v>
      </c>
      <c r="F62" s="64">
        <v>15.6</v>
      </c>
      <c r="G62" s="64">
        <v>71.040000000000006</v>
      </c>
      <c r="H62" s="64">
        <v>33.380000000000003</v>
      </c>
      <c r="I62" s="64">
        <v>3.49</v>
      </c>
      <c r="J62" s="64">
        <v>0.36</v>
      </c>
      <c r="K62" s="64">
        <v>312.16000000000003</v>
      </c>
      <c r="L62" s="64">
        <v>27.45</v>
      </c>
      <c r="M62" s="64">
        <v>28.17</v>
      </c>
      <c r="N62" s="64">
        <v>333.4</v>
      </c>
      <c r="O62" s="64">
        <v>0</v>
      </c>
      <c r="P62" s="64">
        <v>0.77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1" t="s">
        <v>1070</v>
      </c>
      <c r="B63" s="64">
        <v>1.25</v>
      </c>
      <c r="C63" s="64">
        <v>18.420000000000002</v>
      </c>
      <c r="D63" s="64">
        <v>10.16</v>
      </c>
      <c r="E63" s="64">
        <v>8.7899999999999991</v>
      </c>
      <c r="F63" s="64">
        <v>10.29</v>
      </c>
      <c r="G63" s="64">
        <v>72.709999999999994</v>
      </c>
      <c r="H63" s="64">
        <v>32.33</v>
      </c>
      <c r="I63" s="64">
        <v>3.48</v>
      </c>
      <c r="J63" s="64">
        <v>0.63</v>
      </c>
      <c r="K63" s="64">
        <v>330.04</v>
      </c>
      <c r="L63" s="64">
        <v>27.97</v>
      </c>
      <c r="M63" s="64">
        <v>27.76</v>
      </c>
      <c r="N63" s="64">
        <v>348.8</v>
      </c>
      <c r="O63" s="64">
        <v>0</v>
      </c>
      <c r="P63" s="64">
        <v>0.8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1" t="s">
        <v>1071</v>
      </c>
      <c r="B64" s="64">
        <v>1.3</v>
      </c>
      <c r="C64" s="64">
        <v>17.88</v>
      </c>
      <c r="D64" s="64">
        <v>9.93</v>
      </c>
      <c r="E64" s="64">
        <v>12.35</v>
      </c>
      <c r="F64" s="64">
        <v>14.12</v>
      </c>
      <c r="G64" s="64">
        <v>72.709999999999994</v>
      </c>
      <c r="H64" s="64">
        <v>32.33</v>
      </c>
      <c r="I64" s="64">
        <v>3.47</v>
      </c>
      <c r="J64" s="64">
        <v>0.49</v>
      </c>
      <c r="K64" s="64">
        <v>323.88</v>
      </c>
      <c r="L64" s="64">
        <v>27.29</v>
      </c>
      <c r="M64" s="64">
        <v>28.39</v>
      </c>
      <c r="N64" s="64">
        <v>214</v>
      </c>
      <c r="O64" s="64">
        <v>0</v>
      </c>
      <c r="P64" s="64">
        <v>0.72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1" t="s">
        <v>1072</v>
      </c>
      <c r="B65" s="64">
        <v>0.89</v>
      </c>
      <c r="C65" s="64">
        <v>19.47</v>
      </c>
      <c r="D65" s="64">
        <v>10.42</v>
      </c>
      <c r="E65" s="64">
        <v>9.67</v>
      </c>
      <c r="F65" s="64">
        <v>10.35</v>
      </c>
      <c r="G65" s="64">
        <v>72.709999999999994</v>
      </c>
      <c r="H65" s="64">
        <v>32.33</v>
      </c>
      <c r="I65" s="64">
        <v>3.46</v>
      </c>
      <c r="J65" s="64">
        <v>0.71</v>
      </c>
      <c r="K65" s="64">
        <v>325.82</v>
      </c>
      <c r="L65" s="64">
        <v>26.97</v>
      </c>
      <c r="M65" s="64">
        <v>28.33</v>
      </c>
      <c r="N65" s="64">
        <v>159</v>
      </c>
      <c r="O65" s="64">
        <v>0</v>
      </c>
      <c r="P65" s="64">
        <v>0.75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1" t="s">
        <v>1073</v>
      </c>
      <c r="B66" s="64">
        <v>0.71</v>
      </c>
      <c r="C66" s="64">
        <v>18.53</v>
      </c>
      <c r="D66" s="64">
        <v>9.7899999999999991</v>
      </c>
      <c r="E66" s="64">
        <v>6.74</v>
      </c>
      <c r="F66" s="64">
        <v>4.47</v>
      </c>
      <c r="G66" s="64">
        <v>80.260000000000005</v>
      </c>
      <c r="H66" s="64">
        <v>31.89</v>
      </c>
      <c r="I66" s="64">
        <v>3.45</v>
      </c>
      <c r="J66" s="64">
        <v>0.62</v>
      </c>
      <c r="K66" s="64">
        <v>326.39999999999998</v>
      </c>
      <c r="L66" s="64">
        <v>26.35</v>
      </c>
      <c r="M66" s="64">
        <v>28.31</v>
      </c>
      <c r="N66" s="64">
        <v>150.1</v>
      </c>
      <c r="O66" s="64">
        <v>0</v>
      </c>
      <c r="P66" s="64">
        <v>0.73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1" t="s">
        <v>1074</v>
      </c>
      <c r="B67" s="64">
        <v>0.63</v>
      </c>
      <c r="C67" s="64">
        <v>17.59</v>
      </c>
      <c r="D67" s="64">
        <v>9.23</v>
      </c>
      <c r="E67" s="64">
        <v>6.54</v>
      </c>
      <c r="F67" s="64">
        <v>4.95</v>
      </c>
      <c r="G67" s="64">
        <v>101.03</v>
      </c>
      <c r="H67" s="64">
        <v>31.1</v>
      </c>
      <c r="I67" s="64">
        <v>3.42</v>
      </c>
      <c r="J67" s="64">
        <v>1.18</v>
      </c>
      <c r="K67" s="64">
        <v>339.34</v>
      </c>
      <c r="L67" s="64">
        <v>26.21</v>
      </c>
      <c r="M67" s="64">
        <v>28.64</v>
      </c>
      <c r="N67" s="64">
        <v>149.9</v>
      </c>
      <c r="O67" s="64">
        <v>0</v>
      </c>
      <c r="P67" s="64">
        <v>0.67</v>
      </c>
      <c r="Q67" s="64">
        <v>9.1199999999999992</v>
      </c>
      <c r="R67" s="198"/>
      <c r="S67" s="198"/>
      <c r="T67" s="198"/>
      <c r="U67" s="198"/>
    </row>
    <row r="68" spans="1:21" s="12" customFormat="1" x14ac:dyDescent="0.25">
      <c r="A68" s="211" t="s">
        <v>1075</v>
      </c>
      <c r="B68" s="64">
        <v>0.67</v>
      </c>
      <c r="C68" s="64">
        <v>17.350000000000001</v>
      </c>
      <c r="D68" s="64">
        <v>9.14</v>
      </c>
      <c r="E68" s="64">
        <v>6.43</v>
      </c>
      <c r="F68" s="64">
        <v>4.22</v>
      </c>
      <c r="G68" s="64">
        <v>101.03</v>
      </c>
      <c r="H68" s="64">
        <v>31.1</v>
      </c>
      <c r="I68" s="64">
        <v>3.35</v>
      </c>
      <c r="J68" s="64">
        <v>1.2</v>
      </c>
      <c r="K68" s="64">
        <v>339.14</v>
      </c>
      <c r="L68" s="64">
        <v>25.94</v>
      </c>
      <c r="M68" s="64">
        <v>28.86</v>
      </c>
      <c r="N68" s="64">
        <v>123.4</v>
      </c>
      <c r="O68" s="64">
        <v>0</v>
      </c>
      <c r="P68" s="64">
        <v>0.64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1" t="s">
        <v>1076</v>
      </c>
      <c r="B69" s="64">
        <v>1.28</v>
      </c>
      <c r="C69" s="64">
        <v>17.920000000000002</v>
      </c>
      <c r="D69" s="64">
        <v>9.93</v>
      </c>
      <c r="E69" s="64">
        <v>6.44</v>
      </c>
      <c r="F69" s="64">
        <v>5.98</v>
      </c>
      <c r="G69" s="64">
        <v>101.03</v>
      </c>
      <c r="H69" s="64">
        <v>31.1</v>
      </c>
      <c r="I69" s="64">
        <v>3.28</v>
      </c>
      <c r="J69" s="64">
        <v>0.99</v>
      </c>
      <c r="K69" s="64">
        <v>332.73</v>
      </c>
      <c r="L69" s="64">
        <v>25.64</v>
      </c>
      <c r="M69" s="64">
        <v>29.72</v>
      </c>
      <c r="N69" s="64">
        <v>114.5</v>
      </c>
      <c r="O69" s="64">
        <v>0</v>
      </c>
      <c r="P69" s="64">
        <v>0.61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1" t="s">
        <v>1077</v>
      </c>
      <c r="B70" s="64">
        <v>2.04</v>
      </c>
      <c r="C70" s="64">
        <v>16.670000000000002</v>
      </c>
      <c r="D70" s="64">
        <v>9.8800000000000008</v>
      </c>
      <c r="E70" s="64">
        <v>5.96</v>
      </c>
      <c r="F70" s="64">
        <v>4.57</v>
      </c>
      <c r="G70" s="64">
        <v>93.92</v>
      </c>
      <c r="H70" s="64">
        <v>30.19</v>
      </c>
      <c r="I70" s="64">
        <v>3.22</v>
      </c>
      <c r="J70" s="64">
        <v>1.27</v>
      </c>
      <c r="K70" s="64">
        <v>333.67</v>
      </c>
      <c r="L70" s="64">
        <v>25.32</v>
      </c>
      <c r="M70" s="64">
        <v>29.89</v>
      </c>
      <c r="N70" s="64">
        <v>104.7</v>
      </c>
      <c r="O70" s="64">
        <v>0</v>
      </c>
      <c r="P70" s="64">
        <v>0.61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1" t="s">
        <v>1078</v>
      </c>
      <c r="B71" s="64">
        <v>1.06</v>
      </c>
      <c r="C71" s="64">
        <v>17.46</v>
      </c>
      <c r="D71" s="64">
        <v>9.52</v>
      </c>
      <c r="E71" s="64">
        <v>6.36</v>
      </c>
      <c r="F71" s="64">
        <v>5.49</v>
      </c>
      <c r="G71" s="64">
        <v>75.42</v>
      </c>
      <c r="H71" s="64">
        <v>28.56</v>
      </c>
      <c r="I71" s="64">
        <v>3.17</v>
      </c>
      <c r="J71" s="64">
        <v>0.98</v>
      </c>
      <c r="K71" s="64">
        <v>330.9</v>
      </c>
      <c r="L71" s="64">
        <v>25</v>
      </c>
      <c r="M71" s="64">
        <v>30.68</v>
      </c>
      <c r="N71" s="64">
        <v>95.9</v>
      </c>
      <c r="O71" s="64">
        <v>0</v>
      </c>
      <c r="P71" s="64">
        <v>0.57999999999999996</v>
      </c>
      <c r="Q71" s="64">
        <v>9.11</v>
      </c>
      <c r="R71" s="198"/>
      <c r="S71" s="198"/>
      <c r="T71" s="198"/>
      <c r="U71" s="198"/>
    </row>
    <row r="72" spans="1:21" s="12" customFormat="1" x14ac:dyDescent="0.25">
      <c r="A72" s="211" t="s">
        <v>1079</v>
      </c>
      <c r="B72" s="64">
        <v>0.91</v>
      </c>
      <c r="C72" s="64">
        <v>18.29</v>
      </c>
      <c r="D72" s="64">
        <v>9.83</v>
      </c>
      <c r="E72" s="64">
        <v>5.71</v>
      </c>
      <c r="F72" s="64">
        <v>3.95</v>
      </c>
      <c r="G72" s="64">
        <v>75.42</v>
      </c>
      <c r="H72" s="64">
        <v>28.56</v>
      </c>
      <c r="I72" s="64">
        <v>3.11</v>
      </c>
      <c r="J72" s="64">
        <v>1.18</v>
      </c>
      <c r="K72" s="64">
        <v>334.6</v>
      </c>
      <c r="L72" s="64">
        <v>24.72</v>
      </c>
      <c r="M72" s="64">
        <v>30.58</v>
      </c>
      <c r="N72" s="64">
        <v>88.4</v>
      </c>
      <c r="O72" s="64">
        <v>0</v>
      </c>
      <c r="P72" s="64">
        <v>0.57999999999999996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1" t="s">
        <v>1080</v>
      </c>
      <c r="B73" s="64">
        <v>1.07</v>
      </c>
      <c r="C73" s="64">
        <v>18.11</v>
      </c>
      <c r="D73" s="64">
        <v>9.8699999999999992</v>
      </c>
      <c r="E73" s="64">
        <v>5.73</v>
      </c>
      <c r="F73" s="64">
        <v>4.8</v>
      </c>
      <c r="G73" s="64">
        <v>75.42</v>
      </c>
      <c r="H73" s="64">
        <v>28.56</v>
      </c>
      <c r="I73" s="64">
        <v>3.07</v>
      </c>
      <c r="J73" s="64">
        <v>1.1000000000000001</v>
      </c>
      <c r="K73" s="64">
        <v>333</v>
      </c>
      <c r="L73" s="64">
        <v>24.41</v>
      </c>
      <c r="M73" s="64">
        <v>31.4</v>
      </c>
      <c r="N73" s="64">
        <v>81.400000000000006</v>
      </c>
      <c r="O73" s="64">
        <v>0</v>
      </c>
      <c r="P73" s="64">
        <v>0.56999999999999995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1" t="s">
        <v>1081</v>
      </c>
      <c r="B74" s="64">
        <v>1.33</v>
      </c>
      <c r="C74" s="64">
        <v>17.98</v>
      </c>
      <c r="D74" s="64">
        <v>10</v>
      </c>
      <c r="E74" s="64">
        <v>5.67</v>
      </c>
      <c r="F74" s="64">
        <v>4.41</v>
      </c>
      <c r="G74" s="64">
        <v>72.33</v>
      </c>
      <c r="H74" s="64">
        <v>28.08</v>
      </c>
      <c r="I74" s="64">
        <v>3.02</v>
      </c>
      <c r="J74" s="64">
        <v>1.05</v>
      </c>
      <c r="K74" s="64">
        <v>334.75</v>
      </c>
      <c r="L74" s="64">
        <v>24.1</v>
      </c>
      <c r="M74" s="64">
        <v>32.03</v>
      </c>
      <c r="N74" s="64">
        <v>72.400000000000006</v>
      </c>
      <c r="O74" s="64">
        <v>0</v>
      </c>
      <c r="P74" s="64">
        <v>0.56000000000000005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1" t="s">
        <v>1082</v>
      </c>
      <c r="B75" s="64">
        <v>1.46</v>
      </c>
      <c r="C75" s="64">
        <v>17.5</v>
      </c>
      <c r="D75" s="64">
        <v>9.86</v>
      </c>
      <c r="E75" s="64">
        <v>5.5</v>
      </c>
      <c r="F75" s="64">
        <v>4.12</v>
      </c>
      <c r="G75" s="64">
        <v>64.3</v>
      </c>
      <c r="H75" s="64">
        <v>26.21</v>
      </c>
      <c r="I75" s="64">
        <v>2.97</v>
      </c>
      <c r="J75" s="64">
        <v>0.92</v>
      </c>
      <c r="K75" s="64">
        <v>330.75</v>
      </c>
      <c r="L75" s="64">
        <v>23.72</v>
      </c>
      <c r="M75" s="64">
        <v>33.04</v>
      </c>
      <c r="N75" s="64">
        <v>64.3</v>
      </c>
      <c r="O75" s="64">
        <v>0</v>
      </c>
      <c r="P75" s="64">
        <v>0.56999999999999995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1" t="s">
        <v>1083</v>
      </c>
      <c r="B76" s="64">
        <v>1.83</v>
      </c>
      <c r="C76" s="64">
        <v>17.41</v>
      </c>
      <c r="D76" s="64">
        <v>10.1</v>
      </c>
      <c r="E76" s="64">
        <v>5.68</v>
      </c>
      <c r="F76" s="64">
        <v>5.36</v>
      </c>
      <c r="G76" s="64">
        <v>64.3</v>
      </c>
      <c r="H76" s="64">
        <v>26.21</v>
      </c>
      <c r="I76" s="64">
        <v>2.95</v>
      </c>
      <c r="J76" s="64">
        <v>0.95</v>
      </c>
      <c r="K76" s="64">
        <v>335.92</v>
      </c>
      <c r="L76" s="64">
        <v>23.28</v>
      </c>
      <c r="M76" s="64">
        <v>35.08</v>
      </c>
      <c r="N76" s="64">
        <v>55.8</v>
      </c>
      <c r="O76" s="64">
        <v>0</v>
      </c>
      <c r="P76" s="64">
        <v>0.56999999999999995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11" t="s">
        <v>1084</v>
      </c>
      <c r="B77" s="64">
        <v>2.66</v>
      </c>
      <c r="C77" s="64">
        <v>20.04</v>
      </c>
      <c r="D77" s="64">
        <v>12.15</v>
      </c>
      <c r="E77" s="64">
        <v>6.64</v>
      </c>
      <c r="F77" s="64">
        <v>9.39</v>
      </c>
      <c r="G77" s="64">
        <v>64.3</v>
      </c>
      <c r="H77" s="64">
        <v>26.21</v>
      </c>
      <c r="I77" s="64">
        <v>2.94</v>
      </c>
      <c r="J77" s="64">
        <v>0.83</v>
      </c>
      <c r="K77" s="64">
        <v>343.16</v>
      </c>
      <c r="L77" s="64">
        <v>22.86</v>
      </c>
      <c r="M77" s="64">
        <v>36.33</v>
      </c>
      <c r="N77" s="64">
        <v>47.9</v>
      </c>
      <c r="O77" s="64">
        <v>0</v>
      </c>
      <c r="P77" s="64">
        <v>0.62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1" t="s">
        <v>1085</v>
      </c>
      <c r="B78" s="64">
        <v>4.96</v>
      </c>
      <c r="C78" s="64">
        <v>23.53</v>
      </c>
      <c r="D78" s="64">
        <v>15.82</v>
      </c>
      <c r="E78" s="64">
        <v>7.64</v>
      </c>
      <c r="F78" s="64">
        <v>12.4</v>
      </c>
      <c r="G78" s="64">
        <v>61.91</v>
      </c>
      <c r="H78" s="64">
        <v>24.86</v>
      </c>
      <c r="I78" s="64">
        <v>2.97</v>
      </c>
      <c r="J78" s="64">
        <v>0.57999999999999996</v>
      </c>
      <c r="K78" s="64">
        <v>347.26</v>
      </c>
      <c r="L78" s="64">
        <v>22.2</v>
      </c>
      <c r="M78" s="64">
        <v>39.19</v>
      </c>
      <c r="N78" s="64">
        <v>43.7</v>
      </c>
      <c r="O78" s="64">
        <v>0</v>
      </c>
      <c r="P78" s="64">
        <v>0.76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1" t="s">
        <v>1086</v>
      </c>
      <c r="B79" s="64">
        <v>9.9600000000000009</v>
      </c>
      <c r="C79" s="64">
        <v>30.99</v>
      </c>
      <c r="D79" s="64">
        <v>23.72</v>
      </c>
      <c r="E79" s="64">
        <v>7.9</v>
      </c>
      <c r="F79" s="64">
        <v>7.24</v>
      </c>
      <c r="G79" s="64">
        <v>55.32</v>
      </c>
      <c r="H79" s="64">
        <v>22.45</v>
      </c>
      <c r="I79" s="64">
        <v>3</v>
      </c>
      <c r="J79" s="64">
        <v>0.24</v>
      </c>
      <c r="K79" s="64">
        <v>345.53</v>
      </c>
      <c r="L79" s="64">
        <v>21.44</v>
      </c>
      <c r="M79" s="64">
        <v>42.98</v>
      </c>
      <c r="N79" s="64">
        <v>42.9</v>
      </c>
      <c r="O79" s="64">
        <v>0</v>
      </c>
      <c r="P79" s="64">
        <v>0.96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1" t="s">
        <v>1087</v>
      </c>
      <c r="B80" s="64">
        <v>7.4</v>
      </c>
      <c r="C80" s="64">
        <v>29.43</v>
      </c>
      <c r="D80" s="64">
        <v>20.85</v>
      </c>
      <c r="E80" s="64">
        <v>8.5500000000000007</v>
      </c>
      <c r="F80" s="64">
        <v>7.42</v>
      </c>
      <c r="G80" s="64">
        <v>55.32</v>
      </c>
      <c r="H80" s="64">
        <v>22.45</v>
      </c>
      <c r="I80" s="64">
        <v>3.07</v>
      </c>
      <c r="J80" s="64">
        <v>0.23</v>
      </c>
      <c r="K80" s="64">
        <v>347.38</v>
      </c>
      <c r="L80" s="64">
        <v>21.19</v>
      </c>
      <c r="M80" s="64">
        <v>42.36</v>
      </c>
      <c r="N80" s="64">
        <v>42.7</v>
      </c>
      <c r="O80" s="64">
        <v>0</v>
      </c>
      <c r="P80" s="64">
        <v>0.92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1" t="s">
        <v>1088</v>
      </c>
      <c r="B81" s="64">
        <v>8.6</v>
      </c>
      <c r="C81" s="64">
        <v>28.83</v>
      </c>
      <c r="D81" s="64">
        <v>21.5</v>
      </c>
      <c r="E81" s="64">
        <v>8.3699999999999992</v>
      </c>
      <c r="F81" s="64">
        <v>5.82</v>
      </c>
      <c r="G81" s="64">
        <v>55.32</v>
      </c>
      <c r="H81" s="64">
        <v>22.45</v>
      </c>
      <c r="I81" s="64">
        <v>3.16</v>
      </c>
      <c r="J81" s="64">
        <v>0.09</v>
      </c>
      <c r="K81" s="64">
        <v>10</v>
      </c>
      <c r="L81" s="64">
        <v>20.91</v>
      </c>
      <c r="M81" s="64">
        <v>41.72</v>
      </c>
      <c r="N81" s="64">
        <v>42.7</v>
      </c>
      <c r="O81" s="64">
        <v>0</v>
      </c>
      <c r="P81" s="64">
        <v>0.99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1" t="s">
        <v>1089</v>
      </c>
      <c r="B82" s="64">
        <v>5.49</v>
      </c>
      <c r="C82" s="64">
        <v>32.07</v>
      </c>
      <c r="D82" s="64">
        <v>20.7</v>
      </c>
      <c r="E82" s="64">
        <v>7.94</v>
      </c>
      <c r="F82" s="64">
        <v>7.68</v>
      </c>
      <c r="G82" s="64">
        <v>61.37</v>
      </c>
      <c r="H82" s="64">
        <v>23.39</v>
      </c>
      <c r="I82" s="64">
        <v>3.26</v>
      </c>
      <c r="J82" s="64">
        <v>0.06</v>
      </c>
      <c r="K82" s="64">
        <v>54.91</v>
      </c>
      <c r="L82" s="64">
        <v>20.59</v>
      </c>
      <c r="M82" s="64">
        <v>42.38</v>
      </c>
      <c r="N82" s="64">
        <v>42.6</v>
      </c>
      <c r="O82" s="64">
        <v>0</v>
      </c>
      <c r="P82" s="64">
        <v>1.07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1" t="s">
        <v>1090</v>
      </c>
      <c r="B83" s="64">
        <v>4.59</v>
      </c>
      <c r="C83" s="64">
        <v>16.3</v>
      </c>
      <c r="D83" s="64">
        <v>11.74</v>
      </c>
      <c r="E83" s="64">
        <v>6.24</v>
      </c>
      <c r="F83" s="64">
        <v>3.85</v>
      </c>
      <c r="G83" s="64">
        <v>77.09</v>
      </c>
      <c r="H83" s="64">
        <v>25.07</v>
      </c>
      <c r="I83" s="64">
        <v>3.36</v>
      </c>
      <c r="J83" s="64">
        <v>0.11</v>
      </c>
      <c r="K83" s="64">
        <v>143.15</v>
      </c>
      <c r="L83" s="64">
        <v>20.04</v>
      </c>
      <c r="M83" s="64">
        <v>44.77</v>
      </c>
      <c r="N83" s="64">
        <v>42.6</v>
      </c>
      <c r="O83" s="64">
        <v>0</v>
      </c>
      <c r="P83" s="64">
        <v>0.78</v>
      </c>
      <c r="Q83" s="64">
        <v>9.24</v>
      </c>
      <c r="R83" s="198"/>
      <c r="S83" s="198"/>
      <c r="T83" s="198"/>
      <c r="U83" s="198"/>
    </row>
    <row r="84" spans="1:26" s="12" customFormat="1" x14ac:dyDescent="0.25">
      <c r="A84" s="211" t="s">
        <v>1091</v>
      </c>
      <c r="B84" s="64">
        <v>6.3</v>
      </c>
      <c r="C84" s="64">
        <v>15.84</v>
      </c>
      <c r="D84" s="64">
        <v>12.87</v>
      </c>
      <c r="E84" s="64">
        <v>5.88</v>
      </c>
      <c r="F84" s="64">
        <v>3.2</v>
      </c>
      <c r="G84" s="64">
        <v>77.09</v>
      </c>
      <c r="H84" s="64">
        <v>25.07</v>
      </c>
      <c r="I84" s="64">
        <v>3.45</v>
      </c>
      <c r="J84" s="64">
        <v>0.01</v>
      </c>
      <c r="K84" s="64">
        <v>215.35</v>
      </c>
      <c r="L84" s="64">
        <v>19.7</v>
      </c>
      <c r="M84" s="64">
        <v>51.48</v>
      </c>
      <c r="N84" s="64">
        <v>42.6</v>
      </c>
      <c r="O84" s="64">
        <v>0</v>
      </c>
      <c r="P84" s="64">
        <v>0.79</v>
      </c>
      <c r="Q84" s="64">
        <v>9.23</v>
      </c>
      <c r="R84" s="198"/>
      <c r="S84" s="198"/>
      <c r="T84" s="198"/>
      <c r="U84" s="198"/>
    </row>
    <row r="85" spans="1:26" s="12" customFormat="1" x14ac:dyDescent="0.25">
      <c r="A85" s="211" t="s">
        <v>1092</v>
      </c>
      <c r="B85" s="64">
        <v>8.9</v>
      </c>
      <c r="C85" s="64">
        <v>15.24</v>
      </c>
      <c r="D85" s="64">
        <v>14.64</v>
      </c>
      <c r="E85" s="64">
        <v>5.6</v>
      </c>
      <c r="F85" s="64">
        <v>3.37</v>
      </c>
      <c r="G85" s="64">
        <v>77.09</v>
      </c>
      <c r="H85" s="64">
        <v>25.07</v>
      </c>
      <c r="I85" s="64">
        <v>3.54</v>
      </c>
      <c r="J85" s="64">
        <v>0.1</v>
      </c>
      <c r="K85" s="64">
        <v>220.13</v>
      </c>
      <c r="L85" s="64">
        <v>19.29</v>
      </c>
      <c r="M85" s="64">
        <v>55.66</v>
      </c>
      <c r="N85" s="64">
        <v>42.6</v>
      </c>
      <c r="O85" s="64">
        <v>0</v>
      </c>
      <c r="P85" s="64">
        <v>0.86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1" t="s">
        <v>1093</v>
      </c>
      <c r="B86" s="64">
        <v>11.01</v>
      </c>
      <c r="C86" s="64">
        <v>13.66</v>
      </c>
      <c r="D86" s="64">
        <v>15.81</v>
      </c>
      <c r="E86" s="64">
        <v>5.72</v>
      </c>
      <c r="F86" s="64">
        <v>3.17</v>
      </c>
      <c r="G86" s="64">
        <v>117.39</v>
      </c>
      <c r="H86" s="64">
        <v>38.25</v>
      </c>
      <c r="I86" s="64">
        <v>3.73</v>
      </c>
      <c r="J86" s="64">
        <v>0.02</v>
      </c>
      <c r="K86" s="64">
        <v>177.93</v>
      </c>
      <c r="L86" s="64">
        <v>18.68</v>
      </c>
      <c r="M86" s="64">
        <v>62.04</v>
      </c>
      <c r="N86" s="64">
        <v>42.5</v>
      </c>
      <c r="O86" s="64">
        <v>0</v>
      </c>
      <c r="P86" s="64">
        <v>0.93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11" t="s">
        <v>1094</v>
      </c>
      <c r="B87" s="64">
        <v>16.43</v>
      </c>
      <c r="C87" s="64">
        <v>11.7</v>
      </c>
      <c r="D87" s="64">
        <v>18.829999999999998</v>
      </c>
      <c r="E87" s="64">
        <v>5.49</v>
      </c>
      <c r="F87" s="64">
        <v>3.12</v>
      </c>
      <c r="G87" s="64">
        <v>128.66999999999999</v>
      </c>
      <c r="H87" s="64">
        <v>38.25</v>
      </c>
      <c r="I87" s="64">
        <v>3.53</v>
      </c>
      <c r="J87" s="64">
        <v>0.13</v>
      </c>
      <c r="K87" s="64">
        <v>341.95</v>
      </c>
      <c r="L87" s="64">
        <v>18.53</v>
      </c>
      <c r="M87" s="64">
        <v>67.78</v>
      </c>
      <c r="N87" s="64">
        <v>42.4</v>
      </c>
      <c r="O87" s="64">
        <v>0</v>
      </c>
      <c r="P87" s="64">
        <v>0.99</v>
      </c>
      <c r="Q87" s="64">
        <v>9.39</v>
      </c>
      <c r="R87" s="198"/>
      <c r="S87" s="198"/>
      <c r="T87" s="198"/>
      <c r="U87" s="198"/>
    </row>
    <row r="88" spans="1:26" s="12" customFormat="1" x14ac:dyDescent="0.25">
      <c r="A88" s="211" t="s">
        <v>1095</v>
      </c>
      <c r="B88" s="64">
        <v>21.73</v>
      </c>
      <c r="C88" s="64">
        <v>9.56</v>
      </c>
      <c r="D88" s="64">
        <v>21.96</v>
      </c>
      <c r="E88" s="64">
        <v>5.5</v>
      </c>
      <c r="F88" s="64">
        <v>3.22</v>
      </c>
      <c r="G88" s="64">
        <v>128.66999999999999</v>
      </c>
      <c r="H88" s="64">
        <v>38.25</v>
      </c>
      <c r="I88" s="64">
        <v>3.48</v>
      </c>
      <c r="J88" s="64">
        <v>7.0000000000000007E-2</v>
      </c>
      <c r="K88" s="64">
        <v>238.85</v>
      </c>
      <c r="L88" s="64">
        <v>18.260000000000002</v>
      </c>
      <c r="M88" s="64">
        <v>68.459999999999994</v>
      </c>
      <c r="N88" s="64">
        <v>42.5</v>
      </c>
      <c r="O88" s="64">
        <v>0</v>
      </c>
      <c r="P88" s="64">
        <v>1.05</v>
      </c>
      <c r="Q88" s="64">
        <v>9.52</v>
      </c>
      <c r="R88" s="198"/>
      <c r="S88" s="198"/>
      <c r="T88" s="198"/>
      <c r="U88" s="198"/>
    </row>
    <row r="89" spans="1:26" s="12" customFormat="1" x14ac:dyDescent="0.25">
      <c r="A89" s="211" t="s">
        <v>1096</v>
      </c>
      <c r="B89" s="64">
        <v>25.13</v>
      </c>
      <c r="C89" s="64">
        <v>8.5500000000000007</v>
      </c>
      <c r="D89" s="64">
        <v>24.16</v>
      </c>
      <c r="E89" s="64">
        <v>5.26</v>
      </c>
      <c r="F89" s="64">
        <v>3.19</v>
      </c>
      <c r="G89" s="64">
        <v>128.66999999999999</v>
      </c>
      <c r="H89" s="64">
        <v>38.25</v>
      </c>
      <c r="I89" s="64">
        <v>3.66</v>
      </c>
      <c r="J89" s="64">
        <v>0.12</v>
      </c>
      <c r="K89" s="64">
        <v>232.65</v>
      </c>
      <c r="L89" s="64">
        <v>18.04</v>
      </c>
      <c r="M89" s="64">
        <v>72.510000000000005</v>
      </c>
      <c r="N89" s="64">
        <v>42.3</v>
      </c>
      <c r="O89" s="64">
        <v>0</v>
      </c>
      <c r="P89" s="64">
        <v>1.0900000000000001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1" t="s">
        <v>1097</v>
      </c>
      <c r="B90" s="64">
        <v>27.82</v>
      </c>
      <c r="C90" s="64">
        <v>6.97</v>
      </c>
      <c r="D90" s="64">
        <v>25.49</v>
      </c>
      <c r="E90" s="64">
        <v>5.43</v>
      </c>
      <c r="F90" s="64">
        <v>2.95</v>
      </c>
      <c r="G90" s="64">
        <v>137.79</v>
      </c>
      <c r="H90" s="64">
        <v>40.24</v>
      </c>
      <c r="I90" s="64">
        <v>3.82</v>
      </c>
      <c r="J90" s="64">
        <v>0.03</v>
      </c>
      <c r="K90" s="64">
        <v>277.31</v>
      </c>
      <c r="L90" s="64">
        <v>17.88</v>
      </c>
      <c r="M90" s="64">
        <v>76.05</v>
      </c>
      <c r="N90" s="64">
        <v>42.4</v>
      </c>
      <c r="O90" s="64">
        <v>0</v>
      </c>
      <c r="P90" s="64">
        <v>1.1499999999999999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1" t="s">
        <v>1098</v>
      </c>
      <c r="B91" s="64">
        <v>35.299999999999997</v>
      </c>
      <c r="C91" s="64">
        <v>3.47</v>
      </c>
      <c r="D91" s="64">
        <v>29.65</v>
      </c>
      <c r="E91" s="64">
        <v>5.52</v>
      </c>
      <c r="F91" s="64">
        <v>3.08</v>
      </c>
      <c r="G91" s="64">
        <v>162.86000000000001</v>
      </c>
      <c r="H91" s="64">
        <v>48</v>
      </c>
      <c r="I91" s="64">
        <v>3.98</v>
      </c>
      <c r="J91" s="64">
        <v>0.06</v>
      </c>
      <c r="K91" s="64">
        <v>327</v>
      </c>
      <c r="L91" s="64">
        <v>18.010000000000002</v>
      </c>
      <c r="M91" s="64">
        <v>77.459999999999994</v>
      </c>
      <c r="N91" s="64">
        <v>42.2</v>
      </c>
      <c r="O91" s="64">
        <v>0</v>
      </c>
      <c r="P91" s="64">
        <v>1.22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1" t="s">
        <v>1099</v>
      </c>
      <c r="B92" s="64">
        <v>44.06</v>
      </c>
      <c r="C92" s="64">
        <v>0.56999999999999995</v>
      </c>
      <c r="D92" s="64">
        <v>34.950000000000003</v>
      </c>
      <c r="E92" s="64">
        <v>5.67</v>
      </c>
      <c r="F92" s="64">
        <v>3.31</v>
      </c>
      <c r="G92" s="64">
        <v>162.86000000000001</v>
      </c>
      <c r="H92" s="64">
        <v>48</v>
      </c>
      <c r="I92" s="64">
        <v>4.1500000000000004</v>
      </c>
      <c r="J92" s="64">
        <v>0.12</v>
      </c>
      <c r="K92" s="64">
        <v>17.63</v>
      </c>
      <c r="L92" s="64">
        <v>17.71</v>
      </c>
      <c r="M92" s="64">
        <v>83.59</v>
      </c>
      <c r="N92" s="64">
        <v>42.3</v>
      </c>
      <c r="O92" s="64">
        <v>0</v>
      </c>
      <c r="P92" s="64">
        <v>1.33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1" t="s">
        <v>1100</v>
      </c>
      <c r="B93" s="64">
        <v>60.12</v>
      </c>
      <c r="C93" s="64">
        <v>0.53</v>
      </c>
      <c r="D93" s="64">
        <v>45.85</v>
      </c>
      <c r="E93" s="64">
        <v>5.95</v>
      </c>
      <c r="F93" s="64">
        <v>3.2</v>
      </c>
      <c r="G93" s="64">
        <v>162.86000000000001</v>
      </c>
      <c r="H93" s="64">
        <v>48</v>
      </c>
      <c r="I93" s="64">
        <v>4.3899999999999997</v>
      </c>
      <c r="J93" s="64">
        <v>0.08</v>
      </c>
      <c r="K93" s="64">
        <v>37.71</v>
      </c>
      <c r="L93" s="64">
        <v>17.420000000000002</v>
      </c>
      <c r="M93" s="64">
        <v>85.79</v>
      </c>
      <c r="N93" s="64">
        <v>42.4</v>
      </c>
      <c r="O93" s="64">
        <v>0</v>
      </c>
      <c r="P93" s="64">
        <v>1.51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1" t="s">
        <v>1101</v>
      </c>
      <c r="B94" s="64">
        <v>69.52</v>
      </c>
      <c r="C94" s="64">
        <v>1.77</v>
      </c>
      <c r="D94" s="64">
        <v>53.57</v>
      </c>
      <c r="E94" s="64">
        <v>5.77</v>
      </c>
      <c r="F94" s="64">
        <v>3.22</v>
      </c>
      <c r="G94" s="64">
        <v>159.33000000000001</v>
      </c>
      <c r="H94" s="64">
        <v>50.28</v>
      </c>
      <c r="I94" s="64">
        <v>4.6900000000000004</v>
      </c>
      <c r="J94" s="64">
        <v>0.08</v>
      </c>
      <c r="K94" s="64">
        <v>311.94</v>
      </c>
      <c r="L94" s="64">
        <v>17.59</v>
      </c>
      <c r="M94" s="64">
        <v>79.62</v>
      </c>
      <c r="N94" s="64">
        <v>42.3</v>
      </c>
      <c r="O94" s="64">
        <v>0</v>
      </c>
      <c r="P94" s="64">
        <v>1.65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1" t="s">
        <v>1102</v>
      </c>
      <c r="B95" s="64">
        <v>74.23</v>
      </c>
      <c r="C95" s="64">
        <v>0.71</v>
      </c>
      <c r="D95" s="64">
        <v>54.8</v>
      </c>
      <c r="E95" s="64">
        <v>6.18</v>
      </c>
      <c r="F95" s="64">
        <v>3.68</v>
      </c>
      <c r="G95" s="64">
        <v>149.62</v>
      </c>
      <c r="H95" s="64">
        <v>54.36</v>
      </c>
      <c r="I95" s="64">
        <v>4.97</v>
      </c>
      <c r="J95" s="64">
        <v>0.1</v>
      </c>
      <c r="K95" s="64">
        <v>324.19</v>
      </c>
      <c r="L95" s="64">
        <v>17.440000000000001</v>
      </c>
      <c r="M95" s="64">
        <v>82.45</v>
      </c>
      <c r="N95" s="64">
        <v>42.3</v>
      </c>
      <c r="O95" s="64">
        <v>0</v>
      </c>
      <c r="P95" s="64">
        <v>1.76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11" t="s">
        <v>1103</v>
      </c>
      <c r="B96" s="64">
        <v>74.97</v>
      </c>
      <c r="C96" s="64">
        <v>0.8</v>
      </c>
      <c r="D96" s="64">
        <v>55.9</v>
      </c>
      <c r="E96" s="64">
        <v>5.9</v>
      </c>
      <c r="F96" s="64">
        <v>3.61</v>
      </c>
      <c r="G96" s="64">
        <v>149.62</v>
      </c>
      <c r="H96" s="64">
        <v>54.36</v>
      </c>
      <c r="I96" s="64">
        <v>5.19</v>
      </c>
      <c r="J96" s="64">
        <v>7.0000000000000007E-2</v>
      </c>
      <c r="K96" s="64">
        <v>283.49</v>
      </c>
      <c r="L96" s="64">
        <v>17.38</v>
      </c>
      <c r="M96" s="64">
        <v>79.44</v>
      </c>
      <c r="N96" s="64">
        <v>42.1</v>
      </c>
      <c r="O96" s="64">
        <v>0</v>
      </c>
      <c r="P96" s="64">
        <v>1.82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1104</v>
      </c>
      <c r="B97" s="64">
        <v>69.45</v>
      </c>
      <c r="C97" s="64">
        <v>0</v>
      </c>
      <c r="D97" s="64">
        <v>49.92</v>
      </c>
      <c r="E97" s="64">
        <v>6.28</v>
      </c>
      <c r="F97" s="64">
        <v>3.6</v>
      </c>
      <c r="G97" s="64">
        <v>149.62</v>
      </c>
      <c r="H97" s="64">
        <v>54.36</v>
      </c>
      <c r="I97" s="64">
        <v>5.43</v>
      </c>
      <c r="J97" s="64">
        <v>0.14000000000000001</v>
      </c>
      <c r="K97" s="64">
        <v>299.20999999999998</v>
      </c>
      <c r="L97" s="64">
        <v>17.27</v>
      </c>
      <c r="M97" s="64">
        <v>79.61</v>
      </c>
      <c r="N97" s="64">
        <v>42.3</v>
      </c>
      <c r="O97" s="64">
        <v>0</v>
      </c>
      <c r="P97" s="64">
        <v>1.72</v>
      </c>
      <c r="Q97" s="64">
        <v>9.74</v>
      </c>
      <c r="R97" s="198"/>
      <c r="S97" s="198"/>
      <c r="T97" s="198"/>
      <c r="U97" s="198"/>
    </row>
    <row r="98" spans="1:33" s="12" customFormat="1" x14ac:dyDescent="0.25">
      <c r="A98" s="211" t="s">
        <v>1105</v>
      </c>
      <c r="B98" s="64">
        <v>70.209999999999994</v>
      </c>
      <c r="C98" s="64">
        <v>0.37</v>
      </c>
      <c r="D98" s="64">
        <v>52.24</v>
      </c>
      <c r="E98" s="64">
        <v>5.92</v>
      </c>
      <c r="F98" s="64">
        <v>3.49</v>
      </c>
      <c r="G98" s="64">
        <v>149.04</v>
      </c>
      <c r="H98" s="64">
        <v>52.55</v>
      </c>
      <c r="I98" s="64">
        <v>5.58</v>
      </c>
      <c r="J98" s="64">
        <v>0.1</v>
      </c>
      <c r="K98" s="64">
        <v>298.51</v>
      </c>
      <c r="L98" s="64">
        <v>16.920000000000002</v>
      </c>
      <c r="M98" s="64">
        <v>82.49</v>
      </c>
      <c r="N98" s="64">
        <v>42.3</v>
      </c>
      <c r="O98" s="64">
        <v>0</v>
      </c>
      <c r="P98" s="64">
        <v>1.79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1" t="s">
        <v>1106</v>
      </c>
      <c r="B99" s="64">
        <v>68.5</v>
      </c>
      <c r="C99" s="64">
        <v>0</v>
      </c>
      <c r="D99" s="64">
        <v>51.03</v>
      </c>
      <c r="E99" s="64">
        <v>6.1</v>
      </c>
      <c r="F99" s="64">
        <v>3.54</v>
      </c>
      <c r="G99" s="64">
        <v>147.44999999999999</v>
      </c>
      <c r="H99" s="64">
        <v>49.29</v>
      </c>
      <c r="I99" s="64">
        <v>5.68</v>
      </c>
      <c r="J99" s="64">
        <v>0.11</v>
      </c>
      <c r="K99" s="64">
        <v>301.02999999999997</v>
      </c>
      <c r="L99" s="64">
        <v>16.93</v>
      </c>
      <c r="M99" s="64">
        <v>78.680000000000007</v>
      </c>
      <c r="N99" s="64">
        <v>42.2</v>
      </c>
      <c r="O99" s="64">
        <v>0</v>
      </c>
      <c r="P99" s="64">
        <v>1.78</v>
      </c>
      <c r="Q99" s="64">
        <v>9.76</v>
      </c>
      <c r="R99" s="198"/>
      <c r="S99" s="198"/>
      <c r="T99" s="198"/>
      <c r="U99" s="198"/>
    </row>
    <row r="100" spans="1:33" s="12" customFormat="1" x14ac:dyDescent="0.25">
      <c r="A100" s="211" t="s">
        <v>1107</v>
      </c>
      <c r="B100" s="64">
        <v>69.17</v>
      </c>
      <c r="C100" s="64">
        <v>0</v>
      </c>
      <c r="D100" s="64">
        <v>50.6</v>
      </c>
      <c r="E100" s="64">
        <v>6.11</v>
      </c>
      <c r="F100" s="64">
        <v>3.49</v>
      </c>
      <c r="G100" s="64">
        <v>147.44999999999999</v>
      </c>
      <c r="H100" s="64">
        <v>49.29</v>
      </c>
      <c r="I100" s="64">
        <v>5.78</v>
      </c>
      <c r="J100" s="64">
        <v>0.21</v>
      </c>
      <c r="K100" s="64">
        <v>340.29</v>
      </c>
      <c r="L100" s="64">
        <v>16.77</v>
      </c>
      <c r="M100" s="64">
        <v>84.79</v>
      </c>
      <c r="N100" s="64">
        <v>42.4</v>
      </c>
      <c r="O100" s="64">
        <v>0</v>
      </c>
      <c r="P100" s="64">
        <v>1.8</v>
      </c>
      <c r="Q100" s="64">
        <v>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1108</v>
      </c>
      <c r="B101" s="64">
        <v>71.92</v>
      </c>
      <c r="C101" s="64">
        <v>0</v>
      </c>
      <c r="D101" s="64">
        <v>51.24</v>
      </c>
      <c r="E101" s="64">
        <v>6.22</v>
      </c>
      <c r="F101" s="64">
        <v>3.35</v>
      </c>
      <c r="G101" s="64">
        <v>147.44999999999999</v>
      </c>
      <c r="H101" s="64">
        <v>49.29</v>
      </c>
      <c r="I101" s="64">
        <v>5.83</v>
      </c>
      <c r="J101" s="64">
        <v>0.13</v>
      </c>
      <c r="K101" s="64">
        <v>307.92</v>
      </c>
      <c r="L101" s="64">
        <v>16.37</v>
      </c>
      <c r="M101" s="64">
        <v>85.17</v>
      </c>
      <c r="N101" s="64">
        <v>42.4</v>
      </c>
      <c r="O101" s="64">
        <v>0</v>
      </c>
      <c r="P101" s="64">
        <v>1.81</v>
      </c>
      <c r="Q101" s="64">
        <v>9.75</v>
      </c>
      <c r="R101" s="198"/>
      <c r="S101" s="198"/>
      <c r="T101" s="198"/>
      <c r="U101" s="198"/>
    </row>
    <row r="102" spans="1:33" s="12" customFormat="1" x14ac:dyDescent="0.25">
      <c r="A102" s="211" t="s">
        <v>1109</v>
      </c>
      <c r="B102" s="64">
        <v>73.05</v>
      </c>
      <c r="C102" s="64">
        <v>0</v>
      </c>
      <c r="D102" s="64">
        <v>51.49</v>
      </c>
      <c r="E102" s="64">
        <v>6.16</v>
      </c>
      <c r="F102" s="64">
        <v>3.27</v>
      </c>
      <c r="G102" s="64">
        <v>141.63999999999999</v>
      </c>
      <c r="H102" s="64">
        <v>49.34</v>
      </c>
      <c r="I102" s="64">
        <v>5.89</v>
      </c>
      <c r="J102" s="64">
        <v>0.14000000000000001</v>
      </c>
      <c r="K102" s="64">
        <v>317.55</v>
      </c>
      <c r="L102" s="64">
        <v>16.36</v>
      </c>
      <c r="M102" s="64">
        <v>83.4</v>
      </c>
      <c r="N102" s="64">
        <v>42.3</v>
      </c>
      <c r="O102" s="64">
        <v>0</v>
      </c>
      <c r="P102" s="64">
        <v>1.78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1" t="s">
        <v>1110</v>
      </c>
      <c r="B103" s="64">
        <v>73.23</v>
      </c>
      <c r="C103" s="64">
        <v>0</v>
      </c>
      <c r="D103" s="64">
        <v>51.47</v>
      </c>
      <c r="E103" s="64">
        <v>6.05</v>
      </c>
      <c r="F103" s="64">
        <v>3.39</v>
      </c>
      <c r="G103" s="64">
        <v>125.67</v>
      </c>
      <c r="H103" s="64">
        <v>49.44</v>
      </c>
      <c r="I103" s="64">
        <v>5.91</v>
      </c>
      <c r="J103" s="64">
        <v>0.11</v>
      </c>
      <c r="K103" s="64">
        <v>318.10000000000002</v>
      </c>
      <c r="L103" s="64">
        <v>16.18</v>
      </c>
      <c r="M103" s="64">
        <v>86.29</v>
      </c>
      <c r="N103" s="64">
        <v>42.4</v>
      </c>
      <c r="O103" s="64">
        <v>0</v>
      </c>
      <c r="P103" s="64">
        <v>1.76</v>
      </c>
      <c r="Q103" s="64">
        <v>9.75</v>
      </c>
      <c r="R103" s="198"/>
      <c r="S103" s="198"/>
      <c r="T103" s="198"/>
      <c r="U103" s="198"/>
    </row>
    <row r="104" spans="1:33" s="12" customFormat="1" x14ac:dyDescent="0.25">
      <c r="A104" s="211" t="s">
        <v>1111</v>
      </c>
      <c r="B104" s="64">
        <v>72.48</v>
      </c>
      <c r="C104" s="64">
        <v>0</v>
      </c>
      <c r="D104" s="64">
        <v>50.87</v>
      </c>
      <c r="E104" s="64">
        <v>5.29</v>
      </c>
      <c r="F104" s="64">
        <v>3.51</v>
      </c>
      <c r="G104" s="64">
        <v>125.67</v>
      </c>
      <c r="H104" s="64">
        <v>49.44</v>
      </c>
      <c r="I104" s="64">
        <v>5.9</v>
      </c>
      <c r="J104" s="64">
        <v>0.05</v>
      </c>
      <c r="K104" s="64">
        <v>352.24</v>
      </c>
      <c r="L104" s="64">
        <v>15.88</v>
      </c>
      <c r="M104" s="64">
        <v>86.98</v>
      </c>
      <c r="N104" s="64">
        <v>42.2</v>
      </c>
      <c r="O104" s="64">
        <v>0</v>
      </c>
      <c r="P104" s="64">
        <v>1.74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0.63</v>
      </c>
      <c r="C106" s="67">
        <f>MIN(C9:C104)</f>
        <v>0</v>
      </c>
      <c r="D106" s="67">
        <f t="shared" ref="D106:Q106" si="0">MIN(D9:D104)</f>
        <v>9.14</v>
      </c>
      <c r="E106" s="67">
        <f t="shared" si="0"/>
        <v>5.08</v>
      </c>
      <c r="F106" s="67">
        <f t="shared" si="0"/>
        <v>2.95</v>
      </c>
      <c r="G106" s="67">
        <f t="shared" si="0"/>
        <v>54.6</v>
      </c>
      <c r="H106" s="67">
        <f t="shared" si="0"/>
        <v>22.45</v>
      </c>
      <c r="I106" s="67">
        <f t="shared" si="0"/>
        <v>2.94</v>
      </c>
      <c r="J106" s="67">
        <f t="shared" si="0"/>
        <v>0.01</v>
      </c>
      <c r="K106" s="67">
        <f t="shared" si="0"/>
        <v>10</v>
      </c>
      <c r="L106" s="67">
        <f t="shared" si="0"/>
        <v>15.04</v>
      </c>
      <c r="M106" s="67">
        <f t="shared" si="0"/>
        <v>25.95</v>
      </c>
      <c r="N106" s="67">
        <f t="shared" si="0"/>
        <v>42.1</v>
      </c>
      <c r="O106" s="67">
        <f t="shared" si="0"/>
        <v>0</v>
      </c>
      <c r="P106" s="67">
        <f t="shared" si="0"/>
        <v>0.56000000000000005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74.97</v>
      </c>
      <c r="C107" s="66">
        <f t="shared" ref="C107:Q107" si="1">MAX(C9:C104)</f>
        <v>32.07</v>
      </c>
      <c r="D107" s="66">
        <f t="shared" si="1"/>
        <v>55.9</v>
      </c>
      <c r="E107" s="66">
        <f t="shared" si="1"/>
        <v>13.74</v>
      </c>
      <c r="F107" s="66">
        <f t="shared" si="1"/>
        <v>15.6</v>
      </c>
      <c r="G107" s="66">
        <f t="shared" si="1"/>
        <v>229.3</v>
      </c>
      <c r="H107" s="66">
        <f t="shared" si="1"/>
        <v>61.37</v>
      </c>
      <c r="I107" s="66">
        <f t="shared" si="1"/>
        <v>5.91</v>
      </c>
      <c r="J107" s="66">
        <f t="shared" si="1"/>
        <v>1.27</v>
      </c>
      <c r="K107" s="66">
        <f t="shared" si="1"/>
        <v>358.11</v>
      </c>
      <c r="L107" s="66">
        <f t="shared" si="1"/>
        <v>28.95</v>
      </c>
      <c r="M107" s="66">
        <f t="shared" si="1"/>
        <v>86.98</v>
      </c>
      <c r="N107" s="66">
        <f t="shared" si="1"/>
        <v>776.4</v>
      </c>
      <c r="O107" s="66">
        <f t="shared" si="1"/>
        <v>0</v>
      </c>
      <c r="P107" s="66">
        <f t="shared" si="1"/>
        <v>1.82</v>
      </c>
      <c r="Q107" s="66">
        <f t="shared" si="1"/>
        <v>9.76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16.41</v>
      </c>
      <c r="C108" s="67">
        <f t="shared" ref="C108:Q108" si="2">AVERAGE(C9:C104)</f>
        <v>13.472812499999995</v>
      </c>
      <c r="D108" s="67">
        <f t="shared" si="2"/>
        <v>19.147812500000001</v>
      </c>
      <c r="E108" s="67">
        <f t="shared" si="2"/>
        <v>6.3811458333333304</v>
      </c>
      <c r="F108" s="67">
        <f t="shared" si="2"/>
        <v>4.6012500000000021</v>
      </c>
      <c r="G108" s="67">
        <f t="shared" si="2"/>
        <v>116.86656250000014</v>
      </c>
      <c r="H108" s="67">
        <f t="shared" si="2"/>
        <v>41.802187499999981</v>
      </c>
      <c r="I108" s="67">
        <f t="shared" si="2"/>
        <v>3.8330208333333338</v>
      </c>
      <c r="J108" s="67">
        <f t="shared" si="2"/>
        <v>0.46156250000000004</v>
      </c>
      <c r="K108" s="67">
        <f t="shared" si="2"/>
        <v>298.71989583333323</v>
      </c>
      <c r="L108" s="67">
        <f t="shared" si="2"/>
        <v>20.96583333333334</v>
      </c>
      <c r="M108" s="67">
        <f t="shared" si="2"/>
        <v>52.533854166666657</v>
      </c>
      <c r="N108" s="67">
        <f t="shared" si="2"/>
        <v>195.76979166666675</v>
      </c>
      <c r="O108" s="67">
        <f t="shared" si="2"/>
        <v>0</v>
      </c>
      <c r="P108" s="67">
        <f t="shared" si="2"/>
        <v>0.97677083333333348</v>
      </c>
      <c r="Q108" s="67">
        <f t="shared" si="2"/>
        <v>9.3448958333333341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21.716829224795852</v>
      </c>
      <c r="C109" s="67">
        <f t="shared" ref="C109:Q109" si="3">STDEV(C9:C104)</f>
        <v>6.8509058491521735</v>
      </c>
      <c r="D109" s="67">
        <f t="shared" si="3"/>
        <v>13.074741112713237</v>
      </c>
      <c r="E109" s="67">
        <f t="shared" si="3"/>
        <v>1.389977561190858</v>
      </c>
      <c r="F109" s="67">
        <f t="shared" si="3"/>
        <v>2.4082901774801422</v>
      </c>
      <c r="G109" s="67">
        <f t="shared" si="3"/>
        <v>40.507941958872678</v>
      </c>
      <c r="H109" s="67">
        <f t="shared" si="3"/>
        <v>11.130819916186788</v>
      </c>
      <c r="I109" s="67">
        <f t="shared" si="3"/>
        <v>0.69261232384383298</v>
      </c>
      <c r="J109" s="67">
        <f t="shared" si="3"/>
        <v>0.33922303833442985</v>
      </c>
      <c r="K109" s="67">
        <f t="shared" si="3"/>
        <v>82.782868396722293</v>
      </c>
      <c r="L109" s="67">
        <f t="shared" si="3"/>
        <v>4.5325189154925658</v>
      </c>
      <c r="M109" s="67">
        <f t="shared" si="3"/>
        <v>21.118483566462132</v>
      </c>
      <c r="N109" s="67">
        <f t="shared" si="3"/>
        <v>241.20732821188068</v>
      </c>
      <c r="O109" s="67">
        <f t="shared" si="3"/>
        <v>0</v>
      </c>
      <c r="P109" s="67">
        <f t="shared" si="3"/>
        <v>0.33272873348678339</v>
      </c>
      <c r="Q109" s="67">
        <f t="shared" si="3"/>
        <v>0.19199229585237707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2" sqref="N11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1112</v>
      </c>
      <c r="B9" s="64">
        <v>70.75</v>
      </c>
      <c r="C9" s="6" t="s">
        <v>42</v>
      </c>
      <c r="D9" s="64">
        <v>49.7</v>
      </c>
      <c r="E9" s="64">
        <v>5.79</v>
      </c>
      <c r="F9" s="64">
        <v>3.54</v>
      </c>
      <c r="G9" s="64">
        <v>125.67</v>
      </c>
      <c r="H9" s="64">
        <v>49.44</v>
      </c>
      <c r="I9" s="64">
        <v>5.88</v>
      </c>
      <c r="J9" s="64">
        <v>0.06</v>
      </c>
      <c r="K9" s="64">
        <v>223.65</v>
      </c>
      <c r="L9" s="64">
        <v>15.69</v>
      </c>
      <c r="M9" s="64">
        <v>94.82</v>
      </c>
      <c r="N9" s="64">
        <v>42.3</v>
      </c>
      <c r="O9" s="64">
        <v>0</v>
      </c>
      <c r="P9" s="64">
        <v>1.72</v>
      </c>
      <c r="Q9" s="64">
        <v>9.75</v>
      </c>
      <c r="R9" s="198"/>
      <c r="S9" s="198"/>
      <c r="T9" s="198"/>
      <c r="U9" s="198"/>
    </row>
    <row r="10" spans="1:21" s="12" customFormat="1" x14ac:dyDescent="0.25">
      <c r="A10" s="211" t="s">
        <v>1113</v>
      </c>
      <c r="B10" s="64">
        <v>68.709999999999994</v>
      </c>
      <c r="C10" s="6" t="s">
        <v>42</v>
      </c>
      <c r="D10" s="64">
        <v>48.29</v>
      </c>
      <c r="E10" s="64">
        <v>6.06</v>
      </c>
      <c r="F10" s="64">
        <v>3.01</v>
      </c>
      <c r="G10" s="64">
        <v>124.88</v>
      </c>
      <c r="H10" s="64">
        <v>49.88</v>
      </c>
      <c r="I10" s="64">
        <v>5.83</v>
      </c>
      <c r="J10" s="64">
        <v>0.02</v>
      </c>
      <c r="K10" s="64">
        <v>294</v>
      </c>
      <c r="L10" s="64">
        <v>15.6</v>
      </c>
      <c r="M10" s="64">
        <v>97.71</v>
      </c>
      <c r="N10" s="64">
        <v>42.2</v>
      </c>
      <c r="O10" s="64">
        <v>0</v>
      </c>
      <c r="P10" s="64">
        <v>1.69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1" t="s">
        <v>1114</v>
      </c>
      <c r="B11" s="64">
        <v>66.41</v>
      </c>
      <c r="C11" s="6" t="s">
        <v>42</v>
      </c>
      <c r="D11" s="64">
        <v>46.68</v>
      </c>
      <c r="E11" s="64">
        <v>5.92</v>
      </c>
      <c r="F11" s="64">
        <v>2.98</v>
      </c>
      <c r="G11" s="64">
        <v>122.71</v>
      </c>
      <c r="H11" s="64">
        <v>51.61</v>
      </c>
      <c r="I11" s="64">
        <v>6.17</v>
      </c>
      <c r="J11" s="64">
        <v>0.11</v>
      </c>
      <c r="K11" s="64">
        <v>175.96</v>
      </c>
      <c r="L11" s="64">
        <v>15.43</v>
      </c>
      <c r="M11" s="64">
        <v>96.97</v>
      </c>
      <c r="N11" s="64">
        <v>42.1</v>
      </c>
      <c r="O11" s="64">
        <v>0</v>
      </c>
      <c r="P11" s="64">
        <v>1.67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1" t="s">
        <v>1115</v>
      </c>
      <c r="B12" s="64">
        <v>63.75</v>
      </c>
      <c r="C12" s="6" t="s">
        <v>42</v>
      </c>
      <c r="D12" s="64">
        <v>44.85</v>
      </c>
      <c r="E12" s="64">
        <v>5.75</v>
      </c>
      <c r="F12" s="64">
        <v>3.02</v>
      </c>
      <c r="G12" s="64">
        <v>122.71</v>
      </c>
      <c r="H12" s="64">
        <v>51.61</v>
      </c>
      <c r="I12" s="64">
        <v>6.02</v>
      </c>
      <c r="J12" s="64">
        <v>0.11</v>
      </c>
      <c r="K12" s="64">
        <v>342.21</v>
      </c>
      <c r="L12" s="64">
        <v>15.4</v>
      </c>
      <c r="M12" s="64">
        <v>96.06</v>
      </c>
      <c r="N12" s="64">
        <v>42.3</v>
      </c>
      <c r="O12" s="64">
        <v>0</v>
      </c>
      <c r="P12" s="64">
        <v>1.62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1" t="s">
        <v>1116</v>
      </c>
      <c r="B13" s="64">
        <v>60.67</v>
      </c>
      <c r="C13" s="6" t="s">
        <v>42</v>
      </c>
      <c r="D13" s="64">
        <v>42.9</v>
      </c>
      <c r="E13" s="64">
        <v>5.59</v>
      </c>
      <c r="F13" s="64">
        <v>2.98</v>
      </c>
      <c r="G13" s="64">
        <v>122.71</v>
      </c>
      <c r="H13" s="64">
        <v>51.61</v>
      </c>
      <c r="I13" s="64">
        <v>5.66</v>
      </c>
      <c r="J13" s="64">
        <v>0.03</v>
      </c>
      <c r="K13" s="64">
        <v>65.59</v>
      </c>
      <c r="L13" s="64">
        <v>15.18</v>
      </c>
      <c r="M13" s="64">
        <v>95.82</v>
      </c>
      <c r="N13" s="64">
        <v>42.2</v>
      </c>
      <c r="O13" s="64">
        <v>0</v>
      </c>
      <c r="P13" s="64">
        <v>1.38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11" t="s">
        <v>1117</v>
      </c>
      <c r="B14" s="64">
        <v>57.61</v>
      </c>
      <c r="C14" s="6" t="s">
        <v>42</v>
      </c>
      <c r="D14" s="64">
        <v>41</v>
      </c>
      <c r="E14" s="64">
        <v>5.48</v>
      </c>
      <c r="F14" s="64">
        <v>2.94</v>
      </c>
      <c r="G14" s="64">
        <v>112.92</v>
      </c>
      <c r="H14" s="64">
        <v>48.97</v>
      </c>
      <c r="I14" s="64">
        <v>5.57</v>
      </c>
      <c r="J14" s="64">
        <v>0.03</v>
      </c>
      <c r="K14" s="64">
        <v>321.89999999999998</v>
      </c>
      <c r="L14" s="64">
        <v>15.04</v>
      </c>
      <c r="M14" s="64">
        <v>95.95</v>
      </c>
      <c r="N14" s="64">
        <v>42.2</v>
      </c>
      <c r="O14" s="64">
        <v>0</v>
      </c>
      <c r="P14" s="64">
        <v>1.41</v>
      </c>
      <c r="Q14" s="64">
        <v>9.73</v>
      </c>
      <c r="R14" s="198"/>
      <c r="S14" s="198"/>
      <c r="T14" s="198"/>
      <c r="U14" s="198"/>
    </row>
    <row r="15" spans="1:21" s="12" customFormat="1" x14ac:dyDescent="0.25">
      <c r="A15" s="211" t="s">
        <v>1118</v>
      </c>
      <c r="B15" s="64">
        <v>54.93</v>
      </c>
      <c r="C15" s="6" t="s">
        <v>42</v>
      </c>
      <c r="D15" s="64">
        <v>39.17</v>
      </c>
      <c r="E15" s="64">
        <v>5.38</v>
      </c>
      <c r="F15" s="64">
        <v>3.37</v>
      </c>
      <c r="G15" s="64">
        <v>85.99</v>
      </c>
      <c r="H15" s="64">
        <v>44.23</v>
      </c>
      <c r="I15" s="64">
        <v>5.47</v>
      </c>
      <c r="J15" s="64">
        <v>0.08</v>
      </c>
      <c r="K15" s="64">
        <v>344.7</v>
      </c>
      <c r="L15" s="64">
        <v>14.93</v>
      </c>
      <c r="M15" s="64">
        <v>97.46</v>
      </c>
      <c r="N15" s="64">
        <v>42.2</v>
      </c>
      <c r="O15" s="64">
        <v>0</v>
      </c>
      <c r="P15" s="64">
        <v>1.39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1" t="s">
        <v>1119</v>
      </c>
      <c r="B16" s="64">
        <v>52.22</v>
      </c>
      <c r="C16" s="6" t="s">
        <v>42</v>
      </c>
      <c r="D16" s="64">
        <v>37.549999999999997</v>
      </c>
      <c r="E16" s="64">
        <v>5.51</v>
      </c>
      <c r="F16" s="64">
        <v>3.09</v>
      </c>
      <c r="G16" s="64">
        <v>85.99</v>
      </c>
      <c r="H16" s="64">
        <v>44.23</v>
      </c>
      <c r="I16" s="64">
        <v>5.38</v>
      </c>
      <c r="J16" s="64">
        <v>0.12</v>
      </c>
      <c r="K16" s="64">
        <v>329.68</v>
      </c>
      <c r="L16" s="64">
        <v>14.9</v>
      </c>
      <c r="M16" s="64">
        <v>97.99</v>
      </c>
      <c r="N16" s="64">
        <v>42.1</v>
      </c>
      <c r="O16" s="64">
        <v>0</v>
      </c>
      <c r="P16" s="64">
        <v>1.39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1" t="s">
        <v>1120</v>
      </c>
      <c r="B17" s="64">
        <v>49.48</v>
      </c>
      <c r="C17" s="6" t="s">
        <v>42</v>
      </c>
      <c r="D17" s="64">
        <v>36.049999999999997</v>
      </c>
      <c r="E17" s="64">
        <v>5.57</v>
      </c>
      <c r="F17" s="64">
        <v>3.1</v>
      </c>
      <c r="G17" s="64">
        <v>85.99</v>
      </c>
      <c r="H17" s="64">
        <v>44.23</v>
      </c>
      <c r="I17" s="64">
        <v>5.32</v>
      </c>
      <c r="J17" s="64">
        <v>0.02</v>
      </c>
      <c r="K17" s="64">
        <v>237.54</v>
      </c>
      <c r="L17" s="64">
        <v>14.84</v>
      </c>
      <c r="M17" s="64">
        <v>97.09</v>
      </c>
      <c r="N17" s="64">
        <v>42</v>
      </c>
      <c r="O17" s="64">
        <v>0</v>
      </c>
      <c r="P17" s="64">
        <v>1.38</v>
      </c>
      <c r="Q17" s="64">
        <v>9.6999999999999993</v>
      </c>
      <c r="R17" s="198"/>
      <c r="S17" s="198"/>
      <c r="T17" s="198"/>
      <c r="U17" s="198"/>
    </row>
    <row r="18" spans="1:21" s="12" customFormat="1" x14ac:dyDescent="0.25">
      <c r="A18" s="211" t="s">
        <v>1121</v>
      </c>
      <c r="B18" s="64">
        <v>46.84</v>
      </c>
      <c r="C18" s="6" t="s">
        <v>42</v>
      </c>
      <c r="D18" s="64">
        <v>34.58</v>
      </c>
      <c r="E18" s="64">
        <v>5.89</v>
      </c>
      <c r="F18" s="64">
        <v>3.33</v>
      </c>
      <c r="G18" s="64">
        <v>83.22</v>
      </c>
      <c r="H18" s="64">
        <v>41.21</v>
      </c>
      <c r="I18" s="64">
        <v>5.25</v>
      </c>
      <c r="J18" s="64">
        <v>7.0000000000000007E-2</v>
      </c>
      <c r="K18" s="64">
        <v>1.33</v>
      </c>
      <c r="L18" s="64">
        <v>14.87</v>
      </c>
      <c r="M18" s="64">
        <v>95.84</v>
      </c>
      <c r="N18" s="64">
        <v>42.1</v>
      </c>
      <c r="O18" s="64">
        <v>0</v>
      </c>
      <c r="P18" s="64">
        <v>1.38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1" t="s">
        <v>1122</v>
      </c>
      <c r="B19" s="64">
        <v>44.56</v>
      </c>
      <c r="C19" s="6" t="s">
        <v>42</v>
      </c>
      <c r="D19" s="64">
        <v>33.29</v>
      </c>
      <c r="E19" s="64">
        <v>5.25</v>
      </c>
      <c r="F19" s="64">
        <v>3.53</v>
      </c>
      <c r="G19" s="64">
        <v>75.599999999999994</v>
      </c>
      <c r="H19" s="64">
        <v>35.79</v>
      </c>
      <c r="I19" s="64">
        <v>5.19</v>
      </c>
      <c r="J19" s="64">
        <v>0.09</v>
      </c>
      <c r="K19" s="64">
        <v>2.33</v>
      </c>
      <c r="L19" s="64">
        <v>14.71</v>
      </c>
      <c r="M19" s="64">
        <v>94.42</v>
      </c>
      <c r="N19" s="64">
        <v>42.2</v>
      </c>
      <c r="O19" s="64">
        <v>0</v>
      </c>
      <c r="P19" s="64">
        <v>1.37</v>
      </c>
      <c r="Q19" s="64">
        <v>9.6999999999999993</v>
      </c>
      <c r="R19" s="198"/>
      <c r="S19" s="198"/>
      <c r="T19" s="198"/>
      <c r="U19" s="198"/>
    </row>
    <row r="20" spans="1:21" s="12" customFormat="1" x14ac:dyDescent="0.25">
      <c r="A20" s="211" t="s">
        <v>1123</v>
      </c>
      <c r="B20" s="64">
        <v>42.39</v>
      </c>
      <c r="C20" s="6" t="s">
        <v>42</v>
      </c>
      <c r="D20" s="64">
        <v>32.07</v>
      </c>
      <c r="E20" s="64">
        <v>5.61</v>
      </c>
      <c r="F20" s="64">
        <v>3.29</v>
      </c>
      <c r="G20" s="64">
        <v>75.599999999999994</v>
      </c>
      <c r="H20" s="64">
        <v>35.79</v>
      </c>
      <c r="I20" s="64">
        <v>5.12</v>
      </c>
      <c r="J20" s="64">
        <v>0.05</v>
      </c>
      <c r="K20" s="64">
        <v>231.55</v>
      </c>
      <c r="L20" s="64">
        <v>14.84</v>
      </c>
      <c r="M20" s="64">
        <v>94.29</v>
      </c>
      <c r="N20" s="64">
        <v>42.1</v>
      </c>
      <c r="O20" s="64">
        <v>0</v>
      </c>
      <c r="P20" s="64">
        <v>1.32</v>
      </c>
      <c r="Q20" s="64">
        <v>9.69</v>
      </c>
      <c r="R20" s="198"/>
      <c r="S20" s="198"/>
      <c r="T20" s="198"/>
      <c r="U20" s="198"/>
    </row>
    <row r="21" spans="1:21" s="12" customFormat="1" x14ac:dyDescent="0.25">
      <c r="A21" s="211" t="s">
        <v>1124</v>
      </c>
      <c r="B21" s="64">
        <v>40.270000000000003</v>
      </c>
      <c r="C21" s="6" t="s">
        <v>42</v>
      </c>
      <c r="D21" s="64">
        <v>30.83</v>
      </c>
      <c r="E21" s="64">
        <v>5.65</v>
      </c>
      <c r="F21" s="64">
        <v>3.41</v>
      </c>
      <c r="G21" s="64">
        <v>75.599999999999994</v>
      </c>
      <c r="H21" s="64">
        <v>35.79</v>
      </c>
      <c r="I21" s="64">
        <v>5.05</v>
      </c>
      <c r="J21" s="64">
        <v>0.12</v>
      </c>
      <c r="K21" s="64">
        <v>341.47</v>
      </c>
      <c r="L21" s="64">
        <v>14.85</v>
      </c>
      <c r="M21" s="64">
        <v>91.79</v>
      </c>
      <c r="N21" s="64">
        <v>42.3</v>
      </c>
      <c r="O21" s="64">
        <v>0</v>
      </c>
      <c r="P21" s="64">
        <v>1.29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1" t="s">
        <v>1125</v>
      </c>
      <c r="B22" s="64">
        <v>38.46</v>
      </c>
      <c r="C22" s="6" t="s">
        <v>42</v>
      </c>
      <c r="D22" s="64">
        <v>29.74</v>
      </c>
      <c r="E22" s="64">
        <v>5.56</v>
      </c>
      <c r="F22" s="64">
        <v>3.34</v>
      </c>
      <c r="G22" s="64">
        <v>76.88</v>
      </c>
      <c r="H22" s="64">
        <v>36.75</v>
      </c>
      <c r="I22" s="64">
        <v>4.9800000000000004</v>
      </c>
      <c r="J22" s="64">
        <v>0.23</v>
      </c>
      <c r="K22" s="64">
        <v>326.99</v>
      </c>
      <c r="L22" s="64">
        <v>14.86</v>
      </c>
      <c r="M22" s="64">
        <v>90.34</v>
      </c>
      <c r="N22" s="64">
        <v>41.8</v>
      </c>
      <c r="O22" s="64">
        <v>0</v>
      </c>
      <c r="P22" s="64">
        <v>1.27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1" t="s">
        <v>1126</v>
      </c>
      <c r="B23" s="64">
        <v>36.86</v>
      </c>
      <c r="C23" s="6" t="s">
        <v>42</v>
      </c>
      <c r="D23" s="64">
        <v>28.68</v>
      </c>
      <c r="E23" s="64">
        <v>5.76</v>
      </c>
      <c r="F23" s="64">
        <v>3.61</v>
      </c>
      <c r="G23" s="64">
        <v>80.39</v>
      </c>
      <c r="H23" s="64">
        <v>38.479999999999997</v>
      </c>
      <c r="I23" s="64">
        <v>4.92</v>
      </c>
      <c r="J23" s="64">
        <v>0.16</v>
      </c>
      <c r="K23" s="64">
        <v>267.27</v>
      </c>
      <c r="L23" s="64">
        <v>15.16</v>
      </c>
      <c r="M23" s="64">
        <v>87.87</v>
      </c>
      <c r="N23" s="64">
        <v>42.2</v>
      </c>
      <c r="O23" s="64">
        <v>0</v>
      </c>
      <c r="P23" s="64">
        <v>1.24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1" t="s">
        <v>1127</v>
      </c>
      <c r="B24" s="64">
        <v>35.33</v>
      </c>
      <c r="C24" s="64">
        <v>0.01</v>
      </c>
      <c r="D24" s="64">
        <v>27.75</v>
      </c>
      <c r="E24" s="64">
        <v>5.45</v>
      </c>
      <c r="F24" s="64">
        <v>3.57</v>
      </c>
      <c r="G24" s="64">
        <v>80.39</v>
      </c>
      <c r="H24" s="64">
        <v>38.479999999999997</v>
      </c>
      <c r="I24" s="64">
        <v>4.87</v>
      </c>
      <c r="J24" s="64">
        <v>0.14000000000000001</v>
      </c>
      <c r="K24" s="64">
        <v>343.04</v>
      </c>
      <c r="L24" s="64">
        <v>15.09</v>
      </c>
      <c r="M24" s="64">
        <v>86.11</v>
      </c>
      <c r="N24" s="64">
        <v>42.3</v>
      </c>
      <c r="O24" s="64">
        <v>0</v>
      </c>
      <c r="P24" s="64">
        <v>1.22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1" t="s">
        <v>1128</v>
      </c>
      <c r="B25" s="64">
        <v>34.01</v>
      </c>
      <c r="C25" s="64">
        <v>0.42</v>
      </c>
      <c r="D25" s="64">
        <v>27.04</v>
      </c>
      <c r="E25" s="64">
        <v>5.66</v>
      </c>
      <c r="F25" s="64">
        <v>3.82</v>
      </c>
      <c r="G25" s="64">
        <v>80.39</v>
      </c>
      <c r="H25" s="64">
        <v>38.479999999999997</v>
      </c>
      <c r="I25" s="64">
        <v>4.83</v>
      </c>
      <c r="J25" s="64">
        <v>0.12</v>
      </c>
      <c r="K25" s="64">
        <v>293.08</v>
      </c>
      <c r="L25" s="64">
        <v>14.93</v>
      </c>
      <c r="M25" s="64">
        <v>88.98</v>
      </c>
      <c r="N25" s="64">
        <v>42.3</v>
      </c>
      <c r="O25" s="64">
        <v>0</v>
      </c>
      <c r="P25" s="64">
        <v>1.2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1" t="s">
        <v>1129</v>
      </c>
      <c r="B26" s="64">
        <v>33.14</v>
      </c>
      <c r="C26" s="64">
        <v>0.89</v>
      </c>
      <c r="D26" s="64">
        <v>26.58</v>
      </c>
      <c r="E26" s="64">
        <v>5.79</v>
      </c>
      <c r="F26" s="64">
        <v>3.66</v>
      </c>
      <c r="G26" s="64">
        <v>107.99</v>
      </c>
      <c r="H26" s="64">
        <v>42.1</v>
      </c>
      <c r="I26" s="64">
        <v>4.8099999999999996</v>
      </c>
      <c r="J26" s="64">
        <v>0.08</v>
      </c>
      <c r="K26" s="64">
        <v>284.76</v>
      </c>
      <c r="L26" s="64">
        <v>14.82</v>
      </c>
      <c r="M26" s="64">
        <v>88.97</v>
      </c>
      <c r="N26" s="64">
        <v>42.3</v>
      </c>
      <c r="O26" s="64">
        <v>0</v>
      </c>
      <c r="P26" s="64">
        <v>1.2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1" t="s">
        <v>1130</v>
      </c>
      <c r="B27" s="64">
        <v>32.29</v>
      </c>
      <c r="C27" s="64">
        <v>1.24</v>
      </c>
      <c r="D27" s="64">
        <v>26.08</v>
      </c>
      <c r="E27" s="64">
        <v>5.58</v>
      </c>
      <c r="F27" s="64">
        <v>3.12</v>
      </c>
      <c r="G27" s="64">
        <v>183.89</v>
      </c>
      <c r="H27" s="64">
        <v>56.26</v>
      </c>
      <c r="I27" s="64">
        <v>4.8</v>
      </c>
      <c r="J27" s="64">
        <v>0.09</v>
      </c>
      <c r="K27" s="64">
        <v>279.22000000000003</v>
      </c>
      <c r="L27" s="64">
        <v>14.69</v>
      </c>
      <c r="M27" s="64">
        <v>90.91</v>
      </c>
      <c r="N27" s="64">
        <v>42.4</v>
      </c>
      <c r="O27" s="64">
        <v>0</v>
      </c>
      <c r="P27" s="64">
        <v>1.2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1" t="s">
        <v>1131</v>
      </c>
      <c r="B28" s="64">
        <v>31.64</v>
      </c>
      <c r="C28" s="64">
        <v>1.64</v>
      </c>
      <c r="D28" s="64">
        <v>25.77</v>
      </c>
      <c r="E28" s="64">
        <v>5.39</v>
      </c>
      <c r="F28" s="64">
        <v>3.45</v>
      </c>
      <c r="G28" s="64">
        <v>183.89</v>
      </c>
      <c r="H28" s="64">
        <v>56.26</v>
      </c>
      <c r="I28" s="64">
        <v>4.8</v>
      </c>
      <c r="J28" s="64">
        <v>0.09</v>
      </c>
      <c r="K28" s="64">
        <v>267.69</v>
      </c>
      <c r="L28" s="64">
        <v>14.49</v>
      </c>
      <c r="M28" s="64">
        <v>92.71</v>
      </c>
      <c r="N28" s="64">
        <v>42.3</v>
      </c>
      <c r="O28" s="64">
        <v>0</v>
      </c>
      <c r="P28" s="64">
        <v>1.2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1" t="s">
        <v>1132</v>
      </c>
      <c r="B29" s="64">
        <v>31.14</v>
      </c>
      <c r="C29" s="64">
        <v>1.96</v>
      </c>
      <c r="D29" s="64">
        <v>25.54</v>
      </c>
      <c r="E29" s="64">
        <v>5.45</v>
      </c>
      <c r="F29" s="64">
        <v>3.34</v>
      </c>
      <c r="G29" s="64">
        <v>183.89</v>
      </c>
      <c r="H29" s="64">
        <v>56.26</v>
      </c>
      <c r="I29" s="64">
        <v>4.83</v>
      </c>
      <c r="J29" s="64">
        <v>0.09</v>
      </c>
      <c r="K29" s="64">
        <v>271.63</v>
      </c>
      <c r="L29" s="64">
        <v>14.5</v>
      </c>
      <c r="M29" s="64">
        <v>90.1</v>
      </c>
      <c r="N29" s="64">
        <v>42.2</v>
      </c>
      <c r="O29" s="64">
        <v>0</v>
      </c>
      <c r="P29" s="64">
        <v>1.21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1" t="s">
        <v>1133</v>
      </c>
      <c r="B30" s="64">
        <v>30.69</v>
      </c>
      <c r="C30" s="64">
        <v>2.1800000000000002</v>
      </c>
      <c r="D30" s="64">
        <v>25.29</v>
      </c>
      <c r="E30" s="64">
        <v>5.55</v>
      </c>
      <c r="F30" s="64">
        <v>3.45</v>
      </c>
      <c r="G30" s="64">
        <v>169.75</v>
      </c>
      <c r="H30" s="64">
        <v>57.81</v>
      </c>
      <c r="I30" s="64">
        <v>4.8899999999999997</v>
      </c>
      <c r="J30" s="64">
        <v>0.1</v>
      </c>
      <c r="K30" s="64">
        <v>284.79000000000002</v>
      </c>
      <c r="L30" s="64">
        <v>14.54</v>
      </c>
      <c r="M30" s="64">
        <v>91.21</v>
      </c>
      <c r="N30" s="64">
        <v>42.2</v>
      </c>
      <c r="O30" s="64">
        <v>0</v>
      </c>
      <c r="P30" s="64">
        <v>1.21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1" t="s">
        <v>1134</v>
      </c>
      <c r="B31" s="64">
        <v>30.17</v>
      </c>
      <c r="C31" s="64">
        <v>2.52</v>
      </c>
      <c r="D31" s="64">
        <v>25.05</v>
      </c>
      <c r="E31" s="64">
        <v>5.33</v>
      </c>
      <c r="F31" s="64">
        <v>3.19</v>
      </c>
      <c r="G31" s="64">
        <v>130.86000000000001</v>
      </c>
      <c r="H31" s="64">
        <v>60.58</v>
      </c>
      <c r="I31" s="64">
        <v>4.95</v>
      </c>
      <c r="J31" s="64">
        <v>0.1</v>
      </c>
      <c r="K31" s="64">
        <v>269.81</v>
      </c>
      <c r="L31" s="64">
        <v>14.5</v>
      </c>
      <c r="M31" s="64">
        <v>89.42</v>
      </c>
      <c r="N31" s="64">
        <v>42.3</v>
      </c>
      <c r="O31" s="64">
        <v>0</v>
      </c>
      <c r="P31" s="64">
        <v>1.22</v>
      </c>
      <c r="Q31" s="64">
        <v>9.66</v>
      </c>
      <c r="R31" s="198"/>
      <c r="S31" s="198"/>
      <c r="T31" s="198"/>
      <c r="U31" s="198"/>
    </row>
    <row r="32" spans="1:21" s="12" customFormat="1" x14ac:dyDescent="0.25">
      <c r="A32" s="211" t="s">
        <v>1135</v>
      </c>
      <c r="B32" s="64">
        <v>29.14</v>
      </c>
      <c r="C32" s="64">
        <v>2.9</v>
      </c>
      <c r="D32" s="64">
        <v>24.42</v>
      </c>
      <c r="E32" s="64">
        <v>5.37</v>
      </c>
      <c r="F32" s="64">
        <v>3.2</v>
      </c>
      <c r="G32" s="64">
        <v>130.86000000000001</v>
      </c>
      <c r="H32" s="64">
        <v>60.58</v>
      </c>
      <c r="I32" s="64">
        <v>4.99</v>
      </c>
      <c r="J32" s="64">
        <v>7.0000000000000007E-2</v>
      </c>
      <c r="K32" s="64">
        <v>154.71</v>
      </c>
      <c r="L32" s="64">
        <v>14.42</v>
      </c>
      <c r="M32" s="64">
        <v>92.2</v>
      </c>
      <c r="N32" s="64">
        <v>43</v>
      </c>
      <c r="O32" s="64">
        <v>0</v>
      </c>
      <c r="P32" s="64">
        <v>1.21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1" t="s">
        <v>1136</v>
      </c>
      <c r="B33" s="64">
        <v>28.77</v>
      </c>
      <c r="C33" s="64">
        <v>3.07</v>
      </c>
      <c r="D33" s="64">
        <v>24.22</v>
      </c>
      <c r="E33" s="64">
        <v>5.56</v>
      </c>
      <c r="F33" s="64">
        <v>3.66</v>
      </c>
      <c r="G33" s="64">
        <v>130.86000000000001</v>
      </c>
      <c r="H33" s="64">
        <v>60.58</v>
      </c>
      <c r="I33" s="64">
        <v>5.01</v>
      </c>
      <c r="J33" s="64">
        <v>0.11</v>
      </c>
      <c r="K33" s="64">
        <v>220.25</v>
      </c>
      <c r="L33" s="64">
        <v>14.66</v>
      </c>
      <c r="M33" s="64">
        <v>90.51</v>
      </c>
      <c r="N33" s="64">
        <v>46.5</v>
      </c>
      <c r="O33" s="64">
        <v>0</v>
      </c>
      <c r="P33" s="64">
        <v>1.22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1" t="s">
        <v>1137</v>
      </c>
      <c r="B34" s="64">
        <v>28.55</v>
      </c>
      <c r="C34" s="64">
        <v>3.31</v>
      </c>
      <c r="D34" s="64">
        <v>24.16</v>
      </c>
      <c r="E34" s="64">
        <v>5.29</v>
      </c>
      <c r="F34" s="64">
        <v>3.52</v>
      </c>
      <c r="G34" s="64">
        <v>138.74</v>
      </c>
      <c r="H34" s="64">
        <v>60.33</v>
      </c>
      <c r="I34" s="64">
        <v>5.03</v>
      </c>
      <c r="J34" s="64">
        <v>0.08</v>
      </c>
      <c r="K34" s="64">
        <v>202.37</v>
      </c>
      <c r="L34" s="64">
        <v>14.82</v>
      </c>
      <c r="M34" s="64">
        <v>91.07</v>
      </c>
      <c r="N34" s="64">
        <v>58</v>
      </c>
      <c r="O34" s="64">
        <v>0</v>
      </c>
      <c r="P34" s="64">
        <v>1.27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1" t="s">
        <v>1138</v>
      </c>
      <c r="B35" s="64">
        <v>28.66</v>
      </c>
      <c r="C35" s="64">
        <v>3.52</v>
      </c>
      <c r="D35" s="64">
        <v>24.36</v>
      </c>
      <c r="E35" s="64">
        <v>5.35</v>
      </c>
      <c r="F35" s="64">
        <v>3.81</v>
      </c>
      <c r="G35" s="64">
        <v>160.41999999999999</v>
      </c>
      <c r="H35" s="64">
        <v>59.89</v>
      </c>
      <c r="I35" s="64">
        <v>5.39</v>
      </c>
      <c r="J35" s="64">
        <v>0.1</v>
      </c>
      <c r="K35" s="64">
        <v>235.64</v>
      </c>
      <c r="L35" s="64">
        <v>15.12</v>
      </c>
      <c r="M35" s="64">
        <v>89.71</v>
      </c>
      <c r="N35" s="64">
        <v>73.7</v>
      </c>
      <c r="O35" s="64">
        <v>0</v>
      </c>
      <c r="P35" s="64">
        <v>1.33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1" t="s">
        <v>1139</v>
      </c>
      <c r="B36" s="64">
        <v>29.06</v>
      </c>
      <c r="C36" s="64">
        <v>3.39</v>
      </c>
      <c r="D36" s="64">
        <v>24.61</v>
      </c>
      <c r="E36" s="64">
        <v>5.42</v>
      </c>
      <c r="F36" s="64">
        <v>3.38</v>
      </c>
      <c r="G36" s="64">
        <v>160.41999999999999</v>
      </c>
      <c r="H36" s="64">
        <v>59.89</v>
      </c>
      <c r="I36" s="64">
        <v>5.68</v>
      </c>
      <c r="J36" s="64">
        <v>0.08</v>
      </c>
      <c r="K36" s="64">
        <v>165.45</v>
      </c>
      <c r="L36" s="64">
        <v>15.67</v>
      </c>
      <c r="M36" s="64">
        <v>83.81</v>
      </c>
      <c r="N36" s="64">
        <v>93</v>
      </c>
      <c r="O36" s="64">
        <v>0</v>
      </c>
      <c r="P36" s="64">
        <v>1.36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1" t="s">
        <v>1140</v>
      </c>
      <c r="B37" s="64">
        <v>29.31</v>
      </c>
      <c r="C37" s="64">
        <v>3.47</v>
      </c>
      <c r="D37" s="64">
        <v>24.86</v>
      </c>
      <c r="E37" s="64">
        <v>5.73</v>
      </c>
      <c r="F37" s="64">
        <v>3.47</v>
      </c>
      <c r="G37" s="64">
        <v>160.41999999999999</v>
      </c>
      <c r="H37" s="64">
        <v>59.89</v>
      </c>
      <c r="I37" s="64">
        <v>5.71</v>
      </c>
      <c r="J37" s="64">
        <v>0.03</v>
      </c>
      <c r="K37" s="64">
        <v>14</v>
      </c>
      <c r="L37" s="64">
        <v>16.57</v>
      </c>
      <c r="M37" s="64">
        <v>79.13</v>
      </c>
      <c r="N37" s="64">
        <v>145.1</v>
      </c>
      <c r="O37" s="64">
        <v>0</v>
      </c>
      <c r="P37" s="64">
        <v>1.24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1" t="s">
        <v>1141</v>
      </c>
      <c r="B38" s="64">
        <v>30.07</v>
      </c>
      <c r="C38" s="64">
        <v>3.34</v>
      </c>
      <c r="D38" s="64">
        <v>25.4</v>
      </c>
      <c r="E38" s="64">
        <v>5.7</v>
      </c>
      <c r="F38" s="64">
        <v>3.74</v>
      </c>
      <c r="G38" s="64">
        <v>174.58</v>
      </c>
      <c r="H38" s="64">
        <v>63.09</v>
      </c>
      <c r="I38" s="64">
        <v>5.74</v>
      </c>
      <c r="J38" s="64">
        <v>0.01</v>
      </c>
      <c r="K38" s="64">
        <v>265.85000000000002</v>
      </c>
      <c r="L38" s="64">
        <v>18.420000000000002</v>
      </c>
      <c r="M38" s="64">
        <v>69.27</v>
      </c>
      <c r="N38" s="64">
        <v>210.6</v>
      </c>
      <c r="O38" s="64">
        <v>0</v>
      </c>
      <c r="P38" s="64">
        <v>1.37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1" t="s">
        <v>1142</v>
      </c>
      <c r="B39" s="64">
        <v>30.63</v>
      </c>
      <c r="C39" s="64">
        <v>3.56</v>
      </c>
      <c r="D39" s="64">
        <v>25.97</v>
      </c>
      <c r="E39" s="64">
        <v>5.74</v>
      </c>
      <c r="F39" s="64">
        <v>3.64</v>
      </c>
      <c r="G39" s="64">
        <v>213.49</v>
      </c>
      <c r="H39" s="64">
        <v>68.819999999999993</v>
      </c>
      <c r="I39" s="64">
        <v>5.77</v>
      </c>
      <c r="J39" s="64">
        <v>0.41</v>
      </c>
      <c r="K39" s="64">
        <v>339.52</v>
      </c>
      <c r="L39" s="64">
        <v>20.77</v>
      </c>
      <c r="M39" s="64">
        <v>55.73</v>
      </c>
      <c r="N39" s="64">
        <v>265</v>
      </c>
      <c r="O39" s="64">
        <v>0</v>
      </c>
      <c r="P39" s="64">
        <v>1.46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1" t="s">
        <v>1143</v>
      </c>
      <c r="B40" s="64">
        <v>30.66</v>
      </c>
      <c r="C40" s="64">
        <v>3.97</v>
      </c>
      <c r="D40" s="64">
        <v>26.2</v>
      </c>
      <c r="E40" s="64">
        <v>6.83</v>
      </c>
      <c r="F40" s="64">
        <v>3.64</v>
      </c>
      <c r="G40" s="64">
        <v>213.49</v>
      </c>
      <c r="H40" s="64">
        <v>68.819999999999993</v>
      </c>
      <c r="I40" s="64">
        <v>5.78</v>
      </c>
      <c r="J40" s="64">
        <v>0.36</v>
      </c>
      <c r="K40" s="64">
        <v>331.78</v>
      </c>
      <c r="L40" s="64">
        <v>22.56</v>
      </c>
      <c r="M40" s="64">
        <v>46.27</v>
      </c>
      <c r="N40" s="64">
        <v>311.39999999999998</v>
      </c>
      <c r="O40" s="64">
        <v>0</v>
      </c>
      <c r="P40" s="64">
        <v>1.52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1" t="s">
        <v>1144</v>
      </c>
      <c r="B41" s="64">
        <v>30.6</v>
      </c>
      <c r="C41" s="64">
        <v>3.59</v>
      </c>
      <c r="D41" s="64">
        <v>25.95</v>
      </c>
      <c r="E41" s="64">
        <v>6.36</v>
      </c>
      <c r="F41" s="64">
        <v>3.8</v>
      </c>
      <c r="G41" s="64">
        <v>213.49</v>
      </c>
      <c r="H41" s="64">
        <v>68.819999999999993</v>
      </c>
      <c r="I41" s="64">
        <v>5.75</v>
      </c>
      <c r="J41" s="64">
        <v>0.56000000000000005</v>
      </c>
      <c r="K41" s="64">
        <v>345.56</v>
      </c>
      <c r="L41" s="64">
        <v>23.82</v>
      </c>
      <c r="M41" s="64">
        <v>41.44</v>
      </c>
      <c r="N41" s="64">
        <v>361.2</v>
      </c>
      <c r="O41" s="64">
        <v>0</v>
      </c>
      <c r="P41" s="64">
        <v>1.53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1" t="s">
        <v>1145</v>
      </c>
      <c r="B42" s="64">
        <v>30.04</v>
      </c>
      <c r="C42" s="64">
        <v>4.3499999999999996</v>
      </c>
      <c r="D42" s="64">
        <v>25.9</v>
      </c>
      <c r="E42" s="64">
        <v>6.62</v>
      </c>
      <c r="F42" s="64">
        <v>3.65</v>
      </c>
      <c r="G42" s="64">
        <v>207.28</v>
      </c>
      <c r="H42" s="64">
        <v>68.95</v>
      </c>
      <c r="I42" s="64">
        <v>5.68</v>
      </c>
      <c r="J42" s="64">
        <v>0.43</v>
      </c>
      <c r="K42" s="64">
        <v>338.2</v>
      </c>
      <c r="L42" s="64">
        <v>24.92</v>
      </c>
      <c r="M42" s="64">
        <v>38.07</v>
      </c>
      <c r="N42" s="64">
        <v>410.4</v>
      </c>
      <c r="O42" s="64">
        <v>0</v>
      </c>
      <c r="P42" s="64">
        <v>1.55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1" t="s">
        <v>1146</v>
      </c>
      <c r="B43" s="64">
        <v>29.23</v>
      </c>
      <c r="C43" s="64">
        <v>5.09</v>
      </c>
      <c r="D43" s="64">
        <v>25.64</v>
      </c>
      <c r="E43" s="64">
        <v>6.47</v>
      </c>
      <c r="F43" s="64">
        <v>3.61</v>
      </c>
      <c r="G43" s="64">
        <v>190.2</v>
      </c>
      <c r="H43" s="64">
        <v>69.44</v>
      </c>
      <c r="I43" s="64">
        <v>5.58</v>
      </c>
      <c r="J43" s="64">
        <v>0.77</v>
      </c>
      <c r="K43" s="64">
        <v>342.96</v>
      </c>
      <c r="L43" s="64">
        <v>25.99</v>
      </c>
      <c r="M43" s="64">
        <v>33.619999999999997</v>
      </c>
      <c r="N43" s="64">
        <v>462.4</v>
      </c>
      <c r="O43" s="64">
        <v>0</v>
      </c>
      <c r="P43" s="64">
        <v>1.56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1" t="s">
        <v>1147</v>
      </c>
      <c r="B44" s="64">
        <v>28.01</v>
      </c>
      <c r="C44" s="64">
        <v>6.37</v>
      </c>
      <c r="D44" s="64">
        <v>25.33</v>
      </c>
      <c r="E44" s="64">
        <v>6.38</v>
      </c>
      <c r="F44" s="64">
        <v>3.56</v>
      </c>
      <c r="G44" s="64">
        <v>190.2</v>
      </c>
      <c r="H44" s="64">
        <v>69.44</v>
      </c>
      <c r="I44" s="64">
        <v>5.49</v>
      </c>
      <c r="J44" s="64">
        <v>0.79</v>
      </c>
      <c r="K44" s="64">
        <v>341.65</v>
      </c>
      <c r="L44" s="64">
        <v>27.01</v>
      </c>
      <c r="M44" s="64">
        <v>30.95</v>
      </c>
      <c r="N44" s="64">
        <v>510.6</v>
      </c>
      <c r="O44" s="64">
        <v>0</v>
      </c>
      <c r="P44" s="64">
        <v>1.56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1148</v>
      </c>
      <c r="B45" s="64">
        <v>26.57</v>
      </c>
      <c r="C45" s="64">
        <v>7.63</v>
      </c>
      <c r="D45" s="64">
        <v>24.83</v>
      </c>
      <c r="E45" s="64">
        <v>6.29</v>
      </c>
      <c r="F45" s="64">
        <v>3.32</v>
      </c>
      <c r="G45" s="64">
        <v>190.2</v>
      </c>
      <c r="H45" s="64">
        <v>69.44</v>
      </c>
      <c r="I45" s="64">
        <v>5.39</v>
      </c>
      <c r="J45" s="64">
        <v>0.5</v>
      </c>
      <c r="K45" s="64">
        <v>128.12</v>
      </c>
      <c r="L45" s="64">
        <v>26.06</v>
      </c>
      <c r="M45" s="64">
        <v>33.54</v>
      </c>
      <c r="N45" s="64">
        <v>564.1</v>
      </c>
      <c r="O45" s="64">
        <v>0</v>
      </c>
      <c r="P45" s="64">
        <v>1.52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1" t="s">
        <v>1149</v>
      </c>
      <c r="B46" s="64">
        <v>23.79</v>
      </c>
      <c r="C46" s="64">
        <v>9.17</v>
      </c>
      <c r="D46" s="64">
        <v>23.41</v>
      </c>
      <c r="E46" s="64">
        <v>6.19</v>
      </c>
      <c r="F46" s="64">
        <v>4.8600000000000003</v>
      </c>
      <c r="G46" s="64">
        <v>161.37</v>
      </c>
      <c r="H46" s="64">
        <v>64.61</v>
      </c>
      <c r="I46" s="64">
        <v>5.29</v>
      </c>
      <c r="J46" s="64">
        <v>0.86</v>
      </c>
      <c r="K46" s="64">
        <v>126.96</v>
      </c>
      <c r="L46" s="64">
        <v>24.11</v>
      </c>
      <c r="M46" s="64">
        <v>36.729999999999997</v>
      </c>
      <c r="N46" s="64">
        <v>610.9</v>
      </c>
      <c r="O46" s="64">
        <v>0</v>
      </c>
      <c r="P46" s="64">
        <v>1.47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1" t="s">
        <v>1150</v>
      </c>
      <c r="B47" s="64">
        <v>22.36</v>
      </c>
      <c r="C47" s="64">
        <v>9.23</v>
      </c>
      <c r="D47" s="64">
        <v>22.29</v>
      </c>
      <c r="E47" s="64">
        <v>6.03</v>
      </c>
      <c r="F47" s="64">
        <v>4.59</v>
      </c>
      <c r="G47" s="64">
        <v>82.07</v>
      </c>
      <c r="H47" s="64">
        <v>55.94</v>
      </c>
      <c r="I47" s="64">
        <v>5.2</v>
      </c>
      <c r="J47" s="64">
        <v>0.87</v>
      </c>
      <c r="K47" s="64">
        <v>123.98</v>
      </c>
      <c r="L47" s="64">
        <v>24.12</v>
      </c>
      <c r="M47" s="64">
        <v>36.82</v>
      </c>
      <c r="N47" s="64">
        <v>645.9</v>
      </c>
      <c r="O47" s="64">
        <v>0</v>
      </c>
      <c r="P47" s="64">
        <v>1.4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1" t="s">
        <v>1151</v>
      </c>
      <c r="B48" s="64">
        <v>4.9000000000000004</v>
      </c>
      <c r="C48" s="64">
        <v>26.49</v>
      </c>
      <c r="D48" s="64">
        <v>17.309999999999999</v>
      </c>
      <c r="E48" s="64">
        <v>6.8</v>
      </c>
      <c r="F48" s="64">
        <v>8.26</v>
      </c>
      <c r="G48" s="64">
        <v>82.07</v>
      </c>
      <c r="H48" s="64">
        <v>55.94</v>
      </c>
      <c r="I48" s="64">
        <v>5.12</v>
      </c>
      <c r="J48" s="64">
        <v>0.49</v>
      </c>
      <c r="K48" s="64">
        <v>118.89</v>
      </c>
      <c r="L48" s="64">
        <v>25.35</v>
      </c>
      <c r="M48" s="64">
        <v>34.46</v>
      </c>
      <c r="N48" s="64">
        <v>677.4</v>
      </c>
      <c r="O48" s="64">
        <v>0</v>
      </c>
      <c r="P48" s="64">
        <v>0.88</v>
      </c>
      <c r="Q48" s="64">
        <v>9.4600000000000009</v>
      </c>
      <c r="R48" s="198"/>
      <c r="S48" s="198"/>
      <c r="T48" s="198"/>
      <c r="U48" s="198"/>
    </row>
    <row r="49" spans="1:21" s="12" customFormat="1" x14ac:dyDescent="0.25">
      <c r="A49" s="211" t="s">
        <v>1152</v>
      </c>
      <c r="B49" s="64">
        <v>1.02</v>
      </c>
      <c r="C49" s="64">
        <v>29.12</v>
      </c>
      <c r="D49" s="64">
        <v>15.57</v>
      </c>
      <c r="E49" s="64">
        <v>5.85</v>
      </c>
      <c r="F49" s="64">
        <v>5.64</v>
      </c>
      <c r="G49" s="64">
        <v>82.07</v>
      </c>
      <c r="H49" s="64">
        <v>55.94</v>
      </c>
      <c r="I49" s="64">
        <v>4.5999999999999996</v>
      </c>
      <c r="J49" s="64">
        <v>0.57999999999999996</v>
      </c>
      <c r="K49" s="64">
        <v>117.04</v>
      </c>
      <c r="L49" s="64">
        <v>24.78</v>
      </c>
      <c r="M49" s="64">
        <v>34.479999999999997</v>
      </c>
      <c r="N49" s="64">
        <v>705.1</v>
      </c>
      <c r="O49" s="64">
        <v>0</v>
      </c>
      <c r="P49" s="64">
        <v>0.84</v>
      </c>
      <c r="Q49" s="64">
        <v>9.26</v>
      </c>
      <c r="R49" s="198"/>
      <c r="S49" s="198"/>
      <c r="T49" s="198"/>
      <c r="U49" s="198"/>
    </row>
    <row r="50" spans="1:21" s="12" customFormat="1" x14ac:dyDescent="0.25">
      <c r="A50" s="211" t="s">
        <v>1153</v>
      </c>
      <c r="B50" s="64">
        <v>0.95</v>
      </c>
      <c r="C50" s="64">
        <v>26.85</v>
      </c>
      <c r="D50" s="64">
        <v>14.33</v>
      </c>
      <c r="E50" s="64">
        <v>6.75</v>
      </c>
      <c r="F50" s="64">
        <v>7.36</v>
      </c>
      <c r="G50" s="64">
        <v>82.07</v>
      </c>
      <c r="H50" s="64">
        <v>55.94</v>
      </c>
      <c r="I50" s="64">
        <v>3.82</v>
      </c>
      <c r="J50" s="64">
        <v>0.86</v>
      </c>
      <c r="K50" s="64">
        <v>121.42</v>
      </c>
      <c r="L50" s="64">
        <v>25.44</v>
      </c>
      <c r="M50" s="64">
        <v>33.6</v>
      </c>
      <c r="N50" s="64">
        <v>716.5</v>
      </c>
      <c r="O50" s="64">
        <v>0</v>
      </c>
      <c r="P50" s="64">
        <v>0.77</v>
      </c>
      <c r="Q50" s="64">
        <v>9.2200000000000006</v>
      </c>
      <c r="R50" s="198"/>
      <c r="S50" s="198"/>
      <c r="T50" s="198"/>
      <c r="U50" s="198"/>
    </row>
    <row r="51" spans="1:21" s="12" customFormat="1" x14ac:dyDescent="0.25">
      <c r="A51" s="211" t="s">
        <v>1154</v>
      </c>
      <c r="B51" s="64">
        <v>0.46</v>
      </c>
      <c r="C51" s="64">
        <v>24.95</v>
      </c>
      <c r="D51" s="64">
        <v>12.94</v>
      </c>
      <c r="E51" s="64">
        <v>6.83</v>
      </c>
      <c r="F51" s="64">
        <v>7.75</v>
      </c>
      <c r="G51" s="64">
        <v>82.07</v>
      </c>
      <c r="H51" s="64">
        <v>55.94</v>
      </c>
      <c r="I51" s="64">
        <v>3.5</v>
      </c>
      <c r="J51" s="64">
        <v>1.24</v>
      </c>
      <c r="K51" s="64">
        <v>124.22</v>
      </c>
      <c r="L51" s="64">
        <v>24.54</v>
      </c>
      <c r="M51" s="64">
        <v>34.81</v>
      </c>
      <c r="N51" s="64">
        <v>723.6</v>
      </c>
      <c r="O51" s="64">
        <v>0</v>
      </c>
      <c r="P51" s="64">
        <v>0.76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1" t="s">
        <v>1155</v>
      </c>
      <c r="B52" s="64">
        <v>0.23</v>
      </c>
      <c r="C52" s="64">
        <v>23.54</v>
      </c>
      <c r="D52" s="64">
        <v>12.03</v>
      </c>
      <c r="E52" s="64">
        <v>6.68</v>
      </c>
      <c r="F52" s="64">
        <v>5.95</v>
      </c>
      <c r="G52" s="64">
        <v>82.07</v>
      </c>
      <c r="H52" s="64">
        <v>55.94</v>
      </c>
      <c r="I52" s="64">
        <v>3.48</v>
      </c>
      <c r="J52" s="64">
        <v>0.64</v>
      </c>
      <c r="K52" s="64">
        <v>132.53</v>
      </c>
      <c r="L52" s="64">
        <v>25.26</v>
      </c>
      <c r="M52" s="64">
        <v>33.78</v>
      </c>
      <c r="N52" s="64">
        <v>732.8</v>
      </c>
      <c r="O52" s="64">
        <v>0</v>
      </c>
      <c r="P52" s="64">
        <v>0.76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1" t="s">
        <v>1156</v>
      </c>
      <c r="B53" s="64">
        <v>0.54</v>
      </c>
      <c r="C53" s="64">
        <v>23.05</v>
      </c>
      <c r="D53" s="64">
        <v>12.01</v>
      </c>
      <c r="E53" s="64">
        <v>6.22</v>
      </c>
      <c r="F53" s="64">
        <v>7.99</v>
      </c>
      <c r="G53" s="64">
        <v>82.07</v>
      </c>
      <c r="H53" s="64">
        <v>55.94</v>
      </c>
      <c r="I53" s="64">
        <v>3.44</v>
      </c>
      <c r="J53" s="64">
        <v>0.61</v>
      </c>
      <c r="K53" s="64">
        <v>121.92</v>
      </c>
      <c r="L53" s="64">
        <v>25.67</v>
      </c>
      <c r="M53" s="64">
        <v>32.659999999999997</v>
      </c>
      <c r="N53" s="64">
        <v>725.3</v>
      </c>
      <c r="O53" s="64">
        <v>0</v>
      </c>
      <c r="P53" s="64">
        <v>0.73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1" t="s">
        <v>1157</v>
      </c>
      <c r="B54" s="64">
        <v>0.91</v>
      </c>
      <c r="C54" s="64">
        <v>22.05</v>
      </c>
      <c r="D54" s="64">
        <v>11.79</v>
      </c>
      <c r="E54" s="64">
        <v>6.71</v>
      </c>
      <c r="F54" s="64">
        <v>5.22</v>
      </c>
      <c r="G54" s="6" t="s">
        <v>42</v>
      </c>
      <c r="H54" s="6" t="s">
        <v>42</v>
      </c>
      <c r="I54" s="64">
        <v>3.41</v>
      </c>
      <c r="J54" s="64">
        <v>0.45</v>
      </c>
      <c r="K54" s="64">
        <v>343.16</v>
      </c>
      <c r="L54" s="64">
        <v>28.03</v>
      </c>
      <c r="M54" s="64">
        <v>27.35</v>
      </c>
      <c r="N54" s="64">
        <v>713.4</v>
      </c>
      <c r="O54" s="64">
        <v>0</v>
      </c>
      <c r="P54" s="64">
        <v>0.75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11" t="s">
        <v>1158</v>
      </c>
      <c r="B55" s="64">
        <v>0.73</v>
      </c>
      <c r="C55" s="64">
        <v>21.03</v>
      </c>
      <c r="D55" s="64">
        <v>11.11</v>
      </c>
      <c r="E55" s="64">
        <v>6.47</v>
      </c>
      <c r="F55" s="64">
        <v>5.15</v>
      </c>
      <c r="G55" s="6" t="s">
        <v>42</v>
      </c>
      <c r="H55" s="6" t="s">
        <v>42</v>
      </c>
      <c r="I55" s="64">
        <v>3.43</v>
      </c>
      <c r="J55" s="64">
        <v>0.72</v>
      </c>
      <c r="K55" s="64">
        <v>121.01</v>
      </c>
      <c r="L55" s="64">
        <v>26.73</v>
      </c>
      <c r="M55" s="64">
        <v>29.73</v>
      </c>
      <c r="N55" s="64">
        <v>708.1</v>
      </c>
      <c r="O55" s="64">
        <v>0</v>
      </c>
      <c r="P55" s="64">
        <v>0.76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11" t="s">
        <v>1159</v>
      </c>
      <c r="B56" s="64">
        <v>1.54</v>
      </c>
      <c r="C56" s="64">
        <v>23.02</v>
      </c>
      <c r="D56" s="64">
        <v>12.8</v>
      </c>
      <c r="E56" s="64">
        <v>7.62</v>
      </c>
      <c r="F56" s="64">
        <v>10.7</v>
      </c>
      <c r="G56" s="6" t="s">
        <v>42</v>
      </c>
      <c r="H56" s="6" t="s">
        <v>42</v>
      </c>
      <c r="I56" s="64">
        <v>3.44</v>
      </c>
      <c r="J56" s="64">
        <v>0.74</v>
      </c>
      <c r="K56" s="64">
        <v>342.11</v>
      </c>
      <c r="L56" s="64">
        <v>27.68</v>
      </c>
      <c r="M56" s="64">
        <v>27.65</v>
      </c>
      <c r="N56" s="64">
        <v>702.1</v>
      </c>
      <c r="O56" s="64">
        <v>0</v>
      </c>
      <c r="P56" s="64">
        <v>0.74</v>
      </c>
      <c r="Q56" s="64">
        <v>9.24</v>
      </c>
      <c r="R56" s="198"/>
      <c r="S56" s="198"/>
      <c r="T56" s="198"/>
      <c r="U56" s="198"/>
    </row>
    <row r="57" spans="1:21" s="12" customFormat="1" x14ac:dyDescent="0.25">
      <c r="A57" s="211" t="s">
        <v>1160</v>
      </c>
      <c r="B57" s="64">
        <v>1.56</v>
      </c>
      <c r="C57" s="64">
        <v>24.43</v>
      </c>
      <c r="D57" s="64">
        <v>13.56</v>
      </c>
      <c r="E57" s="64">
        <v>7.85</v>
      </c>
      <c r="F57" s="64">
        <v>8.36</v>
      </c>
      <c r="G57" s="6" t="s">
        <v>42</v>
      </c>
      <c r="H57" s="6" t="s">
        <v>42</v>
      </c>
      <c r="I57" s="64">
        <v>3.43</v>
      </c>
      <c r="J57" s="64">
        <v>0.77</v>
      </c>
      <c r="K57" s="64">
        <v>330.32</v>
      </c>
      <c r="L57" s="64">
        <v>29.69</v>
      </c>
      <c r="M57" s="64">
        <v>24.27</v>
      </c>
      <c r="N57" s="64">
        <v>690</v>
      </c>
      <c r="O57" s="64">
        <v>0</v>
      </c>
      <c r="P57" s="64">
        <v>0.7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1" t="s">
        <v>1161</v>
      </c>
      <c r="B58" s="64">
        <v>0.05</v>
      </c>
      <c r="C58" s="64">
        <v>23.81</v>
      </c>
      <c r="D58" s="64">
        <v>12.02</v>
      </c>
      <c r="E58" s="64">
        <v>7.75</v>
      </c>
      <c r="F58" s="64">
        <v>9.5</v>
      </c>
      <c r="G58" s="64">
        <v>65.709999999999994</v>
      </c>
      <c r="H58" s="64">
        <v>21.06</v>
      </c>
      <c r="I58" s="64">
        <v>3.39</v>
      </c>
      <c r="J58" s="64">
        <v>0.6</v>
      </c>
      <c r="K58" s="64">
        <v>335.18</v>
      </c>
      <c r="L58" s="64">
        <v>29.47</v>
      </c>
      <c r="M58" s="64">
        <v>24.45</v>
      </c>
      <c r="N58" s="64">
        <v>669.8</v>
      </c>
      <c r="O58" s="64">
        <v>0</v>
      </c>
      <c r="P58" s="64">
        <v>0.64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1" t="s">
        <v>1162</v>
      </c>
      <c r="B59" s="64">
        <v>0.01</v>
      </c>
      <c r="C59" s="64">
        <v>23.19</v>
      </c>
      <c r="D59" s="64">
        <v>11.66</v>
      </c>
      <c r="E59" s="64">
        <v>7.69</v>
      </c>
      <c r="F59" s="64">
        <v>8.77</v>
      </c>
      <c r="G59" s="64">
        <v>70.41</v>
      </c>
      <c r="H59" s="64">
        <v>21.06</v>
      </c>
      <c r="I59" s="64">
        <v>3.29</v>
      </c>
      <c r="J59" s="64">
        <v>0.42</v>
      </c>
      <c r="K59" s="64">
        <v>143.63</v>
      </c>
      <c r="L59" s="64">
        <v>28.03</v>
      </c>
      <c r="M59" s="64">
        <v>26.26</v>
      </c>
      <c r="N59" s="64">
        <v>647.29999999999995</v>
      </c>
      <c r="O59" s="64">
        <v>0</v>
      </c>
      <c r="P59" s="64">
        <v>0.6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1" t="s">
        <v>1163</v>
      </c>
      <c r="B60" s="64">
        <v>1.81</v>
      </c>
      <c r="C60" s="64">
        <v>25.33</v>
      </c>
      <c r="D60" s="64">
        <v>14.22</v>
      </c>
      <c r="E60" s="64">
        <v>7.9</v>
      </c>
      <c r="F60" s="64">
        <v>11.92</v>
      </c>
      <c r="G60" s="64">
        <v>70.41</v>
      </c>
      <c r="H60" s="64">
        <v>21.06</v>
      </c>
      <c r="I60" s="64">
        <v>3.16</v>
      </c>
      <c r="J60" s="64">
        <v>0.24</v>
      </c>
      <c r="K60" s="64">
        <v>340.72</v>
      </c>
      <c r="L60" s="64">
        <v>28.32</v>
      </c>
      <c r="M60" s="64">
        <v>26.24</v>
      </c>
      <c r="N60" s="64">
        <v>565.70000000000005</v>
      </c>
      <c r="O60" s="64">
        <v>0</v>
      </c>
      <c r="P60" s="64">
        <v>0.55000000000000004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1" t="s">
        <v>1164</v>
      </c>
      <c r="B61" s="64">
        <v>2.5499999999999998</v>
      </c>
      <c r="C61" s="64">
        <v>26.92</v>
      </c>
      <c r="D61" s="64">
        <v>15.65</v>
      </c>
      <c r="E61" s="64">
        <v>9.99</v>
      </c>
      <c r="F61" s="64">
        <v>11.24</v>
      </c>
      <c r="G61" s="64">
        <v>70.41</v>
      </c>
      <c r="H61" s="64">
        <v>21.06</v>
      </c>
      <c r="I61" s="64">
        <v>3.06</v>
      </c>
      <c r="J61" s="64">
        <v>0.27</v>
      </c>
      <c r="K61" s="64">
        <v>324.81</v>
      </c>
      <c r="L61" s="64">
        <v>28.35</v>
      </c>
      <c r="M61" s="64">
        <v>25.83</v>
      </c>
      <c r="N61" s="64">
        <v>441.9</v>
      </c>
      <c r="O61" s="64">
        <v>0</v>
      </c>
      <c r="P61" s="64">
        <v>0.72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11" t="s">
        <v>1165</v>
      </c>
      <c r="B62" s="64">
        <v>3.28</v>
      </c>
      <c r="C62" s="64">
        <v>27.85</v>
      </c>
      <c r="D62" s="64">
        <v>16.72</v>
      </c>
      <c r="E62" s="64">
        <v>7.43</v>
      </c>
      <c r="F62" s="64">
        <v>10.14</v>
      </c>
      <c r="G62" s="64">
        <v>58.33</v>
      </c>
      <c r="H62" s="64">
        <v>20.239999999999998</v>
      </c>
      <c r="I62" s="64">
        <v>2.91</v>
      </c>
      <c r="J62" s="64">
        <v>0.51</v>
      </c>
      <c r="K62" s="64">
        <v>339.81</v>
      </c>
      <c r="L62" s="64">
        <v>29.03</v>
      </c>
      <c r="M62" s="64">
        <v>25.2</v>
      </c>
      <c r="N62" s="64">
        <v>373.3</v>
      </c>
      <c r="O62" s="64">
        <v>0</v>
      </c>
      <c r="P62" s="64">
        <v>0.78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1" t="s">
        <v>1166</v>
      </c>
      <c r="B63" s="64">
        <v>2.81</v>
      </c>
      <c r="C63" s="64">
        <v>26.23</v>
      </c>
      <c r="D63" s="64">
        <v>15.5</v>
      </c>
      <c r="E63" s="64">
        <v>8.0299999999999994</v>
      </c>
      <c r="F63" s="64">
        <v>7.95</v>
      </c>
      <c r="G63" s="64">
        <v>57.47</v>
      </c>
      <c r="H63" s="64">
        <v>20.239999999999998</v>
      </c>
      <c r="I63" s="64">
        <v>2.82</v>
      </c>
      <c r="J63" s="64">
        <v>0.09</v>
      </c>
      <c r="K63" s="64">
        <v>286.56</v>
      </c>
      <c r="L63" s="64">
        <v>28.41</v>
      </c>
      <c r="M63" s="64">
        <v>24.72</v>
      </c>
      <c r="N63" s="64">
        <v>389.8</v>
      </c>
      <c r="O63" s="64">
        <v>0</v>
      </c>
      <c r="P63" s="64">
        <v>0.79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11" t="s">
        <v>1167</v>
      </c>
      <c r="B64" s="64">
        <v>2.4300000000000002</v>
      </c>
      <c r="C64" s="64">
        <v>25.02</v>
      </c>
      <c r="D64" s="64">
        <v>14.56</v>
      </c>
      <c r="E64" s="64">
        <v>13.38</v>
      </c>
      <c r="F64" s="64">
        <v>16.75</v>
      </c>
      <c r="G64" s="64">
        <v>57.47</v>
      </c>
      <c r="H64" s="64">
        <v>20.239999999999998</v>
      </c>
      <c r="I64" s="64">
        <v>2.84</v>
      </c>
      <c r="J64" s="64">
        <v>0.25</v>
      </c>
      <c r="K64" s="64">
        <v>343.14</v>
      </c>
      <c r="L64" s="64">
        <v>27.33</v>
      </c>
      <c r="M64" s="64">
        <v>26.95</v>
      </c>
      <c r="N64" s="64">
        <v>220.6</v>
      </c>
      <c r="O64" s="64">
        <v>0</v>
      </c>
      <c r="P64" s="64">
        <v>0.75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1" t="s">
        <v>1168</v>
      </c>
      <c r="B65" s="64">
        <v>2.73</v>
      </c>
      <c r="C65" s="64">
        <v>23.92</v>
      </c>
      <c r="D65" s="64">
        <v>15.21</v>
      </c>
      <c r="E65" s="64">
        <v>9.1199999999999992</v>
      </c>
      <c r="F65" s="64">
        <v>7.59</v>
      </c>
      <c r="G65" s="64">
        <v>57.47</v>
      </c>
      <c r="H65" s="64">
        <v>20.239999999999998</v>
      </c>
      <c r="I65" s="64">
        <v>2.88</v>
      </c>
      <c r="J65" s="64">
        <v>0.75</v>
      </c>
      <c r="K65" s="64">
        <v>330.79</v>
      </c>
      <c r="L65" s="64">
        <v>27.46</v>
      </c>
      <c r="M65" s="64">
        <v>26.81</v>
      </c>
      <c r="N65" s="64">
        <v>153.9</v>
      </c>
      <c r="O65" s="64">
        <v>0</v>
      </c>
      <c r="P65" s="64">
        <v>0.77</v>
      </c>
      <c r="Q65" s="64">
        <v>9.19</v>
      </c>
      <c r="R65" s="198"/>
      <c r="S65" s="198"/>
      <c r="T65" s="198"/>
      <c r="U65" s="198"/>
    </row>
    <row r="66" spans="1:21" s="12" customFormat="1" x14ac:dyDescent="0.25">
      <c r="A66" s="211" t="s">
        <v>1169</v>
      </c>
      <c r="B66" s="64">
        <v>2.99</v>
      </c>
      <c r="C66" s="64">
        <v>21.69</v>
      </c>
      <c r="D66" s="64">
        <v>13.27</v>
      </c>
      <c r="E66" s="64">
        <v>7.69</v>
      </c>
      <c r="F66" s="64">
        <v>6.32</v>
      </c>
      <c r="G66" s="64">
        <v>78.64</v>
      </c>
      <c r="H66" s="64">
        <v>23.79</v>
      </c>
      <c r="I66" s="64">
        <v>2.9</v>
      </c>
      <c r="J66" s="64">
        <v>0.96</v>
      </c>
      <c r="K66" s="64">
        <v>330.76</v>
      </c>
      <c r="L66" s="64">
        <v>27.37</v>
      </c>
      <c r="M66" s="64">
        <v>27.03</v>
      </c>
      <c r="N66" s="64">
        <v>156.1</v>
      </c>
      <c r="O66" s="64">
        <v>0</v>
      </c>
      <c r="P66" s="64">
        <v>0.79</v>
      </c>
      <c r="Q66" s="64">
        <v>9.1999999999999993</v>
      </c>
      <c r="R66" s="198"/>
      <c r="S66" s="198"/>
      <c r="T66" s="198"/>
      <c r="U66" s="198"/>
    </row>
    <row r="67" spans="1:21" s="12" customFormat="1" x14ac:dyDescent="0.25">
      <c r="A67" s="211" t="s">
        <v>1170</v>
      </c>
      <c r="B67" s="64">
        <v>3.2</v>
      </c>
      <c r="C67" s="64">
        <v>22.23</v>
      </c>
      <c r="D67" s="64">
        <v>13.72</v>
      </c>
      <c r="E67" s="64">
        <v>6.98</v>
      </c>
      <c r="F67" s="64">
        <v>6.98</v>
      </c>
      <c r="G67" s="64">
        <v>80.150000000000006</v>
      </c>
      <c r="H67" s="64">
        <v>23.79</v>
      </c>
      <c r="I67" s="64">
        <v>2.91</v>
      </c>
      <c r="J67" s="64">
        <v>0.8</v>
      </c>
      <c r="K67" s="64">
        <v>328.72</v>
      </c>
      <c r="L67" s="64">
        <v>27.09</v>
      </c>
      <c r="M67" s="64">
        <v>27.21</v>
      </c>
      <c r="N67" s="64">
        <v>146.80000000000001</v>
      </c>
      <c r="O67" s="64">
        <v>0</v>
      </c>
      <c r="P67" s="64">
        <v>0.77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1" t="s">
        <v>1171</v>
      </c>
      <c r="B68" s="64">
        <v>4.2</v>
      </c>
      <c r="C68" s="64">
        <v>22.85</v>
      </c>
      <c r="D68" s="64">
        <v>14.85</v>
      </c>
      <c r="E68" s="64">
        <v>8.94</v>
      </c>
      <c r="F68" s="64">
        <v>11.7</v>
      </c>
      <c r="G68" s="64">
        <v>80.150000000000006</v>
      </c>
      <c r="H68" s="64">
        <v>23.79</v>
      </c>
      <c r="I68" s="64">
        <v>2.89</v>
      </c>
      <c r="J68" s="64">
        <v>0.56000000000000005</v>
      </c>
      <c r="K68" s="64">
        <v>319.25</v>
      </c>
      <c r="L68" s="64">
        <v>26.85</v>
      </c>
      <c r="M68" s="64">
        <v>27.2</v>
      </c>
      <c r="N68" s="64">
        <v>122</v>
      </c>
      <c r="O68" s="64">
        <v>0</v>
      </c>
      <c r="P68" s="64">
        <v>0.75</v>
      </c>
      <c r="Q68" s="64">
        <v>9.2100000000000009</v>
      </c>
      <c r="R68" s="198"/>
      <c r="S68" s="198"/>
      <c r="T68" s="198"/>
      <c r="U68" s="198"/>
    </row>
    <row r="69" spans="1:21" s="12" customFormat="1" x14ac:dyDescent="0.25">
      <c r="A69" s="211" t="s">
        <v>1172</v>
      </c>
      <c r="B69" s="64">
        <v>4.22</v>
      </c>
      <c r="C69" s="64">
        <v>26.32</v>
      </c>
      <c r="D69" s="64">
        <v>16.670000000000002</v>
      </c>
      <c r="E69" s="64">
        <v>8.64</v>
      </c>
      <c r="F69" s="64">
        <v>12.2</v>
      </c>
      <c r="G69" s="64">
        <v>80.150000000000006</v>
      </c>
      <c r="H69" s="64">
        <v>23.79</v>
      </c>
      <c r="I69" s="64">
        <v>2.89</v>
      </c>
      <c r="J69" s="64">
        <v>0.75</v>
      </c>
      <c r="K69" s="64">
        <v>323.63</v>
      </c>
      <c r="L69" s="64">
        <v>26.5</v>
      </c>
      <c r="M69" s="64">
        <v>27.49</v>
      </c>
      <c r="N69" s="64">
        <v>112</v>
      </c>
      <c r="O69" s="64">
        <v>0</v>
      </c>
      <c r="P69" s="64">
        <v>0.76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1" t="s">
        <v>1173</v>
      </c>
      <c r="B70" s="64">
        <v>4.91</v>
      </c>
      <c r="C70" s="64">
        <v>28.99</v>
      </c>
      <c r="D70" s="64">
        <v>18.62</v>
      </c>
      <c r="E70" s="64">
        <v>9.81</v>
      </c>
      <c r="F70" s="64">
        <v>17.690000000000001</v>
      </c>
      <c r="G70" s="64">
        <v>73.67</v>
      </c>
      <c r="H70" s="64">
        <v>24.39</v>
      </c>
      <c r="I70" s="64">
        <v>2.84</v>
      </c>
      <c r="J70" s="64">
        <v>0.83</v>
      </c>
      <c r="K70" s="64">
        <v>333.92</v>
      </c>
      <c r="L70" s="64">
        <v>26.13</v>
      </c>
      <c r="M70" s="64">
        <v>27.62</v>
      </c>
      <c r="N70" s="64">
        <v>102.7</v>
      </c>
      <c r="O70" s="64">
        <v>0</v>
      </c>
      <c r="P70" s="64">
        <v>0.73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11" t="s">
        <v>1174</v>
      </c>
      <c r="B71" s="64">
        <v>3.63</v>
      </c>
      <c r="C71" s="64">
        <v>29.99</v>
      </c>
      <c r="D71" s="64">
        <v>18.12</v>
      </c>
      <c r="E71" s="64">
        <v>9.0399999999999991</v>
      </c>
      <c r="F71" s="64">
        <v>13.02</v>
      </c>
      <c r="G71" s="64">
        <v>73.2</v>
      </c>
      <c r="H71" s="64">
        <v>24.39</v>
      </c>
      <c r="I71" s="64">
        <v>2.75</v>
      </c>
      <c r="J71" s="64">
        <v>0.99</v>
      </c>
      <c r="K71" s="64">
        <v>332.94</v>
      </c>
      <c r="L71" s="64">
        <v>25.75</v>
      </c>
      <c r="M71" s="64">
        <v>27.87</v>
      </c>
      <c r="N71" s="64">
        <v>94.5</v>
      </c>
      <c r="O71" s="64">
        <v>0</v>
      </c>
      <c r="P71" s="64">
        <v>0.79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1" t="s">
        <v>1175</v>
      </c>
      <c r="B72" s="64">
        <v>4.5599999999999996</v>
      </c>
      <c r="C72" s="64">
        <v>29.75</v>
      </c>
      <c r="D72" s="64">
        <v>18.739999999999998</v>
      </c>
      <c r="E72" s="64">
        <v>9.4700000000000006</v>
      </c>
      <c r="F72" s="64">
        <v>20.58</v>
      </c>
      <c r="G72" s="64">
        <v>73.2</v>
      </c>
      <c r="H72" s="64">
        <v>24.39</v>
      </c>
      <c r="I72" s="64">
        <v>2.68</v>
      </c>
      <c r="J72" s="64">
        <v>0.98</v>
      </c>
      <c r="K72" s="64">
        <v>342.07</v>
      </c>
      <c r="L72" s="64">
        <v>25.45</v>
      </c>
      <c r="M72" s="64">
        <v>28.53</v>
      </c>
      <c r="N72" s="64">
        <v>86.8</v>
      </c>
      <c r="O72" s="64">
        <v>0</v>
      </c>
      <c r="P72" s="64">
        <v>0.73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1" t="s">
        <v>1176</v>
      </c>
      <c r="B73" s="64">
        <v>6.82</v>
      </c>
      <c r="C73" s="64">
        <v>33.619999999999997</v>
      </c>
      <c r="D73" s="64">
        <v>22.58</v>
      </c>
      <c r="E73" s="64">
        <v>10.14</v>
      </c>
      <c r="F73" s="64">
        <v>18.84</v>
      </c>
      <c r="G73" s="64">
        <v>73.2</v>
      </c>
      <c r="H73" s="64">
        <v>24.39</v>
      </c>
      <c r="I73" s="64">
        <v>2.6</v>
      </c>
      <c r="J73" s="64">
        <v>0.66</v>
      </c>
      <c r="K73" s="64">
        <v>334.89</v>
      </c>
      <c r="L73" s="64">
        <v>25.13</v>
      </c>
      <c r="M73" s="64">
        <v>30.42</v>
      </c>
      <c r="N73" s="64">
        <v>79.2</v>
      </c>
      <c r="O73" s="64">
        <v>0</v>
      </c>
      <c r="P73" s="64">
        <v>0.85</v>
      </c>
      <c r="Q73" s="64">
        <v>9.26</v>
      </c>
      <c r="R73" s="198"/>
      <c r="S73" s="198"/>
      <c r="T73" s="198"/>
      <c r="U73" s="198"/>
    </row>
    <row r="74" spans="1:21" s="12" customFormat="1" x14ac:dyDescent="0.25">
      <c r="A74" s="211" t="s">
        <v>1177</v>
      </c>
      <c r="B74" s="64">
        <v>5.65</v>
      </c>
      <c r="C74" s="64">
        <v>28.73</v>
      </c>
      <c r="D74" s="64">
        <v>19.079999999999998</v>
      </c>
      <c r="E74" s="64">
        <v>9.02</v>
      </c>
      <c r="F74" s="64">
        <v>14.59</v>
      </c>
      <c r="G74" s="64">
        <v>66.92</v>
      </c>
      <c r="H74" s="64">
        <v>19.95</v>
      </c>
      <c r="I74" s="64">
        <v>2.5499999999999998</v>
      </c>
      <c r="J74" s="64">
        <v>0.93</v>
      </c>
      <c r="K74" s="64">
        <v>343.48</v>
      </c>
      <c r="L74" s="64">
        <v>24.79</v>
      </c>
      <c r="M74" s="64">
        <v>31.21</v>
      </c>
      <c r="N74" s="64">
        <v>70.3</v>
      </c>
      <c r="O74" s="64">
        <v>0</v>
      </c>
      <c r="P74" s="64">
        <v>0.81</v>
      </c>
      <c r="Q74" s="64">
        <v>9.2799999999999994</v>
      </c>
      <c r="R74" s="198"/>
      <c r="S74" s="198"/>
      <c r="T74" s="198"/>
      <c r="U74" s="198"/>
    </row>
    <row r="75" spans="1:21" s="12" customFormat="1" x14ac:dyDescent="0.25">
      <c r="A75" s="211" t="s">
        <v>1178</v>
      </c>
      <c r="B75" s="64">
        <v>4.4400000000000004</v>
      </c>
      <c r="C75" s="64">
        <v>29.1</v>
      </c>
      <c r="D75" s="64">
        <v>18.3</v>
      </c>
      <c r="E75" s="64">
        <v>6.14</v>
      </c>
      <c r="F75" s="64">
        <v>5.61</v>
      </c>
      <c r="G75" s="64">
        <v>66.47</v>
      </c>
      <c r="H75" s="64">
        <v>19.95</v>
      </c>
      <c r="I75" s="64">
        <v>2.58</v>
      </c>
      <c r="J75" s="64">
        <v>0.94</v>
      </c>
      <c r="K75" s="64">
        <v>340.61</v>
      </c>
      <c r="L75" s="64">
        <v>24.36</v>
      </c>
      <c r="M75" s="64">
        <v>31.98</v>
      </c>
      <c r="N75" s="64">
        <v>61.6</v>
      </c>
      <c r="O75" s="64">
        <v>0</v>
      </c>
      <c r="P75" s="64">
        <v>0.84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1" t="s">
        <v>1179</v>
      </c>
      <c r="B76" s="64">
        <v>5.0999999999999996</v>
      </c>
      <c r="C76" s="64">
        <v>28.78</v>
      </c>
      <c r="D76" s="64">
        <v>18.670000000000002</v>
      </c>
      <c r="E76" s="64">
        <v>5.89</v>
      </c>
      <c r="F76" s="64">
        <v>5.76</v>
      </c>
      <c r="G76" s="64">
        <v>66.47</v>
      </c>
      <c r="H76" s="64">
        <v>19.95</v>
      </c>
      <c r="I76" s="64">
        <v>2.63</v>
      </c>
      <c r="J76" s="64">
        <v>0.7</v>
      </c>
      <c r="K76" s="64">
        <v>338.64</v>
      </c>
      <c r="L76" s="64">
        <v>23.83</v>
      </c>
      <c r="M76" s="64">
        <v>34.15</v>
      </c>
      <c r="N76" s="64">
        <v>53.3</v>
      </c>
      <c r="O76" s="64">
        <v>0</v>
      </c>
      <c r="P76" s="64">
        <v>0.83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1" t="s">
        <v>1180</v>
      </c>
      <c r="B77" s="64">
        <v>9.81</v>
      </c>
      <c r="C77" s="64">
        <v>29.65</v>
      </c>
      <c r="D77" s="64">
        <v>22.89</v>
      </c>
      <c r="E77" s="64">
        <v>6.1</v>
      </c>
      <c r="F77" s="64">
        <v>7.12</v>
      </c>
      <c r="G77" s="64">
        <v>66.47</v>
      </c>
      <c r="H77" s="64">
        <v>19.95</v>
      </c>
      <c r="I77" s="64">
        <v>2.66</v>
      </c>
      <c r="J77" s="64">
        <v>0.61</v>
      </c>
      <c r="K77" s="64">
        <v>344.83</v>
      </c>
      <c r="L77" s="64">
        <v>23.28</v>
      </c>
      <c r="M77" s="64">
        <v>36.340000000000003</v>
      </c>
      <c r="N77" s="64">
        <v>45.9</v>
      </c>
      <c r="O77" s="64">
        <v>0</v>
      </c>
      <c r="P77" s="64">
        <v>0.87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1" t="s">
        <v>1181</v>
      </c>
      <c r="B78" s="64">
        <v>8.7200000000000006</v>
      </c>
      <c r="C78" s="64">
        <v>31.61</v>
      </c>
      <c r="D78" s="64">
        <v>23.05</v>
      </c>
      <c r="E78" s="64">
        <v>5.6</v>
      </c>
      <c r="F78" s="64">
        <v>5.54</v>
      </c>
      <c r="G78" s="64">
        <v>52.91</v>
      </c>
      <c r="H78" s="64">
        <v>20.51</v>
      </c>
      <c r="I78" s="64">
        <v>2.72</v>
      </c>
      <c r="J78" s="64">
        <v>0.08</v>
      </c>
      <c r="K78" s="64">
        <v>32.14</v>
      </c>
      <c r="L78" s="64">
        <v>22.45</v>
      </c>
      <c r="M78" s="64">
        <v>38.81</v>
      </c>
      <c r="N78" s="64">
        <v>42.7</v>
      </c>
      <c r="O78" s="64">
        <v>0</v>
      </c>
      <c r="P78" s="64">
        <v>0.96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1" t="s">
        <v>1182</v>
      </c>
      <c r="B79" s="64">
        <v>10.87</v>
      </c>
      <c r="C79" s="64">
        <v>28.54</v>
      </c>
      <c r="D79" s="64">
        <v>23.16</v>
      </c>
      <c r="E79" s="64">
        <v>5.91</v>
      </c>
      <c r="F79" s="64">
        <v>4.84</v>
      </c>
      <c r="G79" s="64">
        <v>51.95</v>
      </c>
      <c r="H79" s="64">
        <v>20.51</v>
      </c>
      <c r="I79" s="64">
        <v>2.82</v>
      </c>
      <c r="J79" s="64">
        <v>0.12</v>
      </c>
      <c r="K79" s="64">
        <v>64.8</v>
      </c>
      <c r="L79" s="64">
        <v>21.89</v>
      </c>
      <c r="M79" s="64">
        <v>41.29</v>
      </c>
      <c r="N79" s="64">
        <v>41.6</v>
      </c>
      <c r="O79" s="64">
        <v>0</v>
      </c>
      <c r="P79" s="64">
        <v>1.03</v>
      </c>
      <c r="Q79" s="64">
        <v>9.35</v>
      </c>
      <c r="R79" s="198"/>
      <c r="S79" s="198"/>
      <c r="T79" s="198"/>
      <c r="U79" s="198"/>
    </row>
    <row r="80" spans="1:21" s="12" customFormat="1" x14ac:dyDescent="0.25">
      <c r="A80" s="211" t="s">
        <v>1183</v>
      </c>
      <c r="B80" s="64">
        <v>7.78</v>
      </c>
      <c r="C80" s="64">
        <v>30.35</v>
      </c>
      <c r="D80" s="64">
        <v>21.64</v>
      </c>
      <c r="E80" s="64">
        <v>5.47</v>
      </c>
      <c r="F80" s="64">
        <v>4.7300000000000004</v>
      </c>
      <c r="G80" s="64">
        <v>51.95</v>
      </c>
      <c r="H80" s="64">
        <v>20.51</v>
      </c>
      <c r="I80" s="64">
        <v>2.71</v>
      </c>
      <c r="J80" s="64">
        <v>0.17</v>
      </c>
      <c r="K80" s="64">
        <v>85.62</v>
      </c>
      <c r="L80" s="64">
        <v>21.62</v>
      </c>
      <c r="M80" s="64">
        <v>41.21</v>
      </c>
      <c r="N80" s="64">
        <v>41.3</v>
      </c>
      <c r="O80" s="64">
        <v>0</v>
      </c>
      <c r="P80" s="64">
        <v>0.98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1" t="s">
        <v>1184</v>
      </c>
      <c r="B81" s="64">
        <v>16.3</v>
      </c>
      <c r="C81" s="64">
        <v>26.96</v>
      </c>
      <c r="D81" s="64">
        <v>26.7</v>
      </c>
      <c r="E81" s="64">
        <v>5.04</v>
      </c>
      <c r="F81" s="64">
        <v>4.29</v>
      </c>
      <c r="G81" s="64">
        <v>51.95</v>
      </c>
      <c r="H81" s="64">
        <v>20.51</v>
      </c>
      <c r="I81" s="64">
        <v>2.68</v>
      </c>
      <c r="J81" s="64">
        <v>0.1</v>
      </c>
      <c r="K81" s="64">
        <v>69.599999999999994</v>
      </c>
      <c r="L81" s="64">
        <v>21.38</v>
      </c>
      <c r="M81" s="64">
        <v>43.8</v>
      </c>
      <c r="N81" s="64">
        <v>41.5</v>
      </c>
      <c r="O81" s="64">
        <v>0</v>
      </c>
      <c r="P81" s="64">
        <v>1.1399999999999999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1" t="s">
        <v>1185</v>
      </c>
      <c r="B82" s="64">
        <v>11.21</v>
      </c>
      <c r="C82" s="64">
        <v>21.19</v>
      </c>
      <c r="D82" s="64">
        <v>19.600000000000001</v>
      </c>
      <c r="E82" s="64">
        <v>4.88</v>
      </c>
      <c r="F82" s="64">
        <v>3.5</v>
      </c>
      <c r="G82" s="64">
        <v>79.91</v>
      </c>
      <c r="H82" s="64">
        <v>25.66</v>
      </c>
      <c r="I82" s="64">
        <v>2.8</v>
      </c>
      <c r="J82" s="64">
        <v>0.03</v>
      </c>
      <c r="K82" s="64">
        <v>357.58</v>
      </c>
      <c r="L82" s="64">
        <v>20.92</v>
      </c>
      <c r="M82" s="64">
        <v>47.53</v>
      </c>
      <c r="N82" s="64">
        <v>41.4</v>
      </c>
      <c r="O82" s="64">
        <v>0</v>
      </c>
      <c r="P82" s="64">
        <v>1.03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1" t="s">
        <v>1186</v>
      </c>
      <c r="B83" s="64">
        <v>13.68</v>
      </c>
      <c r="C83" s="64">
        <v>18.899999999999999</v>
      </c>
      <c r="D83" s="64">
        <v>20.38</v>
      </c>
      <c r="E83" s="64">
        <v>4.71</v>
      </c>
      <c r="F83" s="64">
        <v>3.1</v>
      </c>
      <c r="G83" s="64">
        <v>81.91</v>
      </c>
      <c r="H83" s="64">
        <v>25.66</v>
      </c>
      <c r="I83" s="64">
        <v>2.93</v>
      </c>
      <c r="J83" s="64">
        <v>0.11</v>
      </c>
      <c r="K83" s="64">
        <v>251.74</v>
      </c>
      <c r="L83" s="64">
        <v>20.16</v>
      </c>
      <c r="M83" s="64">
        <v>54.01</v>
      </c>
      <c r="N83" s="64">
        <v>41.3</v>
      </c>
      <c r="O83" s="64">
        <v>0</v>
      </c>
      <c r="P83" s="64">
        <v>1.07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1" t="s">
        <v>1187</v>
      </c>
      <c r="B84" s="64">
        <v>17.440000000000001</v>
      </c>
      <c r="C84" s="64">
        <v>16.690000000000001</v>
      </c>
      <c r="D84" s="64">
        <v>22.25</v>
      </c>
      <c r="E84" s="64">
        <v>4.54</v>
      </c>
      <c r="F84" s="64">
        <v>2.81</v>
      </c>
      <c r="G84" s="64">
        <v>81.91</v>
      </c>
      <c r="H84" s="64">
        <v>25.66</v>
      </c>
      <c r="I84" s="64">
        <v>3.08</v>
      </c>
      <c r="J84" s="64">
        <v>0.09</v>
      </c>
      <c r="K84" s="64">
        <v>297.39</v>
      </c>
      <c r="L84" s="64">
        <v>19.68</v>
      </c>
      <c r="M84" s="64">
        <v>60.11</v>
      </c>
      <c r="N84" s="64">
        <v>41.3</v>
      </c>
      <c r="O84" s="64">
        <v>0</v>
      </c>
      <c r="P84" s="64">
        <v>1.1399999999999999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1" t="s">
        <v>1188</v>
      </c>
      <c r="B85" s="64">
        <v>36.799999999999997</v>
      </c>
      <c r="C85" s="64">
        <v>16.45</v>
      </c>
      <c r="D85" s="64">
        <v>37.65</v>
      </c>
      <c r="E85" s="64">
        <v>5.12</v>
      </c>
      <c r="F85" s="64">
        <v>3.31</v>
      </c>
      <c r="G85" s="64">
        <v>81.91</v>
      </c>
      <c r="H85" s="64">
        <v>25.66</v>
      </c>
      <c r="I85" s="64">
        <v>3.26</v>
      </c>
      <c r="J85" s="64">
        <v>0.05</v>
      </c>
      <c r="K85" s="64">
        <v>259.25</v>
      </c>
      <c r="L85" s="64">
        <v>19.23</v>
      </c>
      <c r="M85" s="64">
        <v>62.11</v>
      </c>
      <c r="N85" s="64">
        <v>41.2</v>
      </c>
      <c r="O85" s="64">
        <v>0</v>
      </c>
      <c r="P85" s="64">
        <v>1.31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1" t="s">
        <v>1189</v>
      </c>
      <c r="B86" s="64">
        <v>64.349999999999994</v>
      </c>
      <c r="C86" s="64">
        <v>11.33</v>
      </c>
      <c r="D86" s="64">
        <v>56.85</v>
      </c>
      <c r="E86" s="64">
        <v>5.96</v>
      </c>
      <c r="F86" s="64">
        <v>3.65</v>
      </c>
      <c r="G86" s="64">
        <v>103.94</v>
      </c>
      <c r="H86" s="64">
        <v>35.909999999999997</v>
      </c>
      <c r="I86" s="64">
        <v>3.47</v>
      </c>
      <c r="J86" s="64">
        <v>0.1</v>
      </c>
      <c r="K86" s="64">
        <v>299.2</v>
      </c>
      <c r="L86" s="64">
        <v>19.11</v>
      </c>
      <c r="M86" s="64">
        <v>67.67</v>
      </c>
      <c r="N86" s="64">
        <v>41.1</v>
      </c>
      <c r="O86" s="64">
        <v>0</v>
      </c>
      <c r="P86" s="64">
        <v>1.66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1" t="s">
        <v>1190</v>
      </c>
      <c r="B87" s="64">
        <v>67.64</v>
      </c>
      <c r="C87" s="64">
        <v>9.1</v>
      </c>
      <c r="D87" s="64">
        <v>58.45</v>
      </c>
      <c r="E87" s="64">
        <v>5.63</v>
      </c>
      <c r="F87" s="64">
        <v>3.77</v>
      </c>
      <c r="G87" s="64">
        <v>105.52</v>
      </c>
      <c r="H87" s="64">
        <v>35.909999999999997</v>
      </c>
      <c r="I87" s="64">
        <v>3.64</v>
      </c>
      <c r="J87" s="64">
        <v>0.13</v>
      </c>
      <c r="K87" s="64">
        <v>307.51</v>
      </c>
      <c r="L87" s="64">
        <v>18.7</v>
      </c>
      <c r="M87" s="64">
        <v>72.67</v>
      </c>
      <c r="N87" s="64">
        <v>41.1</v>
      </c>
      <c r="O87" s="64">
        <v>0</v>
      </c>
      <c r="P87" s="64">
        <v>1.73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1" t="s">
        <v>1191</v>
      </c>
      <c r="B88" s="64">
        <v>69.62</v>
      </c>
      <c r="C88" s="64">
        <v>5.4</v>
      </c>
      <c r="D88" s="64">
        <v>57.22</v>
      </c>
      <c r="E88" s="64">
        <v>5.44</v>
      </c>
      <c r="F88" s="64">
        <v>3.66</v>
      </c>
      <c r="G88" s="64">
        <v>105.52</v>
      </c>
      <c r="H88" s="64">
        <v>35.909999999999997</v>
      </c>
      <c r="I88" s="64">
        <v>3.82</v>
      </c>
      <c r="J88" s="64">
        <v>0.15</v>
      </c>
      <c r="K88" s="64">
        <v>293.42</v>
      </c>
      <c r="L88" s="64">
        <v>18.45</v>
      </c>
      <c r="M88" s="64">
        <v>76.16</v>
      </c>
      <c r="N88" s="64">
        <v>41.1</v>
      </c>
      <c r="O88" s="64">
        <v>0</v>
      </c>
      <c r="P88" s="64">
        <v>1.89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1" t="s">
        <v>1192</v>
      </c>
      <c r="B89" s="64">
        <v>61.79</v>
      </c>
      <c r="C89" s="64">
        <v>2.75</v>
      </c>
      <c r="D89" s="64">
        <v>49.69</v>
      </c>
      <c r="E89" s="64">
        <v>5.57</v>
      </c>
      <c r="F89" s="64">
        <v>3.29</v>
      </c>
      <c r="G89" s="64">
        <v>105.52</v>
      </c>
      <c r="H89" s="64">
        <v>35.909999999999997</v>
      </c>
      <c r="I89" s="64">
        <v>4.0199999999999996</v>
      </c>
      <c r="J89" s="64">
        <v>0.12</v>
      </c>
      <c r="K89" s="64">
        <v>301.20999999999998</v>
      </c>
      <c r="L89" s="64">
        <v>18.170000000000002</v>
      </c>
      <c r="M89" s="64">
        <v>76.81</v>
      </c>
      <c r="N89" s="64">
        <v>41.1</v>
      </c>
      <c r="O89" s="64">
        <v>0</v>
      </c>
      <c r="P89" s="64">
        <v>1.75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1" t="s">
        <v>1193</v>
      </c>
      <c r="B90" s="64">
        <v>83.22</v>
      </c>
      <c r="C90" s="64">
        <v>1.69</v>
      </c>
      <c r="D90" s="64">
        <v>65.959999999999994</v>
      </c>
      <c r="E90" s="64">
        <v>5.47</v>
      </c>
      <c r="F90" s="64">
        <v>3.88</v>
      </c>
      <c r="G90" s="64">
        <v>124.99</v>
      </c>
      <c r="H90" s="64">
        <v>40.5</v>
      </c>
      <c r="I90" s="64">
        <v>4.22</v>
      </c>
      <c r="J90" s="64">
        <v>0.15</v>
      </c>
      <c r="K90" s="64">
        <v>286.02</v>
      </c>
      <c r="L90" s="64">
        <v>18.100000000000001</v>
      </c>
      <c r="M90" s="64">
        <v>78.06</v>
      </c>
      <c r="N90" s="64">
        <v>41</v>
      </c>
      <c r="O90" s="64">
        <v>0</v>
      </c>
      <c r="P90" s="64">
        <v>2.0099999999999998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1" t="s">
        <v>1194</v>
      </c>
      <c r="B91" s="64">
        <v>80.02</v>
      </c>
      <c r="C91" s="64">
        <v>1.0900000000000001</v>
      </c>
      <c r="D91" s="64">
        <v>61.57</v>
      </c>
      <c r="E91" s="64">
        <v>5.9</v>
      </c>
      <c r="F91" s="64">
        <v>3.62</v>
      </c>
      <c r="G91" s="64">
        <v>126.38</v>
      </c>
      <c r="H91" s="64">
        <v>40.5</v>
      </c>
      <c r="I91" s="64">
        <v>4.41</v>
      </c>
      <c r="J91" s="64">
        <v>0.13</v>
      </c>
      <c r="K91" s="64">
        <v>303.5</v>
      </c>
      <c r="L91" s="64">
        <v>18.03</v>
      </c>
      <c r="M91" s="64">
        <v>82.81</v>
      </c>
      <c r="N91" s="64">
        <v>41.1</v>
      </c>
      <c r="O91" s="64">
        <v>0</v>
      </c>
      <c r="P91" s="64">
        <v>2.1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1" t="s">
        <v>1195</v>
      </c>
      <c r="B92" s="64">
        <v>74.62</v>
      </c>
      <c r="C92" s="64">
        <v>0.66</v>
      </c>
      <c r="D92" s="64">
        <v>57.37</v>
      </c>
      <c r="E92" s="64">
        <v>5.66</v>
      </c>
      <c r="F92" s="64">
        <v>4.07</v>
      </c>
      <c r="G92" s="64">
        <v>126.38</v>
      </c>
      <c r="H92" s="64">
        <v>40.5</v>
      </c>
      <c r="I92" s="64">
        <v>4.6399999999999997</v>
      </c>
      <c r="J92" s="64">
        <v>0.16</v>
      </c>
      <c r="K92" s="64">
        <v>303.95999999999998</v>
      </c>
      <c r="L92" s="64">
        <v>18</v>
      </c>
      <c r="M92" s="64">
        <v>81.08</v>
      </c>
      <c r="N92" s="64">
        <v>41</v>
      </c>
      <c r="O92" s="64">
        <v>0</v>
      </c>
      <c r="P92" s="64">
        <v>2.14</v>
      </c>
      <c r="Q92" s="64">
        <v>9.7200000000000006</v>
      </c>
      <c r="R92" s="198"/>
      <c r="S92" s="198"/>
      <c r="T92" s="198"/>
      <c r="U92" s="198"/>
    </row>
    <row r="93" spans="1:26" s="12" customFormat="1" x14ac:dyDescent="0.25">
      <c r="A93" s="211" t="s">
        <v>1196</v>
      </c>
      <c r="B93" s="64">
        <v>63.62</v>
      </c>
      <c r="C93" s="6" t="s">
        <v>42</v>
      </c>
      <c r="D93" s="64">
        <v>47.71</v>
      </c>
      <c r="E93" s="64">
        <v>5.49</v>
      </c>
      <c r="F93" s="64">
        <v>3.81</v>
      </c>
      <c r="G93" s="64">
        <v>126.38</v>
      </c>
      <c r="H93" s="64">
        <v>40.5</v>
      </c>
      <c r="I93" s="64">
        <v>4.91</v>
      </c>
      <c r="J93" s="64">
        <v>0.14000000000000001</v>
      </c>
      <c r="K93" s="64">
        <v>339.04</v>
      </c>
      <c r="L93" s="64">
        <v>17.71</v>
      </c>
      <c r="M93" s="64">
        <v>87.73</v>
      </c>
      <c r="N93" s="64">
        <v>41.1</v>
      </c>
      <c r="O93" s="64">
        <v>0</v>
      </c>
      <c r="P93" s="64">
        <v>1.83</v>
      </c>
      <c r="Q93" s="64">
        <v>9.7100000000000009</v>
      </c>
      <c r="R93" s="198"/>
      <c r="S93" s="198"/>
      <c r="T93" s="198"/>
      <c r="U93" s="198"/>
    </row>
    <row r="94" spans="1:26" s="12" customFormat="1" x14ac:dyDescent="0.25">
      <c r="A94" s="211" t="s">
        <v>1197</v>
      </c>
      <c r="B94" s="64">
        <v>71.510000000000005</v>
      </c>
      <c r="C94" s="64">
        <v>0.11</v>
      </c>
      <c r="D94" s="64">
        <v>52.7</v>
      </c>
      <c r="E94" s="64">
        <v>5.33</v>
      </c>
      <c r="F94" s="64">
        <v>3.35</v>
      </c>
      <c r="G94" s="64">
        <v>145.38999999999999</v>
      </c>
      <c r="H94" s="64">
        <v>44.95</v>
      </c>
      <c r="I94" s="64">
        <v>5.22</v>
      </c>
      <c r="J94" s="64">
        <v>0.1</v>
      </c>
      <c r="K94" s="64">
        <v>256.22000000000003</v>
      </c>
      <c r="L94" s="64">
        <v>17.75</v>
      </c>
      <c r="M94" s="64">
        <v>81.47</v>
      </c>
      <c r="N94" s="64">
        <v>40.799999999999997</v>
      </c>
      <c r="O94" s="64">
        <v>0</v>
      </c>
      <c r="P94" s="64">
        <v>1.92</v>
      </c>
      <c r="Q94" s="64">
        <v>9.7200000000000006</v>
      </c>
      <c r="R94" s="198"/>
      <c r="S94" s="198"/>
      <c r="T94" s="198"/>
      <c r="U94" s="198"/>
    </row>
    <row r="95" spans="1:26" s="12" customFormat="1" x14ac:dyDescent="0.25">
      <c r="A95" s="211" t="s">
        <v>1198</v>
      </c>
      <c r="B95" s="64">
        <v>77.12</v>
      </c>
      <c r="C95" s="6" t="s">
        <v>42</v>
      </c>
      <c r="D95" s="64">
        <v>55.48</v>
      </c>
      <c r="E95" s="64">
        <v>5.41</v>
      </c>
      <c r="F95" s="64">
        <v>3.56</v>
      </c>
      <c r="G95" s="64">
        <v>146.75</v>
      </c>
      <c r="H95" s="64">
        <v>44.95</v>
      </c>
      <c r="I95" s="64">
        <v>5.53</v>
      </c>
      <c r="J95" s="64">
        <v>0.09</v>
      </c>
      <c r="K95" s="64">
        <v>15.54</v>
      </c>
      <c r="L95" s="64">
        <v>17.71</v>
      </c>
      <c r="M95" s="64">
        <v>83.75</v>
      </c>
      <c r="N95" s="64">
        <v>41.2</v>
      </c>
      <c r="O95" s="64">
        <v>0</v>
      </c>
      <c r="P95" s="64">
        <v>1.98</v>
      </c>
      <c r="Q95" s="64">
        <v>9.75</v>
      </c>
      <c r="R95" s="198"/>
      <c r="S95" s="198"/>
      <c r="T95" s="198"/>
      <c r="U95" s="198"/>
    </row>
    <row r="96" spans="1:26" s="12" customFormat="1" x14ac:dyDescent="0.25">
      <c r="A96" s="211" t="s">
        <v>1199</v>
      </c>
      <c r="B96" s="64">
        <v>85.47</v>
      </c>
      <c r="C96" s="6" t="s">
        <v>42</v>
      </c>
      <c r="D96" s="64">
        <v>60.65</v>
      </c>
      <c r="E96" s="64">
        <v>5.41</v>
      </c>
      <c r="F96" s="64">
        <v>3.54</v>
      </c>
      <c r="G96" s="64">
        <v>146.75</v>
      </c>
      <c r="H96" s="64">
        <v>44.95</v>
      </c>
      <c r="I96" s="64">
        <v>5.84</v>
      </c>
      <c r="J96" s="64">
        <v>0.15</v>
      </c>
      <c r="K96" s="64">
        <v>312.52999999999997</v>
      </c>
      <c r="L96" s="64">
        <v>17.350000000000001</v>
      </c>
      <c r="M96" s="64">
        <v>87.61</v>
      </c>
      <c r="N96" s="64">
        <v>41.1</v>
      </c>
      <c r="O96" s="64">
        <v>0</v>
      </c>
      <c r="P96" s="64">
        <v>2.09</v>
      </c>
      <c r="Q96" s="64">
        <v>9.75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1200</v>
      </c>
      <c r="B97" s="64">
        <v>95.14</v>
      </c>
      <c r="C97" s="6" t="s">
        <v>42</v>
      </c>
      <c r="D97" s="64">
        <v>66.2</v>
      </c>
      <c r="E97" s="64">
        <v>5.49</v>
      </c>
      <c r="F97" s="64">
        <v>3.34</v>
      </c>
      <c r="G97" s="64">
        <v>146.75</v>
      </c>
      <c r="H97" s="64">
        <v>44.95</v>
      </c>
      <c r="I97" s="64">
        <v>6.13</v>
      </c>
      <c r="J97" s="64">
        <v>0.13</v>
      </c>
      <c r="K97" s="64">
        <v>349.25</v>
      </c>
      <c r="L97" s="64">
        <v>17.07</v>
      </c>
      <c r="M97" s="64">
        <v>90.89</v>
      </c>
      <c r="N97" s="64">
        <v>41</v>
      </c>
      <c r="O97" s="64">
        <v>0</v>
      </c>
      <c r="P97" s="64">
        <v>2.19</v>
      </c>
      <c r="Q97" s="64">
        <v>9.76</v>
      </c>
      <c r="R97" s="198"/>
      <c r="S97" s="198"/>
      <c r="T97" s="198"/>
      <c r="U97" s="198"/>
    </row>
    <row r="98" spans="1:33" s="12" customFormat="1" x14ac:dyDescent="0.25">
      <c r="A98" s="211" t="s">
        <v>1201</v>
      </c>
      <c r="B98" s="64">
        <v>99.3</v>
      </c>
      <c r="C98" s="6" t="s">
        <v>42</v>
      </c>
      <c r="D98" s="64">
        <v>68.62</v>
      </c>
      <c r="E98" s="64">
        <v>5.09</v>
      </c>
      <c r="F98" s="64">
        <v>3.27</v>
      </c>
      <c r="G98" s="64">
        <v>162.49</v>
      </c>
      <c r="H98" s="64">
        <v>55.61</v>
      </c>
      <c r="I98" s="64">
        <v>6.45</v>
      </c>
      <c r="J98" s="64">
        <v>0.05</v>
      </c>
      <c r="K98" s="64">
        <v>322.5</v>
      </c>
      <c r="L98" s="64">
        <v>16.89</v>
      </c>
      <c r="M98" s="64">
        <v>91.41</v>
      </c>
      <c r="N98" s="64">
        <v>41</v>
      </c>
      <c r="O98" s="64">
        <v>0</v>
      </c>
      <c r="P98" s="64">
        <v>2.2599999999999998</v>
      </c>
      <c r="Q98" s="64">
        <v>9.7899999999999991</v>
      </c>
      <c r="R98" s="198"/>
      <c r="S98" s="198"/>
      <c r="T98" s="198"/>
      <c r="U98" s="198"/>
    </row>
    <row r="99" spans="1:33" s="12" customFormat="1" x14ac:dyDescent="0.25">
      <c r="A99" s="211" t="s">
        <v>1202</v>
      </c>
      <c r="B99" s="64">
        <v>104.78</v>
      </c>
      <c r="C99" s="6" t="s">
        <v>42</v>
      </c>
      <c r="D99" s="64">
        <v>71.739999999999995</v>
      </c>
      <c r="E99" s="64">
        <v>5.18</v>
      </c>
      <c r="F99" s="64">
        <v>3.4</v>
      </c>
      <c r="G99" s="64">
        <v>163.61000000000001</v>
      </c>
      <c r="H99" s="64">
        <v>55.61</v>
      </c>
      <c r="I99" s="64">
        <v>6.7</v>
      </c>
      <c r="J99" s="64">
        <v>0.03</v>
      </c>
      <c r="K99" s="64">
        <v>236.29</v>
      </c>
      <c r="L99" s="64">
        <v>16.97</v>
      </c>
      <c r="M99" s="64">
        <v>86.96</v>
      </c>
      <c r="N99" s="64">
        <v>40.9</v>
      </c>
      <c r="O99" s="64">
        <v>0</v>
      </c>
      <c r="P99" s="64">
        <v>2.33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1" t="s">
        <v>1203</v>
      </c>
      <c r="B100" s="64">
        <v>109.15</v>
      </c>
      <c r="C100" s="6" t="s">
        <v>42</v>
      </c>
      <c r="D100" s="64">
        <v>74.22</v>
      </c>
      <c r="E100" s="64">
        <v>5.34</v>
      </c>
      <c r="F100" s="64">
        <v>3.26</v>
      </c>
      <c r="G100" s="64">
        <v>163.61000000000001</v>
      </c>
      <c r="H100" s="64">
        <v>55.61</v>
      </c>
      <c r="I100" s="64">
        <v>6.92</v>
      </c>
      <c r="J100" s="64">
        <v>0.1</v>
      </c>
      <c r="K100" s="64">
        <v>299.58</v>
      </c>
      <c r="L100" s="64">
        <v>16.66</v>
      </c>
      <c r="M100" s="64">
        <v>88.09</v>
      </c>
      <c r="N100" s="64">
        <v>40.9</v>
      </c>
      <c r="O100" s="64">
        <v>0</v>
      </c>
      <c r="P100" s="64">
        <v>2.39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1204</v>
      </c>
      <c r="B101" s="64">
        <v>111.85</v>
      </c>
      <c r="C101" s="6" t="s">
        <v>42</v>
      </c>
      <c r="D101" s="64">
        <v>75.69</v>
      </c>
      <c r="E101" s="64">
        <v>5.48</v>
      </c>
      <c r="F101" s="64">
        <v>3.26</v>
      </c>
      <c r="G101" s="64">
        <v>163.61000000000001</v>
      </c>
      <c r="H101" s="64">
        <v>55.61</v>
      </c>
      <c r="I101" s="64">
        <v>7.12</v>
      </c>
      <c r="J101" s="64">
        <v>0.14000000000000001</v>
      </c>
      <c r="K101" s="64">
        <v>328.97</v>
      </c>
      <c r="L101" s="64">
        <v>16.61</v>
      </c>
      <c r="M101" s="64">
        <v>86.07</v>
      </c>
      <c r="N101" s="64">
        <v>41.1</v>
      </c>
      <c r="O101" s="64">
        <v>0</v>
      </c>
      <c r="P101" s="64">
        <v>2.41</v>
      </c>
      <c r="Q101" s="64">
        <v>9.81</v>
      </c>
      <c r="R101" s="198"/>
      <c r="S101" s="198"/>
      <c r="T101" s="198"/>
      <c r="U101" s="198"/>
    </row>
    <row r="102" spans="1:33" s="12" customFormat="1" x14ac:dyDescent="0.25">
      <c r="A102" s="211" t="s">
        <v>1205</v>
      </c>
      <c r="B102" s="64">
        <v>113.12</v>
      </c>
      <c r="C102" s="6" t="s">
        <v>42</v>
      </c>
      <c r="D102" s="64">
        <v>76.37</v>
      </c>
      <c r="E102" s="64">
        <v>5.42</v>
      </c>
      <c r="F102" s="64">
        <v>3.3</v>
      </c>
      <c r="G102" s="64">
        <v>147.28</v>
      </c>
      <c r="H102" s="64">
        <v>55.72</v>
      </c>
      <c r="I102" s="64">
        <v>7.24</v>
      </c>
      <c r="J102" s="64">
        <v>0.06</v>
      </c>
      <c r="K102" s="64">
        <v>330.57</v>
      </c>
      <c r="L102" s="64">
        <v>16.32</v>
      </c>
      <c r="M102" s="64">
        <v>85.69</v>
      </c>
      <c r="N102" s="64">
        <v>41.1</v>
      </c>
      <c r="O102" s="64">
        <v>0</v>
      </c>
      <c r="P102" s="64">
        <v>2.44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1" t="s">
        <v>1206</v>
      </c>
      <c r="B103" s="64">
        <v>115.51</v>
      </c>
      <c r="C103" s="6" t="s">
        <v>42</v>
      </c>
      <c r="D103" s="64">
        <v>78.2</v>
      </c>
      <c r="E103" s="64">
        <v>5.33</v>
      </c>
      <c r="F103" s="64">
        <v>3.79</v>
      </c>
      <c r="G103" s="64">
        <v>146.11000000000001</v>
      </c>
      <c r="H103" s="64">
        <v>55.72</v>
      </c>
      <c r="I103" s="64">
        <v>7.31</v>
      </c>
      <c r="J103" s="64">
        <v>0.27</v>
      </c>
      <c r="K103" s="64">
        <v>325.61</v>
      </c>
      <c r="L103" s="64">
        <v>16.13</v>
      </c>
      <c r="M103" s="64">
        <v>94.85</v>
      </c>
      <c r="N103" s="64">
        <v>40.700000000000003</v>
      </c>
      <c r="O103" s="64">
        <v>0</v>
      </c>
      <c r="P103" s="64">
        <v>2.46</v>
      </c>
      <c r="Q103" s="64">
        <v>9.85</v>
      </c>
      <c r="R103" s="198"/>
      <c r="S103" s="198"/>
      <c r="T103" s="198"/>
      <c r="U103" s="198"/>
    </row>
    <row r="104" spans="1:33" s="12" customFormat="1" x14ac:dyDescent="0.25">
      <c r="A104" s="211" t="s">
        <v>1207</v>
      </c>
      <c r="B104" s="64">
        <v>112.22</v>
      </c>
      <c r="C104" s="6" t="s">
        <v>42</v>
      </c>
      <c r="D104" s="64">
        <v>76.08</v>
      </c>
      <c r="E104" s="64">
        <v>5.81</v>
      </c>
      <c r="F104" s="64">
        <v>3.56</v>
      </c>
      <c r="G104" s="64">
        <v>146.11000000000001</v>
      </c>
      <c r="H104" s="64">
        <v>55.72</v>
      </c>
      <c r="I104" s="64">
        <v>7.34</v>
      </c>
      <c r="J104" s="64">
        <v>0.37</v>
      </c>
      <c r="K104" s="64">
        <v>315.89</v>
      </c>
      <c r="L104" s="64">
        <v>16.23</v>
      </c>
      <c r="M104" s="64">
        <v>93.75</v>
      </c>
      <c r="N104" s="64">
        <v>40.1</v>
      </c>
      <c r="O104" s="64">
        <v>0</v>
      </c>
      <c r="P104" s="64">
        <v>2.48</v>
      </c>
      <c r="Q104" s="64">
        <v>9.85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0.01</v>
      </c>
      <c r="C106" s="67">
        <f>MIN(C9:C104)</f>
        <v>0.01</v>
      </c>
      <c r="D106" s="67">
        <f t="shared" ref="D106:Q106" si="0">MIN(D9:D104)</f>
        <v>11.11</v>
      </c>
      <c r="E106" s="67">
        <f t="shared" si="0"/>
        <v>4.54</v>
      </c>
      <c r="F106" s="67">
        <f t="shared" si="0"/>
        <v>2.81</v>
      </c>
      <c r="G106" s="67">
        <f t="shared" si="0"/>
        <v>51.95</v>
      </c>
      <c r="H106" s="67">
        <f t="shared" si="0"/>
        <v>19.95</v>
      </c>
      <c r="I106" s="67">
        <f t="shared" si="0"/>
        <v>2.5499999999999998</v>
      </c>
      <c r="J106" s="67">
        <f t="shared" si="0"/>
        <v>0.01</v>
      </c>
      <c r="K106" s="67">
        <f t="shared" si="0"/>
        <v>1.33</v>
      </c>
      <c r="L106" s="67">
        <f t="shared" si="0"/>
        <v>14.42</v>
      </c>
      <c r="M106" s="67">
        <f t="shared" si="0"/>
        <v>24.27</v>
      </c>
      <c r="N106" s="67">
        <f t="shared" si="0"/>
        <v>40.1</v>
      </c>
      <c r="O106" s="67">
        <f t="shared" si="0"/>
        <v>0</v>
      </c>
      <c r="P106" s="67">
        <f t="shared" si="0"/>
        <v>0.55000000000000004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115.51</v>
      </c>
      <c r="C107" s="66">
        <f t="shared" ref="C107:Q107" si="1">MAX(C9:C104)</f>
        <v>33.619999999999997</v>
      </c>
      <c r="D107" s="66">
        <f t="shared" si="1"/>
        <v>78.2</v>
      </c>
      <c r="E107" s="66">
        <f t="shared" si="1"/>
        <v>13.38</v>
      </c>
      <c r="F107" s="66">
        <f t="shared" si="1"/>
        <v>20.58</v>
      </c>
      <c r="G107" s="66">
        <f t="shared" si="1"/>
        <v>213.49</v>
      </c>
      <c r="H107" s="66">
        <f t="shared" si="1"/>
        <v>69.44</v>
      </c>
      <c r="I107" s="66">
        <f t="shared" si="1"/>
        <v>7.34</v>
      </c>
      <c r="J107" s="66">
        <f t="shared" si="1"/>
        <v>1.24</v>
      </c>
      <c r="K107" s="66">
        <f t="shared" si="1"/>
        <v>357.58</v>
      </c>
      <c r="L107" s="66">
        <f t="shared" si="1"/>
        <v>29.69</v>
      </c>
      <c r="M107" s="66">
        <f t="shared" si="1"/>
        <v>97.99</v>
      </c>
      <c r="N107" s="66">
        <f t="shared" si="1"/>
        <v>732.8</v>
      </c>
      <c r="O107" s="66">
        <f t="shared" si="1"/>
        <v>0</v>
      </c>
      <c r="P107" s="66">
        <f t="shared" si="1"/>
        <v>2.48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35.194375000000001</v>
      </c>
      <c r="C108" s="67">
        <f t="shared" ref="C108:Q108" si="2">AVERAGE(C9:C104)</f>
        <v>15.544857142857145</v>
      </c>
      <c r="D108" s="67">
        <f t="shared" si="2"/>
        <v>31.788854166666653</v>
      </c>
      <c r="E108" s="67">
        <f t="shared" si="2"/>
        <v>6.3219791666666687</v>
      </c>
      <c r="F108" s="67">
        <f t="shared" si="2"/>
        <v>5.5389583333333308</v>
      </c>
      <c r="G108" s="67">
        <f t="shared" si="2"/>
        <v>112.08999999999996</v>
      </c>
      <c r="H108" s="67">
        <f t="shared" si="2"/>
        <v>42.689782608695616</v>
      </c>
      <c r="I108" s="67">
        <f t="shared" si="2"/>
        <v>4.4885416666666664</v>
      </c>
      <c r="J108" s="67">
        <f t="shared" si="2"/>
        <v>0.32708333333333334</v>
      </c>
      <c r="K108" s="67">
        <f t="shared" si="2"/>
        <v>257.84499999999997</v>
      </c>
      <c r="L108" s="67">
        <f t="shared" si="2"/>
        <v>20.503020833333334</v>
      </c>
      <c r="M108" s="67">
        <f t="shared" si="2"/>
        <v>61.983333333333327</v>
      </c>
      <c r="N108" s="67">
        <f t="shared" si="2"/>
        <v>193.55208333333314</v>
      </c>
      <c r="O108" s="67">
        <f t="shared" si="2"/>
        <v>0</v>
      </c>
      <c r="P108" s="67">
        <f t="shared" si="2"/>
        <v>1.3050000000000004</v>
      </c>
      <c r="Q108" s="67">
        <f t="shared" si="2"/>
        <v>9.5284375000000026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32.602086107374035</v>
      </c>
      <c r="C109" s="67">
        <f t="shared" ref="C109:Q109" si="3">STDEV(C9:C104)</f>
        <v>11.474982711976772</v>
      </c>
      <c r="D109" s="67">
        <f t="shared" si="3"/>
        <v>18.463080365095728</v>
      </c>
      <c r="E109" s="67">
        <f t="shared" si="3"/>
        <v>1.4426661136073229</v>
      </c>
      <c r="F109" s="67">
        <f t="shared" si="3"/>
        <v>3.7869831011996822</v>
      </c>
      <c r="G109" s="67">
        <f t="shared" si="3"/>
        <v>45.184800857937155</v>
      </c>
      <c r="H109" s="67">
        <f t="shared" si="3"/>
        <v>16.178644856809719</v>
      </c>
      <c r="I109" s="67">
        <f t="shared" si="3"/>
        <v>1.3429449016143307</v>
      </c>
      <c r="J109" s="67">
        <f t="shared" si="3"/>
        <v>0.31589777382686957</v>
      </c>
      <c r="K109" s="67">
        <f t="shared" si="3"/>
        <v>99.970332630815065</v>
      </c>
      <c r="L109" s="67">
        <f t="shared" si="3"/>
        <v>5.0544625660044575</v>
      </c>
      <c r="M109" s="67">
        <f t="shared" si="3"/>
        <v>28.391974984293952</v>
      </c>
      <c r="N109" s="67">
        <f t="shared" si="3"/>
        <v>241.23971785197065</v>
      </c>
      <c r="O109" s="67">
        <f t="shared" si="3"/>
        <v>0</v>
      </c>
      <c r="P109" s="67">
        <f t="shared" si="3"/>
        <v>0.50458111861538835</v>
      </c>
      <c r="Q109" s="67">
        <f t="shared" si="3"/>
        <v>0.2226223052379831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>COUNT(C9:C104)+26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1208</v>
      </c>
      <c r="B9" s="64">
        <v>106.93</v>
      </c>
      <c r="C9" s="6" t="s">
        <v>42</v>
      </c>
      <c r="D9" s="64">
        <v>73</v>
      </c>
      <c r="E9" s="64">
        <v>6.23</v>
      </c>
      <c r="F9" s="64">
        <v>3.36</v>
      </c>
      <c r="G9" s="64">
        <v>146.11000000000001</v>
      </c>
      <c r="H9" s="64">
        <v>55.72</v>
      </c>
      <c r="I9" s="64">
        <v>7.39</v>
      </c>
      <c r="J9" s="64">
        <v>0.25</v>
      </c>
      <c r="K9" s="64">
        <v>301.16000000000003</v>
      </c>
      <c r="L9" s="64">
        <v>16.32</v>
      </c>
      <c r="M9" s="64">
        <v>92.68</v>
      </c>
      <c r="N9" s="64">
        <v>40.700000000000003</v>
      </c>
      <c r="O9" s="64">
        <v>0</v>
      </c>
      <c r="P9" s="64">
        <v>2.4700000000000002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11" t="s">
        <v>1209</v>
      </c>
      <c r="B10" s="64">
        <v>102.93</v>
      </c>
      <c r="C10" s="6" t="s">
        <v>42</v>
      </c>
      <c r="D10" s="64">
        <v>70.41</v>
      </c>
      <c r="E10" s="64">
        <v>6.27</v>
      </c>
      <c r="F10" s="64">
        <v>3.37</v>
      </c>
      <c r="G10" s="64">
        <v>118.02</v>
      </c>
      <c r="H10" s="64">
        <v>51.61</v>
      </c>
      <c r="I10" s="64">
        <v>7.42</v>
      </c>
      <c r="J10" s="64">
        <v>0.09</v>
      </c>
      <c r="K10" s="64">
        <v>331.79</v>
      </c>
      <c r="L10" s="64">
        <v>16.29</v>
      </c>
      <c r="M10" s="64">
        <v>90.03</v>
      </c>
      <c r="N10" s="64">
        <v>41.1</v>
      </c>
      <c r="O10" s="64">
        <v>0</v>
      </c>
      <c r="P10" s="64">
        <v>2.42</v>
      </c>
      <c r="Q10" s="64">
        <v>9.83</v>
      </c>
      <c r="R10" s="198"/>
      <c r="S10" s="198"/>
      <c r="T10" s="198"/>
      <c r="U10" s="198"/>
    </row>
    <row r="11" spans="1:21" s="12" customFormat="1" x14ac:dyDescent="0.25">
      <c r="A11" s="211" t="s">
        <v>1210</v>
      </c>
      <c r="B11" s="64">
        <v>101.26</v>
      </c>
      <c r="C11" s="6" t="s">
        <v>42</v>
      </c>
      <c r="D11" s="64">
        <v>69.2</v>
      </c>
      <c r="E11" s="64">
        <v>5.98</v>
      </c>
      <c r="F11" s="64">
        <v>3.4</v>
      </c>
      <c r="G11" s="64">
        <v>116.02</v>
      </c>
      <c r="H11" s="64">
        <v>51.61</v>
      </c>
      <c r="I11" s="64">
        <v>7.39</v>
      </c>
      <c r="J11" s="64">
        <v>0.03</v>
      </c>
      <c r="K11" s="64">
        <v>342.86</v>
      </c>
      <c r="L11" s="64">
        <v>16.11</v>
      </c>
      <c r="M11" s="64">
        <v>88.2</v>
      </c>
      <c r="N11" s="64">
        <v>41.1</v>
      </c>
      <c r="O11" s="64">
        <v>0</v>
      </c>
      <c r="P11" s="64">
        <v>2.42</v>
      </c>
      <c r="Q11" s="64">
        <v>9.83</v>
      </c>
      <c r="R11" s="198"/>
      <c r="S11" s="198"/>
      <c r="T11" s="198"/>
      <c r="U11" s="198"/>
    </row>
    <row r="12" spans="1:21" s="12" customFormat="1" x14ac:dyDescent="0.25">
      <c r="A12" s="211" t="s">
        <v>1211</v>
      </c>
      <c r="B12" s="64">
        <v>96.07</v>
      </c>
      <c r="C12" s="6" t="s">
        <v>42</v>
      </c>
      <c r="D12" s="64">
        <v>66.41</v>
      </c>
      <c r="E12" s="64">
        <v>6.09</v>
      </c>
      <c r="F12" s="64">
        <v>3.3</v>
      </c>
      <c r="G12" s="64">
        <v>116.02</v>
      </c>
      <c r="H12" s="64">
        <v>51.61</v>
      </c>
      <c r="I12" s="64">
        <v>7.33</v>
      </c>
      <c r="J12" s="64">
        <v>0.23</v>
      </c>
      <c r="K12" s="64">
        <v>336.69</v>
      </c>
      <c r="L12" s="64">
        <v>15.97</v>
      </c>
      <c r="M12" s="64">
        <v>90.59</v>
      </c>
      <c r="N12" s="64">
        <v>40.700000000000003</v>
      </c>
      <c r="O12" s="64">
        <v>0</v>
      </c>
      <c r="P12" s="64">
        <v>2.37</v>
      </c>
      <c r="Q12" s="64">
        <v>9.82</v>
      </c>
      <c r="R12" s="198"/>
      <c r="S12" s="198"/>
      <c r="T12" s="198"/>
      <c r="U12" s="198"/>
    </row>
    <row r="13" spans="1:21" s="12" customFormat="1" x14ac:dyDescent="0.25">
      <c r="A13" s="211" t="s">
        <v>1212</v>
      </c>
      <c r="B13" s="64">
        <v>93.55</v>
      </c>
      <c r="C13" s="6" t="s">
        <v>42</v>
      </c>
      <c r="D13" s="64">
        <v>64.36</v>
      </c>
      <c r="E13" s="64">
        <v>6.08</v>
      </c>
      <c r="F13" s="64">
        <v>3.25</v>
      </c>
      <c r="G13" s="64">
        <v>116.02</v>
      </c>
      <c r="H13" s="64">
        <v>51.61</v>
      </c>
      <c r="I13" s="64">
        <v>7.25</v>
      </c>
      <c r="J13" s="64">
        <v>0.2</v>
      </c>
      <c r="K13" s="64">
        <v>341.31</v>
      </c>
      <c r="L13" s="64">
        <v>15.94</v>
      </c>
      <c r="M13" s="64">
        <v>88.51</v>
      </c>
      <c r="N13" s="64">
        <v>40.700000000000003</v>
      </c>
      <c r="O13" s="64">
        <v>0</v>
      </c>
      <c r="P13" s="64">
        <v>1.81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11" t="s">
        <v>1213</v>
      </c>
      <c r="B14" s="64">
        <v>90.84</v>
      </c>
      <c r="C14" s="6" t="s">
        <v>42</v>
      </c>
      <c r="D14" s="64">
        <v>62.51</v>
      </c>
      <c r="E14" s="64">
        <v>6.04</v>
      </c>
      <c r="F14" s="64">
        <v>3.52</v>
      </c>
      <c r="G14" s="64">
        <v>112.16</v>
      </c>
      <c r="H14" s="64">
        <v>48.76</v>
      </c>
      <c r="I14" s="64">
        <v>7.19</v>
      </c>
      <c r="J14" s="64">
        <v>0.08</v>
      </c>
      <c r="K14" s="64">
        <v>302.81</v>
      </c>
      <c r="L14" s="64">
        <v>16</v>
      </c>
      <c r="M14" s="64">
        <v>83.51</v>
      </c>
      <c r="N14" s="64">
        <v>40.9</v>
      </c>
      <c r="O14" s="64">
        <v>0</v>
      </c>
      <c r="P14" s="64">
        <v>1.88</v>
      </c>
      <c r="Q14" s="64">
        <v>9.7899999999999991</v>
      </c>
      <c r="R14" s="198"/>
      <c r="S14" s="198"/>
      <c r="T14" s="198"/>
      <c r="U14" s="198"/>
    </row>
    <row r="15" spans="1:21" s="12" customFormat="1" x14ac:dyDescent="0.25">
      <c r="A15" s="211" t="s">
        <v>1214</v>
      </c>
      <c r="B15" s="64">
        <v>88.72</v>
      </c>
      <c r="C15" s="6" t="s">
        <v>42</v>
      </c>
      <c r="D15" s="64">
        <v>61.16</v>
      </c>
      <c r="E15" s="64">
        <v>6.06</v>
      </c>
      <c r="F15" s="64">
        <v>3.61</v>
      </c>
      <c r="G15" s="64">
        <v>111.88</v>
      </c>
      <c r="H15" s="64">
        <v>48.76</v>
      </c>
      <c r="I15" s="64">
        <v>7.11</v>
      </c>
      <c r="J15" s="64">
        <v>0.11</v>
      </c>
      <c r="K15" s="64">
        <v>237.43</v>
      </c>
      <c r="L15" s="64">
        <v>15.94</v>
      </c>
      <c r="M15" s="64">
        <v>83.19</v>
      </c>
      <c r="N15" s="64">
        <v>41</v>
      </c>
      <c r="O15" s="64">
        <v>0</v>
      </c>
      <c r="P15" s="64">
        <v>1.82</v>
      </c>
      <c r="Q15" s="64">
        <v>9.7899999999999991</v>
      </c>
      <c r="R15" s="198"/>
      <c r="S15" s="198"/>
      <c r="T15" s="198"/>
      <c r="U15" s="198"/>
    </row>
    <row r="16" spans="1:21" s="12" customFormat="1" x14ac:dyDescent="0.25">
      <c r="A16" s="211" t="s">
        <v>1215</v>
      </c>
      <c r="B16" s="64">
        <v>85.6</v>
      </c>
      <c r="C16" s="6" t="s">
        <v>42</v>
      </c>
      <c r="D16" s="64">
        <v>59.3</v>
      </c>
      <c r="E16" s="64">
        <v>6.01</v>
      </c>
      <c r="F16" s="64">
        <v>3.45</v>
      </c>
      <c r="G16" s="64">
        <v>111.88</v>
      </c>
      <c r="H16" s="64">
        <v>48.76</v>
      </c>
      <c r="I16" s="64">
        <v>7</v>
      </c>
      <c r="J16" s="64">
        <v>0.14000000000000001</v>
      </c>
      <c r="K16" s="64">
        <v>277.01</v>
      </c>
      <c r="L16" s="64">
        <v>15.84</v>
      </c>
      <c r="M16" s="64">
        <v>85.45</v>
      </c>
      <c r="N16" s="64">
        <v>41</v>
      </c>
      <c r="O16" s="64">
        <v>0</v>
      </c>
      <c r="P16" s="64">
        <v>1.74</v>
      </c>
      <c r="Q16" s="64">
        <v>9.7899999999999991</v>
      </c>
      <c r="R16" s="198"/>
      <c r="S16" s="198"/>
      <c r="T16" s="198"/>
      <c r="U16" s="198"/>
    </row>
    <row r="17" spans="1:21" s="12" customFormat="1" x14ac:dyDescent="0.25">
      <c r="A17" s="211" t="s">
        <v>1216</v>
      </c>
      <c r="B17" s="64">
        <v>82.15</v>
      </c>
      <c r="C17" s="6" t="s">
        <v>42</v>
      </c>
      <c r="D17" s="64">
        <v>57.19</v>
      </c>
      <c r="E17" s="64">
        <v>6</v>
      </c>
      <c r="F17" s="64">
        <v>3.3</v>
      </c>
      <c r="G17" s="64">
        <v>111.88</v>
      </c>
      <c r="H17" s="64">
        <v>48.76</v>
      </c>
      <c r="I17" s="64">
        <v>6.88</v>
      </c>
      <c r="J17" s="64">
        <v>0.18</v>
      </c>
      <c r="K17" s="64">
        <v>234.48</v>
      </c>
      <c r="L17" s="64">
        <v>15.43</v>
      </c>
      <c r="M17" s="64">
        <v>90.58</v>
      </c>
      <c r="N17" s="64">
        <v>41.2</v>
      </c>
      <c r="O17" s="64">
        <v>0</v>
      </c>
      <c r="P17" s="64">
        <v>1.68</v>
      </c>
      <c r="Q17" s="64">
        <v>9.7799999999999994</v>
      </c>
      <c r="R17" s="198"/>
      <c r="S17" s="198"/>
      <c r="T17" s="198"/>
      <c r="U17" s="198"/>
    </row>
    <row r="18" spans="1:21" s="12" customFormat="1" x14ac:dyDescent="0.25">
      <c r="A18" s="211" t="s">
        <v>1217</v>
      </c>
      <c r="B18" s="64">
        <v>78.97</v>
      </c>
      <c r="C18" s="6" t="s">
        <v>42</v>
      </c>
      <c r="D18" s="64">
        <v>55.17</v>
      </c>
      <c r="E18" s="64">
        <v>5.85</v>
      </c>
      <c r="F18" s="64">
        <v>3.16</v>
      </c>
      <c r="G18" s="64">
        <v>154.18</v>
      </c>
      <c r="H18" s="64">
        <v>62.93</v>
      </c>
      <c r="I18" s="64">
        <v>6.76</v>
      </c>
      <c r="J18" s="64">
        <v>0.15</v>
      </c>
      <c r="K18" s="64">
        <v>304.26</v>
      </c>
      <c r="L18" s="64">
        <v>15.05</v>
      </c>
      <c r="M18" s="64">
        <v>96.33</v>
      </c>
      <c r="N18" s="64">
        <v>41.2</v>
      </c>
      <c r="O18" s="64">
        <v>0</v>
      </c>
      <c r="P18" s="64">
        <v>1.63</v>
      </c>
      <c r="Q18" s="64">
        <v>9.77</v>
      </c>
      <c r="R18" s="198"/>
      <c r="S18" s="198"/>
      <c r="T18" s="198"/>
      <c r="U18" s="198"/>
    </row>
    <row r="19" spans="1:21" s="12" customFormat="1" x14ac:dyDescent="0.25">
      <c r="A19" s="211" t="s">
        <v>1218</v>
      </c>
      <c r="B19" s="64">
        <v>75.84</v>
      </c>
      <c r="C19" s="6" t="s">
        <v>42</v>
      </c>
      <c r="D19" s="64">
        <v>53.15</v>
      </c>
      <c r="E19" s="64">
        <v>5.89</v>
      </c>
      <c r="F19" s="64">
        <v>3.3</v>
      </c>
      <c r="G19" s="64">
        <v>157.19999999999999</v>
      </c>
      <c r="H19" s="64">
        <v>62.93</v>
      </c>
      <c r="I19" s="64">
        <v>6.68</v>
      </c>
      <c r="J19" s="64">
        <v>0.09</v>
      </c>
      <c r="K19" s="64">
        <v>325.97000000000003</v>
      </c>
      <c r="L19" s="64">
        <v>14.72</v>
      </c>
      <c r="M19" s="64">
        <v>98.14</v>
      </c>
      <c r="N19" s="64">
        <v>41.1</v>
      </c>
      <c r="O19" s="64">
        <v>0</v>
      </c>
      <c r="P19" s="64">
        <v>1.58</v>
      </c>
      <c r="Q19" s="64">
        <v>9.76</v>
      </c>
      <c r="R19" s="198"/>
      <c r="S19" s="198"/>
      <c r="T19" s="198"/>
      <c r="U19" s="198"/>
    </row>
    <row r="20" spans="1:21" s="12" customFormat="1" x14ac:dyDescent="0.25">
      <c r="A20" s="211" t="s">
        <v>1219</v>
      </c>
      <c r="B20" s="64">
        <v>72.84</v>
      </c>
      <c r="C20" s="6" t="s">
        <v>42</v>
      </c>
      <c r="D20" s="64">
        <v>51.29</v>
      </c>
      <c r="E20" s="64">
        <v>5.76</v>
      </c>
      <c r="F20" s="64">
        <v>3.28</v>
      </c>
      <c r="G20" s="64">
        <v>157.19999999999999</v>
      </c>
      <c r="H20" s="64">
        <v>62.93</v>
      </c>
      <c r="I20" s="64">
        <v>6.6</v>
      </c>
      <c r="J20" s="64">
        <v>0.04</v>
      </c>
      <c r="K20" s="64">
        <v>295.88</v>
      </c>
      <c r="L20" s="64">
        <v>14.53</v>
      </c>
      <c r="M20" s="64">
        <v>98.05</v>
      </c>
      <c r="N20" s="64">
        <v>41.1</v>
      </c>
      <c r="O20" s="64">
        <v>0</v>
      </c>
      <c r="P20" s="64">
        <v>1.53</v>
      </c>
      <c r="Q20" s="64">
        <v>9.76</v>
      </c>
      <c r="R20" s="198"/>
      <c r="S20" s="198"/>
      <c r="T20" s="198"/>
      <c r="U20" s="198"/>
    </row>
    <row r="21" spans="1:21" s="12" customFormat="1" x14ac:dyDescent="0.25">
      <c r="A21" s="211" t="s">
        <v>1220</v>
      </c>
      <c r="B21" s="64">
        <v>70.11</v>
      </c>
      <c r="C21" s="6" t="s">
        <v>42</v>
      </c>
      <c r="D21" s="64">
        <v>49.57</v>
      </c>
      <c r="E21" s="64">
        <v>5.7</v>
      </c>
      <c r="F21" s="64">
        <v>3.15</v>
      </c>
      <c r="G21" s="64">
        <v>157.19999999999999</v>
      </c>
      <c r="H21" s="64">
        <v>62.93</v>
      </c>
      <c r="I21" s="64">
        <v>6.51</v>
      </c>
      <c r="J21" s="64">
        <v>0.1</v>
      </c>
      <c r="K21" s="64">
        <v>294.23</v>
      </c>
      <c r="L21" s="64">
        <v>14.44</v>
      </c>
      <c r="M21" s="64">
        <v>97.98</v>
      </c>
      <c r="N21" s="64">
        <v>41</v>
      </c>
      <c r="O21" s="64">
        <v>0</v>
      </c>
      <c r="P21" s="64">
        <v>1.5</v>
      </c>
      <c r="Q21" s="64">
        <v>9.77</v>
      </c>
      <c r="R21" s="198"/>
      <c r="S21" s="198"/>
      <c r="T21" s="198"/>
      <c r="U21" s="198"/>
    </row>
    <row r="22" spans="1:21" s="12" customFormat="1" x14ac:dyDescent="0.25">
      <c r="A22" s="211" t="s">
        <v>1221</v>
      </c>
      <c r="B22" s="64">
        <v>67.739999999999995</v>
      </c>
      <c r="C22" s="6" t="s">
        <v>42</v>
      </c>
      <c r="D22" s="64">
        <v>48.07</v>
      </c>
      <c r="E22" s="64">
        <v>5.53</v>
      </c>
      <c r="F22" s="64">
        <v>3.33</v>
      </c>
      <c r="G22" s="64">
        <v>144.68</v>
      </c>
      <c r="H22" s="64">
        <v>63.51</v>
      </c>
      <c r="I22" s="64">
        <v>6.43</v>
      </c>
      <c r="J22" s="64">
        <v>0.09</v>
      </c>
      <c r="K22" s="64">
        <v>342.56</v>
      </c>
      <c r="L22" s="64">
        <v>14.3</v>
      </c>
      <c r="M22" s="64">
        <v>97.97</v>
      </c>
      <c r="N22" s="64">
        <v>41</v>
      </c>
      <c r="O22" s="64">
        <v>0</v>
      </c>
      <c r="P22" s="64">
        <v>1.48</v>
      </c>
      <c r="Q22" s="64">
        <v>9.75</v>
      </c>
      <c r="R22" s="198"/>
      <c r="S22" s="198"/>
      <c r="T22" s="198"/>
      <c r="U22" s="198"/>
    </row>
    <row r="23" spans="1:21" s="12" customFormat="1" x14ac:dyDescent="0.25">
      <c r="A23" s="211" t="s">
        <v>1222</v>
      </c>
      <c r="B23" s="64">
        <v>65.34</v>
      </c>
      <c r="C23" s="6" t="s">
        <v>42</v>
      </c>
      <c r="D23" s="64">
        <v>46.57</v>
      </c>
      <c r="E23" s="64">
        <v>5.57</v>
      </c>
      <c r="F23" s="64">
        <v>3.33</v>
      </c>
      <c r="G23" s="64">
        <v>143.78</v>
      </c>
      <c r="H23" s="64">
        <v>63.51</v>
      </c>
      <c r="I23" s="64">
        <v>6.39</v>
      </c>
      <c r="J23" s="64">
        <v>0.03</v>
      </c>
      <c r="K23" s="64">
        <v>311.47000000000003</v>
      </c>
      <c r="L23" s="64">
        <v>14.32</v>
      </c>
      <c r="M23" s="64">
        <v>97.96</v>
      </c>
      <c r="N23" s="64">
        <v>40.9</v>
      </c>
      <c r="O23" s="64">
        <v>0</v>
      </c>
      <c r="P23" s="64">
        <v>1.44</v>
      </c>
      <c r="Q23" s="64">
        <v>9.74</v>
      </c>
      <c r="R23" s="198"/>
      <c r="S23" s="198"/>
      <c r="T23" s="198"/>
      <c r="U23" s="198"/>
    </row>
    <row r="24" spans="1:21" s="12" customFormat="1" x14ac:dyDescent="0.25">
      <c r="A24" s="211" t="s">
        <v>1223</v>
      </c>
      <c r="B24" s="64">
        <v>62.65</v>
      </c>
      <c r="C24" s="6" t="s">
        <v>42</v>
      </c>
      <c r="D24" s="64">
        <v>45.07</v>
      </c>
      <c r="E24" s="64">
        <v>5.33</v>
      </c>
      <c r="F24" s="64">
        <v>3.33</v>
      </c>
      <c r="G24" s="64">
        <v>143.78</v>
      </c>
      <c r="H24" s="64">
        <v>63.51</v>
      </c>
      <c r="I24" s="64">
        <v>6.35</v>
      </c>
      <c r="J24" s="64">
        <v>7.0000000000000007E-2</v>
      </c>
      <c r="K24" s="64">
        <v>23.66</v>
      </c>
      <c r="L24" s="64">
        <v>14.41</v>
      </c>
      <c r="M24" s="64">
        <v>94.82</v>
      </c>
      <c r="N24" s="64">
        <v>40.799999999999997</v>
      </c>
      <c r="O24" s="64">
        <v>0</v>
      </c>
      <c r="P24" s="64">
        <v>1.41</v>
      </c>
      <c r="Q24" s="64">
        <v>9.73</v>
      </c>
      <c r="R24" s="198"/>
      <c r="S24" s="198"/>
      <c r="T24" s="198"/>
      <c r="U24" s="198"/>
    </row>
    <row r="25" spans="1:21" s="12" customFormat="1" x14ac:dyDescent="0.25">
      <c r="A25" s="211" t="s">
        <v>1224</v>
      </c>
      <c r="B25" s="64">
        <v>60.22</v>
      </c>
      <c r="C25" s="6" t="s">
        <v>42</v>
      </c>
      <c r="D25" s="64">
        <v>43.5</v>
      </c>
      <c r="E25" s="64">
        <v>5.29</v>
      </c>
      <c r="F25" s="64">
        <v>3.63</v>
      </c>
      <c r="G25" s="64">
        <v>143.78</v>
      </c>
      <c r="H25" s="64">
        <v>63.51</v>
      </c>
      <c r="I25" s="64">
        <v>6.31</v>
      </c>
      <c r="J25" s="64">
        <v>0.18</v>
      </c>
      <c r="K25" s="64">
        <v>325.17</v>
      </c>
      <c r="L25" s="64">
        <v>14.79</v>
      </c>
      <c r="M25" s="64">
        <v>93.48</v>
      </c>
      <c r="N25" s="64">
        <v>40.5</v>
      </c>
      <c r="O25" s="64">
        <v>0</v>
      </c>
      <c r="P25" s="64">
        <v>1.4</v>
      </c>
      <c r="Q25" s="64">
        <v>9.73</v>
      </c>
      <c r="R25" s="198"/>
      <c r="S25" s="198"/>
      <c r="T25" s="198"/>
      <c r="U25" s="198"/>
    </row>
    <row r="26" spans="1:21" s="12" customFormat="1" x14ac:dyDescent="0.25">
      <c r="A26" s="211" t="s">
        <v>1225</v>
      </c>
      <c r="B26" s="64">
        <v>58.55</v>
      </c>
      <c r="C26" s="6" t="s">
        <v>42</v>
      </c>
      <c r="D26" s="64">
        <v>42.5</v>
      </c>
      <c r="E26" s="64">
        <v>5.4</v>
      </c>
      <c r="F26" s="64">
        <v>3.26</v>
      </c>
      <c r="G26" s="64">
        <v>158.84</v>
      </c>
      <c r="H26" s="64">
        <v>63.06</v>
      </c>
      <c r="I26" s="64">
        <v>6.32</v>
      </c>
      <c r="J26" s="64">
        <v>0.8</v>
      </c>
      <c r="K26" s="64">
        <v>345.64</v>
      </c>
      <c r="L26" s="64">
        <v>14.99</v>
      </c>
      <c r="M26" s="64">
        <v>88.32</v>
      </c>
      <c r="N26" s="64">
        <v>39.700000000000003</v>
      </c>
      <c r="O26" s="64">
        <v>0</v>
      </c>
      <c r="P26" s="64">
        <v>1.43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1" t="s">
        <v>1226</v>
      </c>
      <c r="B27" s="64">
        <v>56.13</v>
      </c>
      <c r="C27" s="6" t="s">
        <v>42</v>
      </c>
      <c r="D27" s="64">
        <v>41.36</v>
      </c>
      <c r="E27" s="64">
        <v>5.44</v>
      </c>
      <c r="F27" s="64">
        <v>3.39</v>
      </c>
      <c r="G27" s="64">
        <v>159.91999999999999</v>
      </c>
      <c r="H27" s="64">
        <v>63.06</v>
      </c>
      <c r="I27" s="64">
        <v>6.36</v>
      </c>
      <c r="J27" s="64">
        <v>0.67</v>
      </c>
      <c r="K27" s="64">
        <v>345.12</v>
      </c>
      <c r="L27" s="64">
        <v>15.2</v>
      </c>
      <c r="M27" s="64">
        <v>82.01</v>
      </c>
      <c r="N27" s="64">
        <v>40.700000000000003</v>
      </c>
      <c r="O27" s="64">
        <v>0</v>
      </c>
      <c r="P27" s="64">
        <v>1.44</v>
      </c>
      <c r="Q27" s="64">
        <v>9.6999999999999993</v>
      </c>
      <c r="R27" s="198"/>
      <c r="S27" s="198"/>
      <c r="T27" s="198"/>
      <c r="U27" s="198"/>
    </row>
    <row r="28" spans="1:21" s="12" customFormat="1" x14ac:dyDescent="0.25">
      <c r="A28" s="211" t="s">
        <v>1227</v>
      </c>
      <c r="B28" s="64">
        <v>54.03</v>
      </c>
      <c r="C28" s="6" t="s">
        <v>42</v>
      </c>
      <c r="D28" s="64">
        <v>40.270000000000003</v>
      </c>
      <c r="E28" s="64">
        <v>5.67</v>
      </c>
      <c r="F28" s="64">
        <v>3.47</v>
      </c>
      <c r="G28" s="64">
        <v>159.91999999999999</v>
      </c>
      <c r="H28" s="64">
        <v>63.06</v>
      </c>
      <c r="I28" s="64">
        <v>6.41</v>
      </c>
      <c r="J28" s="64">
        <v>0.1</v>
      </c>
      <c r="K28" s="64">
        <v>343.54</v>
      </c>
      <c r="L28" s="64">
        <v>14.95</v>
      </c>
      <c r="M28" s="64">
        <v>82.35</v>
      </c>
      <c r="N28" s="64">
        <v>41.3</v>
      </c>
      <c r="O28" s="64">
        <v>0</v>
      </c>
      <c r="P28" s="64">
        <v>1.45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1" t="s">
        <v>1228</v>
      </c>
      <c r="B29" s="64">
        <v>52.21</v>
      </c>
      <c r="C29" s="6" t="s">
        <v>42</v>
      </c>
      <c r="D29" s="64">
        <v>39.200000000000003</v>
      </c>
      <c r="E29" s="64">
        <v>5.81</v>
      </c>
      <c r="F29" s="64">
        <v>3.52</v>
      </c>
      <c r="G29" s="64">
        <v>159.91999999999999</v>
      </c>
      <c r="H29" s="64">
        <v>63.06</v>
      </c>
      <c r="I29" s="64">
        <v>6.47</v>
      </c>
      <c r="J29" s="64">
        <v>0.09</v>
      </c>
      <c r="K29" s="64">
        <v>167.88</v>
      </c>
      <c r="L29" s="64">
        <v>14.72</v>
      </c>
      <c r="M29" s="64">
        <v>81.239999999999995</v>
      </c>
      <c r="N29" s="64">
        <v>41.1</v>
      </c>
      <c r="O29" s="64">
        <v>0</v>
      </c>
      <c r="P29" s="64">
        <v>1.44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1" t="s">
        <v>1229</v>
      </c>
      <c r="B30" s="64">
        <v>50.18</v>
      </c>
      <c r="C30" s="6" t="s">
        <v>42</v>
      </c>
      <c r="D30" s="64">
        <v>38.020000000000003</v>
      </c>
      <c r="E30" s="64">
        <v>5.79</v>
      </c>
      <c r="F30" s="64">
        <v>3.43</v>
      </c>
      <c r="G30" s="64">
        <v>153.88999999999999</v>
      </c>
      <c r="H30" s="64">
        <v>65.099999999999994</v>
      </c>
      <c r="I30" s="64">
        <v>6.5</v>
      </c>
      <c r="J30" s="64">
        <v>0.1</v>
      </c>
      <c r="K30" s="64">
        <v>143.25</v>
      </c>
      <c r="L30" s="64">
        <v>14.69</v>
      </c>
      <c r="M30" s="64">
        <v>81.36</v>
      </c>
      <c r="N30" s="64">
        <v>41</v>
      </c>
      <c r="O30" s="64">
        <v>0</v>
      </c>
      <c r="P30" s="64">
        <v>1.43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1" t="s">
        <v>1230</v>
      </c>
      <c r="B31" s="64">
        <v>48.23</v>
      </c>
      <c r="C31" s="6" t="s">
        <v>42</v>
      </c>
      <c r="D31" s="64">
        <v>36.729999999999997</v>
      </c>
      <c r="E31" s="64">
        <v>5.6</v>
      </c>
      <c r="F31" s="64">
        <v>3.68</v>
      </c>
      <c r="G31" s="64">
        <v>153.46</v>
      </c>
      <c r="H31" s="64">
        <v>65.099999999999994</v>
      </c>
      <c r="I31" s="64">
        <v>6.48</v>
      </c>
      <c r="J31" s="64">
        <v>0.11</v>
      </c>
      <c r="K31" s="64">
        <v>199.43</v>
      </c>
      <c r="L31" s="64">
        <v>14.59</v>
      </c>
      <c r="M31" s="64">
        <v>84.29</v>
      </c>
      <c r="N31" s="64">
        <v>41</v>
      </c>
      <c r="O31" s="64">
        <v>0</v>
      </c>
      <c r="P31" s="64">
        <v>1.42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1" t="s">
        <v>1231</v>
      </c>
      <c r="B32" s="64">
        <v>46.29</v>
      </c>
      <c r="C32" s="6" t="s">
        <v>42</v>
      </c>
      <c r="D32" s="64">
        <v>35.64</v>
      </c>
      <c r="E32" s="64">
        <v>5.68</v>
      </c>
      <c r="F32" s="64">
        <v>3.7</v>
      </c>
      <c r="G32" s="64">
        <v>153.46</v>
      </c>
      <c r="H32" s="64">
        <v>65.099999999999994</v>
      </c>
      <c r="I32" s="64">
        <v>6.42</v>
      </c>
      <c r="J32" s="64">
        <v>0.12</v>
      </c>
      <c r="K32" s="64">
        <v>271.16000000000003</v>
      </c>
      <c r="L32" s="64">
        <v>14.49</v>
      </c>
      <c r="M32" s="64">
        <v>87.82</v>
      </c>
      <c r="N32" s="64">
        <v>41.9</v>
      </c>
      <c r="O32" s="64">
        <v>0</v>
      </c>
      <c r="P32" s="64">
        <v>1.41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1" t="s">
        <v>1232</v>
      </c>
      <c r="B33" s="64">
        <v>44.93</v>
      </c>
      <c r="C33" s="6" t="s">
        <v>42</v>
      </c>
      <c r="D33" s="64">
        <v>34.76</v>
      </c>
      <c r="E33" s="64">
        <v>5.75</v>
      </c>
      <c r="F33" s="64">
        <v>3.62</v>
      </c>
      <c r="G33" s="64">
        <v>153.46</v>
      </c>
      <c r="H33" s="64">
        <v>65.099999999999994</v>
      </c>
      <c r="I33" s="64">
        <v>6.35</v>
      </c>
      <c r="J33" s="64">
        <v>0.09</v>
      </c>
      <c r="K33" s="64">
        <v>68.819999999999993</v>
      </c>
      <c r="L33" s="64">
        <v>14.33</v>
      </c>
      <c r="M33" s="64">
        <v>86.88</v>
      </c>
      <c r="N33" s="64">
        <v>45.8</v>
      </c>
      <c r="O33" s="64">
        <v>0</v>
      </c>
      <c r="P33" s="64">
        <v>1.37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1" t="s">
        <v>1233</v>
      </c>
      <c r="B34" s="64">
        <v>43.86</v>
      </c>
      <c r="C34" s="6" t="s">
        <v>42</v>
      </c>
      <c r="D34" s="64">
        <v>34.06</v>
      </c>
      <c r="E34" s="64">
        <v>5.26</v>
      </c>
      <c r="F34" s="64">
        <v>3.24</v>
      </c>
      <c r="G34" s="64">
        <v>149.91999999999999</v>
      </c>
      <c r="H34" s="64">
        <v>61.66</v>
      </c>
      <c r="I34" s="64">
        <v>6.24</v>
      </c>
      <c r="J34" s="64">
        <v>0.11</v>
      </c>
      <c r="K34" s="64">
        <v>89.26</v>
      </c>
      <c r="L34" s="64">
        <v>14.66</v>
      </c>
      <c r="M34" s="64">
        <v>82.48</v>
      </c>
      <c r="N34" s="64">
        <v>57.2</v>
      </c>
      <c r="O34" s="64">
        <v>0</v>
      </c>
      <c r="P34" s="64">
        <v>1.33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1" t="s">
        <v>1234</v>
      </c>
      <c r="B35" s="64">
        <v>42.51</v>
      </c>
      <c r="C35" s="6" t="s">
        <v>42</v>
      </c>
      <c r="D35" s="64">
        <v>33.200000000000003</v>
      </c>
      <c r="E35" s="64">
        <v>5.53</v>
      </c>
      <c r="F35" s="64">
        <v>3.45</v>
      </c>
      <c r="G35" s="64">
        <v>149.66</v>
      </c>
      <c r="H35" s="64">
        <v>61.66</v>
      </c>
      <c r="I35" s="64">
        <v>6.12</v>
      </c>
      <c r="J35" s="64">
        <v>0.05</v>
      </c>
      <c r="K35" s="64">
        <v>147.66</v>
      </c>
      <c r="L35" s="64">
        <v>15</v>
      </c>
      <c r="M35" s="64">
        <v>78.709999999999994</v>
      </c>
      <c r="N35" s="64">
        <v>72.7</v>
      </c>
      <c r="O35" s="64">
        <v>0</v>
      </c>
      <c r="P35" s="64">
        <v>1.28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1" t="s">
        <v>1235</v>
      </c>
      <c r="B36" s="64">
        <v>41.02</v>
      </c>
      <c r="C36" s="64">
        <v>0.01</v>
      </c>
      <c r="D36" s="64">
        <v>32.35</v>
      </c>
      <c r="E36" s="64">
        <v>5.23</v>
      </c>
      <c r="F36" s="64">
        <v>3.18</v>
      </c>
      <c r="G36" s="64">
        <v>149.66</v>
      </c>
      <c r="H36" s="64">
        <v>61.66</v>
      </c>
      <c r="I36" s="64">
        <v>6.02</v>
      </c>
      <c r="J36" s="64">
        <v>0.2</v>
      </c>
      <c r="K36" s="64">
        <v>125.37</v>
      </c>
      <c r="L36" s="64">
        <v>15.46</v>
      </c>
      <c r="M36" s="64">
        <v>77</v>
      </c>
      <c r="N36" s="64">
        <v>91</v>
      </c>
      <c r="O36" s="64">
        <v>0</v>
      </c>
      <c r="P36" s="64">
        <v>1.26</v>
      </c>
      <c r="Q36" s="64">
        <v>9.68</v>
      </c>
      <c r="R36" s="198"/>
      <c r="S36" s="198"/>
      <c r="T36" s="198"/>
      <c r="U36" s="198"/>
    </row>
    <row r="37" spans="1:21" s="12" customFormat="1" x14ac:dyDescent="0.25">
      <c r="A37" s="211" t="s">
        <v>1236</v>
      </c>
      <c r="B37" s="64">
        <v>39.61</v>
      </c>
      <c r="C37" s="64">
        <v>0.41</v>
      </c>
      <c r="D37" s="64">
        <v>31.51</v>
      </c>
      <c r="E37" s="64">
        <v>5.16</v>
      </c>
      <c r="F37" s="64">
        <v>3.15</v>
      </c>
      <c r="G37" s="64">
        <v>149.66</v>
      </c>
      <c r="H37" s="64">
        <v>61.66</v>
      </c>
      <c r="I37" s="64">
        <v>5.95</v>
      </c>
      <c r="J37" s="64">
        <v>0.33</v>
      </c>
      <c r="K37" s="64">
        <v>123.23</v>
      </c>
      <c r="L37" s="64">
        <v>16.25</v>
      </c>
      <c r="M37" s="64">
        <v>73.790000000000006</v>
      </c>
      <c r="N37" s="64">
        <v>143.80000000000001</v>
      </c>
      <c r="O37" s="64">
        <v>0</v>
      </c>
      <c r="P37" s="64">
        <v>1.42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1" t="s">
        <v>1237</v>
      </c>
      <c r="B38" s="64">
        <v>38.43</v>
      </c>
      <c r="C38" s="64">
        <v>0.81</v>
      </c>
      <c r="D38" s="64">
        <v>30.78</v>
      </c>
      <c r="E38" s="64">
        <v>5.23</v>
      </c>
      <c r="F38" s="64">
        <v>3.02</v>
      </c>
      <c r="G38" s="64">
        <v>130.55000000000001</v>
      </c>
      <c r="H38" s="64">
        <v>58.15</v>
      </c>
      <c r="I38" s="64">
        <v>5.87</v>
      </c>
      <c r="J38" s="64">
        <v>0.36</v>
      </c>
      <c r="K38" s="64">
        <v>123.7</v>
      </c>
      <c r="L38" s="64">
        <v>17.71</v>
      </c>
      <c r="M38" s="64">
        <v>68.040000000000006</v>
      </c>
      <c r="N38" s="64">
        <v>211.8</v>
      </c>
      <c r="O38" s="64">
        <v>0</v>
      </c>
      <c r="P38" s="64">
        <v>1.51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1" t="s">
        <v>1238</v>
      </c>
      <c r="B39" s="64">
        <v>37.68</v>
      </c>
      <c r="C39" s="64">
        <v>1.07</v>
      </c>
      <c r="D39" s="64">
        <v>30.32</v>
      </c>
      <c r="E39" s="64">
        <v>5.67</v>
      </c>
      <c r="F39" s="64">
        <v>3.37</v>
      </c>
      <c r="G39" s="64">
        <v>129.19</v>
      </c>
      <c r="H39" s="64">
        <v>58.15</v>
      </c>
      <c r="I39" s="64">
        <v>5.79</v>
      </c>
      <c r="J39" s="64">
        <v>0.36</v>
      </c>
      <c r="K39" s="64">
        <v>343.32</v>
      </c>
      <c r="L39" s="64">
        <v>20.399999999999999</v>
      </c>
      <c r="M39" s="64">
        <v>56.78</v>
      </c>
      <c r="N39" s="64">
        <v>257.89999999999998</v>
      </c>
      <c r="O39" s="64">
        <v>0</v>
      </c>
      <c r="P39" s="64">
        <v>1.56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1" t="s">
        <v>1239</v>
      </c>
      <c r="B40" s="64">
        <v>37.39</v>
      </c>
      <c r="C40" s="64">
        <v>1.71</v>
      </c>
      <c r="D40" s="64">
        <v>30.41</v>
      </c>
      <c r="E40" s="64">
        <v>4.3099999999999996</v>
      </c>
      <c r="F40" s="64">
        <v>3.17</v>
      </c>
      <c r="G40" s="64">
        <v>129.19</v>
      </c>
      <c r="H40" s="64">
        <v>58.15</v>
      </c>
      <c r="I40" s="64">
        <v>5.72</v>
      </c>
      <c r="J40" s="64">
        <v>0.5</v>
      </c>
      <c r="K40" s="64">
        <v>339.79</v>
      </c>
      <c r="L40" s="64">
        <v>22.25</v>
      </c>
      <c r="M40" s="64">
        <v>44.77</v>
      </c>
      <c r="N40" s="64">
        <v>310.2</v>
      </c>
      <c r="O40" s="64">
        <v>0</v>
      </c>
      <c r="P40" s="64">
        <v>1.69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1" t="s">
        <v>1240</v>
      </c>
      <c r="B41" s="64">
        <v>37.1</v>
      </c>
      <c r="C41" s="64">
        <v>2.48</v>
      </c>
      <c r="D41" s="64">
        <v>30.59</v>
      </c>
      <c r="E41" s="64">
        <v>5.1100000000000003</v>
      </c>
      <c r="F41" s="64">
        <v>3.34</v>
      </c>
      <c r="G41" s="64">
        <v>129.19</v>
      </c>
      <c r="H41" s="64">
        <v>58.15</v>
      </c>
      <c r="I41" s="64">
        <v>5.66</v>
      </c>
      <c r="J41" s="64">
        <v>0.37</v>
      </c>
      <c r="K41" s="64">
        <v>339.12</v>
      </c>
      <c r="L41" s="64">
        <v>23.58</v>
      </c>
      <c r="M41" s="64">
        <v>40.57</v>
      </c>
      <c r="N41" s="64">
        <v>361.2</v>
      </c>
      <c r="O41" s="64">
        <v>0</v>
      </c>
      <c r="P41" s="64">
        <v>1.75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1" t="s">
        <v>1241</v>
      </c>
      <c r="B42" s="64">
        <v>36.340000000000003</v>
      </c>
      <c r="C42" s="64">
        <v>3.4</v>
      </c>
      <c r="D42" s="64">
        <v>30.45</v>
      </c>
      <c r="E42" s="64">
        <v>5.22</v>
      </c>
      <c r="F42" s="64">
        <v>3.3</v>
      </c>
      <c r="G42" s="64">
        <v>144.97999999999999</v>
      </c>
      <c r="H42" s="64">
        <v>59.03</v>
      </c>
      <c r="I42" s="64">
        <v>5.59</v>
      </c>
      <c r="J42" s="64">
        <v>0.51</v>
      </c>
      <c r="K42" s="64">
        <v>124.38</v>
      </c>
      <c r="L42" s="64">
        <v>22.97</v>
      </c>
      <c r="M42" s="64">
        <v>40.08</v>
      </c>
      <c r="N42" s="64">
        <v>422.2</v>
      </c>
      <c r="O42" s="64">
        <v>0</v>
      </c>
      <c r="P42" s="64">
        <v>1.75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1" t="s">
        <v>1242</v>
      </c>
      <c r="B43" s="64">
        <v>35.56</v>
      </c>
      <c r="C43" s="64">
        <v>3.94</v>
      </c>
      <c r="D43" s="64">
        <v>30.11</v>
      </c>
      <c r="E43" s="64">
        <v>5.09</v>
      </c>
      <c r="F43" s="64">
        <v>3.37</v>
      </c>
      <c r="G43" s="64">
        <v>146.1</v>
      </c>
      <c r="H43" s="64">
        <v>59.03</v>
      </c>
      <c r="I43" s="64">
        <v>5.53</v>
      </c>
      <c r="J43" s="6" t="s">
        <v>42</v>
      </c>
      <c r="K43" s="64">
        <v>114.25</v>
      </c>
      <c r="L43" s="64">
        <v>23.41</v>
      </c>
      <c r="M43" s="64">
        <v>39.159999999999997</v>
      </c>
      <c r="N43" s="64">
        <v>463.4</v>
      </c>
      <c r="O43" s="64">
        <v>0</v>
      </c>
      <c r="P43" s="64">
        <v>1.74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1" t="s">
        <v>1243</v>
      </c>
      <c r="B44" s="64">
        <v>32.71</v>
      </c>
      <c r="C44" s="64">
        <v>6.6</v>
      </c>
      <c r="D44" s="64">
        <v>29.22</v>
      </c>
      <c r="E44" s="64">
        <v>5.82</v>
      </c>
      <c r="F44" s="64">
        <v>4.05</v>
      </c>
      <c r="G44" s="64">
        <v>146.1</v>
      </c>
      <c r="H44" s="64">
        <v>59.03</v>
      </c>
      <c r="I44" s="64">
        <v>5.86</v>
      </c>
      <c r="J44" s="64">
        <v>0.46</v>
      </c>
      <c r="K44" s="64">
        <v>125.68</v>
      </c>
      <c r="L44" s="64">
        <v>24.84</v>
      </c>
      <c r="M44" s="64">
        <v>33.24</v>
      </c>
      <c r="N44" s="64">
        <v>517.5</v>
      </c>
      <c r="O44" s="64">
        <v>0</v>
      </c>
      <c r="P44" s="64">
        <v>1.75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1" t="s">
        <v>1244</v>
      </c>
      <c r="B45" s="64">
        <v>32.72</v>
      </c>
      <c r="C45" s="64">
        <v>6.05</v>
      </c>
      <c r="D45" s="64">
        <v>28.94</v>
      </c>
      <c r="E45" s="64">
        <v>5.45</v>
      </c>
      <c r="F45" s="64">
        <v>3.66</v>
      </c>
      <c r="G45" s="64">
        <v>146.1</v>
      </c>
      <c r="H45" s="64">
        <v>59.03</v>
      </c>
      <c r="I45" s="64">
        <v>6.1</v>
      </c>
      <c r="J45" s="64">
        <v>0.81</v>
      </c>
      <c r="K45" s="64">
        <v>122.82</v>
      </c>
      <c r="L45" s="64">
        <v>23.74</v>
      </c>
      <c r="M45" s="64">
        <v>34.56</v>
      </c>
      <c r="N45" s="64">
        <v>563</v>
      </c>
      <c r="O45" s="64">
        <v>0</v>
      </c>
      <c r="P45" s="64">
        <v>1.74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1" t="s">
        <v>1245</v>
      </c>
      <c r="B46" s="64">
        <v>31.62</v>
      </c>
      <c r="C46" s="64">
        <v>5.88</v>
      </c>
      <c r="D46" s="64">
        <v>27.97</v>
      </c>
      <c r="E46" s="64">
        <v>5.15</v>
      </c>
      <c r="F46" s="64">
        <v>3.67</v>
      </c>
      <c r="G46" s="64">
        <v>114.73</v>
      </c>
      <c r="H46" s="64">
        <v>47.17</v>
      </c>
      <c r="I46" s="64">
        <v>6.04</v>
      </c>
      <c r="J46" s="64">
        <v>1.39</v>
      </c>
      <c r="K46" s="64">
        <v>126.6</v>
      </c>
      <c r="L46" s="64">
        <v>22.96</v>
      </c>
      <c r="M46" s="64">
        <v>35.4</v>
      </c>
      <c r="N46" s="64">
        <v>601.79999999999995</v>
      </c>
      <c r="O46" s="64">
        <v>0</v>
      </c>
      <c r="P46" s="64">
        <v>1.73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1" t="s">
        <v>1246</v>
      </c>
      <c r="B47" s="64">
        <v>30.08</v>
      </c>
      <c r="C47" s="64">
        <v>6.81</v>
      </c>
      <c r="D47" s="64">
        <v>27.22</v>
      </c>
      <c r="E47" s="64">
        <v>5.3</v>
      </c>
      <c r="F47" s="64">
        <v>3.57</v>
      </c>
      <c r="G47" s="64">
        <v>112.49</v>
      </c>
      <c r="H47" s="64">
        <v>47.17</v>
      </c>
      <c r="I47" s="64">
        <v>5.97</v>
      </c>
      <c r="J47" s="64">
        <v>0.5</v>
      </c>
      <c r="K47" s="64">
        <v>126.58</v>
      </c>
      <c r="L47" s="64">
        <v>24.29</v>
      </c>
      <c r="M47" s="64">
        <v>32.549999999999997</v>
      </c>
      <c r="N47" s="64">
        <v>627.79999999999995</v>
      </c>
      <c r="O47" s="64">
        <v>0</v>
      </c>
      <c r="P47" s="64">
        <v>1.67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1" t="s">
        <v>1247</v>
      </c>
      <c r="B48" s="64">
        <v>25.62</v>
      </c>
      <c r="C48" s="64">
        <v>12.18</v>
      </c>
      <c r="D48" s="64">
        <v>26.45</v>
      </c>
      <c r="E48" s="64">
        <v>5.65</v>
      </c>
      <c r="F48" s="64">
        <v>4.46</v>
      </c>
      <c r="G48" s="64">
        <v>112.49</v>
      </c>
      <c r="H48" s="64">
        <v>47.17</v>
      </c>
      <c r="I48" s="64">
        <v>5.88</v>
      </c>
      <c r="J48" s="64">
        <v>0.57999999999999996</v>
      </c>
      <c r="K48" s="64">
        <v>338.6</v>
      </c>
      <c r="L48" s="64">
        <v>26.28</v>
      </c>
      <c r="M48" s="64">
        <v>29.19</v>
      </c>
      <c r="N48" s="64">
        <v>654.4</v>
      </c>
      <c r="O48" s="64">
        <v>0</v>
      </c>
      <c r="P48" s="64">
        <v>1.6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1" t="s">
        <v>1248</v>
      </c>
      <c r="B49" s="64">
        <v>26.27</v>
      </c>
      <c r="C49" s="64">
        <v>11.07</v>
      </c>
      <c r="D49" s="64">
        <v>26.39</v>
      </c>
      <c r="E49" s="64">
        <v>5.29</v>
      </c>
      <c r="F49" s="64">
        <v>4.1399999999999997</v>
      </c>
      <c r="G49" s="64">
        <v>112.49</v>
      </c>
      <c r="H49" s="64">
        <v>47.17</v>
      </c>
      <c r="I49" s="64">
        <v>5.79</v>
      </c>
      <c r="J49" s="64">
        <v>1.36</v>
      </c>
      <c r="K49" s="64">
        <v>341.62</v>
      </c>
      <c r="L49" s="64">
        <v>28.5</v>
      </c>
      <c r="M49" s="64">
        <v>24.68</v>
      </c>
      <c r="N49" s="64">
        <v>689.9</v>
      </c>
      <c r="O49" s="64">
        <v>0</v>
      </c>
      <c r="P49" s="64">
        <v>1.56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1" t="s">
        <v>1249</v>
      </c>
      <c r="B50" s="64">
        <v>24.32</v>
      </c>
      <c r="C50" s="64">
        <v>12.26</v>
      </c>
      <c r="D50" s="64">
        <v>25.45</v>
      </c>
      <c r="E50" s="64">
        <v>5.23</v>
      </c>
      <c r="F50" s="64">
        <v>3.82</v>
      </c>
      <c r="G50" s="64">
        <v>85.42</v>
      </c>
      <c r="H50" s="64">
        <v>44.15</v>
      </c>
      <c r="I50" s="64">
        <v>5.67</v>
      </c>
      <c r="J50" s="64">
        <v>0.75</v>
      </c>
      <c r="K50" s="64">
        <v>342.08</v>
      </c>
      <c r="L50" s="64">
        <v>28.62</v>
      </c>
      <c r="M50" s="64">
        <v>24.34</v>
      </c>
      <c r="N50" s="64">
        <v>713.2</v>
      </c>
      <c r="O50" s="64">
        <v>0</v>
      </c>
      <c r="P50" s="64">
        <v>1.51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1" t="s">
        <v>1250</v>
      </c>
      <c r="B51" s="64">
        <v>22.03</v>
      </c>
      <c r="C51" s="64">
        <v>13.46</v>
      </c>
      <c r="D51" s="64">
        <v>24.24</v>
      </c>
      <c r="E51" s="64">
        <v>5.48</v>
      </c>
      <c r="F51" s="64">
        <v>3.78</v>
      </c>
      <c r="G51" s="64">
        <v>83.49</v>
      </c>
      <c r="H51" s="64">
        <v>44.15</v>
      </c>
      <c r="I51" s="64">
        <v>5.51</v>
      </c>
      <c r="J51" s="64">
        <v>0.47</v>
      </c>
      <c r="K51" s="64">
        <v>4.8</v>
      </c>
      <c r="L51" s="64">
        <v>28.78</v>
      </c>
      <c r="M51" s="64">
        <v>24.71</v>
      </c>
      <c r="N51" s="64">
        <v>738.8</v>
      </c>
      <c r="O51" s="64">
        <v>0</v>
      </c>
      <c r="P51" s="64">
        <v>1.41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1" t="s">
        <v>1251</v>
      </c>
      <c r="B52" s="64">
        <v>19.899999999999999</v>
      </c>
      <c r="C52" s="64">
        <v>14.42</v>
      </c>
      <c r="D52" s="64">
        <v>23.03</v>
      </c>
      <c r="E52" s="64">
        <v>4.9000000000000004</v>
      </c>
      <c r="F52" s="64">
        <v>3.75</v>
      </c>
      <c r="G52" s="64">
        <v>83.49</v>
      </c>
      <c r="H52" s="64">
        <v>44.15</v>
      </c>
      <c r="I52" s="64">
        <v>5.3</v>
      </c>
      <c r="J52" s="64">
        <v>0.01</v>
      </c>
      <c r="K52" s="64">
        <v>58.52</v>
      </c>
      <c r="L52" s="64">
        <v>27.08</v>
      </c>
      <c r="M52" s="64">
        <v>28.51</v>
      </c>
      <c r="N52" s="64">
        <v>750.1</v>
      </c>
      <c r="O52" s="64">
        <v>0</v>
      </c>
      <c r="P52" s="64">
        <v>1.35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1" t="s">
        <v>1252</v>
      </c>
      <c r="B53" s="64">
        <v>17.79</v>
      </c>
      <c r="C53" s="64">
        <v>16.09</v>
      </c>
      <c r="D53" s="64">
        <v>22.21</v>
      </c>
      <c r="E53" s="64">
        <v>4.8600000000000003</v>
      </c>
      <c r="F53" s="64">
        <v>3.83</v>
      </c>
      <c r="G53" s="64">
        <v>83.49</v>
      </c>
      <c r="H53" s="64">
        <v>44.15</v>
      </c>
      <c r="I53" s="64">
        <v>5.15</v>
      </c>
      <c r="J53" s="64">
        <v>0.25</v>
      </c>
      <c r="K53" s="64">
        <v>40.78</v>
      </c>
      <c r="L53" s="64">
        <v>28.12</v>
      </c>
      <c r="M53" s="64">
        <v>25.66</v>
      </c>
      <c r="N53" s="64">
        <v>744</v>
      </c>
      <c r="O53" s="64">
        <v>0</v>
      </c>
      <c r="P53" s="64">
        <v>1.3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11" t="s">
        <v>1253</v>
      </c>
      <c r="B54" s="64">
        <v>16.93</v>
      </c>
      <c r="C54" s="64">
        <v>15.84</v>
      </c>
      <c r="D54" s="64">
        <v>21.39</v>
      </c>
      <c r="E54" s="64">
        <v>4.84</v>
      </c>
      <c r="F54" s="64">
        <v>3.61</v>
      </c>
      <c r="G54" s="64">
        <v>73.52</v>
      </c>
      <c r="H54" s="64">
        <v>39.67</v>
      </c>
      <c r="I54" s="64">
        <v>5.05</v>
      </c>
      <c r="J54" s="64">
        <v>0.49</v>
      </c>
      <c r="K54" s="64">
        <v>334.01</v>
      </c>
      <c r="L54" s="64">
        <v>28.47</v>
      </c>
      <c r="M54" s="64">
        <v>25.78</v>
      </c>
      <c r="N54" s="64">
        <v>722.9</v>
      </c>
      <c r="O54" s="64">
        <v>0</v>
      </c>
      <c r="P54" s="64">
        <v>1.26</v>
      </c>
      <c r="Q54" s="64">
        <v>9.48</v>
      </c>
      <c r="R54" s="198"/>
      <c r="S54" s="198"/>
      <c r="T54" s="198"/>
      <c r="U54" s="198"/>
    </row>
    <row r="55" spans="1:21" s="12" customFormat="1" x14ac:dyDescent="0.25">
      <c r="A55" s="211" t="s">
        <v>1254</v>
      </c>
      <c r="B55" s="64">
        <v>15.87</v>
      </c>
      <c r="C55" s="64">
        <v>16.239999999999998</v>
      </c>
      <c r="D55" s="64">
        <v>20.75</v>
      </c>
      <c r="E55" s="64">
        <v>4.74</v>
      </c>
      <c r="F55" s="64">
        <v>3.75</v>
      </c>
      <c r="G55" s="64">
        <v>72.81</v>
      </c>
      <c r="H55" s="64">
        <v>39.67</v>
      </c>
      <c r="I55" s="64">
        <v>4.97</v>
      </c>
      <c r="J55" s="64">
        <v>0.4</v>
      </c>
      <c r="K55" s="64">
        <v>130.04</v>
      </c>
      <c r="L55" s="64">
        <v>28.15</v>
      </c>
      <c r="M55" s="64">
        <v>27.07</v>
      </c>
      <c r="N55" s="64">
        <v>685.9</v>
      </c>
      <c r="O55" s="64">
        <v>0</v>
      </c>
      <c r="P55" s="64">
        <v>1.24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1" t="s">
        <v>1255</v>
      </c>
      <c r="B56" s="64">
        <v>14.4</v>
      </c>
      <c r="C56" s="64">
        <v>16.899999999999999</v>
      </c>
      <c r="D56" s="64">
        <v>19.920000000000002</v>
      </c>
      <c r="E56" s="64">
        <v>4.78</v>
      </c>
      <c r="F56" s="64">
        <v>3.81</v>
      </c>
      <c r="G56" s="64">
        <v>72.81</v>
      </c>
      <c r="H56" s="64">
        <v>39.67</v>
      </c>
      <c r="I56" s="64">
        <v>4.8899999999999997</v>
      </c>
      <c r="J56" s="64">
        <v>0.15</v>
      </c>
      <c r="K56" s="64">
        <v>79.45</v>
      </c>
      <c r="L56" s="64">
        <v>27.21</v>
      </c>
      <c r="M56" s="64">
        <v>29.42</v>
      </c>
      <c r="N56" s="64">
        <v>673</v>
      </c>
      <c r="O56" s="64">
        <v>0</v>
      </c>
      <c r="P56" s="64">
        <v>1.21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1" t="s">
        <v>1256</v>
      </c>
      <c r="B57" s="64">
        <v>13.14</v>
      </c>
      <c r="C57" s="64">
        <v>17.690000000000001</v>
      </c>
      <c r="D57" s="64">
        <v>19.32</v>
      </c>
      <c r="E57" s="64">
        <v>5.09</v>
      </c>
      <c r="F57" s="64">
        <v>3.47</v>
      </c>
      <c r="G57" s="64">
        <v>72.81</v>
      </c>
      <c r="H57" s="64">
        <v>39.67</v>
      </c>
      <c r="I57" s="64">
        <v>4.82</v>
      </c>
      <c r="J57" s="64">
        <v>0.26</v>
      </c>
      <c r="K57" s="64">
        <v>284.75</v>
      </c>
      <c r="L57" s="64">
        <v>28.39</v>
      </c>
      <c r="M57" s="64">
        <v>26.66</v>
      </c>
      <c r="N57" s="64">
        <v>638.79999999999995</v>
      </c>
      <c r="O57" s="64">
        <v>0</v>
      </c>
      <c r="P57" s="64">
        <v>1.19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1" t="s">
        <v>1257</v>
      </c>
      <c r="B58" s="64">
        <v>11.84</v>
      </c>
      <c r="C58" s="64">
        <v>17.829999999999998</v>
      </c>
      <c r="D58" s="64">
        <v>18.34</v>
      </c>
      <c r="E58" s="64">
        <v>5.28</v>
      </c>
      <c r="F58" s="64">
        <v>4.01</v>
      </c>
      <c r="G58" s="64">
        <v>69.02</v>
      </c>
      <c r="H58" s="64">
        <v>31.57</v>
      </c>
      <c r="I58" s="64">
        <v>4.75</v>
      </c>
      <c r="J58" s="64">
        <v>0.18</v>
      </c>
      <c r="K58" s="64">
        <v>359.97</v>
      </c>
      <c r="L58" s="64">
        <v>28.17</v>
      </c>
      <c r="M58" s="64">
        <v>26.47</v>
      </c>
      <c r="N58" s="64">
        <v>615</v>
      </c>
      <c r="O58" s="64">
        <v>0</v>
      </c>
      <c r="P58" s="64">
        <v>1.17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11" t="s">
        <v>1258</v>
      </c>
      <c r="B59" s="64">
        <v>10.82</v>
      </c>
      <c r="C59" s="64">
        <v>18.329999999999998</v>
      </c>
      <c r="D59" s="64">
        <v>17.79</v>
      </c>
      <c r="E59" s="64">
        <v>5.87</v>
      </c>
      <c r="F59" s="64">
        <v>6.02</v>
      </c>
      <c r="G59" s="64">
        <v>68.75</v>
      </c>
      <c r="H59" s="64">
        <v>31.57</v>
      </c>
      <c r="I59" s="64">
        <v>4.68</v>
      </c>
      <c r="J59" s="64">
        <v>0.88</v>
      </c>
      <c r="K59" s="64">
        <v>336.32</v>
      </c>
      <c r="L59" s="64">
        <v>29.05</v>
      </c>
      <c r="M59" s="64">
        <v>24.42</v>
      </c>
      <c r="N59" s="64">
        <v>639.1</v>
      </c>
      <c r="O59" s="64">
        <v>0</v>
      </c>
      <c r="P59" s="64">
        <v>1.1200000000000001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1" t="s">
        <v>1259</v>
      </c>
      <c r="B60" s="64">
        <v>9.56</v>
      </c>
      <c r="C60" s="64">
        <v>19.850000000000001</v>
      </c>
      <c r="D60" s="64">
        <v>17.57</v>
      </c>
      <c r="E60" s="64">
        <v>5.89</v>
      </c>
      <c r="F60" s="64">
        <v>5.79</v>
      </c>
      <c r="G60" s="64">
        <v>68.75</v>
      </c>
      <c r="H60" s="64">
        <v>31.57</v>
      </c>
      <c r="I60" s="64">
        <v>4.6100000000000003</v>
      </c>
      <c r="J60" s="64">
        <v>0.82</v>
      </c>
      <c r="K60" s="64">
        <v>320.79000000000002</v>
      </c>
      <c r="L60" s="64">
        <v>29.89</v>
      </c>
      <c r="M60" s="64">
        <v>20.49</v>
      </c>
      <c r="N60" s="64">
        <v>565.79999999999995</v>
      </c>
      <c r="O60" s="64">
        <v>0</v>
      </c>
      <c r="P60" s="64">
        <v>1.06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1" t="s">
        <v>1260</v>
      </c>
      <c r="B61" s="64">
        <v>7.38</v>
      </c>
      <c r="C61" s="64">
        <v>20.53</v>
      </c>
      <c r="D61" s="64">
        <v>16.190000000000001</v>
      </c>
      <c r="E61" s="64">
        <v>6.32</v>
      </c>
      <c r="F61" s="64">
        <v>8.58</v>
      </c>
      <c r="G61" s="64">
        <v>68.75</v>
      </c>
      <c r="H61" s="64">
        <v>31.57</v>
      </c>
      <c r="I61" s="64">
        <v>4.51</v>
      </c>
      <c r="J61" s="64">
        <v>0.55000000000000004</v>
      </c>
      <c r="K61" s="64">
        <v>311.27</v>
      </c>
      <c r="L61" s="64">
        <v>29.49</v>
      </c>
      <c r="M61" s="64">
        <v>19.75</v>
      </c>
      <c r="N61" s="64">
        <v>522.1</v>
      </c>
      <c r="O61" s="64">
        <v>0</v>
      </c>
      <c r="P61" s="64">
        <v>1.02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1" t="s">
        <v>1261</v>
      </c>
      <c r="B62" s="64">
        <v>7.46</v>
      </c>
      <c r="C62" s="64">
        <v>21.2</v>
      </c>
      <c r="D62" s="64">
        <v>16.600000000000001</v>
      </c>
      <c r="E62" s="64">
        <v>5.55</v>
      </c>
      <c r="F62" s="64">
        <v>8.65</v>
      </c>
      <c r="G62" s="64">
        <v>73.760000000000005</v>
      </c>
      <c r="H62" s="64">
        <v>28.16</v>
      </c>
      <c r="I62" s="64">
        <v>4.4400000000000004</v>
      </c>
      <c r="J62" s="64">
        <v>0.74</v>
      </c>
      <c r="K62" s="64">
        <v>329.68</v>
      </c>
      <c r="L62" s="64">
        <v>29.88</v>
      </c>
      <c r="M62" s="64">
        <v>19.350000000000001</v>
      </c>
      <c r="N62" s="64">
        <v>467.5</v>
      </c>
      <c r="O62" s="64">
        <v>0</v>
      </c>
      <c r="P62" s="64">
        <v>1.1100000000000001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1" t="s">
        <v>1262</v>
      </c>
      <c r="B63" s="64">
        <v>7.32</v>
      </c>
      <c r="C63" s="64">
        <v>21.99</v>
      </c>
      <c r="D63" s="64">
        <v>16.899999999999999</v>
      </c>
      <c r="E63" s="64">
        <v>5.75</v>
      </c>
      <c r="F63" s="64">
        <v>12.93</v>
      </c>
      <c r="G63" s="64">
        <v>74.12</v>
      </c>
      <c r="H63" s="64">
        <v>28.16</v>
      </c>
      <c r="I63" s="64">
        <v>4.37</v>
      </c>
      <c r="J63" s="64">
        <v>0.36</v>
      </c>
      <c r="K63" s="64">
        <v>329.76</v>
      </c>
      <c r="L63" s="64">
        <v>29.18</v>
      </c>
      <c r="M63" s="64">
        <v>20.420000000000002</v>
      </c>
      <c r="N63" s="64">
        <v>530</v>
      </c>
      <c r="O63" s="64">
        <v>0</v>
      </c>
      <c r="P63" s="64">
        <v>0.95</v>
      </c>
      <c r="Q63" s="64">
        <v>9.31</v>
      </c>
      <c r="R63" s="198"/>
      <c r="S63" s="198"/>
      <c r="T63" s="198"/>
      <c r="U63" s="198"/>
    </row>
    <row r="64" spans="1:21" s="12" customFormat="1" x14ac:dyDescent="0.25">
      <c r="A64" s="211" t="s">
        <v>1263</v>
      </c>
      <c r="B64" s="64">
        <v>7.66</v>
      </c>
      <c r="C64" s="64">
        <v>21.27</v>
      </c>
      <c r="D64" s="64">
        <v>16.79</v>
      </c>
      <c r="E64" s="64">
        <v>5.68</v>
      </c>
      <c r="F64" s="64">
        <v>7.4</v>
      </c>
      <c r="G64" s="64">
        <v>74.12</v>
      </c>
      <c r="H64" s="64">
        <v>28.16</v>
      </c>
      <c r="I64" s="64">
        <v>4.3</v>
      </c>
      <c r="J64" s="64">
        <v>0.54</v>
      </c>
      <c r="K64" s="64">
        <v>322.97000000000003</v>
      </c>
      <c r="L64" s="64">
        <v>28.29</v>
      </c>
      <c r="M64" s="64">
        <v>21.3</v>
      </c>
      <c r="N64" s="64">
        <v>203.4</v>
      </c>
      <c r="O64" s="64">
        <v>0</v>
      </c>
      <c r="P64" s="64">
        <v>1.08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1" t="s">
        <v>1264</v>
      </c>
      <c r="B65" s="64">
        <v>4.96</v>
      </c>
      <c r="C65" s="64">
        <v>17.63</v>
      </c>
      <c r="D65" s="64">
        <v>12.73</v>
      </c>
      <c r="E65" s="64">
        <v>5.85</v>
      </c>
      <c r="F65" s="64">
        <v>9.74</v>
      </c>
      <c r="G65" s="64">
        <v>74.12</v>
      </c>
      <c r="H65" s="64">
        <v>28.16</v>
      </c>
      <c r="I65" s="64">
        <v>4.21</v>
      </c>
      <c r="J65" s="64">
        <v>0.65</v>
      </c>
      <c r="K65" s="64">
        <v>301.73</v>
      </c>
      <c r="L65" s="64">
        <v>26.97</v>
      </c>
      <c r="M65" s="64">
        <v>24.68</v>
      </c>
      <c r="N65" s="64">
        <v>133.19999999999999</v>
      </c>
      <c r="O65" s="64">
        <v>0</v>
      </c>
      <c r="P65" s="64">
        <v>0.96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1" t="s">
        <v>1265</v>
      </c>
      <c r="B66" s="64">
        <v>7.63</v>
      </c>
      <c r="C66" s="64">
        <v>21.34</v>
      </c>
      <c r="D66" s="64">
        <v>16.809999999999999</v>
      </c>
      <c r="E66" s="64">
        <v>5.78</v>
      </c>
      <c r="F66" s="64">
        <v>10.7</v>
      </c>
      <c r="G66" s="64">
        <v>46.59</v>
      </c>
      <c r="H66" s="64">
        <v>23.45</v>
      </c>
      <c r="I66" s="64">
        <v>4.1399999999999997</v>
      </c>
      <c r="J66" s="64">
        <v>0.73</v>
      </c>
      <c r="K66" s="64">
        <v>331.97</v>
      </c>
      <c r="L66" s="64">
        <v>26.81</v>
      </c>
      <c r="M66" s="64">
        <v>24.61</v>
      </c>
      <c r="N66" s="64">
        <v>152.19999999999999</v>
      </c>
      <c r="O66" s="64">
        <v>0</v>
      </c>
      <c r="P66" s="64">
        <v>0.97</v>
      </c>
      <c r="Q66" s="64">
        <v>9.27</v>
      </c>
      <c r="R66" s="198"/>
      <c r="S66" s="198"/>
      <c r="T66" s="198"/>
      <c r="U66" s="198"/>
    </row>
    <row r="67" spans="1:21" s="12" customFormat="1" x14ac:dyDescent="0.25">
      <c r="A67" s="211" t="s">
        <v>1266</v>
      </c>
      <c r="B67" s="64">
        <v>6.86</v>
      </c>
      <c r="C67" s="64">
        <v>20.440000000000001</v>
      </c>
      <c r="D67" s="64">
        <v>15.72</v>
      </c>
      <c r="E67" s="64">
        <v>5.24</v>
      </c>
      <c r="F67" s="64">
        <v>7.19</v>
      </c>
      <c r="G67" s="64">
        <v>44.62</v>
      </c>
      <c r="H67" s="64">
        <v>23.45</v>
      </c>
      <c r="I67" s="64">
        <v>4.05</v>
      </c>
      <c r="J67" s="64">
        <v>0.95</v>
      </c>
      <c r="K67" s="64">
        <v>340.96</v>
      </c>
      <c r="L67" s="64">
        <v>26.72</v>
      </c>
      <c r="M67" s="64">
        <v>22.6</v>
      </c>
      <c r="N67" s="64">
        <v>119.9</v>
      </c>
      <c r="O67" s="64">
        <v>0</v>
      </c>
      <c r="P67" s="64">
        <v>0.99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1" t="s">
        <v>1267</v>
      </c>
      <c r="B68" s="64">
        <v>6.39</v>
      </c>
      <c r="C68" s="64">
        <v>20.53</v>
      </c>
      <c r="D68" s="64">
        <v>15.39</v>
      </c>
      <c r="E68" s="64">
        <v>4.96</v>
      </c>
      <c r="F68" s="64">
        <v>4.05</v>
      </c>
      <c r="G68" s="64">
        <v>44.62</v>
      </c>
      <c r="H68" s="64">
        <v>23.45</v>
      </c>
      <c r="I68" s="64">
        <v>3.97</v>
      </c>
      <c r="J68" s="64">
        <v>0.82</v>
      </c>
      <c r="K68" s="64">
        <v>319.7</v>
      </c>
      <c r="L68" s="64">
        <v>26.36</v>
      </c>
      <c r="M68" s="64">
        <v>23.89</v>
      </c>
      <c r="N68" s="64">
        <v>104.9</v>
      </c>
      <c r="O68" s="64">
        <v>0</v>
      </c>
      <c r="P68" s="64">
        <v>0.98</v>
      </c>
      <c r="Q68" s="64">
        <v>9.24</v>
      </c>
      <c r="R68" s="198"/>
      <c r="S68" s="198"/>
      <c r="T68" s="198"/>
      <c r="U68" s="198"/>
    </row>
    <row r="69" spans="1:21" s="12" customFormat="1" x14ac:dyDescent="0.25">
      <c r="A69" s="211" t="s">
        <v>1268</v>
      </c>
      <c r="B69" s="64">
        <v>5.47</v>
      </c>
      <c r="C69" s="64">
        <v>20.440000000000001</v>
      </c>
      <c r="D69" s="64">
        <v>14.6</v>
      </c>
      <c r="E69" s="64">
        <v>4.43</v>
      </c>
      <c r="F69" s="64">
        <v>4.9000000000000004</v>
      </c>
      <c r="G69" s="64">
        <v>44.62</v>
      </c>
      <c r="H69" s="64">
        <v>23.45</v>
      </c>
      <c r="I69" s="64">
        <v>3.87</v>
      </c>
      <c r="J69" s="64">
        <v>0.79</v>
      </c>
      <c r="K69" s="64">
        <v>315.12</v>
      </c>
      <c r="L69" s="64">
        <v>25.95</v>
      </c>
      <c r="M69" s="64">
        <v>23.5</v>
      </c>
      <c r="N69" s="64">
        <v>97.8</v>
      </c>
      <c r="O69" s="64">
        <v>0</v>
      </c>
      <c r="P69" s="64">
        <v>0.9</v>
      </c>
      <c r="Q69" s="64">
        <v>9.2100000000000009</v>
      </c>
      <c r="R69" s="198"/>
      <c r="S69" s="198"/>
      <c r="T69" s="198"/>
      <c r="U69" s="198"/>
    </row>
    <row r="70" spans="1:21" s="12" customFormat="1" x14ac:dyDescent="0.25">
      <c r="A70" s="211" t="s">
        <v>1269</v>
      </c>
      <c r="B70" s="64">
        <v>5.03</v>
      </c>
      <c r="C70" s="64">
        <v>20.47</v>
      </c>
      <c r="D70" s="64">
        <v>14.26</v>
      </c>
      <c r="E70" s="64">
        <v>4.62</v>
      </c>
      <c r="F70" s="64">
        <v>6.58</v>
      </c>
      <c r="G70" s="64">
        <v>45.84</v>
      </c>
      <c r="H70" s="64">
        <v>21</v>
      </c>
      <c r="I70" s="64">
        <v>3.75</v>
      </c>
      <c r="J70" s="64">
        <v>0.54</v>
      </c>
      <c r="K70" s="64">
        <v>319.01</v>
      </c>
      <c r="L70" s="64">
        <v>25.64</v>
      </c>
      <c r="M70" s="64">
        <v>21.12</v>
      </c>
      <c r="N70" s="64">
        <v>90.6</v>
      </c>
      <c r="O70" s="64">
        <v>0</v>
      </c>
      <c r="P70" s="64">
        <v>0.81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1" t="s">
        <v>1270</v>
      </c>
      <c r="B71" s="64">
        <v>5.01</v>
      </c>
      <c r="C71" s="64">
        <v>20.51</v>
      </c>
      <c r="D71" s="64">
        <v>14.27</v>
      </c>
      <c r="E71" s="64">
        <v>5.2</v>
      </c>
      <c r="F71" s="64">
        <v>6</v>
      </c>
      <c r="G71" s="64">
        <v>45.92</v>
      </c>
      <c r="H71" s="64">
        <v>21</v>
      </c>
      <c r="I71" s="64">
        <v>3.64</v>
      </c>
      <c r="J71" s="64">
        <v>1.0900000000000001</v>
      </c>
      <c r="K71" s="64">
        <v>338.06</v>
      </c>
      <c r="L71" s="64">
        <v>25.38</v>
      </c>
      <c r="M71" s="64">
        <v>22.63</v>
      </c>
      <c r="N71" s="64">
        <v>85.2</v>
      </c>
      <c r="O71" s="64">
        <v>0</v>
      </c>
      <c r="P71" s="64">
        <v>0.82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11" t="s">
        <v>1271</v>
      </c>
      <c r="B72" s="64">
        <v>5.54</v>
      </c>
      <c r="C72" s="64">
        <v>26</v>
      </c>
      <c r="D72" s="64">
        <v>17.559999999999999</v>
      </c>
      <c r="E72" s="64">
        <v>6.11</v>
      </c>
      <c r="F72" s="64">
        <v>8.56</v>
      </c>
      <c r="G72" s="64">
        <v>45.92</v>
      </c>
      <c r="H72" s="64">
        <v>21</v>
      </c>
      <c r="I72" s="64">
        <v>3.56</v>
      </c>
      <c r="J72" s="64">
        <v>0.64</v>
      </c>
      <c r="K72" s="64">
        <v>336.23</v>
      </c>
      <c r="L72" s="64">
        <v>25.09</v>
      </c>
      <c r="M72" s="64">
        <v>24.15</v>
      </c>
      <c r="N72" s="64">
        <v>81.599999999999994</v>
      </c>
      <c r="O72" s="64">
        <v>0</v>
      </c>
      <c r="P72" s="64">
        <v>0.74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1" t="s">
        <v>1272</v>
      </c>
      <c r="B73" s="64">
        <v>6.12</v>
      </c>
      <c r="C73" s="64">
        <v>21.26</v>
      </c>
      <c r="D73" s="64">
        <v>15.55</v>
      </c>
      <c r="E73" s="64">
        <v>5.44</v>
      </c>
      <c r="F73" s="64">
        <v>5.66</v>
      </c>
      <c r="G73" s="64">
        <v>45.92</v>
      </c>
      <c r="H73" s="64">
        <v>21</v>
      </c>
      <c r="I73" s="64">
        <v>3.46</v>
      </c>
      <c r="J73" s="64">
        <v>0.71</v>
      </c>
      <c r="K73" s="64">
        <v>333.58</v>
      </c>
      <c r="L73" s="64">
        <v>24.89</v>
      </c>
      <c r="M73" s="64">
        <v>24.18</v>
      </c>
      <c r="N73" s="64">
        <v>76.8</v>
      </c>
      <c r="O73" s="64">
        <v>0</v>
      </c>
      <c r="P73" s="64">
        <v>0.78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1" t="s">
        <v>1273</v>
      </c>
      <c r="B74" s="64">
        <v>6.12</v>
      </c>
      <c r="C74" s="64">
        <v>20.92</v>
      </c>
      <c r="D74" s="64">
        <v>15.38</v>
      </c>
      <c r="E74" s="64">
        <v>5.21</v>
      </c>
      <c r="F74" s="64">
        <v>4.1900000000000004</v>
      </c>
      <c r="G74" s="64">
        <v>36.83</v>
      </c>
      <c r="H74" s="64">
        <v>19.54</v>
      </c>
      <c r="I74" s="64">
        <v>3.37</v>
      </c>
      <c r="J74" s="64">
        <v>0.89</v>
      </c>
      <c r="K74" s="64">
        <v>339.24</v>
      </c>
      <c r="L74" s="64">
        <v>24.65</v>
      </c>
      <c r="M74" s="64">
        <v>24.79</v>
      </c>
      <c r="N74" s="64">
        <v>70.8</v>
      </c>
      <c r="O74" s="64">
        <v>0</v>
      </c>
      <c r="P74" s="64">
        <v>0.79</v>
      </c>
      <c r="Q74" s="64">
        <v>9.17</v>
      </c>
      <c r="R74" s="198"/>
      <c r="S74" s="198"/>
      <c r="T74" s="198"/>
      <c r="U74" s="198"/>
    </row>
    <row r="75" spans="1:21" s="12" customFormat="1" x14ac:dyDescent="0.25">
      <c r="A75" s="211" t="s">
        <v>1274</v>
      </c>
      <c r="B75" s="64">
        <v>6.84</v>
      </c>
      <c r="C75" s="64">
        <v>21.68</v>
      </c>
      <c r="D75" s="64">
        <v>16.350000000000001</v>
      </c>
      <c r="E75" s="64">
        <v>5.77</v>
      </c>
      <c r="F75" s="64">
        <v>6.04</v>
      </c>
      <c r="G75" s="64">
        <v>36.18</v>
      </c>
      <c r="H75" s="64">
        <v>19.54</v>
      </c>
      <c r="I75" s="64">
        <v>3.32</v>
      </c>
      <c r="J75" s="64">
        <v>0.5</v>
      </c>
      <c r="K75" s="64">
        <v>339.89</v>
      </c>
      <c r="L75" s="64">
        <v>24.26</v>
      </c>
      <c r="M75" s="64">
        <v>26.89</v>
      </c>
      <c r="N75" s="64">
        <v>63.5</v>
      </c>
      <c r="O75" s="64">
        <v>0</v>
      </c>
      <c r="P75" s="64">
        <v>0.79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1275</v>
      </c>
      <c r="B76" s="64">
        <v>7.75</v>
      </c>
      <c r="C76" s="64">
        <v>22.75</v>
      </c>
      <c r="D76" s="64">
        <v>17.64</v>
      </c>
      <c r="E76" s="64">
        <v>5.61</v>
      </c>
      <c r="F76" s="64">
        <v>6.44</v>
      </c>
      <c r="G76" s="64">
        <v>36.18</v>
      </c>
      <c r="H76" s="64">
        <v>19.54</v>
      </c>
      <c r="I76" s="64">
        <v>3.27</v>
      </c>
      <c r="J76" s="64">
        <v>0.46</v>
      </c>
      <c r="K76" s="64">
        <v>336.9</v>
      </c>
      <c r="L76" s="64">
        <v>23.68</v>
      </c>
      <c r="M76" s="64">
        <v>29.33</v>
      </c>
      <c r="N76" s="64">
        <v>55</v>
      </c>
      <c r="O76" s="64">
        <v>0</v>
      </c>
      <c r="P76" s="64">
        <v>0.79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1" t="s">
        <v>1276</v>
      </c>
      <c r="B77" s="64">
        <v>12.87</v>
      </c>
      <c r="C77" s="64">
        <v>28.22</v>
      </c>
      <c r="D77" s="64">
        <v>24.61</v>
      </c>
      <c r="E77" s="64">
        <v>6.11</v>
      </c>
      <c r="F77" s="64">
        <v>7.73</v>
      </c>
      <c r="G77" s="64">
        <v>36.18</v>
      </c>
      <c r="H77" s="64">
        <v>19.54</v>
      </c>
      <c r="I77" s="64">
        <v>3.25</v>
      </c>
      <c r="J77" s="64">
        <v>0.32</v>
      </c>
      <c r="K77" s="64">
        <v>333.63</v>
      </c>
      <c r="L77" s="64">
        <v>22.9</v>
      </c>
      <c r="M77" s="64">
        <v>31.62</v>
      </c>
      <c r="N77" s="64">
        <v>47.3</v>
      </c>
      <c r="O77" s="64">
        <v>0</v>
      </c>
      <c r="P77" s="64">
        <v>0.91</v>
      </c>
      <c r="Q77" s="64">
        <v>9.1999999999999993</v>
      </c>
      <c r="R77" s="198"/>
      <c r="S77" s="198"/>
      <c r="T77" s="198"/>
      <c r="U77" s="198"/>
    </row>
    <row r="78" spans="1:21" s="12" customFormat="1" x14ac:dyDescent="0.25">
      <c r="A78" s="211" t="s">
        <v>1277</v>
      </c>
      <c r="B78" s="64">
        <v>9.69</v>
      </c>
      <c r="C78" s="64">
        <v>36.659999999999997</v>
      </c>
      <c r="D78" s="64">
        <v>26.47</v>
      </c>
      <c r="E78" s="64">
        <v>7.32</v>
      </c>
      <c r="F78" s="64">
        <v>7.43</v>
      </c>
      <c r="G78" s="64">
        <v>51.67</v>
      </c>
      <c r="H78" s="64">
        <v>21.47</v>
      </c>
      <c r="I78" s="64">
        <v>3.24</v>
      </c>
      <c r="J78" s="64">
        <v>0.03</v>
      </c>
      <c r="K78" s="64">
        <v>196.2</v>
      </c>
      <c r="L78" s="64">
        <v>21.98</v>
      </c>
      <c r="M78" s="64">
        <v>31.94</v>
      </c>
      <c r="N78" s="64">
        <v>43.7</v>
      </c>
      <c r="O78" s="64">
        <v>0</v>
      </c>
      <c r="P78" s="64">
        <v>0.95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1" t="s">
        <v>1278</v>
      </c>
      <c r="B79" s="64">
        <v>15.37</v>
      </c>
      <c r="C79" s="64">
        <v>36.1</v>
      </c>
      <c r="D79" s="64">
        <v>30.73</v>
      </c>
      <c r="E79" s="64">
        <v>6.75</v>
      </c>
      <c r="F79" s="64">
        <v>4.01</v>
      </c>
      <c r="G79" s="64">
        <v>52.77</v>
      </c>
      <c r="H79" s="64">
        <v>21.47</v>
      </c>
      <c r="I79" s="64">
        <v>3.28</v>
      </c>
      <c r="J79" s="64">
        <v>0.11</v>
      </c>
      <c r="K79" s="64">
        <v>210.39</v>
      </c>
      <c r="L79" s="64">
        <v>21.01</v>
      </c>
      <c r="M79" s="64">
        <v>34.479999999999997</v>
      </c>
      <c r="N79" s="64">
        <v>42.6</v>
      </c>
      <c r="O79" s="64">
        <v>0</v>
      </c>
      <c r="P79" s="64">
        <v>0.94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1" t="s">
        <v>1279</v>
      </c>
      <c r="B80" s="64">
        <v>24.08</v>
      </c>
      <c r="C80" s="64">
        <v>31.02</v>
      </c>
      <c r="D80" s="64">
        <v>43.84</v>
      </c>
      <c r="E80" s="64">
        <v>6.32</v>
      </c>
      <c r="F80" s="64">
        <v>3.55</v>
      </c>
      <c r="G80" s="64">
        <v>52.77</v>
      </c>
      <c r="H80" s="64">
        <v>21.47</v>
      </c>
      <c r="I80" s="64">
        <v>3.37</v>
      </c>
      <c r="J80" s="64">
        <v>0.06</v>
      </c>
      <c r="K80" s="64">
        <v>229.68</v>
      </c>
      <c r="L80" s="64">
        <v>20.329999999999998</v>
      </c>
      <c r="M80" s="64">
        <v>39.479999999999997</v>
      </c>
      <c r="N80" s="64">
        <v>42.3</v>
      </c>
      <c r="O80" s="64">
        <v>0</v>
      </c>
      <c r="P80" s="64">
        <v>1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1" t="s">
        <v>1280</v>
      </c>
      <c r="B81" s="64">
        <v>27.16</v>
      </c>
      <c r="C81" s="64">
        <v>29.42</v>
      </c>
      <c r="D81" s="64">
        <v>36.69</v>
      </c>
      <c r="E81" s="64">
        <v>6.19</v>
      </c>
      <c r="F81" s="64">
        <v>3.59</v>
      </c>
      <c r="G81" s="64">
        <v>52.77</v>
      </c>
      <c r="H81" s="64">
        <v>21.47</v>
      </c>
      <c r="I81" s="64">
        <v>3.41</v>
      </c>
      <c r="J81" s="64">
        <v>0.04</v>
      </c>
      <c r="K81" s="64">
        <v>154.24</v>
      </c>
      <c r="L81" s="64">
        <v>20.010000000000002</v>
      </c>
      <c r="M81" s="64">
        <v>43.37</v>
      </c>
      <c r="N81" s="64">
        <v>42.3</v>
      </c>
      <c r="O81" s="64">
        <v>0</v>
      </c>
      <c r="P81" s="64">
        <v>1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1" t="s">
        <v>1281</v>
      </c>
      <c r="B82" s="64">
        <v>53.48</v>
      </c>
      <c r="C82" s="64">
        <v>13.17</v>
      </c>
      <c r="D82" s="64">
        <v>48.57</v>
      </c>
      <c r="E82" s="64">
        <v>6.45</v>
      </c>
      <c r="F82" s="64">
        <v>3.82</v>
      </c>
      <c r="G82" s="64">
        <v>67.650000000000006</v>
      </c>
      <c r="H82" s="64">
        <v>22.97</v>
      </c>
      <c r="I82" s="64">
        <v>3.47</v>
      </c>
      <c r="J82" s="64">
        <v>7.0000000000000007E-2</v>
      </c>
      <c r="K82" s="64">
        <v>314.52999999999997</v>
      </c>
      <c r="L82" s="64">
        <v>19.59</v>
      </c>
      <c r="M82" s="64">
        <v>50.92</v>
      </c>
      <c r="N82" s="64">
        <v>42.2</v>
      </c>
      <c r="O82" s="64">
        <v>0</v>
      </c>
      <c r="P82" s="64">
        <v>1.35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1" t="s">
        <v>1282</v>
      </c>
      <c r="B83" s="64">
        <v>56.89</v>
      </c>
      <c r="C83" s="64">
        <v>17.41</v>
      </c>
      <c r="D83" s="64">
        <v>54.25</v>
      </c>
      <c r="E83" s="64">
        <v>6.43</v>
      </c>
      <c r="F83" s="64">
        <v>3.4</v>
      </c>
      <c r="G83" s="64">
        <v>68.709999999999994</v>
      </c>
      <c r="H83" s="64">
        <v>22.97</v>
      </c>
      <c r="I83" s="64">
        <v>3.55</v>
      </c>
      <c r="J83" s="64">
        <v>0.15</v>
      </c>
      <c r="K83" s="64">
        <v>266.64999999999998</v>
      </c>
      <c r="L83" s="64">
        <v>19.45</v>
      </c>
      <c r="M83" s="64">
        <v>55.46</v>
      </c>
      <c r="N83" s="64">
        <v>41.7</v>
      </c>
      <c r="O83" s="64">
        <v>0</v>
      </c>
      <c r="P83" s="64">
        <v>1.32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1" t="s">
        <v>1283</v>
      </c>
      <c r="B84" s="64">
        <v>48.09</v>
      </c>
      <c r="C84" s="64">
        <v>14.51</v>
      </c>
      <c r="D84" s="64">
        <v>45.68</v>
      </c>
      <c r="E84" s="64">
        <v>6.14</v>
      </c>
      <c r="F84" s="64">
        <v>3.85</v>
      </c>
      <c r="G84" s="64">
        <v>68.709999999999994</v>
      </c>
      <c r="H84" s="64">
        <v>22.97</v>
      </c>
      <c r="I84" s="64">
        <v>3.43</v>
      </c>
      <c r="J84" s="64">
        <v>0.09</v>
      </c>
      <c r="K84" s="64">
        <v>130.63999999999999</v>
      </c>
      <c r="L84" s="64">
        <v>19.02</v>
      </c>
      <c r="M84" s="64">
        <v>62.9</v>
      </c>
      <c r="N84" s="64">
        <v>42</v>
      </c>
      <c r="O84" s="64">
        <v>0</v>
      </c>
      <c r="P84" s="64">
        <v>1.43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1" t="s">
        <v>1284</v>
      </c>
      <c r="B85" s="64">
        <v>30.12</v>
      </c>
      <c r="C85" s="64">
        <v>9.4700000000000006</v>
      </c>
      <c r="D85" s="64">
        <v>28.64</v>
      </c>
      <c r="E85" s="64">
        <v>5.61</v>
      </c>
      <c r="F85" s="64">
        <v>3.43</v>
      </c>
      <c r="G85" s="64">
        <v>68.709999999999994</v>
      </c>
      <c r="H85" s="64">
        <v>22.97</v>
      </c>
      <c r="I85" s="64">
        <v>3.41</v>
      </c>
      <c r="J85" s="64">
        <v>0.1</v>
      </c>
      <c r="K85" s="64">
        <v>0.94</v>
      </c>
      <c r="L85" s="64">
        <v>18.670000000000002</v>
      </c>
      <c r="M85" s="64">
        <v>60.84</v>
      </c>
      <c r="N85" s="64">
        <v>42</v>
      </c>
      <c r="O85" s="64">
        <v>0</v>
      </c>
      <c r="P85" s="64">
        <v>1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1" t="s">
        <v>1285</v>
      </c>
      <c r="B86" s="64">
        <v>33.65</v>
      </c>
      <c r="C86" s="64">
        <v>7.96</v>
      </c>
      <c r="D86" s="64">
        <v>30.69</v>
      </c>
      <c r="E86" s="64">
        <v>5.66</v>
      </c>
      <c r="F86" s="64">
        <v>3.26</v>
      </c>
      <c r="G86" s="64">
        <v>160.44</v>
      </c>
      <c r="H86" s="64">
        <v>35.6</v>
      </c>
      <c r="I86" s="64">
        <v>3.57</v>
      </c>
      <c r="J86" s="64">
        <v>0.05</v>
      </c>
      <c r="K86" s="64">
        <v>119</v>
      </c>
      <c r="L86" s="64">
        <v>18.489999999999998</v>
      </c>
      <c r="M86" s="64">
        <v>64.84</v>
      </c>
      <c r="N86" s="64">
        <v>41.8</v>
      </c>
      <c r="O86" s="64">
        <v>0</v>
      </c>
      <c r="P86" s="64">
        <v>1.08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1" t="s">
        <v>1286</v>
      </c>
      <c r="B87" s="64">
        <v>40.36</v>
      </c>
      <c r="C87" s="64">
        <v>5.58</v>
      </c>
      <c r="D87" s="64">
        <v>34.81</v>
      </c>
      <c r="E87" s="64">
        <v>5.47</v>
      </c>
      <c r="F87" s="64">
        <v>3.07</v>
      </c>
      <c r="G87" s="64">
        <v>166.99</v>
      </c>
      <c r="H87" s="64">
        <v>35.6</v>
      </c>
      <c r="I87" s="64">
        <v>3.73</v>
      </c>
      <c r="J87" s="64">
        <v>0.14000000000000001</v>
      </c>
      <c r="K87" s="64">
        <v>347.04</v>
      </c>
      <c r="L87" s="64">
        <v>18.38</v>
      </c>
      <c r="M87" s="64">
        <v>64.75</v>
      </c>
      <c r="N87" s="64">
        <v>41.9</v>
      </c>
      <c r="O87" s="64">
        <v>0</v>
      </c>
      <c r="P87" s="64">
        <v>1.1200000000000001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1" t="s">
        <v>1287</v>
      </c>
      <c r="B88" s="64">
        <v>44.57</v>
      </c>
      <c r="C88" s="64">
        <v>3.37</v>
      </c>
      <c r="D88" s="64">
        <v>37.04</v>
      </c>
      <c r="E88" s="64">
        <v>5.54</v>
      </c>
      <c r="F88" s="64">
        <v>3.24</v>
      </c>
      <c r="G88" s="64">
        <v>166.99</v>
      </c>
      <c r="H88" s="64">
        <v>35.6</v>
      </c>
      <c r="I88" s="64">
        <v>3.86</v>
      </c>
      <c r="J88" s="64">
        <v>7.0000000000000007E-2</v>
      </c>
      <c r="K88" s="64">
        <v>259.08999999999997</v>
      </c>
      <c r="L88" s="64">
        <v>18.03</v>
      </c>
      <c r="M88" s="64">
        <v>66.58</v>
      </c>
      <c r="N88" s="64">
        <v>42</v>
      </c>
      <c r="O88" s="64">
        <v>0</v>
      </c>
      <c r="P88" s="64">
        <v>1.2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1" t="s">
        <v>1288</v>
      </c>
      <c r="B89" s="64">
        <v>50.96</v>
      </c>
      <c r="C89" s="64">
        <v>0.74</v>
      </c>
      <c r="D89" s="64">
        <v>40.770000000000003</v>
      </c>
      <c r="E89" s="64">
        <v>5.75</v>
      </c>
      <c r="F89" s="64">
        <v>3.23</v>
      </c>
      <c r="G89" s="64">
        <v>166.99</v>
      </c>
      <c r="H89" s="64">
        <v>35.6</v>
      </c>
      <c r="I89" s="64">
        <v>4.07</v>
      </c>
      <c r="J89" s="64">
        <v>0.15</v>
      </c>
      <c r="K89" s="64">
        <v>323.63</v>
      </c>
      <c r="L89" s="64">
        <v>17.850000000000001</v>
      </c>
      <c r="M89" s="64">
        <v>72.63</v>
      </c>
      <c r="N89" s="64">
        <v>42</v>
      </c>
      <c r="O89" s="64">
        <v>0</v>
      </c>
      <c r="P89" s="64">
        <v>1.3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1" t="s">
        <v>1289</v>
      </c>
      <c r="B90" s="64">
        <v>55.96</v>
      </c>
      <c r="C90" s="6" t="s">
        <v>42</v>
      </c>
      <c r="D90" s="64">
        <v>43.67</v>
      </c>
      <c r="E90" s="64">
        <v>5.55</v>
      </c>
      <c r="F90" s="64">
        <v>3.4</v>
      </c>
      <c r="G90" s="64">
        <v>168.79</v>
      </c>
      <c r="H90" s="64">
        <v>46.14</v>
      </c>
      <c r="I90" s="64">
        <v>4.34</v>
      </c>
      <c r="J90" s="64">
        <v>0.15</v>
      </c>
      <c r="K90" s="64">
        <v>317.81</v>
      </c>
      <c r="L90" s="64">
        <v>17.57</v>
      </c>
      <c r="M90" s="64">
        <v>74.08</v>
      </c>
      <c r="N90" s="64">
        <v>42</v>
      </c>
      <c r="O90" s="64">
        <v>0</v>
      </c>
      <c r="P90" s="64">
        <v>1.41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1" t="s">
        <v>1290</v>
      </c>
      <c r="B91" s="64">
        <v>61.16</v>
      </c>
      <c r="C91" s="6" t="s">
        <v>42</v>
      </c>
      <c r="D91" s="64">
        <v>46.56</v>
      </c>
      <c r="E91" s="64">
        <v>5.6</v>
      </c>
      <c r="F91" s="64">
        <v>3.29</v>
      </c>
      <c r="G91" s="64">
        <v>168.92</v>
      </c>
      <c r="H91" s="64">
        <v>46.14</v>
      </c>
      <c r="I91" s="64">
        <v>4.5999999999999996</v>
      </c>
      <c r="J91" s="64">
        <v>0.09</v>
      </c>
      <c r="K91" s="64">
        <v>348.97</v>
      </c>
      <c r="L91" s="64">
        <v>17.28</v>
      </c>
      <c r="M91" s="64">
        <v>77.08</v>
      </c>
      <c r="N91" s="64">
        <v>42</v>
      </c>
      <c r="O91" s="64">
        <v>0</v>
      </c>
      <c r="P91" s="64">
        <v>1.49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11" t="s">
        <v>1291</v>
      </c>
      <c r="B92" s="64">
        <v>67.34</v>
      </c>
      <c r="C92" s="6" t="s">
        <v>42</v>
      </c>
      <c r="D92" s="64">
        <v>50.11</v>
      </c>
      <c r="E92" s="64">
        <v>5.57</v>
      </c>
      <c r="F92" s="64">
        <v>3.36</v>
      </c>
      <c r="G92" s="64">
        <v>168.92</v>
      </c>
      <c r="H92" s="64">
        <v>46.14</v>
      </c>
      <c r="I92" s="64">
        <v>4.8499999999999996</v>
      </c>
      <c r="J92" s="64">
        <v>7.0000000000000007E-2</v>
      </c>
      <c r="K92" s="64">
        <v>292.25</v>
      </c>
      <c r="L92" s="64">
        <v>17.100000000000001</v>
      </c>
      <c r="M92" s="64">
        <v>80.8</v>
      </c>
      <c r="N92" s="64">
        <v>42</v>
      </c>
      <c r="O92" s="64">
        <v>0</v>
      </c>
      <c r="P92" s="64">
        <v>1.62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1" t="s">
        <v>1292</v>
      </c>
      <c r="B93" s="64">
        <v>73.87</v>
      </c>
      <c r="C93" s="6" t="s">
        <v>42</v>
      </c>
      <c r="D93" s="64">
        <v>53.91</v>
      </c>
      <c r="E93" s="64">
        <v>5.94</v>
      </c>
      <c r="F93" s="64">
        <v>3.41</v>
      </c>
      <c r="G93" s="64">
        <v>168.92</v>
      </c>
      <c r="H93" s="64">
        <v>46.14</v>
      </c>
      <c r="I93" s="64">
        <v>5.12</v>
      </c>
      <c r="J93" s="64">
        <v>0.09</v>
      </c>
      <c r="K93" s="64">
        <v>296.95</v>
      </c>
      <c r="L93" s="64">
        <v>17.22</v>
      </c>
      <c r="M93" s="64">
        <v>77.930000000000007</v>
      </c>
      <c r="N93" s="64">
        <v>41.8</v>
      </c>
      <c r="O93" s="64">
        <v>0</v>
      </c>
      <c r="P93" s="64">
        <v>1.72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1" t="s">
        <v>1293</v>
      </c>
      <c r="B94" s="64">
        <v>83.58</v>
      </c>
      <c r="C94" s="6" t="s">
        <v>42</v>
      </c>
      <c r="D94" s="64">
        <v>59.67</v>
      </c>
      <c r="E94" s="64">
        <v>6.13</v>
      </c>
      <c r="F94" s="64">
        <v>3.42</v>
      </c>
      <c r="G94" s="64">
        <v>172.65</v>
      </c>
      <c r="H94" s="64">
        <v>55.03</v>
      </c>
      <c r="I94" s="64">
        <v>5.38</v>
      </c>
      <c r="J94" s="64">
        <v>0.1</v>
      </c>
      <c r="K94" s="64">
        <v>324.93</v>
      </c>
      <c r="L94" s="64">
        <v>16.95</v>
      </c>
      <c r="M94" s="64">
        <v>80.44</v>
      </c>
      <c r="N94" s="64">
        <v>42</v>
      </c>
      <c r="O94" s="64">
        <v>0</v>
      </c>
      <c r="P94" s="64">
        <v>1.83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1" t="s">
        <v>1294</v>
      </c>
      <c r="B95" s="64">
        <v>96.65</v>
      </c>
      <c r="C95" s="6" t="s">
        <v>42</v>
      </c>
      <c r="D95" s="64">
        <v>67.89</v>
      </c>
      <c r="E95" s="64">
        <v>5.83</v>
      </c>
      <c r="F95" s="64">
        <v>3.2</v>
      </c>
      <c r="G95" s="64">
        <v>172.92</v>
      </c>
      <c r="H95" s="64">
        <v>55.03</v>
      </c>
      <c r="I95" s="64">
        <v>5.62</v>
      </c>
      <c r="J95" s="64">
        <v>0.16</v>
      </c>
      <c r="K95" s="64">
        <v>331.05</v>
      </c>
      <c r="L95" s="64">
        <v>16.68</v>
      </c>
      <c r="M95" s="64">
        <v>82.34</v>
      </c>
      <c r="N95" s="64">
        <v>41.8</v>
      </c>
      <c r="O95" s="64">
        <v>0</v>
      </c>
      <c r="P95" s="64">
        <v>1.92</v>
      </c>
      <c r="Q95" s="64">
        <v>9.7799999999999994</v>
      </c>
      <c r="R95" s="198"/>
      <c r="S95" s="198"/>
      <c r="T95" s="198"/>
      <c r="U95" s="198"/>
    </row>
    <row r="96" spans="1:26" s="12" customFormat="1" x14ac:dyDescent="0.25">
      <c r="A96" s="211" t="s">
        <v>1295</v>
      </c>
      <c r="B96" s="64">
        <v>106.48</v>
      </c>
      <c r="C96" s="6" t="s">
        <v>42</v>
      </c>
      <c r="D96" s="64">
        <v>74.42</v>
      </c>
      <c r="E96" s="64">
        <v>6.22</v>
      </c>
      <c r="F96" s="64">
        <v>3.19</v>
      </c>
      <c r="G96" s="64">
        <v>172.92</v>
      </c>
      <c r="H96" s="64">
        <v>55.03</v>
      </c>
      <c r="I96" s="64">
        <v>5.82</v>
      </c>
      <c r="J96" s="64">
        <v>0.11</v>
      </c>
      <c r="K96" s="64">
        <v>306.68</v>
      </c>
      <c r="L96" s="64">
        <v>16.47</v>
      </c>
      <c r="M96" s="64">
        <v>82.62</v>
      </c>
      <c r="N96" s="64">
        <v>42</v>
      </c>
      <c r="O96" s="64">
        <v>0</v>
      </c>
      <c r="P96" s="64">
        <v>2.04</v>
      </c>
      <c r="Q96" s="64">
        <v>9.7899999999999991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1296</v>
      </c>
      <c r="B97" s="64">
        <v>111.38</v>
      </c>
      <c r="C97" s="6" t="s">
        <v>42</v>
      </c>
      <c r="D97" s="64">
        <v>76.680000000000007</v>
      </c>
      <c r="E97" s="64">
        <v>6.11</v>
      </c>
      <c r="F97" s="64">
        <v>3.18</v>
      </c>
      <c r="G97" s="64">
        <v>172.92</v>
      </c>
      <c r="H97" s="64">
        <v>55.03</v>
      </c>
      <c r="I97" s="64">
        <v>6.02</v>
      </c>
      <c r="J97" s="64">
        <v>0.17</v>
      </c>
      <c r="K97" s="64">
        <v>323.33</v>
      </c>
      <c r="L97" s="64">
        <v>16.28</v>
      </c>
      <c r="M97" s="64">
        <v>86.29</v>
      </c>
      <c r="N97" s="64">
        <v>42</v>
      </c>
      <c r="O97" s="64">
        <v>0</v>
      </c>
      <c r="P97" s="64">
        <v>2.12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11" t="s">
        <v>1297</v>
      </c>
      <c r="B98" s="64">
        <v>112.17</v>
      </c>
      <c r="C98" s="6" t="s">
        <v>42</v>
      </c>
      <c r="D98" s="64">
        <v>77.05</v>
      </c>
      <c r="E98" s="64">
        <v>6.01</v>
      </c>
      <c r="F98" s="64">
        <v>3.75</v>
      </c>
      <c r="G98" s="64">
        <v>177.09</v>
      </c>
      <c r="H98" s="64">
        <v>61.5</v>
      </c>
      <c r="I98" s="64">
        <v>6.19</v>
      </c>
      <c r="J98" s="64">
        <v>0.53</v>
      </c>
      <c r="K98" s="64">
        <v>325.2</v>
      </c>
      <c r="L98" s="64">
        <v>16.190000000000001</v>
      </c>
      <c r="M98" s="64">
        <v>84.33</v>
      </c>
      <c r="N98" s="64">
        <v>40.9</v>
      </c>
      <c r="O98" s="64">
        <v>0</v>
      </c>
      <c r="P98" s="64">
        <v>2.19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11" t="s">
        <v>1298</v>
      </c>
      <c r="B99" s="64">
        <v>110.72</v>
      </c>
      <c r="C99" s="6" t="s">
        <v>42</v>
      </c>
      <c r="D99" s="64">
        <v>76.209999999999994</v>
      </c>
      <c r="E99" s="64">
        <v>6.25</v>
      </c>
      <c r="F99" s="64">
        <v>3.58</v>
      </c>
      <c r="G99" s="64">
        <v>177.39</v>
      </c>
      <c r="H99" s="64">
        <v>61.5</v>
      </c>
      <c r="I99" s="64">
        <v>6.33</v>
      </c>
      <c r="J99" s="64">
        <v>0.16</v>
      </c>
      <c r="K99" s="64">
        <v>317.64</v>
      </c>
      <c r="L99" s="64">
        <v>16.41</v>
      </c>
      <c r="M99" s="64">
        <v>69.290000000000006</v>
      </c>
      <c r="N99" s="64">
        <v>41.7</v>
      </c>
      <c r="O99" s="64">
        <v>0</v>
      </c>
      <c r="P99" s="64">
        <v>2.19</v>
      </c>
      <c r="Q99" s="64">
        <v>9.83</v>
      </c>
      <c r="R99" s="198"/>
      <c r="S99" s="198"/>
      <c r="T99" s="198"/>
      <c r="U99" s="198"/>
    </row>
    <row r="100" spans="1:33" s="12" customFormat="1" x14ac:dyDescent="0.25">
      <c r="A100" s="211" t="s">
        <v>1299</v>
      </c>
      <c r="B100" s="64">
        <v>106.77</v>
      </c>
      <c r="C100" s="6" t="s">
        <v>42</v>
      </c>
      <c r="D100" s="64">
        <v>73.72</v>
      </c>
      <c r="E100" s="64">
        <v>6.32</v>
      </c>
      <c r="F100" s="64">
        <v>3.44</v>
      </c>
      <c r="G100" s="64">
        <v>177.39</v>
      </c>
      <c r="H100" s="64">
        <v>61.5</v>
      </c>
      <c r="I100" s="64">
        <v>6.4</v>
      </c>
      <c r="J100" s="64">
        <v>0.03</v>
      </c>
      <c r="K100" s="64">
        <v>66.38</v>
      </c>
      <c r="L100" s="64">
        <v>16.37</v>
      </c>
      <c r="M100" s="64">
        <v>67.58</v>
      </c>
      <c r="N100" s="64">
        <v>41.9</v>
      </c>
      <c r="O100" s="64">
        <v>0</v>
      </c>
      <c r="P100" s="64">
        <v>2.13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1300</v>
      </c>
      <c r="B101" s="64">
        <v>103.88</v>
      </c>
      <c r="C101" s="6" t="s">
        <v>42</v>
      </c>
      <c r="D101" s="64">
        <v>71.69</v>
      </c>
      <c r="E101" s="64">
        <v>6.5</v>
      </c>
      <c r="F101" s="64">
        <v>3.35</v>
      </c>
      <c r="G101" s="64">
        <v>177.39</v>
      </c>
      <c r="H101" s="64">
        <v>61.5</v>
      </c>
      <c r="I101" s="64">
        <v>6.37</v>
      </c>
      <c r="J101" s="64">
        <v>0.12</v>
      </c>
      <c r="K101" s="64">
        <v>128.58000000000001</v>
      </c>
      <c r="L101" s="64">
        <v>16.22</v>
      </c>
      <c r="M101" s="64">
        <v>68.78</v>
      </c>
      <c r="N101" s="64">
        <v>42.1</v>
      </c>
      <c r="O101" s="64">
        <v>0</v>
      </c>
      <c r="P101" s="64">
        <v>2.1</v>
      </c>
      <c r="Q101" s="64">
        <v>9.83</v>
      </c>
      <c r="R101" s="198"/>
      <c r="S101" s="198"/>
      <c r="T101" s="198"/>
      <c r="U101" s="198"/>
    </row>
    <row r="102" spans="1:33" s="12" customFormat="1" x14ac:dyDescent="0.25">
      <c r="A102" s="211" t="s">
        <v>1301</v>
      </c>
      <c r="B102" s="64">
        <v>101.46</v>
      </c>
      <c r="C102" s="6" t="s">
        <v>42</v>
      </c>
      <c r="D102" s="64">
        <v>70.349999999999994</v>
      </c>
      <c r="E102" s="64">
        <v>6.38</v>
      </c>
      <c r="F102" s="64">
        <v>3.53</v>
      </c>
      <c r="G102" s="64">
        <v>56.81</v>
      </c>
      <c r="H102" s="64">
        <v>32.049999999999997</v>
      </c>
      <c r="I102" s="64">
        <v>6.29</v>
      </c>
      <c r="J102" s="64">
        <v>0.05</v>
      </c>
      <c r="K102" s="64">
        <v>214.51</v>
      </c>
      <c r="L102" s="64">
        <v>15.86</v>
      </c>
      <c r="M102" s="64">
        <v>74.88</v>
      </c>
      <c r="N102" s="64">
        <v>42.1</v>
      </c>
      <c r="O102" s="64">
        <v>0</v>
      </c>
      <c r="P102" s="64">
        <v>2.06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1" t="s">
        <v>1302</v>
      </c>
      <c r="B103" s="64">
        <v>100.71</v>
      </c>
      <c r="C103" s="6" t="s">
        <v>42</v>
      </c>
      <c r="D103" s="64">
        <v>69.540000000000006</v>
      </c>
      <c r="E103" s="64">
        <v>6.29</v>
      </c>
      <c r="F103" s="64">
        <v>3.52</v>
      </c>
      <c r="G103" s="64">
        <v>48.19</v>
      </c>
      <c r="H103" s="64">
        <v>32.049999999999997</v>
      </c>
      <c r="I103" s="64">
        <v>6.22</v>
      </c>
      <c r="J103" s="64">
        <v>7.0000000000000007E-2</v>
      </c>
      <c r="K103" s="64">
        <v>151.19</v>
      </c>
      <c r="L103" s="64">
        <v>15.68</v>
      </c>
      <c r="M103" s="64">
        <v>77.819999999999993</v>
      </c>
      <c r="N103" s="64">
        <v>42.1</v>
      </c>
      <c r="O103" s="64">
        <v>0</v>
      </c>
      <c r="P103" s="64">
        <v>2.0099999999999998</v>
      </c>
      <c r="Q103" s="64">
        <v>9.81</v>
      </c>
      <c r="R103" s="198"/>
      <c r="S103" s="198"/>
      <c r="T103" s="198"/>
      <c r="U103" s="198"/>
    </row>
    <row r="104" spans="1:33" s="12" customFormat="1" x14ac:dyDescent="0.25">
      <c r="A104" s="211" t="s">
        <v>1303</v>
      </c>
      <c r="B104" s="64">
        <v>98.65</v>
      </c>
      <c r="C104" s="6" t="s">
        <v>42</v>
      </c>
      <c r="D104" s="64">
        <v>68.150000000000006</v>
      </c>
      <c r="E104" s="64">
        <v>5.49</v>
      </c>
      <c r="F104" s="64">
        <v>3.3</v>
      </c>
      <c r="G104" s="64">
        <v>48.19</v>
      </c>
      <c r="H104" s="64">
        <v>32.049999999999997</v>
      </c>
      <c r="I104" s="64">
        <v>6.15</v>
      </c>
      <c r="J104" s="64">
        <v>0.24</v>
      </c>
      <c r="K104" s="64">
        <v>339.11</v>
      </c>
      <c r="L104" s="64">
        <v>15.39</v>
      </c>
      <c r="M104" s="64">
        <v>82.57</v>
      </c>
      <c r="N104" s="64">
        <v>41.7</v>
      </c>
      <c r="O104" s="64">
        <v>0</v>
      </c>
      <c r="P104" s="64">
        <v>1.93</v>
      </c>
      <c r="Q104" s="64">
        <v>9.81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4.96</v>
      </c>
      <c r="C106" s="67">
        <f>MIN(C9:C104)</f>
        <v>0.01</v>
      </c>
      <c r="D106" s="67">
        <f t="shared" ref="D106:Q106" si="0">MIN(D9:D104)</f>
        <v>12.73</v>
      </c>
      <c r="E106" s="67">
        <f t="shared" si="0"/>
        <v>4.3099999999999996</v>
      </c>
      <c r="F106" s="67">
        <f t="shared" si="0"/>
        <v>3.02</v>
      </c>
      <c r="G106" s="67">
        <f t="shared" si="0"/>
        <v>36.18</v>
      </c>
      <c r="H106" s="67">
        <f t="shared" si="0"/>
        <v>19.54</v>
      </c>
      <c r="I106" s="67">
        <f t="shared" si="0"/>
        <v>3.24</v>
      </c>
      <c r="J106" s="67">
        <f t="shared" si="0"/>
        <v>0.01</v>
      </c>
      <c r="K106" s="67">
        <f t="shared" si="0"/>
        <v>0.94</v>
      </c>
      <c r="L106" s="67">
        <f t="shared" si="0"/>
        <v>14.3</v>
      </c>
      <c r="M106" s="67">
        <f t="shared" si="0"/>
        <v>19.350000000000001</v>
      </c>
      <c r="N106" s="67">
        <f t="shared" si="0"/>
        <v>39.700000000000003</v>
      </c>
      <c r="O106" s="67">
        <f t="shared" si="0"/>
        <v>0</v>
      </c>
      <c r="P106" s="67">
        <f t="shared" si="0"/>
        <v>0.74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112.17</v>
      </c>
      <c r="C107" s="66">
        <f t="shared" ref="C107:Q107" si="1">MAX(C9:C104)</f>
        <v>36.659999999999997</v>
      </c>
      <c r="D107" s="66">
        <f t="shared" si="1"/>
        <v>77.05</v>
      </c>
      <c r="E107" s="66">
        <f t="shared" si="1"/>
        <v>7.32</v>
      </c>
      <c r="F107" s="66">
        <f t="shared" si="1"/>
        <v>12.93</v>
      </c>
      <c r="G107" s="66">
        <f t="shared" si="1"/>
        <v>177.39</v>
      </c>
      <c r="H107" s="66">
        <f t="shared" si="1"/>
        <v>65.099999999999994</v>
      </c>
      <c r="I107" s="66">
        <f t="shared" si="1"/>
        <v>7.42</v>
      </c>
      <c r="J107" s="66">
        <f t="shared" si="1"/>
        <v>1.39</v>
      </c>
      <c r="K107" s="66">
        <f t="shared" si="1"/>
        <v>359.97</v>
      </c>
      <c r="L107" s="66">
        <f t="shared" si="1"/>
        <v>29.89</v>
      </c>
      <c r="M107" s="66">
        <f t="shared" si="1"/>
        <v>98.14</v>
      </c>
      <c r="N107" s="66">
        <f t="shared" si="1"/>
        <v>750.1</v>
      </c>
      <c r="O107" s="66">
        <f t="shared" si="1"/>
        <v>0</v>
      </c>
      <c r="P107" s="66">
        <f t="shared" si="1"/>
        <v>2.4700000000000002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46.865000000000002</v>
      </c>
      <c r="C108" s="67">
        <f t="shared" ref="C108:Q108" si="2">AVERAGE(C9:C104)</f>
        <v>15.07259259259259</v>
      </c>
      <c r="D108" s="67">
        <f t="shared" si="2"/>
        <v>38.641041666666666</v>
      </c>
      <c r="E108" s="67">
        <f t="shared" si="2"/>
        <v>5.6635416666666671</v>
      </c>
      <c r="F108" s="67">
        <f t="shared" si="2"/>
        <v>4.2610416666666673</v>
      </c>
      <c r="G108" s="67">
        <f t="shared" si="2"/>
        <v>111.98322916666667</v>
      </c>
      <c r="H108" s="67">
        <f t="shared" si="2"/>
        <v>44.549895833333331</v>
      </c>
      <c r="I108" s="67">
        <f t="shared" si="2"/>
        <v>5.3270833333333343</v>
      </c>
      <c r="J108" s="67">
        <f t="shared" si="2"/>
        <v>0.32810526315789473</v>
      </c>
      <c r="K108" s="67">
        <f t="shared" si="2"/>
        <v>253.88937500000011</v>
      </c>
      <c r="L108" s="67">
        <f t="shared" si="2"/>
        <v>20.408437500000005</v>
      </c>
      <c r="M108" s="67">
        <f t="shared" si="2"/>
        <v>57.66770833333333</v>
      </c>
      <c r="N108" s="67">
        <f t="shared" si="2"/>
        <v>193.72187499999995</v>
      </c>
      <c r="O108" s="67">
        <f t="shared" si="2"/>
        <v>0</v>
      </c>
      <c r="P108" s="67">
        <f t="shared" si="2"/>
        <v>1.4476041666666664</v>
      </c>
      <c r="Q108" s="67">
        <f t="shared" si="2"/>
        <v>9.5874999999999968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33.473316442865531</v>
      </c>
      <c r="C109" s="67">
        <f t="shared" ref="C109:Q109" si="3">STDEV(C9:C104)</f>
        <v>9.2545063342819542</v>
      </c>
      <c r="D109" s="67">
        <f t="shared" si="3"/>
        <v>18.958408631815004</v>
      </c>
      <c r="E109" s="67">
        <f t="shared" si="3"/>
        <v>0.51108342951990182</v>
      </c>
      <c r="F109" s="67">
        <f t="shared" si="3"/>
        <v>1.833723550975854</v>
      </c>
      <c r="G109" s="67">
        <f t="shared" si="3"/>
        <v>47.091152940357894</v>
      </c>
      <c r="H109" s="67">
        <f t="shared" si="3"/>
        <v>15.810680899801595</v>
      </c>
      <c r="I109" s="67">
        <f t="shared" si="3"/>
        <v>1.2529686152802053</v>
      </c>
      <c r="J109" s="67">
        <f t="shared" si="3"/>
        <v>0.31223727589986155</v>
      </c>
      <c r="K109" s="67">
        <f t="shared" si="3"/>
        <v>102.35986116907628</v>
      </c>
      <c r="L109" s="67">
        <f t="shared" si="3"/>
        <v>5.2404341580133798</v>
      </c>
      <c r="M109" s="67">
        <f t="shared" si="3"/>
        <v>27.756065225428618</v>
      </c>
      <c r="N109" s="67">
        <f t="shared" si="3"/>
        <v>242.0149465602334</v>
      </c>
      <c r="O109" s="67">
        <f t="shared" si="3"/>
        <v>0</v>
      </c>
      <c r="P109" s="67">
        <f t="shared" si="3"/>
        <v>0.41871167014940031</v>
      </c>
      <c r="Q109" s="67">
        <f t="shared" si="3"/>
        <v>0.21346761124964977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>COUNT(C9:C104)+42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1304</v>
      </c>
      <c r="B9" s="64">
        <v>95.46</v>
      </c>
      <c r="C9" s="6" t="s">
        <v>42</v>
      </c>
      <c r="D9" s="64">
        <v>66.12</v>
      </c>
      <c r="E9" s="64">
        <v>5.7</v>
      </c>
      <c r="F9" s="64">
        <v>3.2</v>
      </c>
      <c r="G9" s="64">
        <v>48.19</v>
      </c>
      <c r="H9" s="64">
        <v>32.049999999999997</v>
      </c>
      <c r="I9" s="64">
        <v>6.05</v>
      </c>
      <c r="J9" s="64">
        <v>0.64</v>
      </c>
      <c r="K9" s="64">
        <v>335.52</v>
      </c>
      <c r="L9" s="64">
        <v>15.59</v>
      </c>
      <c r="M9" s="64">
        <v>76.819999999999993</v>
      </c>
      <c r="N9" s="64">
        <v>40.1</v>
      </c>
      <c r="O9" s="64">
        <v>0</v>
      </c>
      <c r="P9" s="64">
        <v>1.86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1" t="s">
        <v>1305</v>
      </c>
      <c r="B10" s="64">
        <v>91.12</v>
      </c>
      <c r="C10" s="6" t="s">
        <v>42</v>
      </c>
      <c r="D10" s="64">
        <v>63.54</v>
      </c>
      <c r="E10" s="64">
        <v>5.63</v>
      </c>
      <c r="F10" s="64">
        <v>3.28</v>
      </c>
      <c r="G10" s="64">
        <v>63.72</v>
      </c>
      <c r="H10" s="64">
        <v>30.1</v>
      </c>
      <c r="I10" s="64">
        <v>6.01</v>
      </c>
      <c r="J10" s="64">
        <v>0.15</v>
      </c>
      <c r="K10" s="64">
        <v>25.66</v>
      </c>
      <c r="L10" s="64">
        <v>16.079999999999998</v>
      </c>
      <c r="M10" s="64">
        <v>69.010000000000005</v>
      </c>
      <c r="N10" s="64">
        <v>42</v>
      </c>
      <c r="O10" s="64">
        <v>0</v>
      </c>
      <c r="P10" s="64">
        <v>1.81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1" t="s">
        <v>1306</v>
      </c>
      <c r="B11" s="64">
        <v>87.44</v>
      </c>
      <c r="C11" s="6" t="s">
        <v>42</v>
      </c>
      <c r="D11" s="64">
        <v>61.29</v>
      </c>
      <c r="E11" s="64">
        <v>5.24</v>
      </c>
      <c r="F11" s="64">
        <v>3.37</v>
      </c>
      <c r="G11" s="64">
        <v>64.83</v>
      </c>
      <c r="H11" s="64">
        <v>30.1</v>
      </c>
      <c r="I11" s="64">
        <v>5.95</v>
      </c>
      <c r="J11" s="64">
        <v>0.08</v>
      </c>
      <c r="K11" s="64">
        <v>136.35</v>
      </c>
      <c r="L11" s="64">
        <v>15.93</v>
      </c>
      <c r="M11" s="64">
        <v>71.319999999999993</v>
      </c>
      <c r="N11" s="64">
        <v>42.2</v>
      </c>
      <c r="O11" s="64">
        <v>0</v>
      </c>
      <c r="P11" s="64">
        <v>1.78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1" t="s">
        <v>1307</v>
      </c>
      <c r="B12" s="64">
        <v>83.84</v>
      </c>
      <c r="C12" s="6" t="s">
        <v>42</v>
      </c>
      <c r="D12" s="64">
        <v>59.06</v>
      </c>
      <c r="E12" s="64">
        <v>5.39</v>
      </c>
      <c r="F12" s="64">
        <v>3.14</v>
      </c>
      <c r="G12" s="64">
        <v>64.83</v>
      </c>
      <c r="H12" s="64">
        <v>30.1</v>
      </c>
      <c r="I12" s="64">
        <v>5.89</v>
      </c>
      <c r="J12" s="64">
        <v>0.04</v>
      </c>
      <c r="K12" s="64">
        <v>104.92</v>
      </c>
      <c r="L12" s="64">
        <v>15.83</v>
      </c>
      <c r="M12" s="64">
        <v>72.03</v>
      </c>
      <c r="N12" s="64">
        <v>42.2</v>
      </c>
      <c r="O12" s="64">
        <v>0</v>
      </c>
      <c r="P12" s="64">
        <v>1.75</v>
      </c>
      <c r="Q12" s="64">
        <v>9.76</v>
      </c>
      <c r="R12" s="198"/>
      <c r="S12" s="198"/>
      <c r="T12" s="198"/>
      <c r="U12" s="198"/>
    </row>
    <row r="13" spans="1:21" s="12" customFormat="1" x14ac:dyDescent="0.25">
      <c r="A13" s="211" t="s">
        <v>1308</v>
      </c>
      <c r="B13" s="64">
        <v>80.38</v>
      </c>
      <c r="C13" s="6" t="s">
        <v>42</v>
      </c>
      <c r="D13" s="64">
        <v>56.93</v>
      </c>
      <c r="E13" s="64">
        <v>5.47</v>
      </c>
      <c r="F13" s="64">
        <v>3.16</v>
      </c>
      <c r="G13" s="64">
        <v>64.83</v>
      </c>
      <c r="H13" s="64">
        <v>30.1</v>
      </c>
      <c r="I13" s="64">
        <v>5.87</v>
      </c>
      <c r="J13" s="64">
        <v>7.0000000000000007E-2</v>
      </c>
      <c r="K13" s="64">
        <v>333.22</v>
      </c>
      <c r="L13" s="64">
        <v>15.54</v>
      </c>
      <c r="M13" s="64">
        <v>80.44</v>
      </c>
      <c r="N13" s="64">
        <v>42.2</v>
      </c>
      <c r="O13" s="64">
        <v>0</v>
      </c>
      <c r="P13" s="64">
        <v>1.56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1" t="s">
        <v>1309</v>
      </c>
      <c r="B14" s="64">
        <v>77.209999999999994</v>
      </c>
      <c r="C14" s="6" t="s">
        <v>42</v>
      </c>
      <c r="D14" s="64">
        <v>54.96</v>
      </c>
      <c r="E14" s="64">
        <v>5.47</v>
      </c>
      <c r="F14" s="64">
        <v>3.2</v>
      </c>
      <c r="G14" s="64">
        <v>114.02</v>
      </c>
      <c r="H14" s="64">
        <v>37.99</v>
      </c>
      <c r="I14" s="64">
        <v>5.88</v>
      </c>
      <c r="J14" s="64">
        <v>0.04</v>
      </c>
      <c r="K14" s="64">
        <v>340.75</v>
      </c>
      <c r="L14" s="64">
        <v>15.17</v>
      </c>
      <c r="M14" s="64">
        <v>82.81</v>
      </c>
      <c r="N14" s="64">
        <v>42.2</v>
      </c>
      <c r="O14" s="64">
        <v>0</v>
      </c>
      <c r="P14" s="64">
        <v>1.64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11" t="s">
        <v>1310</v>
      </c>
      <c r="B15" s="64">
        <v>74.540000000000006</v>
      </c>
      <c r="C15" s="6" t="s">
        <v>42</v>
      </c>
      <c r="D15" s="64">
        <v>53.22</v>
      </c>
      <c r="E15" s="64">
        <v>5.6</v>
      </c>
      <c r="F15" s="64">
        <v>3.42</v>
      </c>
      <c r="G15" s="64">
        <v>117.53</v>
      </c>
      <c r="H15" s="64">
        <v>37.99</v>
      </c>
      <c r="I15" s="64">
        <v>5.9</v>
      </c>
      <c r="J15" s="64">
        <v>0.05</v>
      </c>
      <c r="K15" s="64">
        <v>157.56</v>
      </c>
      <c r="L15" s="64">
        <v>14.8</v>
      </c>
      <c r="M15" s="64">
        <v>87.37</v>
      </c>
      <c r="N15" s="64">
        <v>42.1</v>
      </c>
      <c r="O15" s="64">
        <v>0</v>
      </c>
      <c r="P15" s="64">
        <v>1.63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1" t="s">
        <v>1311</v>
      </c>
      <c r="B16" s="64">
        <v>71.989999999999995</v>
      </c>
      <c r="C16" s="6" t="s">
        <v>42</v>
      </c>
      <c r="D16" s="64">
        <v>51.58</v>
      </c>
      <c r="E16" s="64">
        <v>5.34</v>
      </c>
      <c r="F16" s="64">
        <v>3.43</v>
      </c>
      <c r="G16" s="64">
        <v>117.53</v>
      </c>
      <c r="H16" s="64">
        <v>37.99</v>
      </c>
      <c r="I16" s="64">
        <v>5.92</v>
      </c>
      <c r="J16" s="64">
        <v>0.15</v>
      </c>
      <c r="K16" s="64">
        <v>331.67</v>
      </c>
      <c r="L16" s="64">
        <v>14.59</v>
      </c>
      <c r="M16" s="64">
        <v>92.45</v>
      </c>
      <c r="N16" s="64">
        <v>42.1</v>
      </c>
      <c r="O16" s="64">
        <v>0</v>
      </c>
      <c r="P16" s="64">
        <v>1.63</v>
      </c>
      <c r="Q16" s="64">
        <v>9.75</v>
      </c>
      <c r="R16" s="198"/>
      <c r="S16" s="198"/>
      <c r="T16" s="198"/>
      <c r="U16" s="198"/>
    </row>
    <row r="17" spans="1:21" s="12" customFormat="1" x14ac:dyDescent="0.25">
      <c r="A17" s="211" t="s">
        <v>1312</v>
      </c>
      <c r="B17" s="64">
        <v>69.02</v>
      </c>
      <c r="C17" s="6" t="s">
        <v>42</v>
      </c>
      <c r="D17" s="64">
        <v>49.65</v>
      </c>
      <c r="E17" s="64">
        <v>5.39</v>
      </c>
      <c r="F17" s="64">
        <v>3.97</v>
      </c>
      <c r="G17" s="64">
        <v>117.53</v>
      </c>
      <c r="H17" s="64">
        <v>37.99</v>
      </c>
      <c r="I17" s="64">
        <v>5.94</v>
      </c>
      <c r="J17" s="64">
        <v>0.1</v>
      </c>
      <c r="K17" s="64">
        <v>8.56</v>
      </c>
      <c r="L17" s="64">
        <v>14.37</v>
      </c>
      <c r="M17" s="64">
        <v>96.51</v>
      </c>
      <c r="N17" s="64">
        <v>42.1</v>
      </c>
      <c r="O17" s="64">
        <v>0</v>
      </c>
      <c r="P17" s="64">
        <v>1.62</v>
      </c>
      <c r="Q17" s="64">
        <v>9.75</v>
      </c>
      <c r="R17" s="198"/>
      <c r="S17" s="198"/>
      <c r="T17" s="198"/>
      <c r="U17" s="198"/>
    </row>
    <row r="18" spans="1:21" s="12" customFormat="1" x14ac:dyDescent="0.25">
      <c r="A18" s="211" t="s">
        <v>1313</v>
      </c>
      <c r="B18" s="64">
        <v>67.099999999999994</v>
      </c>
      <c r="C18" s="6" t="s">
        <v>42</v>
      </c>
      <c r="D18" s="64">
        <v>48.51</v>
      </c>
      <c r="E18" s="64">
        <v>5.37</v>
      </c>
      <c r="F18" s="64">
        <v>3.8</v>
      </c>
      <c r="G18" s="64">
        <v>118.42</v>
      </c>
      <c r="H18" s="64">
        <v>38.72</v>
      </c>
      <c r="I18" s="64">
        <v>5.97</v>
      </c>
      <c r="J18" s="64">
        <v>7.0000000000000007E-2</v>
      </c>
      <c r="K18" s="64">
        <v>196.19</v>
      </c>
      <c r="L18" s="64">
        <v>14.29</v>
      </c>
      <c r="M18" s="64">
        <v>97.82</v>
      </c>
      <c r="N18" s="64">
        <v>41.8</v>
      </c>
      <c r="O18" s="64">
        <v>0</v>
      </c>
      <c r="P18" s="64">
        <v>1.68</v>
      </c>
      <c r="Q18" s="64">
        <v>9.73</v>
      </c>
      <c r="R18" s="198"/>
      <c r="S18" s="198"/>
      <c r="T18" s="198"/>
      <c r="U18" s="198"/>
    </row>
    <row r="19" spans="1:21" s="12" customFormat="1" x14ac:dyDescent="0.25">
      <c r="A19" s="211" t="s">
        <v>1314</v>
      </c>
      <c r="B19" s="64">
        <v>64.959999999999994</v>
      </c>
      <c r="C19" s="6" t="s">
        <v>42</v>
      </c>
      <c r="D19" s="64">
        <v>47.26</v>
      </c>
      <c r="E19" s="64">
        <v>5.32</v>
      </c>
      <c r="F19" s="64">
        <v>3.56</v>
      </c>
      <c r="G19" s="64">
        <v>118.48</v>
      </c>
      <c r="H19" s="64">
        <v>38.72</v>
      </c>
      <c r="I19" s="64">
        <v>6.02</v>
      </c>
      <c r="J19" s="64">
        <v>0.11</v>
      </c>
      <c r="K19" s="64">
        <v>318.49</v>
      </c>
      <c r="L19" s="64">
        <v>14.27</v>
      </c>
      <c r="M19" s="64">
        <v>96.6</v>
      </c>
      <c r="N19" s="64">
        <v>42</v>
      </c>
      <c r="O19" s="64">
        <v>0</v>
      </c>
      <c r="P19" s="64">
        <v>1.69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11" t="s">
        <v>1315</v>
      </c>
      <c r="B20" s="64">
        <v>62.87</v>
      </c>
      <c r="C20" s="6" t="s">
        <v>42</v>
      </c>
      <c r="D20" s="64">
        <v>46.05</v>
      </c>
      <c r="E20" s="64">
        <v>5.24</v>
      </c>
      <c r="F20" s="64">
        <v>3.11</v>
      </c>
      <c r="G20" s="64">
        <v>118.48</v>
      </c>
      <c r="H20" s="64">
        <v>38.72</v>
      </c>
      <c r="I20" s="64">
        <v>6.44</v>
      </c>
      <c r="J20" s="64">
        <v>0.1</v>
      </c>
      <c r="K20" s="64">
        <v>325.69</v>
      </c>
      <c r="L20" s="64">
        <v>14.04</v>
      </c>
      <c r="M20" s="64">
        <v>97.63</v>
      </c>
      <c r="N20" s="64">
        <v>42</v>
      </c>
      <c r="O20" s="64">
        <v>0</v>
      </c>
      <c r="P20" s="64">
        <v>1.68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1" t="s">
        <v>1316</v>
      </c>
      <c r="B21" s="64">
        <v>60.71</v>
      </c>
      <c r="C21" s="6" t="s">
        <v>42</v>
      </c>
      <c r="D21" s="64">
        <v>44.71</v>
      </c>
      <c r="E21" s="64">
        <v>5.4</v>
      </c>
      <c r="F21" s="64">
        <v>3</v>
      </c>
      <c r="G21" s="64">
        <v>118.48</v>
      </c>
      <c r="H21" s="64">
        <v>38.72</v>
      </c>
      <c r="I21" s="64">
        <v>6.31</v>
      </c>
      <c r="J21" s="64">
        <v>7.0000000000000007E-2</v>
      </c>
      <c r="K21" s="64">
        <v>247.27</v>
      </c>
      <c r="L21" s="64">
        <v>13.88</v>
      </c>
      <c r="M21" s="64">
        <v>97.68</v>
      </c>
      <c r="N21" s="64">
        <v>41.9</v>
      </c>
      <c r="O21" s="64">
        <v>0</v>
      </c>
      <c r="P21" s="64">
        <v>1.67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1" t="s">
        <v>1317</v>
      </c>
      <c r="B22" s="64">
        <v>58.6</v>
      </c>
      <c r="C22" s="6" t="s">
        <v>42</v>
      </c>
      <c r="D22" s="64">
        <v>43.41</v>
      </c>
      <c r="E22" s="64">
        <v>5.2</v>
      </c>
      <c r="F22" s="64">
        <v>3.29</v>
      </c>
      <c r="G22" s="64">
        <v>99.4</v>
      </c>
      <c r="H22" s="64">
        <v>41.35</v>
      </c>
      <c r="I22" s="64">
        <v>5.98</v>
      </c>
      <c r="J22" s="64">
        <v>0.02</v>
      </c>
      <c r="K22" s="64">
        <v>314.89</v>
      </c>
      <c r="L22" s="64">
        <v>13.75</v>
      </c>
      <c r="M22" s="64">
        <v>97.87</v>
      </c>
      <c r="N22" s="64">
        <v>41.9</v>
      </c>
      <c r="O22" s="64">
        <v>0</v>
      </c>
      <c r="P22" s="64">
        <v>1.67</v>
      </c>
      <c r="Q22" s="64">
        <v>9.7200000000000006</v>
      </c>
      <c r="R22" s="198"/>
      <c r="S22" s="198"/>
      <c r="T22" s="198"/>
      <c r="U22" s="198"/>
    </row>
    <row r="23" spans="1:21" s="12" customFormat="1" x14ac:dyDescent="0.25">
      <c r="A23" s="211" t="s">
        <v>1318</v>
      </c>
      <c r="B23" s="64">
        <v>56.43</v>
      </c>
      <c r="C23" s="6" t="s">
        <v>42</v>
      </c>
      <c r="D23" s="64">
        <v>42.1</v>
      </c>
      <c r="E23" s="64">
        <v>5.44</v>
      </c>
      <c r="F23" s="64">
        <v>3.35</v>
      </c>
      <c r="G23" s="64">
        <v>98.03</v>
      </c>
      <c r="H23" s="64">
        <v>41.35</v>
      </c>
      <c r="I23" s="64">
        <v>5.93</v>
      </c>
      <c r="J23" s="64">
        <v>0.08</v>
      </c>
      <c r="K23" s="64">
        <v>242.82</v>
      </c>
      <c r="L23" s="64">
        <v>13.74</v>
      </c>
      <c r="M23" s="64">
        <v>97.01</v>
      </c>
      <c r="N23" s="64">
        <v>41.8</v>
      </c>
      <c r="O23" s="64">
        <v>0</v>
      </c>
      <c r="P23" s="64">
        <v>1.65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1" t="s">
        <v>1319</v>
      </c>
      <c r="B24" s="64">
        <v>54.08</v>
      </c>
      <c r="C24" s="6" t="s">
        <v>42</v>
      </c>
      <c r="D24" s="64">
        <v>40.630000000000003</v>
      </c>
      <c r="E24" s="64">
        <v>5.34</v>
      </c>
      <c r="F24" s="64">
        <v>3.7</v>
      </c>
      <c r="G24" s="64">
        <v>98.03</v>
      </c>
      <c r="H24" s="64">
        <v>41.35</v>
      </c>
      <c r="I24" s="64">
        <v>5.89</v>
      </c>
      <c r="J24" s="64">
        <v>0.03</v>
      </c>
      <c r="K24" s="64">
        <v>302.36</v>
      </c>
      <c r="L24" s="64">
        <v>13.72</v>
      </c>
      <c r="M24" s="64">
        <v>92.55</v>
      </c>
      <c r="N24" s="64">
        <v>42</v>
      </c>
      <c r="O24" s="64">
        <v>0</v>
      </c>
      <c r="P24" s="64">
        <v>1.63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1" t="s">
        <v>1320</v>
      </c>
      <c r="B25" s="64">
        <v>52.02</v>
      </c>
      <c r="C25" s="6" t="s">
        <v>42</v>
      </c>
      <c r="D25" s="64">
        <v>39.299999999999997</v>
      </c>
      <c r="E25" s="64">
        <v>5.24</v>
      </c>
      <c r="F25" s="64">
        <v>3.56</v>
      </c>
      <c r="G25" s="64">
        <v>98.03</v>
      </c>
      <c r="H25" s="64">
        <v>41.35</v>
      </c>
      <c r="I25" s="64">
        <v>5.87</v>
      </c>
      <c r="J25" s="64">
        <v>0.06</v>
      </c>
      <c r="K25" s="64">
        <v>19.190000000000001</v>
      </c>
      <c r="L25" s="64">
        <v>13.61</v>
      </c>
      <c r="M25" s="64">
        <v>89.21</v>
      </c>
      <c r="N25" s="64">
        <v>42</v>
      </c>
      <c r="O25" s="64">
        <v>0</v>
      </c>
      <c r="P25" s="64">
        <v>1.56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1" t="s">
        <v>1321</v>
      </c>
      <c r="B26" s="64">
        <v>50.19</v>
      </c>
      <c r="C26" s="6" t="s">
        <v>42</v>
      </c>
      <c r="D26" s="64">
        <v>38.18</v>
      </c>
      <c r="E26" s="64">
        <v>5.39</v>
      </c>
      <c r="F26" s="64">
        <v>3.4</v>
      </c>
      <c r="G26" s="64">
        <v>75.45</v>
      </c>
      <c r="H26" s="64">
        <v>37.49</v>
      </c>
      <c r="I26" s="64">
        <v>5.8</v>
      </c>
      <c r="J26" s="64">
        <v>0.08</v>
      </c>
      <c r="K26" s="64">
        <v>279.02</v>
      </c>
      <c r="L26" s="64">
        <v>13.61</v>
      </c>
      <c r="M26" s="64">
        <v>88.75</v>
      </c>
      <c r="N26" s="64">
        <v>41.8</v>
      </c>
      <c r="O26" s="64">
        <v>0</v>
      </c>
      <c r="P26" s="64">
        <v>1.5</v>
      </c>
      <c r="Q26" s="64">
        <v>9.6999999999999993</v>
      </c>
      <c r="R26" s="198"/>
      <c r="S26" s="198"/>
      <c r="T26" s="198"/>
      <c r="U26" s="198"/>
    </row>
    <row r="27" spans="1:21" s="12" customFormat="1" x14ac:dyDescent="0.25">
      <c r="A27" s="211" t="s">
        <v>1322</v>
      </c>
      <c r="B27" s="64">
        <v>48.27</v>
      </c>
      <c r="C27" s="6" t="s">
        <v>42</v>
      </c>
      <c r="D27" s="64">
        <v>36.979999999999997</v>
      </c>
      <c r="E27" s="64">
        <v>5.05</v>
      </c>
      <c r="F27" s="64">
        <v>3.1</v>
      </c>
      <c r="G27" s="64">
        <v>73.84</v>
      </c>
      <c r="H27" s="64">
        <v>37.49</v>
      </c>
      <c r="I27" s="64">
        <v>5.71</v>
      </c>
      <c r="J27" s="64">
        <v>0.11</v>
      </c>
      <c r="K27" s="64">
        <v>260.05</v>
      </c>
      <c r="L27" s="64">
        <v>13.67</v>
      </c>
      <c r="M27" s="64">
        <v>85.09</v>
      </c>
      <c r="N27" s="64">
        <v>41.9</v>
      </c>
      <c r="O27" s="64">
        <v>0</v>
      </c>
      <c r="P27" s="64">
        <v>1.43</v>
      </c>
      <c r="Q27" s="64">
        <v>9.6999999999999993</v>
      </c>
      <c r="R27" s="198"/>
      <c r="S27" s="198"/>
      <c r="T27" s="198"/>
      <c r="U27" s="198"/>
    </row>
    <row r="28" spans="1:21" s="12" customFormat="1" x14ac:dyDescent="0.25">
      <c r="A28" s="211" t="s">
        <v>1323</v>
      </c>
      <c r="B28" s="64">
        <v>46.44</v>
      </c>
      <c r="C28" s="6" t="s">
        <v>42</v>
      </c>
      <c r="D28" s="64">
        <v>35.86</v>
      </c>
      <c r="E28" s="64">
        <v>5.03</v>
      </c>
      <c r="F28" s="64">
        <v>3.05</v>
      </c>
      <c r="G28" s="64">
        <v>73.84</v>
      </c>
      <c r="H28" s="64">
        <v>37.49</v>
      </c>
      <c r="I28" s="64">
        <v>5.61</v>
      </c>
      <c r="J28" s="64">
        <v>0.1</v>
      </c>
      <c r="K28" s="64">
        <v>288.18</v>
      </c>
      <c r="L28" s="64">
        <v>13.75</v>
      </c>
      <c r="M28" s="64">
        <v>83.14</v>
      </c>
      <c r="N28" s="64">
        <v>41.7</v>
      </c>
      <c r="O28" s="64">
        <v>0</v>
      </c>
      <c r="P28" s="64">
        <v>1.37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1" t="s">
        <v>1324</v>
      </c>
      <c r="B29" s="64">
        <v>45.41</v>
      </c>
      <c r="C29" s="6" t="s">
        <v>42</v>
      </c>
      <c r="D29" s="64">
        <v>35.24</v>
      </c>
      <c r="E29" s="64">
        <v>4.87</v>
      </c>
      <c r="F29" s="64">
        <v>3.16</v>
      </c>
      <c r="G29" s="64">
        <v>73.84</v>
      </c>
      <c r="H29" s="64">
        <v>37.49</v>
      </c>
      <c r="I29" s="64">
        <v>5.53</v>
      </c>
      <c r="J29" s="64">
        <v>7.0000000000000007E-2</v>
      </c>
      <c r="K29" s="64">
        <v>321.74</v>
      </c>
      <c r="L29" s="64">
        <v>13.45</v>
      </c>
      <c r="M29" s="64">
        <v>86.42</v>
      </c>
      <c r="N29" s="64">
        <v>42.2</v>
      </c>
      <c r="O29" s="64">
        <v>0</v>
      </c>
      <c r="P29" s="64">
        <v>1.34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11" t="s">
        <v>1325</v>
      </c>
      <c r="B30" s="64">
        <v>45.22</v>
      </c>
      <c r="C30" s="6" t="s">
        <v>42</v>
      </c>
      <c r="D30" s="64">
        <v>35.21</v>
      </c>
      <c r="E30" s="64">
        <v>4.7</v>
      </c>
      <c r="F30" s="64">
        <v>3.16</v>
      </c>
      <c r="G30" s="64">
        <v>59.08</v>
      </c>
      <c r="H30" s="64">
        <v>33.76</v>
      </c>
      <c r="I30" s="64">
        <v>5.47</v>
      </c>
      <c r="J30" s="64">
        <v>7.0000000000000007E-2</v>
      </c>
      <c r="K30" s="64">
        <v>312.86</v>
      </c>
      <c r="L30" s="64">
        <v>13.14</v>
      </c>
      <c r="M30" s="64">
        <v>89.97</v>
      </c>
      <c r="N30" s="64">
        <v>42</v>
      </c>
      <c r="O30" s="64">
        <v>0</v>
      </c>
      <c r="P30" s="64">
        <v>1.31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1" t="s">
        <v>1326</v>
      </c>
      <c r="B31" s="64">
        <v>45.13</v>
      </c>
      <c r="C31" s="6" t="s">
        <v>42</v>
      </c>
      <c r="D31" s="64">
        <v>35.200000000000003</v>
      </c>
      <c r="E31" s="64">
        <v>4.8600000000000003</v>
      </c>
      <c r="F31" s="64">
        <v>3.3</v>
      </c>
      <c r="G31" s="64">
        <v>58.02</v>
      </c>
      <c r="H31" s="64">
        <v>33.76</v>
      </c>
      <c r="I31" s="64">
        <v>5.4</v>
      </c>
      <c r="J31" s="64">
        <v>0.13</v>
      </c>
      <c r="K31" s="64">
        <v>215.76</v>
      </c>
      <c r="L31" s="64">
        <v>13.29</v>
      </c>
      <c r="M31" s="64">
        <v>96.07</v>
      </c>
      <c r="N31" s="64">
        <v>41.6</v>
      </c>
      <c r="O31" s="64">
        <v>0</v>
      </c>
      <c r="P31" s="64">
        <v>1.27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1" t="s">
        <v>1327</v>
      </c>
      <c r="B32" s="64">
        <v>45.33</v>
      </c>
      <c r="C32" s="6" t="s">
        <v>42</v>
      </c>
      <c r="D32" s="64">
        <v>35.28</v>
      </c>
      <c r="E32" s="64">
        <v>5.0599999999999996</v>
      </c>
      <c r="F32" s="64">
        <v>3.25</v>
      </c>
      <c r="G32" s="64">
        <v>58.02</v>
      </c>
      <c r="H32" s="64">
        <v>33.76</v>
      </c>
      <c r="I32" s="64">
        <v>5.33</v>
      </c>
      <c r="J32" s="64">
        <v>0.09</v>
      </c>
      <c r="K32" s="64">
        <v>225.06</v>
      </c>
      <c r="L32" s="64">
        <v>13.11</v>
      </c>
      <c r="M32" s="64">
        <v>98.02</v>
      </c>
      <c r="N32" s="64">
        <v>42.8</v>
      </c>
      <c r="O32" s="64">
        <v>0</v>
      </c>
      <c r="P32" s="64">
        <v>1.23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1" t="s">
        <v>1328</v>
      </c>
      <c r="B33" s="64">
        <v>44.92</v>
      </c>
      <c r="C33" s="6" t="s">
        <v>42</v>
      </c>
      <c r="D33" s="64">
        <v>34.869999999999997</v>
      </c>
      <c r="E33" s="64">
        <v>5.16</v>
      </c>
      <c r="F33" s="64">
        <v>2.95</v>
      </c>
      <c r="G33" s="64">
        <v>58.02</v>
      </c>
      <c r="H33" s="64">
        <v>33.76</v>
      </c>
      <c r="I33" s="64">
        <v>5.26</v>
      </c>
      <c r="J33" s="64">
        <v>0.12</v>
      </c>
      <c r="K33" s="64">
        <v>334.11</v>
      </c>
      <c r="L33" s="64">
        <v>12.8</v>
      </c>
      <c r="M33" s="64">
        <v>98.02</v>
      </c>
      <c r="N33" s="64">
        <v>46.6</v>
      </c>
      <c r="O33" s="64">
        <v>0</v>
      </c>
      <c r="P33" s="64">
        <v>1.19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1" t="s">
        <v>1329</v>
      </c>
      <c r="B34" s="64">
        <v>44.37</v>
      </c>
      <c r="C34" s="6" t="s">
        <v>42</v>
      </c>
      <c r="D34" s="64">
        <v>34.4</v>
      </c>
      <c r="E34" s="64">
        <v>5.07</v>
      </c>
      <c r="F34" s="64">
        <v>2.88</v>
      </c>
      <c r="G34" s="64">
        <v>75.260000000000005</v>
      </c>
      <c r="H34" s="64">
        <v>32.08</v>
      </c>
      <c r="I34" s="64">
        <v>5.18</v>
      </c>
      <c r="J34" s="64">
        <v>0.11</v>
      </c>
      <c r="K34" s="64">
        <v>295.5</v>
      </c>
      <c r="L34" s="64">
        <v>12.61</v>
      </c>
      <c r="M34" s="64">
        <v>98.03</v>
      </c>
      <c r="N34" s="64">
        <v>57.7</v>
      </c>
      <c r="O34" s="64">
        <v>0</v>
      </c>
      <c r="P34" s="64">
        <v>1.1599999999999999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1" t="s">
        <v>1330</v>
      </c>
      <c r="B35" s="64">
        <v>44.44</v>
      </c>
      <c r="C35" s="6" t="s">
        <v>42</v>
      </c>
      <c r="D35" s="64">
        <v>34.200000000000003</v>
      </c>
      <c r="E35" s="64">
        <v>4.79</v>
      </c>
      <c r="F35" s="64">
        <v>2.99</v>
      </c>
      <c r="G35" s="64">
        <v>76.489999999999995</v>
      </c>
      <c r="H35" s="64">
        <v>32.08</v>
      </c>
      <c r="I35" s="64">
        <v>5.0999999999999996</v>
      </c>
      <c r="J35" s="64">
        <v>0.09</v>
      </c>
      <c r="K35" s="64">
        <v>206.23</v>
      </c>
      <c r="L35" s="64">
        <v>12.89</v>
      </c>
      <c r="M35" s="64">
        <v>97.88</v>
      </c>
      <c r="N35" s="64">
        <v>72.5</v>
      </c>
      <c r="O35" s="64">
        <v>0</v>
      </c>
      <c r="P35" s="64">
        <v>1.1399999999999999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1" t="s">
        <v>1331</v>
      </c>
      <c r="B36" s="64">
        <v>45.06</v>
      </c>
      <c r="C36" s="6" t="s">
        <v>42</v>
      </c>
      <c r="D36" s="64">
        <v>34.68</v>
      </c>
      <c r="E36" s="64">
        <v>4.9800000000000004</v>
      </c>
      <c r="F36" s="64">
        <v>3.04</v>
      </c>
      <c r="G36" s="64">
        <v>76.489999999999995</v>
      </c>
      <c r="H36" s="64">
        <v>32.08</v>
      </c>
      <c r="I36" s="64">
        <v>5.05</v>
      </c>
      <c r="J36" s="64">
        <v>0.14000000000000001</v>
      </c>
      <c r="K36" s="64">
        <v>194.42</v>
      </c>
      <c r="L36" s="64">
        <v>13.68</v>
      </c>
      <c r="M36" s="64">
        <v>97.57</v>
      </c>
      <c r="N36" s="64">
        <v>90.7</v>
      </c>
      <c r="O36" s="64">
        <v>0</v>
      </c>
      <c r="P36" s="64">
        <v>1.1499999999999999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1" t="s">
        <v>1332</v>
      </c>
      <c r="B37" s="64">
        <v>45.56</v>
      </c>
      <c r="C37" s="6" t="s">
        <v>42</v>
      </c>
      <c r="D37" s="64">
        <v>35.06</v>
      </c>
      <c r="E37" s="64">
        <v>4.9000000000000004</v>
      </c>
      <c r="F37" s="64">
        <v>3.02</v>
      </c>
      <c r="G37" s="64">
        <v>76.489999999999995</v>
      </c>
      <c r="H37" s="64">
        <v>32.08</v>
      </c>
      <c r="I37" s="64">
        <v>5.01</v>
      </c>
      <c r="J37" s="64">
        <v>0.06</v>
      </c>
      <c r="K37" s="64">
        <v>136.15</v>
      </c>
      <c r="L37" s="64">
        <v>14.5</v>
      </c>
      <c r="M37" s="64">
        <v>96.85</v>
      </c>
      <c r="N37" s="64">
        <v>144.1</v>
      </c>
      <c r="O37" s="64">
        <v>0</v>
      </c>
      <c r="P37" s="64">
        <v>1.1399999999999999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1" t="s">
        <v>1333</v>
      </c>
      <c r="B38" s="64">
        <v>46.2</v>
      </c>
      <c r="C38" s="6" t="s">
        <v>42</v>
      </c>
      <c r="D38" s="64">
        <v>35.51</v>
      </c>
      <c r="E38" s="64">
        <v>4.97</v>
      </c>
      <c r="F38" s="64">
        <v>3.1</v>
      </c>
      <c r="G38" s="64">
        <v>75.989999999999995</v>
      </c>
      <c r="H38" s="64">
        <v>29.49</v>
      </c>
      <c r="I38" s="64">
        <v>5.01</v>
      </c>
      <c r="J38" s="64">
        <v>0.22</v>
      </c>
      <c r="K38" s="64">
        <v>129.62</v>
      </c>
      <c r="L38" s="64">
        <v>16.53</v>
      </c>
      <c r="M38" s="64">
        <v>75.63</v>
      </c>
      <c r="N38" s="64">
        <v>218.8</v>
      </c>
      <c r="O38" s="64">
        <v>0</v>
      </c>
      <c r="P38" s="64">
        <v>1.22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1" t="s">
        <v>1334</v>
      </c>
      <c r="B39" s="64">
        <v>46.6</v>
      </c>
      <c r="C39" s="6" t="s">
        <v>42</v>
      </c>
      <c r="D39" s="64">
        <v>35.81</v>
      </c>
      <c r="E39" s="64">
        <v>5.1100000000000003</v>
      </c>
      <c r="F39" s="64">
        <v>3.24</v>
      </c>
      <c r="G39" s="64">
        <v>75.959999999999994</v>
      </c>
      <c r="H39" s="64">
        <v>29.49</v>
      </c>
      <c r="I39" s="64">
        <v>5.0599999999999996</v>
      </c>
      <c r="J39" s="64">
        <v>0.54</v>
      </c>
      <c r="K39" s="64">
        <v>127.13</v>
      </c>
      <c r="L39" s="64">
        <v>17.93</v>
      </c>
      <c r="M39" s="64">
        <v>57.83</v>
      </c>
      <c r="N39" s="64">
        <v>276.5</v>
      </c>
      <c r="O39" s="64">
        <v>0</v>
      </c>
      <c r="P39" s="64">
        <v>1.22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1" t="s">
        <v>1335</v>
      </c>
      <c r="B40" s="64">
        <v>45.55</v>
      </c>
      <c r="C40" s="6" t="s">
        <v>42</v>
      </c>
      <c r="D40" s="64">
        <v>35.22</v>
      </c>
      <c r="E40" s="64">
        <v>5.34</v>
      </c>
      <c r="F40" s="64">
        <v>3.38</v>
      </c>
      <c r="G40" s="64">
        <v>75.959999999999994</v>
      </c>
      <c r="H40" s="64">
        <v>29.49</v>
      </c>
      <c r="I40" s="64">
        <v>5.1100000000000003</v>
      </c>
      <c r="J40" s="64">
        <v>0.5</v>
      </c>
      <c r="K40" s="64">
        <v>130.22</v>
      </c>
      <c r="L40" s="64">
        <v>19.149999999999999</v>
      </c>
      <c r="M40" s="64">
        <v>52.42</v>
      </c>
      <c r="N40" s="64">
        <v>330.4</v>
      </c>
      <c r="O40" s="64">
        <v>0</v>
      </c>
      <c r="P40" s="64">
        <v>1.2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1" t="s">
        <v>1336</v>
      </c>
      <c r="B41" s="64">
        <v>42.89</v>
      </c>
      <c r="C41" s="64">
        <v>0.41</v>
      </c>
      <c r="D41" s="64">
        <v>33.96</v>
      </c>
      <c r="E41" s="64">
        <v>5.25</v>
      </c>
      <c r="F41" s="64">
        <v>3.58</v>
      </c>
      <c r="G41" s="64">
        <v>75.959999999999994</v>
      </c>
      <c r="H41" s="64">
        <v>29.49</v>
      </c>
      <c r="I41" s="64">
        <v>5.1100000000000003</v>
      </c>
      <c r="J41" s="64">
        <v>0.16</v>
      </c>
      <c r="K41" s="64">
        <v>5.07</v>
      </c>
      <c r="L41" s="64">
        <v>21.27</v>
      </c>
      <c r="M41" s="64">
        <v>46.94</v>
      </c>
      <c r="N41" s="64">
        <v>374</v>
      </c>
      <c r="O41" s="64">
        <v>0</v>
      </c>
      <c r="P41" s="64">
        <v>1.17</v>
      </c>
      <c r="Q41" s="64">
        <v>9.69</v>
      </c>
      <c r="R41" s="198"/>
      <c r="S41" s="198"/>
      <c r="T41" s="198"/>
      <c r="U41" s="198"/>
    </row>
    <row r="42" spans="1:21" s="12" customFormat="1" x14ac:dyDescent="0.25">
      <c r="A42" s="211" t="s">
        <v>1337</v>
      </c>
      <c r="B42" s="64">
        <v>43.05</v>
      </c>
      <c r="C42" s="64">
        <v>0.28999999999999998</v>
      </c>
      <c r="D42" s="64">
        <v>34.21</v>
      </c>
      <c r="E42" s="64">
        <v>5.24</v>
      </c>
      <c r="F42" s="64">
        <v>3.4</v>
      </c>
      <c r="G42" s="64">
        <v>98.67</v>
      </c>
      <c r="H42" s="64">
        <v>29.99</v>
      </c>
      <c r="I42" s="64">
        <v>5.08</v>
      </c>
      <c r="J42" s="64">
        <v>0.48</v>
      </c>
      <c r="K42" s="64">
        <v>339.83</v>
      </c>
      <c r="L42" s="64">
        <v>23.94</v>
      </c>
      <c r="M42" s="64">
        <v>38.17</v>
      </c>
      <c r="N42" s="64">
        <v>413.8</v>
      </c>
      <c r="O42" s="64">
        <v>0</v>
      </c>
      <c r="P42" s="64">
        <v>1.17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1" t="s">
        <v>1338</v>
      </c>
      <c r="B43" s="64">
        <v>42.55</v>
      </c>
      <c r="C43" s="64">
        <v>1.2</v>
      </c>
      <c r="D43" s="64">
        <v>34.28</v>
      </c>
      <c r="E43" s="64">
        <v>5.66</v>
      </c>
      <c r="F43" s="64">
        <v>3.36</v>
      </c>
      <c r="G43" s="64">
        <v>100.29</v>
      </c>
      <c r="H43" s="64">
        <v>29.99</v>
      </c>
      <c r="I43" s="64">
        <v>5.0599999999999996</v>
      </c>
      <c r="J43" s="64">
        <v>0.62</v>
      </c>
      <c r="K43" s="64">
        <v>342.93</v>
      </c>
      <c r="L43" s="64">
        <v>25.5</v>
      </c>
      <c r="M43" s="64">
        <v>32.78</v>
      </c>
      <c r="N43" s="64">
        <v>460.9</v>
      </c>
      <c r="O43" s="64">
        <v>0</v>
      </c>
      <c r="P43" s="64">
        <v>1.17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1" t="s">
        <v>1339</v>
      </c>
      <c r="B44" s="64">
        <v>41.18</v>
      </c>
      <c r="C44" s="64">
        <v>2.58</v>
      </c>
      <c r="D44" s="64">
        <v>33.909999999999997</v>
      </c>
      <c r="E44" s="64">
        <v>5.82</v>
      </c>
      <c r="F44" s="64">
        <v>3.26</v>
      </c>
      <c r="G44" s="64">
        <v>100.29</v>
      </c>
      <c r="H44" s="64">
        <v>29.99</v>
      </c>
      <c r="I44" s="64">
        <v>5.01</v>
      </c>
      <c r="J44" s="64">
        <v>0.15</v>
      </c>
      <c r="K44" s="64">
        <v>93.89</v>
      </c>
      <c r="L44" s="64">
        <v>26.06</v>
      </c>
      <c r="M44" s="64">
        <v>31.19</v>
      </c>
      <c r="N44" s="64">
        <v>510.6</v>
      </c>
      <c r="O44" s="64">
        <v>0</v>
      </c>
      <c r="P44" s="64">
        <v>1.19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1" t="s">
        <v>1340</v>
      </c>
      <c r="B45" s="64">
        <v>39.69</v>
      </c>
      <c r="C45" s="64">
        <v>3.99</v>
      </c>
      <c r="D45" s="64">
        <v>33.46</v>
      </c>
      <c r="E45" s="64">
        <v>5.53</v>
      </c>
      <c r="F45" s="64">
        <v>3.81</v>
      </c>
      <c r="G45" s="64">
        <v>100.29</v>
      </c>
      <c r="H45" s="64">
        <v>29.99</v>
      </c>
      <c r="I45" s="64">
        <v>4.95</v>
      </c>
      <c r="J45" s="64">
        <v>0.52</v>
      </c>
      <c r="K45" s="64">
        <v>338.48</v>
      </c>
      <c r="L45" s="64">
        <v>25.52</v>
      </c>
      <c r="M45" s="64">
        <v>28.18</v>
      </c>
      <c r="N45" s="64">
        <v>560.70000000000005</v>
      </c>
      <c r="O45" s="64">
        <v>0</v>
      </c>
      <c r="P45" s="64">
        <v>1.17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1" t="s">
        <v>1341</v>
      </c>
      <c r="B46" s="64">
        <v>38.14</v>
      </c>
      <c r="C46" s="64">
        <v>5.16</v>
      </c>
      <c r="D46" s="64">
        <v>32.82</v>
      </c>
      <c r="E46" s="64">
        <v>5.67</v>
      </c>
      <c r="F46" s="64">
        <v>3.17</v>
      </c>
      <c r="G46" s="64">
        <v>86.42</v>
      </c>
      <c r="H46" s="64">
        <v>29.8</v>
      </c>
      <c r="I46" s="64">
        <v>4.9000000000000004</v>
      </c>
      <c r="J46" s="64">
        <v>0.5</v>
      </c>
      <c r="K46" s="64">
        <v>331.84</v>
      </c>
      <c r="L46" s="64">
        <v>27.31</v>
      </c>
      <c r="M46" s="64">
        <v>24.38</v>
      </c>
      <c r="N46" s="64">
        <v>597.6</v>
      </c>
      <c r="O46" s="64">
        <v>0</v>
      </c>
      <c r="P46" s="64">
        <v>1.1599999999999999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11" t="s">
        <v>1342</v>
      </c>
      <c r="B47" s="64">
        <v>36.590000000000003</v>
      </c>
      <c r="C47" s="64">
        <v>6.17</v>
      </c>
      <c r="D47" s="64">
        <v>32.11</v>
      </c>
      <c r="E47" s="64">
        <v>5.48</v>
      </c>
      <c r="F47" s="64">
        <v>3.24</v>
      </c>
      <c r="G47" s="64">
        <v>85.43</v>
      </c>
      <c r="H47" s="64">
        <v>29.8</v>
      </c>
      <c r="I47" s="64">
        <v>4.82</v>
      </c>
      <c r="J47" s="64">
        <v>0.93</v>
      </c>
      <c r="K47" s="64">
        <v>128.38999999999999</v>
      </c>
      <c r="L47" s="64">
        <v>25.63</v>
      </c>
      <c r="M47" s="64">
        <v>27.2</v>
      </c>
      <c r="N47" s="64">
        <v>641.20000000000005</v>
      </c>
      <c r="O47" s="64">
        <v>0</v>
      </c>
      <c r="P47" s="64">
        <v>1.1200000000000001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1" t="s">
        <v>1343</v>
      </c>
      <c r="B48" s="64">
        <v>35.049999999999997</v>
      </c>
      <c r="C48" s="64">
        <v>6.51</v>
      </c>
      <c r="D48" s="64">
        <v>31.05</v>
      </c>
      <c r="E48" s="64">
        <v>5.07</v>
      </c>
      <c r="F48" s="64">
        <v>3.31</v>
      </c>
      <c r="G48" s="64">
        <v>85.43</v>
      </c>
      <c r="H48" s="64">
        <v>29.8</v>
      </c>
      <c r="I48" s="64">
        <v>4.7300000000000004</v>
      </c>
      <c r="J48" s="64">
        <v>0.91</v>
      </c>
      <c r="K48" s="64">
        <v>127.9</v>
      </c>
      <c r="L48" s="64">
        <v>24.21</v>
      </c>
      <c r="M48" s="64">
        <v>28.76</v>
      </c>
      <c r="N48" s="64">
        <v>665.4</v>
      </c>
      <c r="O48" s="64">
        <v>0</v>
      </c>
      <c r="P48" s="64">
        <v>1.0900000000000001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11" t="s">
        <v>1344</v>
      </c>
      <c r="B49" s="64">
        <v>33.39</v>
      </c>
      <c r="C49" s="64">
        <v>7.29</v>
      </c>
      <c r="D49" s="64">
        <v>30.13</v>
      </c>
      <c r="E49" s="64">
        <v>5.08</v>
      </c>
      <c r="F49" s="64">
        <v>3.29</v>
      </c>
      <c r="G49" s="64">
        <v>85.43</v>
      </c>
      <c r="H49" s="64">
        <v>29.8</v>
      </c>
      <c r="I49" s="64">
        <v>4.6399999999999997</v>
      </c>
      <c r="J49" s="64">
        <v>0.45</v>
      </c>
      <c r="K49" s="64">
        <v>349.92</v>
      </c>
      <c r="L49" s="64">
        <v>26.22</v>
      </c>
      <c r="M49" s="64">
        <v>26.83</v>
      </c>
      <c r="N49" s="64">
        <v>682.2</v>
      </c>
      <c r="O49" s="64">
        <v>0</v>
      </c>
      <c r="P49" s="64">
        <v>1.06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1" t="s">
        <v>1345</v>
      </c>
      <c r="B50" s="64">
        <v>31.6</v>
      </c>
      <c r="C50" s="64">
        <v>8.67</v>
      </c>
      <c r="D50" s="64">
        <v>29.41</v>
      </c>
      <c r="E50" s="64">
        <v>5.6</v>
      </c>
      <c r="F50" s="64">
        <v>3.07</v>
      </c>
      <c r="G50" s="64">
        <v>55.34</v>
      </c>
      <c r="H50" s="64">
        <v>24.74</v>
      </c>
      <c r="I50" s="64">
        <v>4.55</v>
      </c>
      <c r="J50" s="64">
        <v>0.02</v>
      </c>
      <c r="K50" s="64">
        <v>330.52</v>
      </c>
      <c r="L50" s="64">
        <v>27.98</v>
      </c>
      <c r="M50" s="64">
        <v>23.4</v>
      </c>
      <c r="N50" s="64">
        <v>697.1</v>
      </c>
      <c r="O50" s="64">
        <v>0</v>
      </c>
      <c r="P50" s="64">
        <v>1.04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1" t="s">
        <v>1346</v>
      </c>
      <c r="B51" s="64">
        <v>30.04</v>
      </c>
      <c r="C51" s="64">
        <v>9.3800000000000008</v>
      </c>
      <c r="D51" s="64">
        <v>28.53</v>
      </c>
      <c r="E51" s="64">
        <v>5.47</v>
      </c>
      <c r="F51" s="64">
        <v>3.06</v>
      </c>
      <c r="G51" s="64">
        <v>53.19</v>
      </c>
      <c r="H51" s="64">
        <v>24.74</v>
      </c>
      <c r="I51" s="64">
        <v>4.46</v>
      </c>
      <c r="J51" s="64">
        <v>0.56999999999999995</v>
      </c>
      <c r="K51" s="64">
        <v>123.81</v>
      </c>
      <c r="L51" s="64">
        <v>26.68</v>
      </c>
      <c r="M51" s="64">
        <v>25.25</v>
      </c>
      <c r="N51" s="64">
        <v>732</v>
      </c>
      <c r="O51" s="64">
        <v>0</v>
      </c>
      <c r="P51" s="64">
        <v>1.02</v>
      </c>
      <c r="Q51" s="64">
        <v>9.67</v>
      </c>
      <c r="R51" s="198"/>
      <c r="S51" s="198"/>
      <c r="T51" s="198"/>
      <c r="U51" s="198"/>
    </row>
    <row r="52" spans="1:21" s="12" customFormat="1" x14ac:dyDescent="0.25">
      <c r="A52" s="211" t="s">
        <v>1347</v>
      </c>
      <c r="B52" s="64">
        <v>27.46</v>
      </c>
      <c r="C52" s="64">
        <v>10.44</v>
      </c>
      <c r="D52" s="64">
        <v>27.01</v>
      </c>
      <c r="E52" s="64">
        <v>5.14</v>
      </c>
      <c r="F52" s="64">
        <v>3.4</v>
      </c>
      <c r="G52" s="64">
        <v>53.19</v>
      </c>
      <c r="H52" s="64">
        <v>24.74</v>
      </c>
      <c r="I52" s="64">
        <v>4.38</v>
      </c>
      <c r="J52" s="64">
        <v>0.49</v>
      </c>
      <c r="K52" s="64">
        <v>126.81</v>
      </c>
      <c r="L52" s="64">
        <v>26.29</v>
      </c>
      <c r="M52" s="64">
        <v>26.65</v>
      </c>
      <c r="N52" s="64">
        <v>742.8</v>
      </c>
      <c r="O52" s="64">
        <v>0</v>
      </c>
      <c r="P52" s="64">
        <v>0.98</v>
      </c>
      <c r="Q52" s="64">
        <v>9.66</v>
      </c>
      <c r="R52" s="198"/>
      <c r="S52" s="198"/>
      <c r="T52" s="198"/>
      <c r="U52" s="198"/>
    </row>
    <row r="53" spans="1:21" s="12" customFormat="1" x14ac:dyDescent="0.25">
      <c r="A53" s="211" t="s">
        <v>1348</v>
      </c>
      <c r="B53" s="64">
        <v>25.14</v>
      </c>
      <c r="C53" s="64">
        <v>11.65</v>
      </c>
      <c r="D53" s="64">
        <v>25.78</v>
      </c>
      <c r="E53" s="64">
        <v>5.55</v>
      </c>
      <c r="F53" s="64">
        <v>3.94</v>
      </c>
      <c r="G53" s="64">
        <v>53.19</v>
      </c>
      <c r="H53" s="64">
        <v>24.74</v>
      </c>
      <c r="I53" s="64">
        <v>4.3099999999999996</v>
      </c>
      <c r="J53" s="64">
        <v>7.0000000000000007E-2</v>
      </c>
      <c r="K53" s="64">
        <v>69.89</v>
      </c>
      <c r="L53" s="64">
        <v>27.26</v>
      </c>
      <c r="M53" s="64">
        <v>23.73</v>
      </c>
      <c r="N53" s="64">
        <v>748.1</v>
      </c>
      <c r="O53" s="64">
        <v>0</v>
      </c>
      <c r="P53" s="64">
        <v>0.96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1" t="s">
        <v>1349</v>
      </c>
      <c r="B54" s="64">
        <v>22.93</v>
      </c>
      <c r="C54" s="64">
        <v>12.83</v>
      </c>
      <c r="D54" s="64">
        <v>24.64</v>
      </c>
      <c r="E54" s="64">
        <v>5.88</v>
      </c>
      <c r="F54" s="64">
        <v>5.24</v>
      </c>
      <c r="G54" s="64">
        <v>45.82</v>
      </c>
      <c r="H54" s="64">
        <v>23.78</v>
      </c>
      <c r="I54" s="64">
        <v>4.26</v>
      </c>
      <c r="J54" s="64">
        <v>0.02</v>
      </c>
      <c r="K54" s="64">
        <v>55</v>
      </c>
      <c r="L54" s="64">
        <v>27.75</v>
      </c>
      <c r="M54" s="64">
        <v>23.74</v>
      </c>
      <c r="N54" s="64">
        <v>721.4</v>
      </c>
      <c r="O54" s="64">
        <v>0</v>
      </c>
      <c r="P54" s="64">
        <v>0.97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1" t="s">
        <v>1350</v>
      </c>
      <c r="B55" s="64">
        <v>21.38</v>
      </c>
      <c r="C55" s="64">
        <v>12.87</v>
      </c>
      <c r="D55" s="64">
        <v>23.41</v>
      </c>
      <c r="E55" s="64">
        <v>6.05</v>
      </c>
      <c r="F55" s="64">
        <v>5.28</v>
      </c>
      <c r="G55" s="64">
        <v>45.29</v>
      </c>
      <c r="H55" s="64">
        <v>23.78</v>
      </c>
      <c r="I55" s="64">
        <v>4.24</v>
      </c>
      <c r="J55" s="64">
        <v>0.1</v>
      </c>
      <c r="K55" s="64">
        <v>81.31</v>
      </c>
      <c r="L55" s="64">
        <v>27.85</v>
      </c>
      <c r="M55" s="64">
        <v>23.33</v>
      </c>
      <c r="N55" s="64">
        <v>697.4</v>
      </c>
      <c r="O55" s="64">
        <v>0</v>
      </c>
      <c r="P55" s="64">
        <v>0.95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1" t="s">
        <v>1351</v>
      </c>
      <c r="B56" s="64">
        <v>18.809999999999999</v>
      </c>
      <c r="C56" s="64">
        <v>16.16</v>
      </c>
      <c r="D56" s="64">
        <v>23.07</v>
      </c>
      <c r="E56" s="64">
        <v>6.69</v>
      </c>
      <c r="F56" s="64">
        <v>5.4</v>
      </c>
      <c r="G56" s="64">
        <v>45.29</v>
      </c>
      <c r="H56" s="64">
        <v>23.78</v>
      </c>
      <c r="I56" s="64">
        <v>4.2</v>
      </c>
      <c r="J56" s="64">
        <v>0.3</v>
      </c>
      <c r="K56" s="64">
        <v>99.26</v>
      </c>
      <c r="L56" s="64">
        <v>28.22</v>
      </c>
      <c r="M56" s="64">
        <v>20.67</v>
      </c>
      <c r="N56" s="64">
        <v>685</v>
      </c>
      <c r="O56" s="64">
        <v>0</v>
      </c>
      <c r="P56" s="64">
        <v>0.94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1" t="s">
        <v>1352</v>
      </c>
      <c r="B57" s="64">
        <v>17.27</v>
      </c>
      <c r="C57" s="64">
        <v>16.53</v>
      </c>
      <c r="D57" s="64">
        <v>22.02</v>
      </c>
      <c r="E57" s="64">
        <v>6.7</v>
      </c>
      <c r="F57" s="64">
        <v>8.26</v>
      </c>
      <c r="G57" s="64">
        <v>45.29</v>
      </c>
      <c r="H57" s="64">
        <v>23.78</v>
      </c>
      <c r="I57" s="64">
        <v>4.47</v>
      </c>
      <c r="J57" s="64">
        <v>0.7</v>
      </c>
      <c r="K57" s="64">
        <v>134.18</v>
      </c>
      <c r="L57" s="64">
        <v>26.28</v>
      </c>
      <c r="M57" s="64">
        <v>22.84</v>
      </c>
      <c r="N57" s="64">
        <v>670.4</v>
      </c>
      <c r="O57" s="64">
        <v>0</v>
      </c>
      <c r="P57" s="64">
        <v>0.91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1" t="s">
        <v>1353</v>
      </c>
      <c r="B58" s="64">
        <v>13.09</v>
      </c>
      <c r="C58" s="64">
        <v>20.97</v>
      </c>
      <c r="D58" s="64">
        <v>20.99</v>
      </c>
      <c r="E58" s="64">
        <v>10.01</v>
      </c>
      <c r="F58" s="64">
        <v>11.47</v>
      </c>
      <c r="G58" s="64">
        <v>42.13</v>
      </c>
      <c r="H58" s="64">
        <v>20.7</v>
      </c>
      <c r="I58" s="64">
        <v>4.6399999999999997</v>
      </c>
      <c r="J58" s="64">
        <v>0.55000000000000004</v>
      </c>
      <c r="K58" s="64">
        <v>120.68</v>
      </c>
      <c r="L58" s="64">
        <v>26.74</v>
      </c>
      <c r="M58" s="64">
        <v>21.83</v>
      </c>
      <c r="N58" s="64">
        <v>659</v>
      </c>
      <c r="O58" s="64">
        <v>0</v>
      </c>
      <c r="P58" s="64">
        <v>0.83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11" t="s">
        <v>1354</v>
      </c>
      <c r="B59" s="64">
        <v>16.12</v>
      </c>
      <c r="C59" s="64">
        <v>17.760000000000002</v>
      </c>
      <c r="D59" s="64">
        <v>21.74</v>
      </c>
      <c r="E59" s="64">
        <v>8.8000000000000007</v>
      </c>
      <c r="F59" s="64">
        <v>6.52</v>
      </c>
      <c r="G59" s="64">
        <v>41.9</v>
      </c>
      <c r="H59" s="64">
        <v>20.7</v>
      </c>
      <c r="I59" s="64">
        <v>4.57</v>
      </c>
      <c r="J59" s="64">
        <v>0.41</v>
      </c>
      <c r="K59" s="64">
        <v>343.18</v>
      </c>
      <c r="L59" s="64">
        <v>27.53</v>
      </c>
      <c r="M59" s="64">
        <v>21.4</v>
      </c>
      <c r="N59" s="64">
        <v>598.1</v>
      </c>
      <c r="O59" s="64">
        <v>0</v>
      </c>
      <c r="P59" s="64">
        <v>0.89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1" t="s">
        <v>1355</v>
      </c>
      <c r="B60" s="64">
        <v>15.04</v>
      </c>
      <c r="C60" s="64">
        <v>17.04</v>
      </c>
      <c r="D60" s="64">
        <v>20.5</v>
      </c>
      <c r="E60" s="64">
        <v>6.3</v>
      </c>
      <c r="F60" s="64">
        <v>5.41</v>
      </c>
      <c r="G60" s="64">
        <v>41.9</v>
      </c>
      <c r="H60" s="64">
        <v>20.7</v>
      </c>
      <c r="I60" s="64">
        <v>4.49</v>
      </c>
      <c r="J60" s="64">
        <v>0.32</v>
      </c>
      <c r="K60" s="64">
        <v>109.94</v>
      </c>
      <c r="L60" s="64">
        <v>27.02</v>
      </c>
      <c r="M60" s="64">
        <v>22.74</v>
      </c>
      <c r="N60" s="64">
        <v>524.29999999999995</v>
      </c>
      <c r="O60" s="64">
        <v>0</v>
      </c>
      <c r="P60" s="64">
        <v>0.84</v>
      </c>
      <c r="Q60" s="64">
        <v>9.48</v>
      </c>
      <c r="R60" s="198"/>
      <c r="S60" s="198"/>
      <c r="T60" s="198"/>
      <c r="U60" s="198"/>
    </row>
    <row r="61" spans="1:21" s="12" customFormat="1" x14ac:dyDescent="0.25">
      <c r="A61" s="211" t="s">
        <v>1356</v>
      </c>
      <c r="B61" s="64">
        <v>12.91</v>
      </c>
      <c r="C61" s="64">
        <v>19.48</v>
      </c>
      <c r="D61" s="64">
        <v>20.07</v>
      </c>
      <c r="E61" s="64">
        <v>7.09</v>
      </c>
      <c r="F61" s="64">
        <v>7.34</v>
      </c>
      <c r="G61" s="64">
        <v>41.9</v>
      </c>
      <c r="H61" s="64">
        <v>20.7</v>
      </c>
      <c r="I61" s="64">
        <v>4.41</v>
      </c>
      <c r="J61" s="64">
        <v>0.57999999999999996</v>
      </c>
      <c r="K61" s="64">
        <v>128.74</v>
      </c>
      <c r="L61" s="64">
        <v>26.81</v>
      </c>
      <c r="M61" s="64">
        <v>22.6</v>
      </c>
      <c r="N61" s="64">
        <v>417.6</v>
      </c>
      <c r="O61" s="64">
        <v>0</v>
      </c>
      <c r="P61" s="64">
        <v>0.84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1" t="s">
        <v>1357</v>
      </c>
      <c r="B62" s="64">
        <v>11.25</v>
      </c>
      <c r="C62" s="64">
        <v>20.399999999999999</v>
      </c>
      <c r="D62" s="64">
        <v>19.22</v>
      </c>
      <c r="E62" s="64">
        <v>8.5500000000000007</v>
      </c>
      <c r="F62" s="64">
        <v>7</v>
      </c>
      <c r="G62" s="64">
        <v>45.04</v>
      </c>
      <c r="H62" s="64">
        <v>18.2</v>
      </c>
      <c r="I62" s="64">
        <v>4.33</v>
      </c>
      <c r="J62" s="64">
        <v>0.73</v>
      </c>
      <c r="K62" s="64">
        <v>125.25</v>
      </c>
      <c r="L62" s="64">
        <v>26.9</v>
      </c>
      <c r="M62" s="64">
        <v>21.25</v>
      </c>
      <c r="N62" s="64">
        <v>484</v>
      </c>
      <c r="O62" s="64">
        <v>0</v>
      </c>
      <c r="P62" s="64">
        <v>0.85</v>
      </c>
      <c r="Q62" s="64">
        <v>9.4</v>
      </c>
      <c r="R62" s="198"/>
      <c r="S62" s="198"/>
      <c r="T62" s="198"/>
      <c r="U62" s="198"/>
    </row>
    <row r="63" spans="1:21" s="12" customFormat="1" x14ac:dyDescent="0.25">
      <c r="A63" s="211" t="s">
        <v>1358</v>
      </c>
      <c r="B63" s="64">
        <v>10.73</v>
      </c>
      <c r="C63" s="64">
        <v>17.68</v>
      </c>
      <c r="D63" s="64">
        <v>17.38</v>
      </c>
      <c r="E63" s="64">
        <v>5.83</v>
      </c>
      <c r="F63" s="64">
        <v>5.51</v>
      </c>
      <c r="G63" s="64">
        <v>45.27</v>
      </c>
      <c r="H63" s="64">
        <v>18.2</v>
      </c>
      <c r="I63" s="64">
        <v>4.25</v>
      </c>
      <c r="J63" s="64">
        <v>1.0900000000000001</v>
      </c>
      <c r="K63" s="64">
        <v>123.9</v>
      </c>
      <c r="L63" s="64">
        <v>26.08</v>
      </c>
      <c r="M63" s="64">
        <v>22.07</v>
      </c>
      <c r="N63" s="64">
        <v>438.8</v>
      </c>
      <c r="O63" s="64">
        <v>0</v>
      </c>
      <c r="P63" s="64">
        <v>0.82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1" t="s">
        <v>1359</v>
      </c>
      <c r="B64" s="64">
        <v>9.6300000000000008</v>
      </c>
      <c r="C64" s="64">
        <v>18.690000000000001</v>
      </c>
      <c r="D64" s="64">
        <v>17.03</v>
      </c>
      <c r="E64" s="64">
        <v>6.61</v>
      </c>
      <c r="F64" s="64">
        <v>6.38</v>
      </c>
      <c r="G64" s="64">
        <v>45.27</v>
      </c>
      <c r="H64" s="64">
        <v>18.2</v>
      </c>
      <c r="I64" s="64">
        <v>4.16</v>
      </c>
      <c r="J64" s="64">
        <v>0.98</v>
      </c>
      <c r="K64" s="64">
        <v>342.57</v>
      </c>
      <c r="L64" s="64">
        <v>26.57</v>
      </c>
      <c r="M64" s="64">
        <v>21.24</v>
      </c>
      <c r="N64" s="64">
        <v>218.5</v>
      </c>
      <c r="O64" s="64">
        <v>0</v>
      </c>
      <c r="P64" s="64">
        <v>0.82</v>
      </c>
      <c r="Q64" s="64">
        <v>9.34</v>
      </c>
      <c r="R64" s="198"/>
      <c r="S64" s="198"/>
      <c r="T64" s="198"/>
      <c r="U64" s="198"/>
    </row>
    <row r="65" spans="1:21" s="12" customFormat="1" x14ac:dyDescent="0.25">
      <c r="A65" s="211" t="s">
        <v>1360</v>
      </c>
      <c r="B65" s="64">
        <v>9.15</v>
      </c>
      <c r="C65" s="64">
        <v>20.49</v>
      </c>
      <c r="D65" s="64">
        <v>17.579999999999998</v>
      </c>
      <c r="E65" s="64">
        <v>10.23</v>
      </c>
      <c r="F65" s="64">
        <v>10.91</v>
      </c>
      <c r="G65" s="64">
        <v>45.27</v>
      </c>
      <c r="H65" s="64">
        <v>18.2</v>
      </c>
      <c r="I65" s="64">
        <v>4.05</v>
      </c>
      <c r="J65" s="64">
        <v>0.28000000000000003</v>
      </c>
      <c r="K65" s="64">
        <v>343.43</v>
      </c>
      <c r="L65" s="64">
        <v>26.81</v>
      </c>
      <c r="M65" s="64">
        <v>20.04</v>
      </c>
      <c r="N65" s="64">
        <v>149.69999999999999</v>
      </c>
      <c r="O65" s="64">
        <v>0</v>
      </c>
      <c r="P65" s="64">
        <v>0.77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1" t="s">
        <v>1361</v>
      </c>
      <c r="B66" s="64">
        <v>8.8000000000000007</v>
      </c>
      <c r="C66" s="64">
        <v>21.08</v>
      </c>
      <c r="D66" s="64">
        <v>17.61</v>
      </c>
      <c r="E66" s="64">
        <v>7.07</v>
      </c>
      <c r="F66" s="64">
        <v>4.37</v>
      </c>
      <c r="G66" s="64">
        <v>47.38</v>
      </c>
      <c r="H66" s="64">
        <v>18.45</v>
      </c>
      <c r="I66" s="64">
        <v>3.94</v>
      </c>
      <c r="J66" s="64">
        <v>0.45</v>
      </c>
      <c r="K66" s="64">
        <v>326.35000000000002</v>
      </c>
      <c r="L66" s="64">
        <v>26.45</v>
      </c>
      <c r="M66" s="64">
        <v>21.84</v>
      </c>
      <c r="N66" s="64">
        <v>151.6</v>
      </c>
      <c r="O66" s="64">
        <v>0</v>
      </c>
      <c r="P66" s="64">
        <v>0.81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1" t="s">
        <v>1362</v>
      </c>
      <c r="B67" s="64">
        <v>6.58</v>
      </c>
      <c r="C67" s="64">
        <v>23.45</v>
      </c>
      <c r="D67" s="64">
        <v>17.07</v>
      </c>
      <c r="E67" s="64">
        <v>10.57</v>
      </c>
      <c r="F67" s="64">
        <v>11.25</v>
      </c>
      <c r="G67" s="64">
        <v>47.53</v>
      </c>
      <c r="H67" s="64">
        <v>18.45</v>
      </c>
      <c r="I67" s="64">
        <v>3.88</v>
      </c>
      <c r="J67" s="64">
        <v>0.23</v>
      </c>
      <c r="K67" s="64">
        <v>73.44</v>
      </c>
      <c r="L67" s="64">
        <v>26.11</v>
      </c>
      <c r="M67" s="64">
        <v>20.81</v>
      </c>
      <c r="N67" s="64">
        <v>133.1</v>
      </c>
      <c r="O67" s="64">
        <v>0</v>
      </c>
      <c r="P67" s="64">
        <v>0.73</v>
      </c>
      <c r="Q67" s="64">
        <v>9.27</v>
      </c>
      <c r="R67" s="198"/>
      <c r="S67" s="198"/>
      <c r="T67" s="198"/>
      <c r="U67" s="198"/>
    </row>
    <row r="68" spans="1:21" s="12" customFormat="1" x14ac:dyDescent="0.25">
      <c r="A68" s="211" t="s">
        <v>1363</v>
      </c>
      <c r="B68" s="64">
        <v>6.89</v>
      </c>
      <c r="C68" s="64">
        <v>23.84</v>
      </c>
      <c r="D68" s="64">
        <v>17.52</v>
      </c>
      <c r="E68" s="64">
        <v>11.58</v>
      </c>
      <c r="F68" s="64">
        <v>10.98</v>
      </c>
      <c r="G68" s="64">
        <v>47.53</v>
      </c>
      <c r="H68" s="64">
        <v>18.45</v>
      </c>
      <c r="I68" s="64">
        <v>3.81</v>
      </c>
      <c r="J68" s="64">
        <v>0.11</v>
      </c>
      <c r="K68" s="64">
        <v>344.84</v>
      </c>
      <c r="L68" s="64">
        <v>25.63</v>
      </c>
      <c r="M68" s="64">
        <v>22.05</v>
      </c>
      <c r="N68" s="64">
        <v>118.1</v>
      </c>
      <c r="O68" s="64">
        <v>0</v>
      </c>
      <c r="P68" s="64">
        <v>0.78</v>
      </c>
      <c r="Q68" s="64">
        <v>9.26</v>
      </c>
      <c r="R68" s="198"/>
      <c r="S68" s="198"/>
      <c r="T68" s="198"/>
      <c r="U68" s="198"/>
    </row>
    <row r="69" spans="1:21" s="12" customFormat="1" x14ac:dyDescent="0.25">
      <c r="A69" s="211" t="s">
        <v>1364</v>
      </c>
      <c r="B69" s="64">
        <v>7.73</v>
      </c>
      <c r="C69" s="64">
        <v>24.92</v>
      </c>
      <c r="D69" s="64">
        <v>18.760000000000002</v>
      </c>
      <c r="E69" s="64">
        <v>11.57</v>
      </c>
      <c r="F69" s="64">
        <v>11.83</v>
      </c>
      <c r="G69" s="64">
        <v>47.53</v>
      </c>
      <c r="H69" s="64">
        <v>18.45</v>
      </c>
      <c r="I69" s="64">
        <v>3.73</v>
      </c>
      <c r="J69" s="64">
        <v>0.39</v>
      </c>
      <c r="K69" s="64">
        <v>338.02</v>
      </c>
      <c r="L69" s="64">
        <v>25.61</v>
      </c>
      <c r="M69" s="64">
        <v>22.49</v>
      </c>
      <c r="N69" s="64">
        <v>108.9</v>
      </c>
      <c r="O69" s="64">
        <v>0</v>
      </c>
      <c r="P69" s="64">
        <v>0.74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1" t="s">
        <v>1365</v>
      </c>
      <c r="B70" s="64">
        <v>3.92</v>
      </c>
      <c r="C70" s="64">
        <v>27.09</v>
      </c>
      <c r="D70" s="64">
        <v>16.829999999999998</v>
      </c>
      <c r="E70" s="64">
        <v>17.63</v>
      </c>
      <c r="F70" s="64">
        <v>26.96</v>
      </c>
      <c r="G70" s="64">
        <v>43.33</v>
      </c>
      <c r="H70" s="64">
        <v>17.850000000000001</v>
      </c>
      <c r="I70" s="64">
        <v>3.67</v>
      </c>
      <c r="J70" s="64">
        <v>0.01</v>
      </c>
      <c r="K70" s="64">
        <v>172.04</v>
      </c>
      <c r="L70" s="64">
        <v>25.33</v>
      </c>
      <c r="M70" s="64">
        <v>22.61</v>
      </c>
      <c r="N70" s="64">
        <v>100.5</v>
      </c>
      <c r="O70" s="64">
        <v>0</v>
      </c>
      <c r="P70" s="64">
        <v>0.63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11" t="s">
        <v>1366</v>
      </c>
      <c r="B71" s="64">
        <v>6.49</v>
      </c>
      <c r="C71" s="64">
        <v>27.37</v>
      </c>
      <c r="D71" s="64">
        <v>17.329999999999998</v>
      </c>
      <c r="E71" s="64">
        <v>16.57</v>
      </c>
      <c r="F71" s="64">
        <v>19.59</v>
      </c>
      <c r="G71" s="64">
        <v>43.03</v>
      </c>
      <c r="H71" s="64">
        <v>17.850000000000001</v>
      </c>
      <c r="I71" s="64">
        <v>3.67</v>
      </c>
      <c r="J71" s="64">
        <v>0.63</v>
      </c>
      <c r="K71" s="64">
        <v>339.88</v>
      </c>
      <c r="L71" s="64">
        <v>25.25</v>
      </c>
      <c r="M71" s="64">
        <v>24.01</v>
      </c>
      <c r="N71" s="64">
        <v>91.2</v>
      </c>
      <c r="O71" s="64">
        <v>0</v>
      </c>
      <c r="P71" s="64">
        <v>0.75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1" t="s">
        <v>1367</v>
      </c>
      <c r="B72" s="64">
        <v>11.49</v>
      </c>
      <c r="C72" s="64">
        <v>37.99</v>
      </c>
      <c r="D72" s="64">
        <v>28.6</v>
      </c>
      <c r="E72" s="64">
        <v>21.52</v>
      </c>
      <c r="F72" s="64">
        <v>17.63</v>
      </c>
      <c r="G72" s="64">
        <v>43.03</v>
      </c>
      <c r="H72" s="64">
        <v>17.850000000000001</v>
      </c>
      <c r="I72" s="64">
        <v>3.67</v>
      </c>
      <c r="J72" s="64">
        <v>0.32</v>
      </c>
      <c r="K72" s="64">
        <v>344.01</v>
      </c>
      <c r="L72" s="64">
        <v>25.1</v>
      </c>
      <c r="M72" s="64">
        <v>26.13</v>
      </c>
      <c r="N72" s="64">
        <v>86.6</v>
      </c>
      <c r="O72" s="64">
        <v>0</v>
      </c>
      <c r="P72" s="64">
        <v>0.83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1" t="s">
        <v>1368</v>
      </c>
      <c r="B73" s="64">
        <v>9.9700000000000006</v>
      </c>
      <c r="C73" s="64">
        <v>30.42</v>
      </c>
      <c r="D73" s="64">
        <v>23.43</v>
      </c>
      <c r="E73" s="64">
        <v>19.04</v>
      </c>
      <c r="F73" s="64">
        <v>14.79</v>
      </c>
      <c r="G73" s="64">
        <v>43.03</v>
      </c>
      <c r="H73" s="64">
        <v>17.850000000000001</v>
      </c>
      <c r="I73" s="64">
        <v>3.68</v>
      </c>
      <c r="J73" s="64">
        <v>0.42</v>
      </c>
      <c r="K73" s="64">
        <v>334.07</v>
      </c>
      <c r="L73" s="64">
        <v>24.78</v>
      </c>
      <c r="M73" s="64">
        <v>25.97</v>
      </c>
      <c r="N73" s="64">
        <v>79</v>
      </c>
      <c r="O73" s="64">
        <v>0</v>
      </c>
      <c r="P73" s="64">
        <v>0.91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11" t="s">
        <v>1369</v>
      </c>
      <c r="B74" s="64">
        <v>9.6999999999999993</v>
      </c>
      <c r="C74" s="64">
        <v>27.83</v>
      </c>
      <c r="D74" s="64">
        <v>21.86</v>
      </c>
      <c r="E74" s="64">
        <v>12.35</v>
      </c>
      <c r="F74" s="64">
        <v>12.02</v>
      </c>
      <c r="G74" s="64">
        <v>43.11</v>
      </c>
      <c r="H74" s="64">
        <v>16.55</v>
      </c>
      <c r="I74" s="64">
        <v>3.67</v>
      </c>
      <c r="J74" s="64">
        <v>0.63</v>
      </c>
      <c r="K74" s="64">
        <v>342.92</v>
      </c>
      <c r="L74" s="64">
        <v>24.5</v>
      </c>
      <c r="M74" s="64">
        <v>27.72</v>
      </c>
      <c r="N74" s="64">
        <v>71</v>
      </c>
      <c r="O74" s="64">
        <v>0</v>
      </c>
      <c r="P74" s="64">
        <v>0.86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1" t="s">
        <v>1370</v>
      </c>
      <c r="B75" s="64">
        <v>9.65</v>
      </c>
      <c r="C75" s="64">
        <v>23.95</v>
      </c>
      <c r="D75" s="64">
        <v>19.79</v>
      </c>
      <c r="E75" s="64">
        <v>11.09</v>
      </c>
      <c r="F75" s="64">
        <v>9.6999999999999993</v>
      </c>
      <c r="G75" s="64">
        <v>43.12</v>
      </c>
      <c r="H75" s="64">
        <v>16.55</v>
      </c>
      <c r="I75" s="64">
        <v>3.68</v>
      </c>
      <c r="J75" s="64">
        <v>0.73</v>
      </c>
      <c r="K75" s="64">
        <v>333.99</v>
      </c>
      <c r="L75" s="64">
        <v>24.03</v>
      </c>
      <c r="M75" s="64">
        <v>29.08</v>
      </c>
      <c r="N75" s="64">
        <v>62.3</v>
      </c>
      <c r="O75" s="64">
        <v>0</v>
      </c>
      <c r="P75" s="64">
        <v>0.89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1" t="s">
        <v>1371</v>
      </c>
      <c r="B76" s="64">
        <v>8</v>
      </c>
      <c r="C76" s="64">
        <v>21.42</v>
      </c>
      <c r="D76" s="64">
        <v>17.149999999999999</v>
      </c>
      <c r="E76" s="64">
        <v>8.06</v>
      </c>
      <c r="F76" s="64">
        <v>6.06</v>
      </c>
      <c r="G76" s="64">
        <v>43.12</v>
      </c>
      <c r="H76" s="64">
        <v>16.55</v>
      </c>
      <c r="I76" s="64">
        <v>3.74</v>
      </c>
      <c r="J76" s="64">
        <v>0.87</v>
      </c>
      <c r="K76" s="64">
        <v>339.96</v>
      </c>
      <c r="L76" s="64">
        <v>23.51</v>
      </c>
      <c r="M76" s="64">
        <v>28.83</v>
      </c>
      <c r="N76" s="64">
        <v>53.9</v>
      </c>
      <c r="O76" s="64">
        <v>0</v>
      </c>
      <c r="P76" s="64">
        <v>0.87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1" t="s">
        <v>1372</v>
      </c>
      <c r="B77" s="64">
        <v>8.23</v>
      </c>
      <c r="C77" s="64">
        <v>20.95</v>
      </c>
      <c r="D77" s="64">
        <v>17.09</v>
      </c>
      <c r="E77" s="64">
        <v>6.61</v>
      </c>
      <c r="F77" s="64">
        <v>5.1100000000000003</v>
      </c>
      <c r="G77" s="64">
        <v>43.12</v>
      </c>
      <c r="H77" s="64">
        <v>16.55</v>
      </c>
      <c r="I77" s="64">
        <v>3.81</v>
      </c>
      <c r="J77" s="64">
        <v>0.54</v>
      </c>
      <c r="K77" s="64">
        <v>340.47</v>
      </c>
      <c r="L77" s="64">
        <v>22.97</v>
      </c>
      <c r="M77" s="64">
        <v>30.26</v>
      </c>
      <c r="N77" s="64">
        <v>47.1</v>
      </c>
      <c r="O77" s="64">
        <v>0</v>
      </c>
      <c r="P77" s="64">
        <v>0.86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1" t="s">
        <v>1373</v>
      </c>
      <c r="B78" s="64">
        <v>9.0299999999999994</v>
      </c>
      <c r="C78" s="64">
        <v>21.27</v>
      </c>
      <c r="D78" s="64">
        <v>17.89</v>
      </c>
      <c r="E78" s="64">
        <v>6.07</v>
      </c>
      <c r="F78" s="64">
        <v>3.65</v>
      </c>
      <c r="G78" s="64">
        <v>48.38</v>
      </c>
      <c r="H78" s="64">
        <v>17.510000000000002</v>
      </c>
      <c r="I78" s="64">
        <v>3.82</v>
      </c>
      <c r="J78" s="64">
        <v>-0.09</v>
      </c>
      <c r="K78" s="64">
        <v>0.32</v>
      </c>
      <c r="L78" s="64">
        <v>22.08</v>
      </c>
      <c r="M78" s="64">
        <v>33.43</v>
      </c>
      <c r="N78" s="64">
        <v>43.8</v>
      </c>
      <c r="O78" s="64">
        <v>0</v>
      </c>
      <c r="P78" s="64">
        <v>0.91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1" t="s">
        <v>1374</v>
      </c>
      <c r="B79" s="64">
        <v>13.1</v>
      </c>
      <c r="C79" s="64">
        <v>21.53</v>
      </c>
      <c r="D79" s="64">
        <v>21.29</v>
      </c>
      <c r="E79" s="64">
        <v>6.44</v>
      </c>
      <c r="F79" s="64">
        <v>3.64</v>
      </c>
      <c r="G79" s="64">
        <v>48.75</v>
      </c>
      <c r="H79" s="64">
        <v>17.510000000000002</v>
      </c>
      <c r="I79" s="64">
        <v>3.84</v>
      </c>
      <c r="J79" s="64">
        <v>0.13</v>
      </c>
      <c r="K79" s="64">
        <v>336.05</v>
      </c>
      <c r="L79" s="64">
        <v>21.08</v>
      </c>
      <c r="M79" s="64">
        <v>35.74</v>
      </c>
      <c r="N79" s="64">
        <v>43</v>
      </c>
      <c r="O79" s="64">
        <v>0</v>
      </c>
      <c r="P79" s="64">
        <v>0.98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1" t="s">
        <v>1375</v>
      </c>
      <c r="B80" s="64">
        <v>13.21</v>
      </c>
      <c r="C80" s="64">
        <v>21.91</v>
      </c>
      <c r="D80" s="64">
        <v>21.58</v>
      </c>
      <c r="E80" s="64">
        <v>5.78</v>
      </c>
      <c r="F80" s="64">
        <v>3.85</v>
      </c>
      <c r="G80" s="64">
        <v>48.75</v>
      </c>
      <c r="H80" s="64">
        <v>17.510000000000002</v>
      </c>
      <c r="I80" s="64">
        <v>4.13</v>
      </c>
      <c r="J80" s="64">
        <v>0.1</v>
      </c>
      <c r="K80" s="64">
        <v>4.01</v>
      </c>
      <c r="L80" s="64">
        <v>20.64</v>
      </c>
      <c r="M80" s="64">
        <v>40.729999999999997</v>
      </c>
      <c r="N80" s="64">
        <v>42.9</v>
      </c>
      <c r="O80" s="64">
        <v>0</v>
      </c>
      <c r="P80" s="64">
        <v>0.96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1" t="s">
        <v>1376</v>
      </c>
      <c r="B81" s="64">
        <v>17.82</v>
      </c>
      <c r="C81" s="64">
        <v>18.64</v>
      </c>
      <c r="D81" s="64">
        <v>23.57</v>
      </c>
      <c r="E81" s="64">
        <v>5.69</v>
      </c>
      <c r="F81" s="64">
        <v>3.05</v>
      </c>
      <c r="G81" s="64">
        <v>48.75</v>
      </c>
      <c r="H81" s="64">
        <v>17.510000000000002</v>
      </c>
      <c r="I81" s="64">
        <v>4.59</v>
      </c>
      <c r="J81" s="64">
        <v>0.1</v>
      </c>
      <c r="K81" s="64">
        <v>328.07</v>
      </c>
      <c r="L81" s="64">
        <v>20.37</v>
      </c>
      <c r="M81" s="64">
        <v>41.49</v>
      </c>
      <c r="N81" s="64">
        <v>42.6</v>
      </c>
      <c r="O81" s="64">
        <v>0</v>
      </c>
      <c r="P81" s="64">
        <v>1.02</v>
      </c>
      <c r="Q81" s="64">
        <v>9.3800000000000008</v>
      </c>
      <c r="R81" s="198"/>
      <c r="S81" s="198"/>
      <c r="T81" s="198"/>
      <c r="U81" s="198"/>
    </row>
    <row r="82" spans="1:26" s="12" customFormat="1" x14ac:dyDescent="0.25">
      <c r="A82" s="211" t="s">
        <v>1377</v>
      </c>
      <c r="B82" s="64">
        <v>16.29</v>
      </c>
      <c r="C82" s="64">
        <v>17.309999999999999</v>
      </c>
      <c r="D82" s="64">
        <v>21.65</v>
      </c>
      <c r="E82" s="64">
        <v>5.42</v>
      </c>
      <c r="F82" s="64">
        <v>2.83</v>
      </c>
      <c r="G82" s="64">
        <v>103.67</v>
      </c>
      <c r="H82" s="64">
        <v>26.24</v>
      </c>
      <c r="I82" s="64">
        <v>4.87</v>
      </c>
      <c r="J82" s="64">
        <v>0.1</v>
      </c>
      <c r="K82" s="64">
        <v>299.51</v>
      </c>
      <c r="L82" s="64">
        <v>19.940000000000001</v>
      </c>
      <c r="M82" s="64">
        <v>43.48</v>
      </c>
      <c r="N82" s="64">
        <v>42.7</v>
      </c>
      <c r="O82" s="64">
        <v>0</v>
      </c>
      <c r="P82" s="64">
        <v>1.03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1" t="s">
        <v>1378</v>
      </c>
      <c r="B83" s="64">
        <v>18.04</v>
      </c>
      <c r="C83" s="64">
        <v>16.989999999999998</v>
      </c>
      <c r="D83" s="64">
        <v>22.89</v>
      </c>
      <c r="E83" s="64">
        <v>5.59</v>
      </c>
      <c r="F83" s="64">
        <v>3.17</v>
      </c>
      <c r="G83" s="64">
        <v>107.59</v>
      </c>
      <c r="H83" s="64">
        <v>26.24</v>
      </c>
      <c r="I83" s="64">
        <v>5.04</v>
      </c>
      <c r="J83" s="64">
        <v>0.1</v>
      </c>
      <c r="K83" s="64">
        <v>306.08999999999997</v>
      </c>
      <c r="L83" s="64">
        <v>19.5</v>
      </c>
      <c r="M83" s="64">
        <v>47.65</v>
      </c>
      <c r="N83" s="64">
        <v>42.5</v>
      </c>
      <c r="O83" s="64">
        <v>0</v>
      </c>
      <c r="P83" s="64">
        <v>1.07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1" t="s">
        <v>1379</v>
      </c>
      <c r="B84" s="64">
        <v>19.93</v>
      </c>
      <c r="C84" s="64">
        <v>14.9</v>
      </c>
      <c r="D84" s="64">
        <v>23.3</v>
      </c>
      <c r="E84" s="64">
        <v>5.04</v>
      </c>
      <c r="F84" s="64">
        <v>3.31</v>
      </c>
      <c r="G84" s="64">
        <v>107.59</v>
      </c>
      <c r="H84" s="64">
        <v>26.24</v>
      </c>
      <c r="I84" s="64">
        <v>5.21</v>
      </c>
      <c r="J84" s="64">
        <v>0.12</v>
      </c>
      <c r="K84" s="64">
        <v>309.33</v>
      </c>
      <c r="L84" s="64">
        <v>19.079999999999998</v>
      </c>
      <c r="M84" s="64">
        <v>55.41</v>
      </c>
      <c r="N84" s="64">
        <v>42.6</v>
      </c>
      <c r="O84" s="64">
        <v>0</v>
      </c>
      <c r="P84" s="64">
        <v>1.1200000000000001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1" t="s">
        <v>1380</v>
      </c>
      <c r="B85" s="64">
        <v>33.42</v>
      </c>
      <c r="C85" s="64">
        <v>11.06</v>
      </c>
      <c r="D85" s="64">
        <v>31.67</v>
      </c>
      <c r="E85" s="64">
        <v>5.45</v>
      </c>
      <c r="F85" s="64">
        <v>3.44</v>
      </c>
      <c r="G85" s="64">
        <v>107.59</v>
      </c>
      <c r="H85" s="64">
        <v>26.24</v>
      </c>
      <c r="I85" s="64">
        <v>5.0599999999999996</v>
      </c>
      <c r="J85" s="64">
        <v>0.1</v>
      </c>
      <c r="K85" s="64">
        <v>318.39999999999998</v>
      </c>
      <c r="L85" s="64">
        <v>18.59</v>
      </c>
      <c r="M85" s="64">
        <v>60.85</v>
      </c>
      <c r="N85" s="64">
        <v>42.5</v>
      </c>
      <c r="O85" s="64">
        <v>0</v>
      </c>
      <c r="P85" s="64">
        <v>1.33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1" t="s">
        <v>1381</v>
      </c>
      <c r="B86" s="64">
        <v>33.93</v>
      </c>
      <c r="C86" s="64">
        <v>8.7100000000000009</v>
      </c>
      <c r="D86" s="64">
        <v>31.3</v>
      </c>
      <c r="E86" s="64">
        <v>5.4</v>
      </c>
      <c r="F86" s="64">
        <v>3.14</v>
      </c>
      <c r="G86" s="64">
        <v>131.32</v>
      </c>
      <c r="H86" s="64">
        <v>35.49</v>
      </c>
      <c r="I86" s="64">
        <v>5.17</v>
      </c>
      <c r="J86" s="64">
        <v>0.09</v>
      </c>
      <c r="K86" s="64">
        <v>52.83</v>
      </c>
      <c r="L86" s="64">
        <v>18.350000000000001</v>
      </c>
      <c r="M86" s="64">
        <v>60.98</v>
      </c>
      <c r="N86" s="64">
        <v>42.4</v>
      </c>
      <c r="O86" s="64">
        <v>0</v>
      </c>
      <c r="P86" s="64">
        <v>1.37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1" t="s">
        <v>1382</v>
      </c>
      <c r="B87" s="64">
        <v>52.26</v>
      </c>
      <c r="C87" s="64">
        <v>6.24</v>
      </c>
      <c r="D87" s="64">
        <v>44.07</v>
      </c>
      <c r="E87" s="64">
        <v>5.77</v>
      </c>
      <c r="F87" s="64">
        <v>3.51</v>
      </c>
      <c r="G87" s="64">
        <v>133.02000000000001</v>
      </c>
      <c r="H87" s="64">
        <v>35.49</v>
      </c>
      <c r="I87" s="64">
        <v>5.6</v>
      </c>
      <c r="J87" s="64">
        <v>7.0000000000000007E-2</v>
      </c>
      <c r="K87" s="64">
        <v>296.72000000000003</v>
      </c>
      <c r="L87" s="64">
        <v>18.329999999999998</v>
      </c>
      <c r="M87" s="64">
        <v>63.95</v>
      </c>
      <c r="N87" s="64">
        <v>42.3</v>
      </c>
      <c r="O87" s="64">
        <v>0</v>
      </c>
      <c r="P87" s="64">
        <v>1.61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1" t="s">
        <v>1383</v>
      </c>
      <c r="B88" s="64">
        <v>75.08</v>
      </c>
      <c r="C88" s="64">
        <v>2.7</v>
      </c>
      <c r="D88" s="64">
        <v>59.5</v>
      </c>
      <c r="E88" s="64">
        <v>6.58</v>
      </c>
      <c r="F88" s="64">
        <v>4.17</v>
      </c>
      <c r="G88" s="64">
        <v>133.02000000000001</v>
      </c>
      <c r="H88" s="64">
        <v>35.49</v>
      </c>
      <c r="I88" s="64">
        <v>6.04</v>
      </c>
      <c r="J88" s="64">
        <v>0.04</v>
      </c>
      <c r="K88" s="64">
        <v>139.31</v>
      </c>
      <c r="L88" s="64">
        <v>18.02</v>
      </c>
      <c r="M88" s="64">
        <v>68.849999999999994</v>
      </c>
      <c r="N88" s="64">
        <v>42.3</v>
      </c>
      <c r="O88" s="64">
        <v>0</v>
      </c>
      <c r="P88" s="64">
        <v>1.97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1" t="s">
        <v>1384</v>
      </c>
      <c r="B89" s="64">
        <v>93.15</v>
      </c>
      <c r="C89" s="64">
        <v>0.91</v>
      </c>
      <c r="D89" s="64">
        <v>71.790000000000006</v>
      </c>
      <c r="E89" s="64">
        <v>7.12</v>
      </c>
      <c r="F89" s="64">
        <v>4.43</v>
      </c>
      <c r="G89" s="64">
        <v>133.02000000000001</v>
      </c>
      <c r="H89" s="64">
        <v>35.49</v>
      </c>
      <c r="I89" s="64">
        <v>6.48</v>
      </c>
      <c r="J89" s="64">
        <v>0.06</v>
      </c>
      <c r="K89" s="64">
        <v>295.41000000000003</v>
      </c>
      <c r="L89" s="64">
        <v>17.84</v>
      </c>
      <c r="M89" s="64">
        <v>69.489999999999995</v>
      </c>
      <c r="N89" s="64">
        <v>42.3</v>
      </c>
      <c r="O89" s="64">
        <v>0</v>
      </c>
      <c r="P89" s="64">
        <v>2.16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1" t="s">
        <v>1385</v>
      </c>
      <c r="B90" s="64">
        <v>95.32</v>
      </c>
      <c r="C90" s="64">
        <v>1.02</v>
      </c>
      <c r="D90" s="64">
        <v>71.540000000000006</v>
      </c>
      <c r="E90" s="64">
        <v>6.83</v>
      </c>
      <c r="F90" s="64">
        <v>4.28</v>
      </c>
      <c r="G90" s="64">
        <v>164.75</v>
      </c>
      <c r="H90" s="64">
        <v>46.44</v>
      </c>
      <c r="I90" s="64">
        <v>6.9</v>
      </c>
      <c r="J90" s="64">
        <v>0.18</v>
      </c>
      <c r="K90" s="64">
        <v>307.72000000000003</v>
      </c>
      <c r="L90" s="64">
        <v>17.66</v>
      </c>
      <c r="M90" s="64">
        <v>74.260000000000005</v>
      </c>
      <c r="N90" s="64">
        <v>42.2</v>
      </c>
      <c r="O90" s="64">
        <v>0</v>
      </c>
      <c r="P90" s="64">
        <v>2.48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1" t="s">
        <v>1386</v>
      </c>
      <c r="B91" s="64">
        <v>88.74</v>
      </c>
      <c r="C91" s="64">
        <v>0.77</v>
      </c>
      <c r="D91" s="64">
        <v>66.099999999999994</v>
      </c>
      <c r="E91" s="64">
        <v>7.03</v>
      </c>
      <c r="F91" s="64">
        <v>3.96</v>
      </c>
      <c r="G91" s="64">
        <v>167.01</v>
      </c>
      <c r="H91" s="64">
        <v>46.44</v>
      </c>
      <c r="I91" s="64">
        <v>7.29</v>
      </c>
      <c r="J91" s="64">
        <v>0.08</v>
      </c>
      <c r="K91" s="64">
        <v>279.27</v>
      </c>
      <c r="L91" s="64">
        <v>17.420000000000002</v>
      </c>
      <c r="M91" s="64">
        <v>83.46</v>
      </c>
      <c r="N91" s="64">
        <v>42.4</v>
      </c>
      <c r="O91" s="64">
        <v>0</v>
      </c>
      <c r="P91" s="64">
        <v>2.31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1" t="s">
        <v>1387</v>
      </c>
      <c r="B92" s="64">
        <v>108.4</v>
      </c>
      <c r="C92" s="64">
        <v>0.18</v>
      </c>
      <c r="D92" s="64">
        <v>79.3</v>
      </c>
      <c r="E92" s="64">
        <v>7.26</v>
      </c>
      <c r="F92" s="64">
        <v>4.42</v>
      </c>
      <c r="G92" s="64">
        <v>167.01</v>
      </c>
      <c r="H92" s="64">
        <v>46.44</v>
      </c>
      <c r="I92" s="64">
        <v>8.1999999999999993</v>
      </c>
      <c r="J92" s="64">
        <v>0.1</v>
      </c>
      <c r="K92" s="64">
        <v>284.79000000000002</v>
      </c>
      <c r="L92" s="64">
        <v>17.25</v>
      </c>
      <c r="M92" s="64">
        <v>82.79</v>
      </c>
      <c r="N92" s="64">
        <v>42.3</v>
      </c>
      <c r="O92" s="64">
        <v>0</v>
      </c>
      <c r="P92" s="64">
        <v>2.73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1" t="s">
        <v>1388</v>
      </c>
      <c r="B93" s="64">
        <v>108.4</v>
      </c>
      <c r="C93" s="64">
        <v>0.06</v>
      </c>
      <c r="D93" s="64">
        <v>77.91</v>
      </c>
      <c r="E93" s="64">
        <v>7.23</v>
      </c>
      <c r="F93" s="64">
        <v>4.1100000000000003</v>
      </c>
      <c r="G93" s="64">
        <v>167.01</v>
      </c>
      <c r="H93" s="64">
        <v>46.44</v>
      </c>
      <c r="I93" s="64">
        <v>8.5399999999999991</v>
      </c>
      <c r="J93" s="64">
        <v>0.05</v>
      </c>
      <c r="K93" s="64">
        <v>129.16999999999999</v>
      </c>
      <c r="L93" s="64">
        <v>16.73</v>
      </c>
      <c r="M93" s="64">
        <v>88.12</v>
      </c>
      <c r="N93" s="64">
        <v>42.3</v>
      </c>
      <c r="O93" s="64">
        <v>0</v>
      </c>
      <c r="P93" s="64">
        <v>2.62</v>
      </c>
      <c r="Q93" s="64">
        <v>9.75</v>
      </c>
      <c r="R93" s="198"/>
      <c r="S93" s="198"/>
      <c r="T93" s="198"/>
      <c r="U93" s="198"/>
    </row>
    <row r="94" spans="1:26" s="12" customFormat="1" x14ac:dyDescent="0.25">
      <c r="A94" s="211" t="s">
        <v>1389</v>
      </c>
      <c r="B94" s="64">
        <v>98.45</v>
      </c>
      <c r="C94" s="6" t="s">
        <v>42</v>
      </c>
      <c r="D94" s="64">
        <v>69.97</v>
      </c>
      <c r="E94" s="64">
        <v>6.94</v>
      </c>
      <c r="F94" s="64">
        <v>4.03</v>
      </c>
      <c r="G94" s="64">
        <v>184.04</v>
      </c>
      <c r="H94" s="64">
        <v>58.62</v>
      </c>
      <c r="I94" s="64">
        <v>8.59</v>
      </c>
      <c r="J94" s="64">
        <v>0.11</v>
      </c>
      <c r="K94" s="64">
        <v>288.58</v>
      </c>
      <c r="L94" s="64">
        <v>16.649999999999999</v>
      </c>
      <c r="M94" s="64">
        <v>85.76</v>
      </c>
      <c r="N94" s="64">
        <v>42.1</v>
      </c>
      <c r="O94" s="64">
        <v>0</v>
      </c>
      <c r="P94" s="64">
        <v>2.56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11" t="s">
        <v>1390</v>
      </c>
      <c r="B95" s="64">
        <v>97.1</v>
      </c>
      <c r="C95" s="6" t="s">
        <v>42</v>
      </c>
      <c r="D95" s="64">
        <v>67.78</v>
      </c>
      <c r="E95" s="64">
        <v>6.24</v>
      </c>
      <c r="F95" s="64">
        <v>3.79</v>
      </c>
      <c r="G95" s="64">
        <v>185.26</v>
      </c>
      <c r="H95" s="64">
        <v>58.62</v>
      </c>
      <c r="I95" s="64">
        <v>8.9</v>
      </c>
      <c r="J95" s="64">
        <v>7.0000000000000007E-2</v>
      </c>
      <c r="K95" s="64">
        <v>316.88</v>
      </c>
      <c r="L95" s="64">
        <v>16.73</v>
      </c>
      <c r="M95" s="64">
        <v>86.72</v>
      </c>
      <c r="N95" s="64">
        <v>42.2</v>
      </c>
      <c r="O95" s="64">
        <v>0</v>
      </c>
      <c r="P95" s="64">
        <v>2.48</v>
      </c>
      <c r="Q95" s="64">
        <v>9.77</v>
      </c>
      <c r="R95" s="198"/>
      <c r="S95" s="198"/>
      <c r="T95" s="198"/>
      <c r="U95" s="198"/>
    </row>
    <row r="96" spans="1:26" s="12" customFormat="1" x14ac:dyDescent="0.25">
      <c r="A96" s="211" t="s">
        <v>1391</v>
      </c>
      <c r="B96" s="64">
        <v>101.19</v>
      </c>
      <c r="C96" s="6" t="s">
        <v>42</v>
      </c>
      <c r="D96" s="64">
        <v>69.989999999999995</v>
      </c>
      <c r="E96" s="64">
        <v>6.75</v>
      </c>
      <c r="F96" s="64">
        <v>3.52</v>
      </c>
      <c r="G96" s="64">
        <v>185.26</v>
      </c>
      <c r="H96" s="64">
        <v>58.62</v>
      </c>
      <c r="I96" s="64">
        <v>9.7100000000000009</v>
      </c>
      <c r="J96" s="64">
        <v>0.15</v>
      </c>
      <c r="K96" s="64">
        <v>324.92</v>
      </c>
      <c r="L96" s="64">
        <v>16.61</v>
      </c>
      <c r="M96" s="64">
        <v>87.7</v>
      </c>
      <c r="N96" s="64">
        <v>42.4</v>
      </c>
      <c r="O96" s="64">
        <v>0</v>
      </c>
      <c r="P96" s="64">
        <v>2.5499999999999998</v>
      </c>
      <c r="Q96" s="64">
        <v>9.81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1392</v>
      </c>
      <c r="B97" s="64">
        <v>106.15</v>
      </c>
      <c r="C97" s="6" t="s">
        <v>42</v>
      </c>
      <c r="D97" s="64">
        <v>72.7</v>
      </c>
      <c r="E97" s="64">
        <v>6.39</v>
      </c>
      <c r="F97" s="64">
        <v>3.69</v>
      </c>
      <c r="G97" s="64">
        <v>185.26</v>
      </c>
      <c r="H97" s="64">
        <v>58.62</v>
      </c>
      <c r="I97" s="64">
        <v>9.75</v>
      </c>
      <c r="J97" s="64">
        <v>0.09</v>
      </c>
      <c r="K97" s="64">
        <v>273.14999999999998</v>
      </c>
      <c r="L97" s="64">
        <v>16.5</v>
      </c>
      <c r="M97" s="64">
        <v>84.09</v>
      </c>
      <c r="N97" s="64">
        <v>42.3</v>
      </c>
      <c r="O97" s="64">
        <v>0</v>
      </c>
      <c r="P97" s="64">
        <v>2.62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1" t="s">
        <v>1393</v>
      </c>
      <c r="B98" s="64">
        <v>108.91</v>
      </c>
      <c r="C98" s="6" t="s">
        <v>42</v>
      </c>
      <c r="D98" s="64">
        <v>74.11</v>
      </c>
      <c r="E98" s="64">
        <v>6.4</v>
      </c>
      <c r="F98" s="64">
        <v>3.49</v>
      </c>
      <c r="G98" s="64">
        <v>153.85</v>
      </c>
      <c r="H98" s="64">
        <v>60.98</v>
      </c>
      <c r="I98" s="64">
        <v>9.52</v>
      </c>
      <c r="J98" s="64">
        <v>0.11</v>
      </c>
      <c r="K98" s="64">
        <v>260.99</v>
      </c>
      <c r="L98" s="64">
        <v>16.23</v>
      </c>
      <c r="M98" s="64">
        <v>80.930000000000007</v>
      </c>
      <c r="N98" s="64">
        <v>42.3</v>
      </c>
      <c r="O98" s="64">
        <v>0</v>
      </c>
      <c r="P98" s="64">
        <v>2.65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11" t="s">
        <v>1394</v>
      </c>
      <c r="B99" s="64">
        <v>108.6</v>
      </c>
      <c r="C99" s="6" t="s">
        <v>42</v>
      </c>
      <c r="D99" s="64">
        <v>73.77</v>
      </c>
      <c r="E99" s="64">
        <v>6.5</v>
      </c>
      <c r="F99" s="64">
        <v>3.31</v>
      </c>
      <c r="G99" s="64">
        <v>151.61000000000001</v>
      </c>
      <c r="H99" s="64">
        <v>60.98</v>
      </c>
      <c r="I99" s="64">
        <v>10.24</v>
      </c>
      <c r="J99" s="64">
        <v>0.09</v>
      </c>
      <c r="K99" s="64">
        <v>294.19</v>
      </c>
      <c r="L99" s="64">
        <v>15.95</v>
      </c>
      <c r="M99" s="64">
        <v>83.27</v>
      </c>
      <c r="N99" s="64">
        <v>42.4</v>
      </c>
      <c r="O99" s="64">
        <v>0</v>
      </c>
      <c r="P99" s="64">
        <v>2.63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1" t="s">
        <v>1395</v>
      </c>
      <c r="B100" s="64">
        <v>108.01</v>
      </c>
      <c r="C100" s="6" t="s">
        <v>42</v>
      </c>
      <c r="D100" s="64">
        <v>73.290000000000006</v>
      </c>
      <c r="E100" s="64">
        <v>6.63</v>
      </c>
      <c r="F100" s="64">
        <v>3.47</v>
      </c>
      <c r="G100" s="64">
        <v>151.61000000000001</v>
      </c>
      <c r="H100" s="64">
        <v>60.98</v>
      </c>
      <c r="I100" s="64">
        <v>10.050000000000001</v>
      </c>
      <c r="J100" s="64">
        <v>0.09</v>
      </c>
      <c r="K100" s="64">
        <v>314.33</v>
      </c>
      <c r="L100" s="64">
        <v>15.71</v>
      </c>
      <c r="M100" s="64">
        <v>86.22</v>
      </c>
      <c r="N100" s="64">
        <v>42.4</v>
      </c>
      <c r="O100" s="64">
        <v>0</v>
      </c>
      <c r="P100" s="64">
        <v>2.61</v>
      </c>
      <c r="Q100" s="64">
        <v>9.81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1396</v>
      </c>
      <c r="B101" s="64">
        <v>107.08</v>
      </c>
      <c r="C101" s="6" t="s">
        <v>42</v>
      </c>
      <c r="D101" s="64">
        <v>72.510000000000005</v>
      </c>
      <c r="E101" s="64">
        <v>6.24</v>
      </c>
      <c r="F101" s="64">
        <v>3.61</v>
      </c>
      <c r="G101" s="64">
        <v>151.61000000000001</v>
      </c>
      <c r="H101" s="64">
        <v>60.98</v>
      </c>
      <c r="I101" s="64">
        <v>9.5299999999999994</v>
      </c>
      <c r="J101" s="64">
        <v>7.0000000000000007E-2</v>
      </c>
      <c r="K101" s="64">
        <v>314.36</v>
      </c>
      <c r="L101" s="64">
        <v>15.52</v>
      </c>
      <c r="M101" s="64">
        <v>87.99</v>
      </c>
      <c r="N101" s="64">
        <v>42.3</v>
      </c>
      <c r="O101" s="64">
        <v>0</v>
      </c>
      <c r="P101" s="64">
        <v>2.57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1" t="s">
        <v>1397</v>
      </c>
      <c r="B102" s="64">
        <v>104.8</v>
      </c>
      <c r="C102" s="6" t="s">
        <v>42</v>
      </c>
      <c r="D102" s="64">
        <v>71.010000000000005</v>
      </c>
      <c r="E102" s="64">
        <v>5.9</v>
      </c>
      <c r="F102" s="64">
        <v>3.2</v>
      </c>
      <c r="G102" s="64">
        <v>112.96</v>
      </c>
      <c r="H102" s="64">
        <v>49.95</v>
      </c>
      <c r="I102" s="64">
        <v>9.43</v>
      </c>
      <c r="J102" s="64">
        <v>0.11</v>
      </c>
      <c r="K102" s="64">
        <v>307.06</v>
      </c>
      <c r="L102" s="64">
        <v>15.36</v>
      </c>
      <c r="M102" s="64">
        <v>88.48</v>
      </c>
      <c r="N102" s="64">
        <v>42.3</v>
      </c>
      <c r="O102" s="64">
        <v>0</v>
      </c>
      <c r="P102" s="64">
        <v>2.54</v>
      </c>
      <c r="Q102" s="64">
        <v>9.84</v>
      </c>
      <c r="R102" s="198"/>
      <c r="S102" s="198"/>
      <c r="T102" s="198"/>
      <c r="U102" s="198"/>
    </row>
    <row r="103" spans="1:33" s="12" customFormat="1" x14ac:dyDescent="0.25">
      <c r="A103" s="211" t="s">
        <v>1398</v>
      </c>
      <c r="B103" s="64">
        <v>102.52</v>
      </c>
      <c r="C103" s="6" t="s">
        <v>42</v>
      </c>
      <c r="D103" s="64">
        <v>69.56</v>
      </c>
      <c r="E103" s="64">
        <v>6.46</v>
      </c>
      <c r="F103" s="64">
        <v>3.38</v>
      </c>
      <c r="G103" s="64">
        <v>110.2</v>
      </c>
      <c r="H103" s="64">
        <v>49.95</v>
      </c>
      <c r="I103" s="64">
        <v>9.32</v>
      </c>
      <c r="J103" s="64">
        <v>0.11</v>
      </c>
      <c r="K103" s="64">
        <v>300.27</v>
      </c>
      <c r="L103" s="64">
        <v>15.38</v>
      </c>
      <c r="M103" s="64">
        <v>91.51</v>
      </c>
      <c r="N103" s="64">
        <v>42.3</v>
      </c>
      <c r="O103" s="64">
        <v>0</v>
      </c>
      <c r="P103" s="64">
        <v>2.4900000000000002</v>
      </c>
      <c r="Q103" s="64">
        <v>9.81</v>
      </c>
      <c r="R103" s="198"/>
      <c r="S103" s="198"/>
      <c r="T103" s="198"/>
      <c r="U103" s="198"/>
    </row>
    <row r="104" spans="1:33" s="12" customFormat="1" x14ac:dyDescent="0.25">
      <c r="A104" s="211" t="s">
        <v>1399</v>
      </c>
      <c r="B104" s="64">
        <v>100.44</v>
      </c>
      <c r="C104" s="6" t="s">
        <v>42</v>
      </c>
      <c r="D104" s="64">
        <v>68.37</v>
      </c>
      <c r="E104" s="64">
        <v>6.26</v>
      </c>
      <c r="F104" s="64">
        <v>3.14</v>
      </c>
      <c r="G104" s="64">
        <v>110.2</v>
      </c>
      <c r="H104" s="64">
        <v>49.95</v>
      </c>
      <c r="I104" s="64">
        <v>9.19</v>
      </c>
      <c r="J104" s="64">
        <v>0.13</v>
      </c>
      <c r="K104" s="64">
        <v>302.08999999999997</v>
      </c>
      <c r="L104" s="64">
        <v>15.17</v>
      </c>
      <c r="M104" s="64">
        <v>91.28</v>
      </c>
      <c r="N104" s="64">
        <v>42.3</v>
      </c>
      <c r="O104" s="64">
        <v>0</v>
      </c>
      <c r="P104" s="64">
        <v>2.4300000000000002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3.92</v>
      </c>
      <c r="C106" s="67">
        <f>MIN(C9:C104)</f>
        <v>0.06</v>
      </c>
      <c r="D106" s="67">
        <f t="shared" ref="D106:Q106" si="0">MIN(D9:D104)</f>
        <v>16.829999999999998</v>
      </c>
      <c r="E106" s="67">
        <f t="shared" si="0"/>
        <v>4.7</v>
      </c>
      <c r="F106" s="67">
        <f t="shared" si="0"/>
        <v>2.83</v>
      </c>
      <c r="G106" s="67">
        <f t="shared" si="0"/>
        <v>41.9</v>
      </c>
      <c r="H106" s="67">
        <f t="shared" si="0"/>
        <v>16.55</v>
      </c>
      <c r="I106" s="67">
        <f t="shared" si="0"/>
        <v>3.67</v>
      </c>
      <c r="J106" s="67">
        <f t="shared" si="0"/>
        <v>-0.09</v>
      </c>
      <c r="K106" s="67">
        <f t="shared" si="0"/>
        <v>0.32</v>
      </c>
      <c r="L106" s="67">
        <f t="shared" si="0"/>
        <v>12.61</v>
      </c>
      <c r="M106" s="67">
        <f t="shared" si="0"/>
        <v>20.04</v>
      </c>
      <c r="N106" s="67">
        <f t="shared" si="0"/>
        <v>40.1</v>
      </c>
      <c r="O106" s="67">
        <f t="shared" si="0"/>
        <v>0</v>
      </c>
      <c r="P106" s="67">
        <f t="shared" si="0"/>
        <v>0.63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108.91</v>
      </c>
      <c r="C107" s="66">
        <f t="shared" ref="C107:Q107" si="1">MAX(C9:C104)</f>
        <v>37.99</v>
      </c>
      <c r="D107" s="66">
        <f t="shared" si="1"/>
        <v>79.3</v>
      </c>
      <c r="E107" s="66">
        <f t="shared" si="1"/>
        <v>21.52</v>
      </c>
      <c r="F107" s="66">
        <f t="shared" si="1"/>
        <v>26.96</v>
      </c>
      <c r="G107" s="66">
        <f t="shared" si="1"/>
        <v>185.26</v>
      </c>
      <c r="H107" s="66">
        <f t="shared" si="1"/>
        <v>60.98</v>
      </c>
      <c r="I107" s="66">
        <f t="shared" si="1"/>
        <v>10.24</v>
      </c>
      <c r="J107" s="66">
        <f t="shared" si="1"/>
        <v>1.0900000000000001</v>
      </c>
      <c r="K107" s="66">
        <f t="shared" si="1"/>
        <v>349.92</v>
      </c>
      <c r="L107" s="66">
        <f t="shared" si="1"/>
        <v>28.22</v>
      </c>
      <c r="M107" s="66">
        <f t="shared" si="1"/>
        <v>98.03</v>
      </c>
      <c r="N107" s="66">
        <f t="shared" si="1"/>
        <v>748.1</v>
      </c>
      <c r="O107" s="66">
        <f t="shared" si="1"/>
        <v>0</v>
      </c>
      <c r="P107" s="66">
        <f t="shared" si="1"/>
        <v>2.73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47.691249999999997</v>
      </c>
      <c r="C108" s="67">
        <f t="shared" ref="C108:Q108" si="2">AVERAGE(C9:C104)</f>
        <v>14.323584905660372</v>
      </c>
      <c r="D108" s="67">
        <f t="shared" si="2"/>
        <v>39.122708333333343</v>
      </c>
      <c r="E108" s="67">
        <f t="shared" si="2"/>
        <v>6.764895833333334</v>
      </c>
      <c r="F108" s="67">
        <f t="shared" si="2"/>
        <v>5.0109374999999989</v>
      </c>
      <c r="G108" s="67">
        <f t="shared" si="2"/>
        <v>86.464062500000011</v>
      </c>
      <c r="H108" s="67">
        <f t="shared" si="2"/>
        <v>32.158124999999977</v>
      </c>
      <c r="I108" s="67">
        <f t="shared" si="2"/>
        <v>5.5779166666666695</v>
      </c>
      <c r="J108" s="67">
        <f t="shared" si="2"/>
        <v>0.25010416666666674</v>
      </c>
      <c r="K108" s="67">
        <f t="shared" si="2"/>
        <v>234.66343750000013</v>
      </c>
      <c r="L108" s="67">
        <f t="shared" si="2"/>
        <v>19.788541666666656</v>
      </c>
      <c r="M108" s="67">
        <f t="shared" si="2"/>
        <v>58.858958333333341</v>
      </c>
      <c r="N108" s="67">
        <f t="shared" si="2"/>
        <v>193.58541666666659</v>
      </c>
      <c r="O108" s="67">
        <f t="shared" si="2"/>
        <v>0</v>
      </c>
      <c r="P108" s="67">
        <f t="shared" si="2"/>
        <v>1.4121874999999999</v>
      </c>
      <c r="Q108" s="67">
        <f t="shared" si="2"/>
        <v>9.6106249999999989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32.982677439113878</v>
      </c>
      <c r="C109" s="67">
        <f t="shared" ref="C109:Q109" si="3">STDEV(C9:C104)</f>
        <v>9.3929718190578075</v>
      </c>
      <c r="D109" s="67">
        <f t="shared" si="3"/>
        <v>18.809567301280552</v>
      </c>
      <c r="E109" s="67">
        <f t="shared" si="3"/>
        <v>2.9839380531144708</v>
      </c>
      <c r="F109" s="67">
        <f t="shared" si="3"/>
        <v>3.8884049166788981</v>
      </c>
      <c r="G109" s="67">
        <f t="shared" si="3"/>
        <v>41.460814564779142</v>
      </c>
      <c r="H109" s="67">
        <f t="shared" si="3"/>
        <v>12.199702180359779</v>
      </c>
      <c r="I109" s="67">
        <f t="shared" si="3"/>
        <v>1.7019653757790874</v>
      </c>
      <c r="J109" s="67">
        <f t="shared" si="3"/>
        <v>0.26145541953363438</v>
      </c>
      <c r="K109" s="67">
        <f t="shared" si="3"/>
        <v>108.78721280146745</v>
      </c>
      <c r="L109" s="67">
        <f t="shared" si="3"/>
        <v>5.2673013122504688</v>
      </c>
      <c r="M109" s="67">
        <f t="shared" si="3"/>
        <v>30.085061531008375</v>
      </c>
      <c r="N109" s="67">
        <f t="shared" si="3"/>
        <v>239.54189831477399</v>
      </c>
      <c r="O109" s="67">
        <f t="shared" si="3"/>
        <v>0</v>
      </c>
      <c r="P109" s="67">
        <f t="shared" si="3"/>
        <v>0.58872065241415417</v>
      </c>
      <c r="Q109" s="67">
        <f t="shared" si="3"/>
        <v>0.17854860756432103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>COUNT(C9:C104)+43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M115" sqref="M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1400</v>
      </c>
      <c r="B9" s="64">
        <v>98.5</v>
      </c>
      <c r="C9" s="6" t="s">
        <v>42</v>
      </c>
      <c r="D9" s="64">
        <v>67.03</v>
      </c>
      <c r="E9" s="64">
        <v>5.77</v>
      </c>
      <c r="F9" s="64">
        <v>2.9</v>
      </c>
      <c r="G9" s="64">
        <v>110.2</v>
      </c>
      <c r="H9" s="64">
        <v>49.95</v>
      </c>
      <c r="I9" s="64">
        <v>9.0500000000000007</v>
      </c>
      <c r="J9" s="64">
        <v>0.21</v>
      </c>
      <c r="K9" s="64">
        <v>312.3</v>
      </c>
      <c r="L9" s="64">
        <v>15.03</v>
      </c>
      <c r="M9" s="64">
        <v>86.81</v>
      </c>
      <c r="N9" s="64">
        <v>42.2</v>
      </c>
      <c r="O9" s="64">
        <v>0</v>
      </c>
      <c r="P9" s="64">
        <v>2.38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11" t="s">
        <v>1401</v>
      </c>
      <c r="B10" s="64">
        <v>95.85</v>
      </c>
      <c r="C10" s="6" t="s">
        <v>42</v>
      </c>
      <c r="D10" s="64">
        <v>65.45</v>
      </c>
      <c r="E10" s="64">
        <v>5.99</v>
      </c>
      <c r="F10" s="64">
        <v>2.91</v>
      </c>
      <c r="G10" s="64">
        <v>85.38</v>
      </c>
      <c r="H10" s="64">
        <v>39.520000000000003</v>
      </c>
      <c r="I10" s="64">
        <v>8.93</v>
      </c>
      <c r="J10" s="64">
        <v>0.17</v>
      </c>
      <c r="K10" s="64">
        <v>320.23</v>
      </c>
      <c r="L10" s="64">
        <v>14.98</v>
      </c>
      <c r="M10" s="64">
        <v>91.16</v>
      </c>
      <c r="N10" s="64">
        <v>41.9</v>
      </c>
      <c r="O10" s="64">
        <v>0</v>
      </c>
      <c r="P10" s="64">
        <v>2.36</v>
      </c>
      <c r="Q10" s="64">
        <v>9.8000000000000007</v>
      </c>
      <c r="R10" s="198"/>
      <c r="S10" s="198"/>
      <c r="T10" s="198"/>
      <c r="U10" s="198"/>
    </row>
    <row r="11" spans="1:21" s="12" customFormat="1" x14ac:dyDescent="0.25">
      <c r="A11" s="211" t="s">
        <v>1402</v>
      </c>
      <c r="B11" s="64">
        <v>92.7</v>
      </c>
      <c r="C11" s="6" t="s">
        <v>42</v>
      </c>
      <c r="D11" s="64">
        <v>63.73</v>
      </c>
      <c r="E11" s="64">
        <v>6.23</v>
      </c>
      <c r="F11" s="64">
        <v>3.3</v>
      </c>
      <c r="G11" s="64">
        <v>83.61</v>
      </c>
      <c r="H11" s="64">
        <v>39.520000000000003</v>
      </c>
      <c r="I11" s="64">
        <v>8.85</v>
      </c>
      <c r="J11" s="64">
        <v>0.06</v>
      </c>
      <c r="K11" s="64">
        <v>349.72</v>
      </c>
      <c r="L11" s="64">
        <v>15.07</v>
      </c>
      <c r="M11" s="64">
        <v>86.21</v>
      </c>
      <c r="N11" s="64">
        <v>42.2</v>
      </c>
      <c r="O11" s="64">
        <v>0</v>
      </c>
      <c r="P11" s="64">
        <v>2.34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1" t="s">
        <v>1403</v>
      </c>
      <c r="B12" s="64">
        <v>89.16</v>
      </c>
      <c r="C12" s="6" t="s">
        <v>42</v>
      </c>
      <c r="D12" s="64">
        <v>61.75</v>
      </c>
      <c r="E12" s="64">
        <v>6.49</v>
      </c>
      <c r="F12" s="64">
        <v>3.34</v>
      </c>
      <c r="G12" s="64">
        <v>83.61</v>
      </c>
      <c r="H12" s="64">
        <v>39.520000000000003</v>
      </c>
      <c r="I12" s="64">
        <v>8.76</v>
      </c>
      <c r="J12" s="64">
        <v>0.05</v>
      </c>
      <c r="K12" s="64">
        <v>319.17</v>
      </c>
      <c r="L12" s="64">
        <v>15.04</v>
      </c>
      <c r="M12" s="64">
        <v>87.69</v>
      </c>
      <c r="N12" s="64">
        <v>42</v>
      </c>
      <c r="O12" s="64">
        <v>0</v>
      </c>
      <c r="P12" s="64">
        <v>2.2999999999999998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1" t="s">
        <v>1404</v>
      </c>
      <c r="B13" s="64">
        <v>85.73</v>
      </c>
      <c r="C13" s="6" t="s">
        <v>42</v>
      </c>
      <c r="D13" s="64">
        <v>59.74</v>
      </c>
      <c r="E13" s="64">
        <v>6.22</v>
      </c>
      <c r="F13" s="64">
        <v>3.21</v>
      </c>
      <c r="G13" s="64">
        <v>83.61</v>
      </c>
      <c r="H13" s="64">
        <v>39.520000000000003</v>
      </c>
      <c r="I13" s="64">
        <v>8.6199999999999992</v>
      </c>
      <c r="J13" s="64">
        <v>7.0000000000000007E-2</v>
      </c>
      <c r="K13" s="64">
        <v>221.39</v>
      </c>
      <c r="L13" s="64">
        <v>15.21</v>
      </c>
      <c r="M13" s="64">
        <v>85.99</v>
      </c>
      <c r="N13" s="64">
        <v>42.2</v>
      </c>
      <c r="O13" s="64">
        <v>0</v>
      </c>
      <c r="P13" s="64">
        <v>1.85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1" t="s">
        <v>1405</v>
      </c>
      <c r="B14" s="64">
        <v>82.44</v>
      </c>
      <c r="C14" s="6" t="s">
        <v>42</v>
      </c>
      <c r="D14" s="64">
        <v>57.89</v>
      </c>
      <c r="E14" s="64">
        <v>6.21</v>
      </c>
      <c r="F14" s="64">
        <v>3.31</v>
      </c>
      <c r="G14" s="64">
        <v>74.75</v>
      </c>
      <c r="H14" s="64">
        <v>34.49</v>
      </c>
      <c r="I14" s="64">
        <v>8.4600000000000009</v>
      </c>
      <c r="J14" s="64">
        <v>0.06</v>
      </c>
      <c r="K14" s="64">
        <v>252.26</v>
      </c>
      <c r="L14" s="64">
        <v>15.01</v>
      </c>
      <c r="M14" s="64">
        <v>86.69</v>
      </c>
      <c r="N14" s="64">
        <v>42.3</v>
      </c>
      <c r="O14" s="64">
        <v>0</v>
      </c>
      <c r="P14" s="64">
        <v>1.91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11" t="s">
        <v>1406</v>
      </c>
      <c r="B15" s="64">
        <v>79.13</v>
      </c>
      <c r="C15" s="6" t="s">
        <v>42</v>
      </c>
      <c r="D15" s="64">
        <v>55.94</v>
      </c>
      <c r="E15" s="64">
        <v>5.95</v>
      </c>
      <c r="F15" s="64">
        <v>2.95</v>
      </c>
      <c r="G15" s="64">
        <v>74.12</v>
      </c>
      <c r="H15" s="64">
        <v>34.49</v>
      </c>
      <c r="I15" s="64">
        <v>8.35</v>
      </c>
      <c r="J15" s="64">
        <v>0.06</v>
      </c>
      <c r="K15" s="64">
        <v>179.18</v>
      </c>
      <c r="L15" s="64">
        <v>14.77</v>
      </c>
      <c r="M15" s="64">
        <v>89.18</v>
      </c>
      <c r="N15" s="64">
        <v>42.3</v>
      </c>
      <c r="O15" s="64">
        <v>0</v>
      </c>
      <c r="P15" s="64">
        <v>1.86</v>
      </c>
      <c r="Q15" s="64">
        <v>9.77</v>
      </c>
      <c r="R15" s="198"/>
      <c r="S15" s="198"/>
      <c r="T15" s="198"/>
      <c r="U15" s="198"/>
    </row>
    <row r="16" spans="1:21" s="12" customFormat="1" x14ac:dyDescent="0.25">
      <c r="A16" s="211" t="s">
        <v>1407</v>
      </c>
      <c r="B16" s="64">
        <v>75.64</v>
      </c>
      <c r="C16" s="6" t="s">
        <v>42</v>
      </c>
      <c r="D16" s="64">
        <v>53.92</v>
      </c>
      <c r="E16" s="64">
        <v>5.99</v>
      </c>
      <c r="F16" s="64">
        <v>3.13</v>
      </c>
      <c r="G16" s="64">
        <v>74.12</v>
      </c>
      <c r="H16" s="64">
        <v>34.49</v>
      </c>
      <c r="I16" s="64">
        <v>8.2899999999999991</v>
      </c>
      <c r="J16" s="64">
        <v>7.0000000000000007E-2</v>
      </c>
      <c r="K16" s="64">
        <v>280.61</v>
      </c>
      <c r="L16" s="64">
        <v>14.49</v>
      </c>
      <c r="M16" s="64">
        <v>93.02</v>
      </c>
      <c r="N16" s="64">
        <v>42.3</v>
      </c>
      <c r="O16" s="64">
        <v>0</v>
      </c>
      <c r="P16" s="64">
        <v>1.82</v>
      </c>
      <c r="Q16" s="64">
        <v>9.77</v>
      </c>
      <c r="R16" s="198"/>
      <c r="S16" s="198"/>
      <c r="T16" s="198"/>
      <c r="U16" s="198"/>
    </row>
    <row r="17" spans="1:21" s="12" customFormat="1" x14ac:dyDescent="0.25">
      <c r="A17" s="211" t="s">
        <v>1408</v>
      </c>
      <c r="B17" s="64">
        <v>72.39</v>
      </c>
      <c r="C17" s="6" t="s">
        <v>42</v>
      </c>
      <c r="D17" s="64">
        <v>51.9</v>
      </c>
      <c r="E17" s="64">
        <v>5.7</v>
      </c>
      <c r="F17" s="64">
        <v>3.43</v>
      </c>
      <c r="G17" s="64">
        <v>74.12</v>
      </c>
      <c r="H17" s="64">
        <v>34.49</v>
      </c>
      <c r="I17" s="64">
        <v>8.3000000000000007</v>
      </c>
      <c r="J17" s="64">
        <v>0.08</v>
      </c>
      <c r="K17" s="64">
        <v>93.29</v>
      </c>
      <c r="L17" s="64">
        <v>14.32</v>
      </c>
      <c r="M17" s="64">
        <v>94.38</v>
      </c>
      <c r="N17" s="64">
        <v>42.3</v>
      </c>
      <c r="O17" s="64">
        <v>0</v>
      </c>
      <c r="P17" s="64">
        <v>1.77</v>
      </c>
      <c r="Q17" s="64">
        <v>9.75</v>
      </c>
      <c r="R17" s="198"/>
      <c r="S17" s="198"/>
      <c r="T17" s="198"/>
      <c r="U17" s="198"/>
    </row>
    <row r="18" spans="1:21" s="12" customFormat="1" x14ac:dyDescent="0.25">
      <c r="A18" s="211" t="s">
        <v>1409</v>
      </c>
      <c r="B18" s="64">
        <v>69.5</v>
      </c>
      <c r="C18" s="6" t="s">
        <v>42</v>
      </c>
      <c r="D18" s="64">
        <v>50.1</v>
      </c>
      <c r="E18" s="64">
        <v>6.19</v>
      </c>
      <c r="F18" s="64">
        <v>3.42</v>
      </c>
      <c r="G18" s="64">
        <v>74.03</v>
      </c>
      <c r="H18" s="64">
        <v>35.15</v>
      </c>
      <c r="I18" s="64">
        <v>8.3699999999999992</v>
      </c>
      <c r="J18" s="64">
        <v>0.04</v>
      </c>
      <c r="K18" s="64">
        <v>164.63</v>
      </c>
      <c r="L18" s="64">
        <v>14.59</v>
      </c>
      <c r="M18" s="64">
        <v>95.44</v>
      </c>
      <c r="N18" s="64">
        <v>41.9</v>
      </c>
      <c r="O18" s="64">
        <v>0</v>
      </c>
      <c r="P18" s="64">
        <v>1.7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1" t="s">
        <v>1410</v>
      </c>
      <c r="B19" s="64">
        <v>66.709999999999994</v>
      </c>
      <c r="C19" s="6" t="s">
        <v>42</v>
      </c>
      <c r="D19" s="64">
        <v>48.32</v>
      </c>
      <c r="E19" s="64">
        <v>6.11</v>
      </c>
      <c r="F19" s="64">
        <v>3.36</v>
      </c>
      <c r="G19" s="64">
        <v>74.02</v>
      </c>
      <c r="H19" s="64">
        <v>35.15</v>
      </c>
      <c r="I19" s="64">
        <v>8.41</v>
      </c>
      <c r="J19" s="64">
        <v>7.0000000000000007E-2</v>
      </c>
      <c r="K19" s="64">
        <v>337.96</v>
      </c>
      <c r="L19" s="64">
        <v>14.64</v>
      </c>
      <c r="M19" s="64">
        <v>96.89</v>
      </c>
      <c r="N19" s="64">
        <v>42.2</v>
      </c>
      <c r="O19" s="64">
        <v>0</v>
      </c>
      <c r="P19" s="64">
        <v>1.63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1" t="s">
        <v>1411</v>
      </c>
      <c r="B20" s="64">
        <v>64.2</v>
      </c>
      <c r="C20" s="6" t="s">
        <v>42</v>
      </c>
      <c r="D20" s="64">
        <v>46.77</v>
      </c>
      <c r="E20" s="64">
        <v>5.81</v>
      </c>
      <c r="F20" s="64">
        <v>3.25</v>
      </c>
      <c r="G20" s="64">
        <v>74.02</v>
      </c>
      <c r="H20" s="64">
        <v>35.15</v>
      </c>
      <c r="I20" s="64">
        <v>8.3800000000000008</v>
      </c>
      <c r="J20" s="64">
        <v>0.09</v>
      </c>
      <c r="K20" s="64">
        <v>253.02</v>
      </c>
      <c r="L20" s="64">
        <v>14.65</v>
      </c>
      <c r="M20" s="64">
        <v>96.66</v>
      </c>
      <c r="N20" s="64">
        <v>42</v>
      </c>
      <c r="O20" s="64">
        <v>0</v>
      </c>
      <c r="P20" s="64">
        <v>1.59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1" t="s">
        <v>1412</v>
      </c>
      <c r="B21" s="64">
        <v>61.81</v>
      </c>
      <c r="C21" s="6" t="s">
        <v>42</v>
      </c>
      <c r="D21" s="64">
        <v>45.45</v>
      </c>
      <c r="E21" s="64">
        <v>5.89</v>
      </c>
      <c r="F21" s="64">
        <v>3.29</v>
      </c>
      <c r="G21" s="64">
        <v>74.02</v>
      </c>
      <c r="H21" s="64">
        <v>35.15</v>
      </c>
      <c r="I21" s="64">
        <v>8.31</v>
      </c>
      <c r="J21" s="64">
        <v>7.0000000000000007E-2</v>
      </c>
      <c r="K21" s="64">
        <v>322.29000000000002</v>
      </c>
      <c r="L21" s="64">
        <v>14.49</v>
      </c>
      <c r="M21" s="64">
        <v>96.71</v>
      </c>
      <c r="N21" s="64">
        <v>42.4</v>
      </c>
      <c r="O21" s="64">
        <v>0</v>
      </c>
      <c r="P21" s="64">
        <v>1.56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1" t="s">
        <v>1413</v>
      </c>
      <c r="B22" s="64">
        <v>59.59</v>
      </c>
      <c r="C22" s="6" t="s">
        <v>42</v>
      </c>
      <c r="D22" s="64">
        <v>44.14</v>
      </c>
      <c r="E22" s="64">
        <v>5.68</v>
      </c>
      <c r="F22" s="64">
        <v>3.17</v>
      </c>
      <c r="G22" s="64">
        <v>77.78</v>
      </c>
      <c r="H22" s="64">
        <v>36.1</v>
      </c>
      <c r="I22" s="64">
        <v>8.24</v>
      </c>
      <c r="J22" s="64">
        <v>0.09</v>
      </c>
      <c r="K22" s="64">
        <v>295.19</v>
      </c>
      <c r="L22" s="64">
        <v>14.4</v>
      </c>
      <c r="M22" s="64">
        <v>96.58</v>
      </c>
      <c r="N22" s="64">
        <v>42.2</v>
      </c>
      <c r="O22" s="64">
        <v>0</v>
      </c>
      <c r="P22" s="64">
        <v>1.55</v>
      </c>
      <c r="Q22" s="64">
        <v>9.7200000000000006</v>
      </c>
      <c r="R22" s="198"/>
      <c r="S22" s="198"/>
      <c r="T22" s="198"/>
      <c r="U22" s="198"/>
    </row>
    <row r="23" spans="1:21" s="12" customFormat="1" x14ac:dyDescent="0.25">
      <c r="A23" s="211" t="s">
        <v>1414</v>
      </c>
      <c r="B23" s="64">
        <v>57.41</v>
      </c>
      <c r="C23" s="6" t="s">
        <v>42</v>
      </c>
      <c r="D23" s="64">
        <v>42.81</v>
      </c>
      <c r="E23" s="64">
        <v>5.56</v>
      </c>
      <c r="F23" s="64">
        <v>3.12</v>
      </c>
      <c r="G23" s="64">
        <v>78.05</v>
      </c>
      <c r="H23" s="64">
        <v>36.1</v>
      </c>
      <c r="I23" s="64">
        <v>8.17</v>
      </c>
      <c r="J23" s="64">
        <v>0.08</v>
      </c>
      <c r="K23" s="64">
        <v>132.28</v>
      </c>
      <c r="L23" s="64">
        <v>14.08</v>
      </c>
      <c r="M23" s="64">
        <v>96.18</v>
      </c>
      <c r="N23" s="64">
        <v>42.4</v>
      </c>
      <c r="O23" s="64">
        <v>0</v>
      </c>
      <c r="P23" s="64">
        <v>1.52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1" t="s">
        <v>1415</v>
      </c>
      <c r="B24" s="64">
        <v>55.32</v>
      </c>
      <c r="C24" s="6" t="s">
        <v>42</v>
      </c>
      <c r="D24" s="64">
        <v>41.6</v>
      </c>
      <c r="E24" s="64">
        <v>5.22</v>
      </c>
      <c r="F24" s="64">
        <v>3.3</v>
      </c>
      <c r="G24" s="64">
        <v>78.05</v>
      </c>
      <c r="H24" s="64">
        <v>36.1</v>
      </c>
      <c r="I24" s="64">
        <v>8.1</v>
      </c>
      <c r="J24" s="64">
        <v>0.06</v>
      </c>
      <c r="K24" s="64">
        <v>349.18</v>
      </c>
      <c r="L24" s="64">
        <v>13.92</v>
      </c>
      <c r="M24" s="64">
        <v>96.97</v>
      </c>
      <c r="N24" s="64">
        <v>42.2</v>
      </c>
      <c r="O24" s="64">
        <v>0</v>
      </c>
      <c r="P24" s="64">
        <v>1.5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1" t="s">
        <v>1416</v>
      </c>
      <c r="B25" s="64">
        <v>54.77</v>
      </c>
      <c r="C25" s="6" t="s">
        <v>42</v>
      </c>
      <c r="D25" s="64">
        <v>41.27</v>
      </c>
      <c r="E25" s="64">
        <v>5.46</v>
      </c>
      <c r="F25" s="64">
        <v>3.33</v>
      </c>
      <c r="G25" s="64">
        <v>78.05</v>
      </c>
      <c r="H25" s="64">
        <v>36.1</v>
      </c>
      <c r="I25" s="64">
        <v>8.02</v>
      </c>
      <c r="J25" s="64">
        <v>0.08</v>
      </c>
      <c r="K25" s="64">
        <v>254.71</v>
      </c>
      <c r="L25" s="64">
        <v>13.93</v>
      </c>
      <c r="M25" s="64">
        <v>97.12</v>
      </c>
      <c r="N25" s="64">
        <v>42.2</v>
      </c>
      <c r="O25" s="64">
        <v>0</v>
      </c>
      <c r="P25" s="64">
        <v>1.48</v>
      </c>
      <c r="Q25" s="64">
        <v>9.68</v>
      </c>
      <c r="R25" s="198"/>
      <c r="S25" s="198"/>
      <c r="T25" s="198"/>
      <c r="U25" s="198"/>
    </row>
    <row r="26" spans="1:21" s="12" customFormat="1" x14ac:dyDescent="0.25">
      <c r="A26" s="211" t="s">
        <v>1417</v>
      </c>
      <c r="B26" s="64">
        <v>54.57</v>
      </c>
      <c r="C26" s="6" t="s">
        <v>42</v>
      </c>
      <c r="D26" s="64">
        <v>41.13</v>
      </c>
      <c r="E26" s="64">
        <v>5.43</v>
      </c>
      <c r="F26" s="64">
        <v>3.18</v>
      </c>
      <c r="G26" s="64">
        <v>96.73</v>
      </c>
      <c r="H26" s="64">
        <v>38.72</v>
      </c>
      <c r="I26" s="64">
        <v>7.97</v>
      </c>
      <c r="J26" s="64">
        <v>0.04</v>
      </c>
      <c r="K26" s="64">
        <v>227.65</v>
      </c>
      <c r="L26" s="64">
        <v>13.82</v>
      </c>
      <c r="M26" s="64">
        <v>97.12</v>
      </c>
      <c r="N26" s="64">
        <v>42.3</v>
      </c>
      <c r="O26" s="64">
        <v>0</v>
      </c>
      <c r="P26" s="64">
        <v>1.48</v>
      </c>
      <c r="Q26" s="64">
        <v>9.6999999999999993</v>
      </c>
      <c r="R26" s="198"/>
      <c r="S26" s="198"/>
      <c r="T26" s="198"/>
      <c r="U26" s="198"/>
    </row>
    <row r="27" spans="1:21" s="12" customFormat="1" x14ac:dyDescent="0.25">
      <c r="A27" s="211" t="s">
        <v>1418</v>
      </c>
      <c r="B27" s="64">
        <v>54.33</v>
      </c>
      <c r="C27" s="6" t="s">
        <v>42</v>
      </c>
      <c r="D27" s="64">
        <v>40.74</v>
      </c>
      <c r="E27" s="64">
        <v>5.66</v>
      </c>
      <c r="F27" s="64">
        <v>3.1</v>
      </c>
      <c r="G27" s="64">
        <v>98.07</v>
      </c>
      <c r="H27" s="64">
        <v>38.72</v>
      </c>
      <c r="I27" s="64">
        <v>7.96</v>
      </c>
      <c r="J27" s="64">
        <v>0.06</v>
      </c>
      <c r="K27" s="64">
        <v>139.72</v>
      </c>
      <c r="L27" s="64">
        <v>13.64</v>
      </c>
      <c r="M27" s="64">
        <v>97.13</v>
      </c>
      <c r="N27" s="64">
        <v>42.3</v>
      </c>
      <c r="O27" s="64">
        <v>0</v>
      </c>
      <c r="P27" s="64">
        <v>1.48</v>
      </c>
      <c r="Q27" s="64">
        <v>9.6999999999999993</v>
      </c>
      <c r="R27" s="198"/>
      <c r="S27" s="198"/>
      <c r="T27" s="198"/>
      <c r="U27" s="198"/>
    </row>
    <row r="28" spans="1:21" s="12" customFormat="1" x14ac:dyDescent="0.25">
      <c r="A28" s="211" t="s">
        <v>1419</v>
      </c>
      <c r="B28" s="64">
        <v>54.48</v>
      </c>
      <c r="C28" s="6" t="s">
        <v>42</v>
      </c>
      <c r="D28" s="64">
        <v>40.99</v>
      </c>
      <c r="E28" s="64">
        <v>5.83</v>
      </c>
      <c r="F28" s="64">
        <v>3.25</v>
      </c>
      <c r="G28" s="64">
        <v>98.07</v>
      </c>
      <c r="H28" s="64">
        <v>38.72</v>
      </c>
      <c r="I28" s="64">
        <v>7.96</v>
      </c>
      <c r="J28" s="64">
        <v>0.04</v>
      </c>
      <c r="K28" s="64">
        <v>327.2</v>
      </c>
      <c r="L28" s="64">
        <v>13.63</v>
      </c>
      <c r="M28" s="64">
        <v>97.13</v>
      </c>
      <c r="N28" s="64">
        <v>42.2</v>
      </c>
      <c r="O28" s="64">
        <v>0</v>
      </c>
      <c r="P28" s="64">
        <v>1.52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1" t="s">
        <v>1420</v>
      </c>
      <c r="B29" s="64">
        <v>55.6</v>
      </c>
      <c r="C29" s="6" t="s">
        <v>42</v>
      </c>
      <c r="D29" s="64">
        <v>41.74</v>
      </c>
      <c r="E29" s="64">
        <v>5.76</v>
      </c>
      <c r="F29" s="64">
        <v>3.43</v>
      </c>
      <c r="G29" s="64">
        <v>98.07</v>
      </c>
      <c r="H29" s="64">
        <v>38.72</v>
      </c>
      <c r="I29" s="64">
        <v>7.96</v>
      </c>
      <c r="J29" s="64">
        <v>0.06</v>
      </c>
      <c r="K29" s="64">
        <v>246</v>
      </c>
      <c r="L29" s="64">
        <v>13.56</v>
      </c>
      <c r="M29" s="64">
        <v>97.11</v>
      </c>
      <c r="N29" s="64">
        <v>42.1</v>
      </c>
      <c r="O29" s="64">
        <v>0</v>
      </c>
      <c r="P29" s="64">
        <v>1.55</v>
      </c>
      <c r="Q29" s="64">
        <v>9.7100000000000009</v>
      </c>
      <c r="R29" s="198"/>
      <c r="S29" s="198"/>
      <c r="T29" s="198"/>
      <c r="U29" s="198"/>
    </row>
    <row r="30" spans="1:21" s="12" customFormat="1" x14ac:dyDescent="0.25">
      <c r="A30" s="211" t="s">
        <v>1421</v>
      </c>
      <c r="B30" s="64">
        <v>56.45</v>
      </c>
      <c r="C30" s="6" t="s">
        <v>42</v>
      </c>
      <c r="D30" s="64">
        <v>42.32</v>
      </c>
      <c r="E30" s="64">
        <v>5.79</v>
      </c>
      <c r="F30" s="64">
        <v>3.3</v>
      </c>
      <c r="G30" s="64">
        <v>132.34</v>
      </c>
      <c r="H30" s="64">
        <v>43.93</v>
      </c>
      <c r="I30" s="64">
        <v>7.95</v>
      </c>
      <c r="J30" s="64">
        <v>0.08</v>
      </c>
      <c r="K30" s="64">
        <v>240.37</v>
      </c>
      <c r="L30" s="64">
        <v>13.64</v>
      </c>
      <c r="M30" s="64">
        <v>97.08</v>
      </c>
      <c r="N30" s="64">
        <v>42.3</v>
      </c>
      <c r="O30" s="64">
        <v>0</v>
      </c>
      <c r="P30" s="64">
        <v>1.59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1" t="s">
        <v>1422</v>
      </c>
      <c r="B31" s="64">
        <v>56.42</v>
      </c>
      <c r="C31" s="6" t="s">
        <v>42</v>
      </c>
      <c r="D31" s="64">
        <v>42.42</v>
      </c>
      <c r="E31" s="64">
        <v>5.93</v>
      </c>
      <c r="F31" s="64">
        <v>3.34</v>
      </c>
      <c r="G31" s="64">
        <v>134.79</v>
      </c>
      <c r="H31" s="64">
        <v>43.93</v>
      </c>
      <c r="I31" s="64">
        <v>7.93</v>
      </c>
      <c r="J31" s="64">
        <v>0.1</v>
      </c>
      <c r="K31" s="64">
        <v>107.84</v>
      </c>
      <c r="L31" s="64">
        <v>13.58</v>
      </c>
      <c r="M31" s="64">
        <v>92.77</v>
      </c>
      <c r="N31" s="64">
        <v>42.1</v>
      </c>
      <c r="O31" s="64">
        <v>0</v>
      </c>
      <c r="P31" s="64">
        <v>1.6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1" t="s">
        <v>1423</v>
      </c>
      <c r="B32" s="64">
        <v>55.63</v>
      </c>
      <c r="C32" s="6" t="s">
        <v>42</v>
      </c>
      <c r="D32" s="64">
        <v>42.02</v>
      </c>
      <c r="E32" s="64">
        <v>5.89</v>
      </c>
      <c r="F32" s="64">
        <v>3.51</v>
      </c>
      <c r="G32" s="64">
        <v>134.79</v>
      </c>
      <c r="H32" s="64">
        <v>43.93</v>
      </c>
      <c r="I32" s="64">
        <v>7.91</v>
      </c>
      <c r="J32" s="64">
        <v>0.04</v>
      </c>
      <c r="K32" s="64">
        <v>289.45999999999998</v>
      </c>
      <c r="L32" s="64">
        <v>13.96</v>
      </c>
      <c r="M32" s="64">
        <v>84.99</v>
      </c>
      <c r="N32" s="64">
        <v>42.7</v>
      </c>
      <c r="O32" s="64">
        <v>0</v>
      </c>
      <c r="P32" s="64">
        <v>1.61</v>
      </c>
      <c r="Q32" s="64">
        <v>9.7100000000000009</v>
      </c>
      <c r="R32" s="198"/>
      <c r="S32" s="198"/>
      <c r="T32" s="198"/>
      <c r="U32" s="198"/>
    </row>
    <row r="33" spans="1:21" s="12" customFormat="1" x14ac:dyDescent="0.25">
      <c r="A33" s="211" t="s">
        <v>1424</v>
      </c>
      <c r="B33" s="64">
        <v>54.54</v>
      </c>
      <c r="C33" s="6" t="s">
        <v>42</v>
      </c>
      <c r="D33" s="64">
        <v>41.43</v>
      </c>
      <c r="E33" s="64">
        <v>5.94</v>
      </c>
      <c r="F33" s="64">
        <v>3.34</v>
      </c>
      <c r="G33" s="64">
        <v>134.79</v>
      </c>
      <c r="H33" s="64">
        <v>43.93</v>
      </c>
      <c r="I33" s="64">
        <v>7.92</v>
      </c>
      <c r="J33" s="64">
        <v>0.04</v>
      </c>
      <c r="K33" s="64">
        <v>90.05</v>
      </c>
      <c r="L33" s="64">
        <v>14.05</v>
      </c>
      <c r="M33" s="64">
        <v>84.5</v>
      </c>
      <c r="N33" s="64">
        <v>46.3</v>
      </c>
      <c r="O33" s="64">
        <v>0</v>
      </c>
      <c r="P33" s="64">
        <v>1.61</v>
      </c>
      <c r="Q33" s="64">
        <v>9.6999999999999993</v>
      </c>
      <c r="R33" s="198"/>
      <c r="S33" s="198"/>
      <c r="T33" s="198"/>
      <c r="U33" s="198"/>
    </row>
    <row r="34" spans="1:21" s="12" customFormat="1" x14ac:dyDescent="0.25">
      <c r="A34" s="211" t="s">
        <v>1425</v>
      </c>
      <c r="B34" s="64">
        <v>53.34</v>
      </c>
      <c r="C34" s="6" t="s">
        <v>42</v>
      </c>
      <c r="D34" s="64">
        <v>40.85</v>
      </c>
      <c r="E34" s="64">
        <v>6.04</v>
      </c>
      <c r="F34" s="64">
        <v>3.43</v>
      </c>
      <c r="G34" s="64">
        <v>142.62</v>
      </c>
      <c r="H34" s="64">
        <v>50.27</v>
      </c>
      <c r="I34" s="64">
        <v>7.95</v>
      </c>
      <c r="J34" s="64">
        <v>0.01</v>
      </c>
      <c r="K34" s="64">
        <v>321.20999999999998</v>
      </c>
      <c r="L34" s="64">
        <v>13.95</v>
      </c>
      <c r="M34" s="64">
        <v>87.26</v>
      </c>
      <c r="N34" s="64">
        <v>57.2</v>
      </c>
      <c r="O34" s="64">
        <v>0</v>
      </c>
      <c r="P34" s="64">
        <v>1.61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1" t="s">
        <v>1426</v>
      </c>
      <c r="B35" s="64">
        <v>52.73</v>
      </c>
      <c r="C35" s="6" t="s">
        <v>42</v>
      </c>
      <c r="D35" s="64">
        <v>40.47</v>
      </c>
      <c r="E35" s="64">
        <v>5.84</v>
      </c>
      <c r="F35" s="64">
        <v>3.71</v>
      </c>
      <c r="G35" s="64">
        <v>143.18</v>
      </c>
      <c r="H35" s="64">
        <v>50.27</v>
      </c>
      <c r="I35" s="64">
        <v>7.97</v>
      </c>
      <c r="J35" s="64">
        <v>0.11</v>
      </c>
      <c r="K35" s="64">
        <v>263.69</v>
      </c>
      <c r="L35" s="64">
        <v>14.2</v>
      </c>
      <c r="M35" s="64">
        <v>90.54</v>
      </c>
      <c r="N35" s="64">
        <v>72.2</v>
      </c>
      <c r="O35" s="64">
        <v>0</v>
      </c>
      <c r="P35" s="64">
        <v>1.57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1" t="s">
        <v>1427</v>
      </c>
      <c r="B36" s="64">
        <v>52.88</v>
      </c>
      <c r="C36" s="6" t="s">
        <v>42</v>
      </c>
      <c r="D36" s="64">
        <v>40.43</v>
      </c>
      <c r="E36" s="64">
        <v>5.85</v>
      </c>
      <c r="F36" s="64">
        <v>3.54</v>
      </c>
      <c r="G36" s="64">
        <v>143.18</v>
      </c>
      <c r="H36" s="64">
        <v>50.27</v>
      </c>
      <c r="I36" s="64">
        <v>7.89</v>
      </c>
      <c r="J36" s="64">
        <v>0.1</v>
      </c>
      <c r="K36" s="64">
        <v>201.39</v>
      </c>
      <c r="L36" s="64">
        <v>14.7</v>
      </c>
      <c r="M36" s="64">
        <v>81.319999999999993</v>
      </c>
      <c r="N36" s="64">
        <v>89.8</v>
      </c>
      <c r="O36" s="64">
        <v>0</v>
      </c>
      <c r="P36" s="64">
        <v>1.53</v>
      </c>
      <c r="Q36" s="64">
        <v>9.6999999999999993</v>
      </c>
      <c r="R36" s="198"/>
      <c r="S36" s="198"/>
      <c r="T36" s="198"/>
      <c r="U36" s="198"/>
    </row>
    <row r="37" spans="1:21" s="12" customFormat="1" x14ac:dyDescent="0.25">
      <c r="A37" s="211" t="s">
        <v>1428</v>
      </c>
      <c r="B37" s="64">
        <v>52.13</v>
      </c>
      <c r="C37" s="6" t="s">
        <v>42</v>
      </c>
      <c r="D37" s="64">
        <v>40.03</v>
      </c>
      <c r="E37" s="64">
        <v>5.88</v>
      </c>
      <c r="F37" s="64">
        <v>3.54</v>
      </c>
      <c r="G37" s="64">
        <v>143.18</v>
      </c>
      <c r="H37" s="64">
        <v>50.27</v>
      </c>
      <c r="I37" s="64">
        <v>7.78</v>
      </c>
      <c r="J37" s="64">
        <v>0.03</v>
      </c>
      <c r="K37" s="64">
        <v>200.59</v>
      </c>
      <c r="L37" s="64">
        <v>15.71</v>
      </c>
      <c r="M37" s="64">
        <v>77.510000000000005</v>
      </c>
      <c r="N37" s="64">
        <v>133.80000000000001</v>
      </c>
      <c r="O37" s="64">
        <v>0</v>
      </c>
      <c r="P37" s="64">
        <v>1.5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1" t="s">
        <v>1429</v>
      </c>
      <c r="B38" s="64">
        <v>51.96</v>
      </c>
      <c r="C38" s="6" t="s">
        <v>42</v>
      </c>
      <c r="D38" s="64">
        <v>39.979999999999997</v>
      </c>
      <c r="E38" s="64">
        <v>5.51</v>
      </c>
      <c r="F38" s="64">
        <v>3.41</v>
      </c>
      <c r="G38" s="64">
        <v>130.18</v>
      </c>
      <c r="H38" s="64">
        <v>51.02</v>
      </c>
      <c r="I38" s="64">
        <v>7.67</v>
      </c>
      <c r="J38" s="64">
        <v>0.14000000000000001</v>
      </c>
      <c r="K38" s="64">
        <v>123.07</v>
      </c>
      <c r="L38" s="64">
        <v>17.510000000000002</v>
      </c>
      <c r="M38" s="64">
        <v>68.55</v>
      </c>
      <c r="N38" s="64">
        <v>195.6</v>
      </c>
      <c r="O38" s="64">
        <v>0</v>
      </c>
      <c r="P38" s="64">
        <v>1.58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11" t="s">
        <v>1430</v>
      </c>
      <c r="B39" s="64">
        <v>51.39</v>
      </c>
      <c r="C39" s="6" t="s">
        <v>42</v>
      </c>
      <c r="D39" s="64">
        <v>39.729999999999997</v>
      </c>
      <c r="E39" s="64">
        <v>5.85</v>
      </c>
      <c r="F39" s="64">
        <v>3.28</v>
      </c>
      <c r="G39" s="64">
        <v>129.25</v>
      </c>
      <c r="H39" s="64">
        <v>51.02</v>
      </c>
      <c r="I39" s="64">
        <v>7.57</v>
      </c>
      <c r="J39" s="64">
        <v>0.15</v>
      </c>
      <c r="K39" s="64">
        <v>128.05000000000001</v>
      </c>
      <c r="L39" s="64">
        <v>19.329999999999998</v>
      </c>
      <c r="M39" s="64">
        <v>61.23</v>
      </c>
      <c r="N39" s="64">
        <v>248.1</v>
      </c>
      <c r="O39" s="64">
        <v>0</v>
      </c>
      <c r="P39" s="64">
        <v>1.57</v>
      </c>
      <c r="Q39" s="64">
        <v>9.6999999999999993</v>
      </c>
      <c r="R39" s="198"/>
      <c r="S39" s="198"/>
      <c r="T39" s="198"/>
      <c r="U39" s="198"/>
    </row>
    <row r="40" spans="1:21" s="12" customFormat="1" x14ac:dyDescent="0.25">
      <c r="A40" s="211" t="s">
        <v>1431</v>
      </c>
      <c r="B40" s="64">
        <v>51.09</v>
      </c>
      <c r="C40" s="6" t="s">
        <v>42</v>
      </c>
      <c r="D40" s="64">
        <v>39.78</v>
      </c>
      <c r="E40" s="64">
        <v>5.0599999999999996</v>
      </c>
      <c r="F40" s="64">
        <v>3.38</v>
      </c>
      <c r="G40" s="64">
        <v>129.25</v>
      </c>
      <c r="H40" s="64">
        <v>51.02</v>
      </c>
      <c r="I40" s="64">
        <v>7.47</v>
      </c>
      <c r="J40" s="64">
        <v>0.16</v>
      </c>
      <c r="K40" s="64">
        <v>335.82</v>
      </c>
      <c r="L40" s="64">
        <v>20.95</v>
      </c>
      <c r="M40" s="64">
        <v>52.72</v>
      </c>
      <c r="N40" s="64">
        <v>296.5</v>
      </c>
      <c r="O40" s="64">
        <v>0</v>
      </c>
      <c r="P40" s="64">
        <v>1.57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1" t="s">
        <v>1432</v>
      </c>
      <c r="B41" s="64">
        <v>50.52</v>
      </c>
      <c r="C41" s="64">
        <v>0.13</v>
      </c>
      <c r="D41" s="64">
        <v>39.82</v>
      </c>
      <c r="E41" s="64">
        <v>5.55</v>
      </c>
      <c r="F41" s="64">
        <v>3.64</v>
      </c>
      <c r="G41" s="64">
        <v>129.25</v>
      </c>
      <c r="H41" s="64">
        <v>51.02</v>
      </c>
      <c r="I41" s="64">
        <v>7.36</v>
      </c>
      <c r="J41" s="64">
        <v>0.45</v>
      </c>
      <c r="K41" s="64">
        <v>338.43</v>
      </c>
      <c r="L41" s="64">
        <v>22.73</v>
      </c>
      <c r="M41" s="64">
        <v>43.49</v>
      </c>
      <c r="N41" s="64">
        <v>350.3</v>
      </c>
      <c r="O41" s="64">
        <v>0</v>
      </c>
      <c r="P41" s="64">
        <v>1.56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1" t="s">
        <v>1433</v>
      </c>
      <c r="B42" s="64">
        <v>49.13</v>
      </c>
      <c r="C42" s="64">
        <v>0.72</v>
      </c>
      <c r="D42" s="64">
        <v>39.31</v>
      </c>
      <c r="E42" s="64">
        <v>5.47</v>
      </c>
      <c r="F42" s="64">
        <v>3.45</v>
      </c>
      <c r="G42" s="64">
        <v>122.28</v>
      </c>
      <c r="H42" s="64">
        <v>45.54</v>
      </c>
      <c r="I42" s="64">
        <v>7.25</v>
      </c>
      <c r="J42" s="64">
        <v>0.44</v>
      </c>
      <c r="K42" s="64">
        <v>335.69</v>
      </c>
      <c r="L42" s="64">
        <v>24.19</v>
      </c>
      <c r="M42" s="64">
        <v>37.6</v>
      </c>
      <c r="N42" s="64">
        <v>395.1</v>
      </c>
      <c r="O42" s="64">
        <v>0</v>
      </c>
      <c r="P42" s="64">
        <v>1.55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11" t="s">
        <v>1434</v>
      </c>
      <c r="B43" s="64">
        <v>47.29</v>
      </c>
      <c r="C43" s="64">
        <v>2.11</v>
      </c>
      <c r="D43" s="64">
        <v>38.56</v>
      </c>
      <c r="E43" s="64">
        <v>5.25</v>
      </c>
      <c r="F43" s="64">
        <v>3.15</v>
      </c>
      <c r="G43" s="64">
        <v>121.78</v>
      </c>
      <c r="H43" s="64">
        <v>45.54</v>
      </c>
      <c r="I43" s="64">
        <v>7.12</v>
      </c>
      <c r="J43" s="64">
        <v>0.15</v>
      </c>
      <c r="K43" s="64">
        <v>29.74</v>
      </c>
      <c r="L43" s="64">
        <v>24.62</v>
      </c>
      <c r="M43" s="64">
        <v>35.340000000000003</v>
      </c>
      <c r="N43" s="64">
        <v>446.7</v>
      </c>
      <c r="O43" s="64">
        <v>0</v>
      </c>
      <c r="P43" s="64">
        <v>1.51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1" t="s">
        <v>1435</v>
      </c>
      <c r="B44" s="64">
        <v>44.42</v>
      </c>
      <c r="C44" s="64">
        <v>3.08</v>
      </c>
      <c r="D44" s="64">
        <v>36.770000000000003</v>
      </c>
      <c r="E44" s="64">
        <v>5.42</v>
      </c>
      <c r="F44" s="64">
        <v>3.15</v>
      </c>
      <c r="G44" s="64">
        <v>121.78</v>
      </c>
      <c r="H44" s="64">
        <v>45.54</v>
      </c>
      <c r="I44" s="64">
        <v>6.97</v>
      </c>
      <c r="J44" s="64">
        <v>0.03</v>
      </c>
      <c r="K44" s="64">
        <v>133.22</v>
      </c>
      <c r="L44" s="64">
        <v>23.79</v>
      </c>
      <c r="M44" s="64">
        <v>36.22</v>
      </c>
      <c r="N44" s="64">
        <v>492.8</v>
      </c>
      <c r="O44" s="64">
        <v>0</v>
      </c>
      <c r="P44" s="64">
        <v>1.47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11" t="s">
        <v>1436</v>
      </c>
      <c r="B45" s="64">
        <v>40.58</v>
      </c>
      <c r="C45" s="64">
        <v>6.62</v>
      </c>
      <c r="D45" s="64">
        <v>35.54</v>
      </c>
      <c r="E45" s="64">
        <v>5.45</v>
      </c>
      <c r="F45" s="64">
        <v>3.78</v>
      </c>
      <c r="G45" s="64">
        <v>121.78</v>
      </c>
      <c r="H45" s="64">
        <v>45.54</v>
      </c>
      <c r="I45" s="64">
        <v>6.82</v>
      </c>
      <c r="J45" s="64">
        <v>0.38</v>
      </c>
      <c r="K45" s="64">
        <v>330.8</v>
      </c>
      <c r="L45" s="64">
        <v>25.16</v>
      </c>
      <c r="M45" s="64">
        <v>31.66</v>
      </c>
      <c r="N45" s="64">
        <v>525.79999999999995</v>
      </c>
      <c r="O45" s="64">
        <v>0</v>
      </c>
      <c r="P45" s="64">
        <v>1.43</v>
      </c>
      <c r="Q45" s="64">
        <v>9.69</v>
      </c>
      <c r="R45" s="198"/>
      <c r="S45" s="198"/>
      <c r="T45" s="198"/>
      <c r="U45" s="198"/>
    </row>
    <row r="46" spans="1:21" s="12" customFormat="1" x14ac:dyDescent="0.25">
      <c r="A46" s="211" t="s">
        <v>1437</v>
      </c>
      <c r="B46" s="64">
        <v>37.840000000000003</v>
      </c>
      <c r="C46" s="64">
        <v>8.6300000000000008</v>
      </c>
      <c r="D46" s="64">
        <v>34.39</v>
      </c>
      <c r="E46" s="64">
        <v>5.61</v>
      </c>
      <c r="F46" s="64">
        <v>4</v>
      </c>
      <c r="G46" s="64">
        <v>84.08</v>
      </c>
      <c r="H46" s="64">
        <v>38.57</v>
      </c>
      <c r="I46" s="64">
        <v>6.71</v>
      </c>
      <c r="J46" s="64">
        <v>0.28000000000000003</v>
      </c>
      <c r="K46" s="64">
        <v>330.32</v>
      </c>
      <c r="L46" s="64">
        <v>26.3</v>
      </c>
      <c r="M46" s="64">
        <v>30.36</v>
      </c>
      <c r="N46" s="64">
        <v>562.20000000000005</v>
      </c>
      <c r="O46" s="64">
        <v>0</v>
      </c>
      <c r="P46" s="64">
        <v>1.41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1" t="s">
        <v>1438</v>
      </c>
      <c r="B47" s="64">
        <v>36.76</v>
      </c>
      <c r="C47" s="64">
        <v>9.27</v>
      </c>
      <c r="D47" s="64">
        <v>33.86</v>
      </c>
      <c r="E47" s="64">
        <v>5.89</v>
      </c>
      <c r="F47" s="64">
        <v>5.25</v>
      </c>
      <c r="G47" s="64">
        <v>81.38</v>
      </c>
      <c r="H47" s="64">
        <v>38.57</v>
      </c>
      <c r="I47" s="64">
        <v>6.6</v>
      </c>
      <c r="J47" s="64">
        <v>0.71</v>
      </c>
      <c r="K47" s="64">
        <v>340.52</v>
      </c>
      <c r="L47" s="64">
        <v>26.94</v>
      </c>
      <c r="M47" s="64">
        <v>29.52</v>
      </c>
      <c r="N47" s="64">
        <v>592.29999999999995</v>
      </c>
      <c r="O47" s="64">
        <v>0</v>
      </c>
      <c r="P47" s="64">
        <v>1.39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1" t="s">
        <v>1439</v>
      </c>
      <c r="B48" s="64">
        <v>21.52</v>
      </c>
      <c r="C48" s="64">
        <v>29.68</v>
      </c>
      <c r="D48" s="64">
        <v>32.31</v>
      </c>
      <c r="E48" s="64">
        <v>7.35</v>
      </c>
      <c r="F48" s="64">
        <v>7.05</v>
      </c>
      <c r="G48" s="64">
        <v>81.38</v>
      </c>
      <c r="H48" s="64">
        <v>38.57</v>
      </c>
      <c r="I48" s="64">
        <v>6.48</v>
      </c>
      <c r="J48" s="64">
        <v>0.72</v>
      </c>
      <c r="K48" s="64">
        <v>334.31</v>
      </c>
      <c r="L48" s="64">
        <v>27.19</v>
      </c>
      <c r="M48" s="64">
        <v>29.03</v>
      </c>
      <c r="N48" s="64">
        <v>622.79999999999995</v>
      </c>
      <c r="O48" s="64">
        <v>0</v>
      </c>
      <c r="P48" s="64">
        <v>1.24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1" t="s">
        <v>1440</v>
      </c>
      <c r="B49" s="64">
        <v>22.47</v>
      </c>
      <c r="C49" s="64">
        <v>40.9</v>
      </c>
      <c r="D49" s="64">
        <v>36.36</v>
      </c>
      <c r="E49" s="64">
        <v>9.17</v>
      </c>
      <c r="F49" s="64">
        <v>10.050000000000001</v>
      </c>
      <c r="G49" s="64">
        <v>81.38</v>
      </c>
      <c r="H49" s="64">
        <v>38.57</v>
      </c>
      <c r="I49" s="64">
        <v>6.08</v>
      </c>
      <c r="J49" s="64">
        <v>0.62</v>
      </c>
      <c r="K49" s="64">
        <v>335.13</v>
      </c>
      <c r="L49" s="64">
        <v>27.59</v>
      </c>
      <c r="M49" s="64">
        <v>26.9</v>
      </c>
      <c r="N49" s="64">
        <v>647.4</v>
      </c>
      <c r="O49" s="64">
        <v>0</v>
      </c>
      <c r="P49" s="64">
        <v>1.02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1" t="s">
        <v>1441</v>
      </c>
      <c r="B50" s="64">
        <v>9.5</v>
      </c>
      <c r="C50" s="64">
        <v>39.85</v>
      </c>
      <c r="D50" s="64">
        <v>27.98</v>
      </c>
      <c r="E50" s="64">
        <v>8.89</v>
      </c>
      <c r="F50" s="64">
        <v>14.27</v>
      </c>
      <c r="G50" s="64">
        <v>48.47</v>
      </c>
      <c r="H50" s="64">
        <v>27.28</v>
      </c>
      <c r="I50" s="64">
        <v>5.2</v>
      </c>
      <c r="J50" s="64">
        <v>0.5</v>
      </c>
      <c r="K50" s="64">
        <v>350.91</v>
      </c>
      <c r="L50" s="64">
        <v>27.49</v>
      </c>
      <c r="M50" s="64">
        <v>27.2</v>
      </c>
      <c r="N50" s="64">
        <v>669.1</v>
      </c>
      <c r="O50" s="64">
        <v>0</v>
      </c>
      <c r="P50" s="64">
        <v>1.05</v>
      </c>
      <c r="Q50" s="64">
        <v>9.49</v>
      </c>
      <c r="R50" s="198"/>
      <c r="S50" s="198"/>
      <c r="T50" s="198"/>
      <c r="U50" s="198"/>
    </row>
    <row r="51" spans="1:21" s="12" customFormat="1" x14ac:dyDescent="0.25">
      <c r="A51" s="211" t="s">
        <v>1442</v>
      </c>
      <c r="B51" s="64">
        <v>7.69</v>
      </c>
      <c r="C51" s="64">
        <v>39.9</v>
      </c>
      <c r="D51" s="64">
        <v>26.55</v>
      </c>
      <c r="E51" s="64">
        <v>8.82</v>
      </c>
      <c r="F51" s="64">
        <v>11.8</v>
      </c>
      <c r="G51" s="64">
        <v>46.12</v>
      </c>
      <c r="H51" s="64">
        <v>27.28</v>
      </c>
      <c r="I51" s="64">
        <v>4.58</v>
      </c>
      <c r="J51" s="64">
        <v>0.28000000000000003</v>
      </c>
      <c r="K51" s="64">
        <v>343.99</v>
      </c>
      <c r="L51" s="64">
        <v>27.26</v>
      </c>
      <c r="M51" s="64">
        <v>28.29</v>
      </c>
      <c r="N51" s="64">
        <v>682.6</v>
      </c>
      <c r="O51" s="64">
        <v>0</v>
      </c>
      <c r="P51" s="64">
        <v>1.02</v>
      </c>
      <c r="Q51" s="64">
        <v>9.4700000000000006</v>
      </c>
      <c r="R51" s="198"/>
      <c r="S51" s="198"/>
      <c r="T51" s="198"/>
      <c r="U51" s="198"/>
    </row>
    <row r="52" spans="1:21" s="12" customFormat="1" x14ac:dyDescent="0.25">
      <c r="A52" s="211" t="s">
        <v>1443</v>
      </c>
      <c r="B52" s="64">
        <v>6.55</v>
      </c>
      <c r="C52" s="64">
        <v>38.07</v>
      </c>
      <c r="D52" s="64">
        <v>24.69</v>
      </c>
      <c r="E52" s="64">
        <v>6.9</v>
      </c>
      <c r="F52" s="64">
        <v>4.3899999999999997</v>
      </c>
      <c r="G52" s="64">
        <v>46.12</v>
      </c>
      <c r="H52" s="64">
        <v>27.28</v>
      </c>
      <c r="I52" s="64">
        <v>4.3600000000000003</v>
      </c>
      <c r="J52" s="64">
        <v>0.12</v>
      </c>
      <c r="K52" s="64">
        <v>41.91</v>
      </c>
      <c r="L52" s="64">
        <v>26.56</v>
      </c>
      <c r="M52" s="64">
        <v>31.18</v>
      </c>
      <c r="N52" s="64">
        <v>703.7</v>
      </c>
      <c r="O52" s="64">
        <v>0</v>
      </c>
      <c r="P52" s="64">
        <v>1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11" t="s">
        <v>1444</v>
      </c>
      <c r="B53" s="64">
        <v>5.53</v>
      </c>
      <c r="C53" s="64">
        <v>35.53</v>
      </c>
      <c r="D53" s="64">
        <v>22.54</v>
      </c>
      <c r="E53" s="64">
        <v>6.38</v>
      </c>
      <c r="F53" s="64">
        <v>7.85</v>
      </c>
      <c r="G53" s="64">
        <v>46.12</v>
      </c>
      <c r="H53" s="64">
        <v>27.28</v>
      </c>
      <c r="I53" s="64">
        <v>4.2300000000000004</v>
      </c>
      <c r="J53" s="64">
        <v>0.2</v>
      </c>
      <c r="K53" s="64">
        <v>358.6</v>
      </c>
      <c r="L53" s="64">
        <v>27.19</v>
      </c>
      <c r="M53" s="64">
        <v>29.99</v>
      </c>
      <c r="N53" s="64">
        <v>704.8</v>
      </c>
      <c r="O53" s="64">
        <v>0</v>
      </c>
      <c r="P53" s="64">
        <v>0.93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1" t="s">
        <v>1445</v>
      </c>
      <c r="B54" s="64">
        <v>3.9</v>
      </c>
      <c r="C54" s="64">
        <v>35.619999999999997</v>
      </c>
      <c r="D54" s="64">
        <v>21.28</v>
      </c>
      <c r="E54" s="64">
        <v>6.27</v>
      </c>
      <c r="F54" s="64">
        <v>7.02</v>
      </c>
      <c r="G54" s="64">
        <v>51.83</v>
      </c>
      <c r="H54" s="64">
        <v>26.94</v>
      </c>
      <c r="I54" s="64">
        <v>4.43</v>
      </c>
      <c r="J54" s="64">
        <v>0.16</v>
      </c>
      <c r="K54" s="64">
        <v>68.08</v>
      </c>
      <c r="L54" s="64">
        <v>27.08</v>
      </c>
      <c r="M54" s="64">
        <v>29.25</v>
      </c>
      <c r="N54" s="64">
        <v>703.8</v>
      </c>
      <c r="O54" s="64">
        <v>0</v>
      </c>
      <c r="P54" s="64">
        <v>0.88</v>
      </c>
      <c r="Q54" s="64">
        <v>9.3699999999999992</v>
      </c>
      <c r="R54" s="198"/>
      <c r="S54" s="198"/>
      <c r="T54" s="198"/>
      <c r="U54" s="198"/>
    </row>
    <row r="55" spans="1:21" s="12" customFormat="1" x14ac:dyDescent="0.25">
      <c r="A55" s="211" t="s">
        <v>1446</v>
      </c>
      <c r="B55" s="64">
        <v>3.1</v>
      </c>
      <c r="C55" s="64">
        <v>33.43</v>
      </c>
      <c r="D55" s="64">
        <v>19.489999999999998</v>
      </c>
      <c r="E55" s="64">
        <v>6.51</v>
      </c>
      <c r="F55" s="64">
        <v>7.97</v>
      </c>
      <c r="G55" s="64">
        <v>52.24</v>
      </c>
      <c r="H55" s="64">
        <v>26.94</v>
      </c>
      <c r="I55" s="64">
        <v>4.51</v>
      </c>
      <c r="J55" s="64">
        <v>0.51</v>
      </c>
      <c r="K55" s="64">
        <v>344.28</v>
      </c>
      <c r="L55" s="64">
        <v>28</v>
      </c>
      <c r="M55" s="64">
        <v>23.95</v>
      </c>
      <c r="N55" s="64">
        <v>716.6</v>
      </c>
      <c r="O55" s="64">
        <v>0</v>
      </c>
      <c r="P55" s="64">
        <v>0.82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1" t="s">
        <v>1447</v>
      </c>
      <c r="B56" s="64">
        <v>2.38</v>
      </c>
      <c r="C56" s="64">
        <v>31.4</v>
      </c>
      <c r="D56" s="64">
        <v>17.850000000000001</v>
      </c>
      <c r="E56" s="64">
        <v>6.85</v>
      </c>
      <c r="F56" s="64">
        <v>9.7799999999999994</v>
      </c>
      <c r="G56" s="64">
        <v>52.24</v>
      </c>
      <c r="H56" s="64">
        <v>26.94</v>
      </c>
      <c r="I56" s="64">
        <v>4.2699999999999996</v>
      </c>
      <c r="J56" s="64">
        <v>0.75</v>
      </c>
      <c r="K56" s="64">
        <v>341.13</v>
      </c>
      <c r="L56" s="64">
        <v>28.2</v>
      </c>
      <c r="M56" s="64">
        <v>23.31</v>
      </c>
      <c r="N56" s="64">
        <v>697.9</v>
      </c>
      <c r="O56" s="64">
        <v>0</v>
      </c>
      <c r="P56" s="64">
        <v>0.74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1" t="s">
        <v>1448</v>
      </c>
      <c r="B57" s="64">
        <v>3.15</v>
      </c>
      <c r="C57" s="64">
        <v>30.5</v>
      </c>
      <c r="D57" s="64">
        <v>18</v>
      </c>
      <c r="E57" s="64">
        <v>8.3800000000000008</v>
      </c>
      <c r="F57" s="64">
        <v>12.9</v>
      </c>
      <c r="G57" s="64">
        <v>52.24</v>
      </c>
      <c r="H57" s="64">
        <v>26.94</v>
      </c>
      <c r="I57" s="64">
        <v>3.98</v>
      </c>
      <c r="J57" s="64">
        <v>0.67</v>
      </c>
      <c r="K57" s="64">
        <v>340.2</v>
      </c>
      <c r="L57" s="64">
        <v>28.97</v>
      </c>
      <c r="M57" s="64">
        <v>22.21</v>
      </c>
      <c r="N57" s="64">
        <v>668.4</v>
      </c>
      <c r="O57" s="64">
        <v>0</v>
      </c>
      <c r="P57" s="64">
        <v>0.7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1" t="s">
        <v>1449</v>
      </c>
      <c r="B58" s="64">
        <v>5.0999999999999996</v>
      </c>
      <c r="C58" s="64">
        <v>31.31</v>
      </c>
      <c r="D58" s="64">
        <v>19.989999999999998</v>
      </c>
      <c r="E58" s="64">
        <v>10.44</v>
      </c>
      <c r="F58" s="64">
        <v>13.67</v>
      </c>
      <c r="G58" s="64">
        <v>67.23</v>
      </c>
      <c r="H58" s="64">
        <v>22.72</v>
      </c>
      <c r="I58" s="64">
        <v>3.69</v>
      </c>
      <c r="J58" s="64">
        <v>1.01</v>
      </c>
      <c r="K58" s="64">
        <v>338.99</v>
      </c>
      <c r="L58" s="64">
        <v>29.27</v>
      </c>
      <c r="M58" s="64">
        <v>21.75</v>
      </c>
      <c r="N58" s="64">
        <v>635.4</v>
      </c>
      <c r="O58" s="64">
        <v>0</v>
      </c>
      <c r="P58" s="64">
        <v>0.67</v>
      </c>
      <c r="Q58" s="64">
        <v>9.2899999999999991</v>
      </c>
      <c r="R58" s="198"/>
      <c r="S58" s="198"/>
      <c r="T58" s="198"/>
      <c r="U58" s="198"/>
    </row>
    <row r="59" spans="1:21" s="12" customFormat="1" x14ac:dyDescent="0.25">
      <c r="A59" s="211" t="s">
        <v>1450</v>
      </c>
      <c r="B59" s="64">
        <v>3.37</v>
      </c>
      <c r="C59" s="64">
        <v>30.87</v>
      </c>
      <c r="D59" s="64">
        <v>18.37</v>
      </c>
      <c r="E59" s="64">
        <v>12.88</v>
      </c>
      <c r="F59" s="64">
        <v>15.03</v>
      </c>
      <c r="G59" s="64">
        <v>68.31</v>
      </c>
      <c r="H59" s="64">
        <v>22.72</v>
      </c>
      <c r="I59" s="64">
        <v>3.45</v>
      </c>
      <c r="J59" s="64">
        <v>1</v>
      </c>
      <c r="K59" s="64">
        <v>339.47</v>
      </c>
      <c r="L59" s="64">
        <v>29.06</v>
      </c>
      <c r="M59" s="64">
        <v>21.51</v>
      </c>
      <c r="N59" s="64">
        <v>610.5</v>
      </c>
      <c r="O59" s="64">
        <v>0</v>
      </c>
      <c r="P59" s="64">
        <v>0.64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1" t="s">
        <v>1451</v>
      </c>
      <c r="B60" s="64">
        <v>3.29</v>
      </c>
      <c r="C60" s="64">
        <v>29.4</v>
      </c>
      <c r="D60" s="64">
        <v>17.53</v>
      </c>
      <c r="E60" s="64">
        <v>11.76</v>
      </c>
      <c r="F60" s="64">
        <v>18.350000000000001</v>
      </c>
      <c r="G60" s="64">
        <v>68.31</v>
      </c>
      <c r="H60" s="64">
        <v>22.72</v>
      </c>
      <c r="I60" s="64">
        <v>3.25</v>
      </c>
      <c r="J60" s="64">
        <v>1.1000000000000001</v>
      </c>
      <c r="K60" s="64">
        <v>342.61</v>
      </c>
      <c r="L60" s="64">
        <v>28.91</v>
      </c>
      <c r="M60" s="64">
        <v>21.36</v>
      </c>
      <c r="N60" s="64">
        <v>562</v>
      </c>
      <c r="O60" s="64">
        <v>0</v>
      </c>
      <c r="P60" s="64">
        <v>0.6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1" t="s">
        <v>1452</v>
      </c>
      <c r="B61" s="64">
        <v>3.89</v>
      </c>
      <c r="C61" s="64">
        <v>29.88</v>
      </c>
      <c r="D61" s="64">
        <v>18.27</v>
      </c>
      <c r="E61" s="64">
        <v>16.97</v>
      </c>
      <c r="F61" s="64">
        <v>21.43</v>
      </c>
      <c r="G61" s="64">
        <v>68.31</v>
      </c>
      <c r="H61" s="64">
        <v>22.72</v>
      </c>
      <c r="I61" s="64">
        <v>3.06</v>
      </c>
      <c r="J61" s="64">
        <v>0.59</v>
      </c>
      <c r="K61" s="64">
        <v>341.39</v>
      </c>
      <c r="L61" s="64">
        <v>28.72</v>
      </c>
      <c r="M61" s="64">
        <v>20.94</v>
      </c>
      <c r="N61" s="64">
        <v>407.9</v>
      </c>
      <c r="O61" s="64">
        <v>0</v>
      </c>
      <c r="P61" s="64">
        <v>0.71</v>
      </c>
      <c r="Q61" s="64">
        <v>9.2799999999999994</v>
      </c>
      <c r="R61" s="198"/>
      <c r="S61" s="198"/>
      <c r="T61" s="198"/>
      <c r="U61" s="198"/>
    </row>
    <row r="62" spans="1:21" s="12" customFormat="1" x14ac:dyDescent="0.25">
      <c r="A62" s="211" t="s">
        <v>1453</v>
      </c>
      <c r="B62" s="64">
        <v>6.56</v>
      </c>
      <c r="C62" s="64">
        <v>30.62</v>
      </c>
      <c r="D62" s="64">
        <v>20.8</v>
      </c>
      <c r="E62" s="64">
        <v>17</v>
      </c>
      <c r="F62" s="64">
        <v>25.46</v>
      </c>
      <c r="G62" s="64">
        <v>34.6</v>
      </c>
      <c r="H62" s="64">
        <v>16.86</v>
      </c>
      <c r="I62" s="64">
        <v>2.87</v>
      </c>
      <c r="J62" s="64">
        <v>0.7</v>
      </c>
      <c r="K62" s="64">
        <v>333.78</v>
      </c>
      <c r="L62" s="64">
        <v>28.62</v>
      </c>
      <c r="M62" s="64">
        <v>20.76</v>
      </c>
      <c r="N62" s="64">
        <v>512.70000000000005</v>
      </c>
      <c r="O62" s="64">
        <v>0</v>
      </c>
      <c r="P62" s="64">
        <v>0.77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1" t="s">
        <v>1454</v>
      </c>
      <c r="B63" s="64">
        <v>3.99</v>
      </c>
      <c r="C63" s="64">
        <v>31.01</v>
      </c>
      <c r="D63" s="64">
        <v>18.940000000000001</v>
      </c>
      <c r="E63" s="64">
        <v>20.87</v>
      </c>
      <c r="F63" s="64">
        <v>18.91</v>
      </c>
      <c r="G63" s="64">
        <v>32.19</v>
      </c>
      <c r="H63" s="64">
        <v>16.86</v>
      </c>
      <c r="I63" s="64">
        <v>2.76</v>
      </c>
      <c r="J63" s="64">
        <v>0.9</v>
      </c>
      <c r="K63" s="64">
        <v>335.5</v>
      </c>
      <c r="L63" s="64">
        <v>28.39</v>
      </c>
      <c r="M63" s="64">
        <v>20.77</v>
      </c>
      <c r="N63" s="64">
        <v>489.3</v>
      </c>
      <c r="O63" s="64">
        <v>0</v>
      </c>
      <c r="P63" s="64">
        <v>0.73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1" t="s">
        <v>1455</v>
      </c>
      <c r="B64" s="64">
        <v>4.5599999999999996</v>
      </c>
      <c r="C64" s="64">
        <v>29.91</v>
      </c>
      <c r="D64" s="64">
        <v>18.82</v>
      </c>
      <c r="E64" s="64">
        <v>15.07</v>
      </c>
      <c r="F64" s="64">
        <v>15.92</v>
      </c>
      <c r="G64" s="64">
        <v>32.19</v>
      </c>
      <c r="H64" s="64">
        <v>16.86</v>
      </c>
      <c r="I64" s="64">
        <v>2.71</v>
      </c>
      <c r="J64" s="64">
        <v>0.49</v>
      </c>
      <c r="K64" s="64">
        <v>342.13</v>
      </c>
      <c r="L64" s="64">
        <v>27.6</v>
      </c>
      <c r="M64" s="64">
        <v>21.13</v>
      </c>
      <c r="N64" s="64">
        <v>250.1</v>
      </c>
      <c r="O64" s="64">
        <v>0</v>
      </c>
      <c r="P64" s="64">
        <v>0.72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1" t="s">
        <v>1456</v>
      </c>
      <c r="B65" s="64">
        <v>2.52</v>
      </c>
      <c r="C65" s="64">
        <v>26.14</v>
      </c>
      <c r="D65" s="64">
        <v>15.22</v>
      </c>
      <c r="E65" s="64">
        <v>14.69</v>
      </c>
      <c r="F65" s="64">
        <v>19.059999999999999</v>
      </c>
      <c r="G65" s="64">
        <v>32.19</v>
      </c>
      <c r="H65" s="64">
        <v>16.86</v>
      </c>
      <c r="I65" s="64">
        <v>2.69</v>
      </c>
      <c r="J65" s="64">
        <v>0.28000000000000003</v>
      </c>
      <c r="K65" s="64">
        <v>22.85</v>
      </c>
      <c r="L65" s="64">
        <v>26.54</v>
      </c>
      <c r="M65" s="64">
        <v>23.29</v>
      </c>
      <c r="N65" s="64">
        <v>146.30000000000001</v>
      </c>
      <c r="O65" s="64">
        <v>0</v>
      </c>
      <c r="P65" s="64">
        <v>0.71</v>
      </c>
      <c r="Q65" s="64">
        <v>9.2899999999999991</v>
      </c>
      <c r="R65" s="198"/>
      <c r="S65" s="198"/>
      <c r="T65" s="198"/>
      <c r="U65" s="198"/>
    </row>
    <row r="66" spans="1:21" s="12" customFormat="1" x14ac:dyDescent="0.25">
      <c r="A66" s="211" t="s">
        <v>1457</v>
      </c>
      <c r="B66" s="64">
        <v>4.6500000000000004</v>
      </c>
      <c r="C66" s="64">
        <v>28.96</v>
      </c>
      <c r="D66" s="64">
        <v>18.399999999999999</v>
      </c>
      <c r="E66" s="64">
        <v>14.63</v>
      </c>
      <c r="F66" s="64">
        <v>17.73</v>
      </c>
      <c r="G66" s="64">
        <v>63.19</v>
      </c>
      <c r="H66" s="64">
        <v>20.63</v>
      </c>
      <c r="I66" s="64">
        <v>2.71</v>
      </c>
      <c r="J66" s="64">
        <v>0.31</v>
      </c>
      <c r="K66" s="64">
        <v>339.18</v>
      </c>
      <c r="L66" s="64">
        <v>26.43</v>
      </c>
      <c r="M66" s="64">
        <v>22.5</v>
      </c>
      <c r="N66" s="64">
        <v>140</v>
      </c>
      <c r="O66" s="64">
        <v>0</v>
      </c>
      <c r="P66" s="64">
        <v>0.69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1" t="s">
        <v>1458</v>
      </c>
      <c r="B67" s="64">
        <v>3.55</v>
      </c>
      <c r="C67" s="64">
        <v>27.01</v>
      </c>
      <c r="D67" s="64">
        <v>16.489999999999998</v>
      </c>
      <c r="E67" s="64">
        <v>13.56</v>
      </c>
      <c r="F67" s="64">
        <v>16.489999999999998</v>
      </c>
      <c r="G67" s="64">
        <v>65.400000000000006</v>
      </c>
      <c r="H67" s="64">
        <v>20.63</v>
      </c>
      <c r="I67" s="64">
        <v>2.74</v>
      </c>
      <c r="J67" s="64">
        <v>0.15</v>
      </c>
      <c r="K67" s="64">
        <v>58.56</v>
      </c>
      <c r="L67" s="64">
        <v>26.07</v>
      </c>
      <c r="M67" s="64">
        <v>22.81</v>
      </c>
      <c r="N67" s="64">
        <v>133.19999999999999</v>
      </c>
      <c r="O67" s="64">
        <v>0</v>
      </c>
      <c r="P67" s="64">
        <v>0.69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1" t="s">
        <v>1459</v>
      </c>
      <c r="B68" s="64">
        <v>7.05</v>
      </c>
      <c r="C68" s="64">
        <v>31.57</v>
      </c>
      <c r="D68" s="64">
        <v>21.69</v>
      </c>
      <c r="E68" s="64">
        <v>12.13</v>
      </c>
      <c r="F68" s="64">
        <v>18.71</v>
      </c>
      <c r="G68" s="64">
        <v>65.400000000000006</v>
      </c>
      <c r="H68" s="64">
        <v>20.63</v>
      </c>
      <c r="I68" s="64">
        <v>2.78</v>
      </c>
      <c r="J68" s="64">
        <v>0.13</v>
      </c>
      <c r="K68" s="64">
        <v>61.63</v>
      </c>
      <c r="L68" s="64">
        <v>25.77</v>
      </c>
      <c r="M68" s="64">
        <v>22.61</v>
      </c>
      <c r="N68" s="64">
        <v>113.5</v>
      </c>
      <c r="O68" s="64">
        <v>0</v>
      </c>
      <c r="P68" s="64">
        <v>0.68</v>
      </c>
      <c r="Q68" s="64">
        <v>9.3000000000000007</v>
      </c>
      <c r="R68" s="198"/>
      <c r="S68" s="198"/>
      <c r="T68" s="198"/>
      <c r="U68" s="198"/>
    </row>
    <row r="69" spans="1:21" s="12" customFormat="1" x14ac:dyDescent="0.25">
      <c r="A69" s="211" t="s">
        <v>1460</v>
      </c>
      <c r="B69" s="64">
        <v>3.45</v>
      </c>
      <c r="C69" s="64">
        <v>25.17</v>
      </c>
      <c r="D69" s="64">
        <v>15.46</v>
      </c>
      <c r="E69" s="64">
        <v>12.46</v>
      </c>
      <c r="F69" s="64">
        <v>11.48</v>
      </c>
      <c r="G69" s="64">
        <v>65.400000000000006</v>
      </c>
      <c r="H69" s="64">
        <v>20.63</v>
      </c>
      <c r="I69" s="64">
        <v>2.77</v>
      </c>
      <c r="J69" s="64">
        <v>0.46</v>
      </c>
      <c r="K69" s="64">
        <v>102.67</v>
      </c>
      <c r="L69" s="64">
        <v>25.46</v>
      </c>
      <c r="M69" s="64">
        <v>21.55</v>
      </c>
      <c r="N69" s="64">
        <v>106</v>
      </c>
      <c r="O69" s="64">
        <v>0</v>
      </c>
      <c r="P69" s="64">
        <v>0.72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11" t="s">
        <v>1461</v>
      </c>
      <c r="B70" s="64">
        <v>4.5</v>
      </c>
      <c r="C70" s="64">
        <v>27.42</v>
      </c>
      <c r="D70" s="64">
        <v>17.48</v>
      </c>
      <c r="E70" s="64">
        <v>6.9</v>
      </c>
      <c r="F70" s="64">
        <v>5.95</v>
      </c>
      <c r="G70" s="64">
        <v>38.96</v>
      </c>
      <c r="H70" s="64">
        <v>16.899999999999999</v>
      </c>
      <c r="I70" s="64">
        <v>2.73</v>
      </c>
      <c r="J70" s="64">
        <v>0.2</v>
      </c>
      <c r="K70" s="64">
        <v>1.78</v>
      </c>
      <c r="L70" s="64">
        <v>25.18</v>
      </c>
      <c r="M70" s="64">
        <v>22.23</v>
      </c>
      <c r="N70" s="64">
        <v>98.4</v>
      </c>
      <c r="O70" s="64">
        <v>0</v>
      </c>
      <c r="P70" s="64">
        <v>0.74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1" t="s">
        <v>1462</v>
      </c>
      <c r="B71" s="64">
        <v>4.0999999999999996</v>
      </c>
      <c r="C71" s="64">
        <v>28.1</v>
      </c>
      <c r="D71" s="64">
        <v>17.510000000000002</v>
      </c>
      <c r="E71" s="64">
        <v>8.94</v>
      </c>
      <c r="F71" s="64">
        <v>9.67</v>
      </c>
      <c r="G71" s="64">
        <v>37.07</v>
      </c>
      <c r="H71" s="64">
        <v>16.899999999999999</v>
      </c>
      <c r="I71" s="64">
        <v>2.74</v>
      </c>
      <c r="J71" s="64">
        <v>0.21</v>
      </c>
      <c r="K71" s="64">
        <v>129.71</v>
      </c>
      <c r="L71" s="64">
        <v>25.04</v>
      </c>
      <c r="M71" s="64">
        <v>21.49</v>
      </c>
      <c r="N71" s="64">
        <v>90.4</v>
      </c>
      <c r="O71" s="64">
        <v>0</v>
      </c>
      <c r="P71" s="64">
        <v>0.68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1" t="s">
        <v>1463</v>
      </c>
      <c r="B72" s="64">
        <v>3.58</v>
      </c>
      <c r="C72" s="64">
        <v>23.53</v>
      </c>
      <c r="D72" s="64">
        <v>14.7</v>
      </c>
      <c r="E72" s="64">
        <v>6.01</v>
      </c>
      <c r="F72" s="64">
        <v>8.6</v>
      </c>
      <c r="G72" s="64">
        <v>37.07</v>
      </c>
      <c r="H72" s="64">
        <v>16.899999999999999</v>
      </c>
      <c r="I72" s="64">
        <v>2.81</v>
      </c>
      <c r="J72" s="64">
        <v>0.31</v>
      </c>
      <c r="K72" s="64">
        <v>-0.19</v>
      </c>
      <c r="L72" s="64">
        <v>24.74</v>
      </c>
      <c r="M72" s="64">
        <v>20.64</v>
      </c>
      <c r="N72" s="64">
        <v>82.8</v>
      </c>
      <c r="O72" s="64">
        <v>0</v>
      </c>
      <c r="P72" s="64">
        <v>0.65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1" t="s">
        <v>1464</v>
      </c>
      <c r="B73" s="64">
        <v>3.92</v>
      </c>
      <c r="C73" s="64">
        <v>24.53</v>
      </c>
      <c r="D73" s="64">
        <v>15.56</v>
      </c>
      <c r="E73" s="64">
        <v>7.4</v>
      </c>
      <c r="F73" s="64">
        <v>12.8</v>
      </c>
      <c r="G73" s="64">
        <v>37.07</v>
      </c>
      <c r="H73" s="64">
        <v>16.899999999999999</v>
      </c>
      <c r="I73" s="64">
        <v>2.84</v>
      </c>
      <c r="J73" s="64">
        <v>7.0000000000000007E-2</v>
      </c>
      <c r="K73" s="64">
        <v>113.42</v>
      </c>
      <c r="L73" s="64">
        <v>24.5</v>
      </c>
      <c r="M73" s="64">
        <v>20.86</v>
      </c>
      <c r="N73" s="64">
        <v>76</v>
      </c>
      <c r="O73" s="64">
        <v>0</v>
      </c>
      <c r="P73" s="64">
        <v>0.59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1" t="s">
        <v>1465</v>
      </c>
      <c r="B74" s="64">
        <v>5.63</v>
      </c>
      <c r="C74" s="64">
        <v>32.51</v>
      </c>
      <c r="D74" s="64">
        <v>21.04</v>
      </c>
      <c r="E74" s="64">
        <v>7.79</v>
      </c>
      <c r="F74" s="64">
        <v>9.52</v>
      </c>
      <c r="G74" s="64">
        <v>11.16</v>
      </c>
      <c r="H74" s="64">
        <v>15.23</v>
      </c>
      <c r="I74" s="64">
        <v>2.81</v>
      </c>
      <c r="J74" s="64">
        <v>0.33</v>
      </c>
      <c r="K74" s="64">
        <v>339.59</v>
      </c>
      <c r="L74" s="64">
        <v>24.26</v>
      </c>
      <c r="M74" s="64">
        <v>23.06</v>
      </c>
      <c r="N74" s="64">
        <v>69.599999999999994</v>
      </c>
      <c r="O74" s="64">
        <v>0</v>
      </c>
      <c r="P74" s="64">
        <v>0.74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1" t="s">
        <v>1466</v>
      </c>
      <c r="B75" s="64">
        <v>12.35</v>
      </c>
      <c r="C75" s="64">
        <v>41.01</v>
      </c>
      <c r="D75" s="64">
        <v>30.86</v>
      </c>
      <c r="E75" s="64">
        <v>7.84</v>
      </c>
      <c r="F75" s="64">
        <v>5.36</v>
      </c>
      <c r="G75" s="64">
        <v>9.3000000000000007</v>
      </c>
      <c r="H75" s="64">
        <v>15.23</v>
      </c>
      <c r="I75" s="64">
        <v>2.71</v>
      </c>
      <c r="J75" s="64">
        <v>0.12</v>
      </c>
      <c r="K75" s="64">
        <v>358.3</v>
      </c>
      <c r="L75" s="64">
        <v>23.81</v>
      </c>
      <c r="M75" s="64">
        <v>24.47</v>
      </c>
      <c r="N75" s="64">
        <v>62.1</v>
      </c>
      <c r="O75" s="64">
        <v>0</v>
      </c>
      <c r="P75" s="64">
        <v>0.83</v>
      </c>
      <c r="Q75" s="64">
        <v>9.25</v>
      </c>
      <c r="R75" s="198"/>
      <c r="S75" s="198"/>
      <c r="T75" s="198"/>
      <c r="U75" s="198"/>
    </row>
    <row r="76" spans="1:21" s="12" customFormat="1" x14ac:dyDescent="0.25">
      <c r="A76" s="211" t="s">
        <v>1467</v>
      </c>
      <c r="B76" s="64">
        <v>7</v>
      </c>
      <c r="C76" s="64">
        <v>41.34</v>
      </c>
      <c r="D76" s="64">
        <v>26.75</v>
      </c>
      <c r="E76" s="64">
        <v>8.59</v>
      </c>
      <c r="F76" s="64">
        <v>8.1300000000000008</v>
      </c>
      <c r="G76" s="64">
        <v>9.3000000000000007</v>
      </c>
      <c r="H76" s="64">
        <v>15.23</v>
      </c>
      <c r="I76" s="64">
        <v>2.71</v>
      </c>
      <c r="J76" s="64">
        <v>0.08</v>
      </c>
      <c r="K76" s="64">
        <v>47.32</v>
      </c>
      <c r="L76" s="64">
        <v>23.15</v>
      </c>
      <c r="M76" s="64">
        <v>25.12</v>
      </c>
      <c r="N76" s="64">
        <v>54.2</v>
      </c>
      <c r="O76" s="64">
        <v>0</v>
      </c>
      <c r="P76" s="64">
        <v>0.88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1" t="s">
        <v>1468</v>
      </c>
      <c r="B77" s="64">
        <v>14.41</v>
      </c>
      <c r="C77" s="64">
        <v>37.549999999999997</v>
      </c>
      <c r="D77" s="64">
        <v>30.72</v>
      </c>
      <c r="E77" s="64">
        <v>8.0500000000000007</v>
      </c>
      <c r="F77" s="64">
        <v>7.26</v>
      </c>
      <c r="G77" s="64">
        <v>9.3000000000000007</v>
      </c>
      <c r="H77" s="64">
        <v>15.23</v>
      </c>
      <c r="I77" s="64">
        <v>2.89</v>
      </c>
      <c r="J77" s="64">
        <v>7.0000000000000007E-2</v>
      </c>
      <c r="K77" s="64">
        <v>13.91</v>
      </c>
      <c r="L77" s="64">
        <v>22.63</v>
      </c>
      <c r="M77" s="64">
        <v>26.86</v>
      </c>
      <c r="N77" s="64">
        <v>47.3</v>
      </c>
      <c r="O77" s="64">
        <v>0</v>
      </c>
      <c r="P77" s="64">
        <v>0.92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1" t="s">
        <v>1469</v>
      </c>
      <c r="B78" s="64">
        <v>12.58</v>
      </c>
      <c r="C78" s="64">
        <v>41.45</v>
      </c>
      <c r="D78" s="64">
        <v>31.28</v>
      </c>
      <c r="E78" s="64">
        <v>7</v>
      </c>
      <c r="F78" s="64">
        <v>4.34</v>
      </c>
      <c r="G78" s="64">
        <v>38.49</v>
      </c>
      <c r="H78" s="64">
        <v>18.38</v>
      </c>
      <c r="I78" s="64">
        <v>2.88</v>
      </c>
      <c r="J78" s="64">
        <v>0.09</v>
      </c>
      <c r="K78" s="64">
        <v>33.479999999999997</v>
      </c>
      <c r="L78" s="64">
        <v>21.84</v>
      </c>
      <c r="M78" s="64">
        <v>32.26</v>
      </c>
      <c r="N78" s="64">
        <v>44.2</v>
      </c>
      <c r="O78" s="64">
        <v>0</v>
      </c>
      <c r="P78" s="64">
        <v>1.05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1" t="s">
        <v>1470</v>
      </c>
      <c r="B79" s="64">
        <v>33.6</v>
      </c>
      <c r="C79" s="64">
        <v>39.659999999999997</v>
      </c>
      <c r="D79" s="64">
        <v>47.21</v>
      </c>
      <c r="E79" s="64">
        <v>6.52</v>
      </c>
      <c r="F79" s="64">
        <v>3.66</v>
      </c>
      <c r="G79" s="64">
        <v>40.57</v>
      </c>
      <c r="H79" s="64">
        <v>18.38</v>
      </c>
      <c r="I79" s="64">
        <v>3.07</v>
      </c>
      <c r="J79" s="64">
        <v>0.15</v>
      </c>
      <c r="K79" s="64">
        <v>348.97</v>
      </c>
      <c r="L79" s="64">
        <v>20.99</v>
      </c>
      <c r="M79" s="64">
        <v>38.07</v>
      </c>
      <c r="N79" s="64">
        <v>43.4</v>
      </c>
      <c r="O79" s="64">
        <v>0</v>
      </c>
      <c r="P79" s="64">
        <v>1.39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1" t="s">
        <v>1471</v>
      </c>
      <c r="B80" s="64">
        <v>48.22</v>
      </c>
      <c r="C80" s="64">
        <v>26.98</v>
      </c>
      <c r="D80" s="64">
        <v>52.3</v>
      </c>
      <c r="E80" s="64">
        <v>7.62</v>
      </c>
      <c r="F80" s="64">
        <v>4.2</v>
      </c>
      <c r="G80" s="64">
        <v>40.57</v>
      </c>
      <c r="H80" s="64">
        <v>18.38</v>
      </c>
      <c r="I80" s="64">
        <v>3.45</v>
      </c>
      <c r="J80" s="64">
        <v>0.13</v>
      </c>
      <c r="K80" s="64">
        <v>333.44</v>
      </c>
      <c r="L80" s="64">
        <v>20.02</v>
      </c>
      <c r="M80" s="64">
        <v>49.31</v>
      </c>
      <c r="N80" s="64">
        <v>43.4</v>
      </c>
      <c r="O80" s="64">
        <v>0</v>
      </c>
      <c r="P80" s="64">
        <v>1.67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1" t="s">
        <v>1472</v>
      </c>
      <c r="B81" s="64">
        <v>31.57</v>
      </c>
      <c r="C81" s="64">
        <v>36.53</v>
      </c>
      <c r="D81" s="64">
        <v>43.94</v>
      </c>
      <c r="E81" s="64">
        <v>7.55</v>
      </c>
      <c r="F81" s="64">
        <v>4.0599999999999996</v>
      </c>
      <c r="G81" s="64">
        <v>40.57</v>
      </c>
      <c r="H81" s="64">
        <v>18.38</v>
      </c>
      <c r="I81" s="64">
        <v>3.69</v>
      </c>
      <c r="J81" s="64">
        <v>0.04</v>
      </c>
      <c r="K81" s="64">
        <v>156.29</v>
      </c>
      <c r="L81" s="64">
        <v>19.29</v>
      </c>
      <c r="M81" s="64">
        <v>50.16</v>
      </c>
      <c r="N81" s="64">
        <v>42.9</v>
      </c>
      <c r="O81" s="64">
        <v>0</v>
      </c>
      <c r="P81" s="64">
        <v>1.6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1" t="s">
        <v>1473</v>
      </c>
      <c r="B82" s="64">
        <v>50.95</v>
      </c>
      <c r="C82" s="64">
        <v>25.14</v>
      </c>
      <c r="D82" s="64">
        <v>53.46</v>
      </c>
      <c r="E82" s="64">
        <v>7.24</v>
      </c>
      <c r="F82" s="64">
        <v>4.13</v>
      </c>
      <c r="G82" s="64">
        <v>145.02000000000001</v>
      </c>
      <c r="H82" s="64">
        <v>30.69</v>
      </c>
      <c r="I82" s="64">
        <v>3.67</v>
      </c>
      <c r="J82" s="64">
        <v>0.09</v>
      </c>
      <c r="K82" s="64">
        <v>44.04</v>
      </c>
      <c r="L82" s="64">
        <v>19.239999999999998</v>
      </c>
      <c r="M82" s="64">
        <v>51.2</v>
      </c>
      <c r="N82" s="64">
        <v>42.8</v>
      </c>
      <c r="O82" s="64">
        <v>0</v>
      </c>
      <c r="P82" s="64">
        <v>1.75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1" t="s">
        <v>1474</v>
      </c>
      <c r="B83" s="64">
        <v>41</v>
      </c>
      <c r="C83" s="64">
        <v>23.38</v>
      </c>
      <c r="D83" s="64">
        <v>44.63</v>
      </c>
      <c r="E83" s="64">
        <v>7.06</v>
      </c>
      <c r="F83" s="64">
        <v>3.92</v>
      </c>
      <c r="G83" s="64">
        <v>152.47999999999999</v>
      </c>
      <c r="H83" s="64">
        <v>30.69</v>
      </c>
      <c r="I83" s="64">
        <v>3.68</v>
      </c>
      <c r="J83" s="64">
        <v>0.04</v>
      </c>
      <c r="K83" s="64">
        <v>341.29</v>
      </c>
      <c r="L83" s="64">
        <v>18.760000000000002</v>
      </c>
      <c r="M83" s="64">
        <v>57.04</v>
      </c>
      <c r="N83" s="64">
        <v>43</v>
      </c>
      <c r="O83" s="64">
        <v>0</v>
      </c>
      <c r="P83" s="64">
        <v>1.83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1" t="s">
        <v>1475</v>
      </c>
      <c r="B84" s="64">
        <v>44.89</v>
      </c>
      <c r="C84" s="64">
        <v>25.67</v>
      </c>
      <c r="D84" s="64">
        <v>48.95</v>
      </c>
      <c r="E84" s="64">
        <v>7.55</v>
      </c>
      <c r="F84" s="64">
        <v>4.7</v>
      </c>
      <c r="G84" s="64">
        <v>152.47999999999999</v>
      </c>
      <c r="H84" s="64">
        <v>30.69</v>
      </c>
      <c r="I84" s="64">
        <v>3.87</v>
      </c>
      <c r="J84" s="64">
        <v>0.09</v>
      </c>
      <c r="K84" s="64">
        <v>356.04</v>
      </c>
      <c r="L84" s="64">
        <v>18.47</v>
      </c>
      <c r="M84" s="64">
        <v>58.32</v>
      </c>
      <c r="N84" s="64">
        <v>42.8</v>
      </c>
      <c r="O84" s="64">
        <v>0</v>
      </c>
      <c r="P84" s="64">
        <v>2.16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1" t="s">
        <v>1476</v>
      </c>
      <c r="B85" s="64">
        <v>64.150000000000006</v>
      </c>
      <c r="C85" s="64">
        <v>18.28</v>
      </c>
      <c r="D85" s="64">
        <v>60.52</v>
      </c>
      <c r="E85" s="64">
        <v>6.83</v>
      </c>
      <c r="F85" s="64">
        <v>4.04</v>
      </c>
      <c r="G85" s="64">
        <v>152.47999999999999</v>
      </c>
      <c r="H85" s="64">
        <v>30.69</v>
      </c>
      <c r="I85" s="64">
        <v>4.16</v>
      </c>
      <c r="J85" s="64">
        <v>0.09</v>
      </c>
      <c r="K85" s="64">
        <v>342.37</v>
      </c>
      <c r="L85" s="64">
        <v>18.2</v>
      </c>
      <c r="M85" s="64">
        <v>61.42</v>
      </c>
      <c r="N85" s="64">
        <v>43</v>
      </c>
      <c r="O85" s="64">
        <v>0</v>
      </c>
      <c r="P85" s="64">
        <v>1.9</v>
      </c>
      <c r="Q85" s="64">
        <v>9.66</v>
      </c>
      <c r="R85" s="198"/>
      <c r="S85" s="198"/>
      <c r="T85" s="198"/>
      <c r="U85" s="198"/>
    </row>
    <row r="86" spans="1:26" s="12" customFormat="1" x14ac:dyDescent="0.25">
      <c r="A86" s="211" t="s">
        <v>1477</v>
      </c>
      <c r="B86" s="64">
        <v>52.43</v>
      </c>
      <c r="C86" s="64">
        <v>15.94</v>
      </c>
      <c r="D86" s="64">
        <v>49.91</v>
      </c>
      <c r="E86" s="64">
        <v>6.9</v>
      </c>
      <c r="F86" s="64">
        <v>3.5</v>
      </c>
      <c r="G86" s="64">
        <v>133.43</v>
      </c>
      <c r="H86" s="64">
        <v>37.53</v>
      </c>
      <c r="I86" s="64">
        <v>4.46</v>
      </c>
      <c r="J86" s="64">
        <v>0.13</v>
      </c>
      <c r="K86" s="64">
        <v>296.60000000000002</v>
      </c>
      <c r="L86" s="64">
        <v>17.809999999999999</v>
      </c>
      <c r="M86" s="64">
        <v>64.73</v>
      </c>
      <c r="N86" s="64">
        <v>42.8</v>
      </c>
      <c r="O86" s="64">
        <v>0</v>
      </c>
      <c r="P86" s="64">
        <v>1.69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1" t="s">
        <v>1478</v>
      </c>
      <c r="B87" s="64">
        <v>50.65</v>
      </c>
      <c r="C87" s="64">
        <v>12.36</v>
      </c>
      <c r="D87" s="64">
        <v>46.62</v>
      </c>
      <c r="E87" s="64">
        <v>6.18</v>
      </c>
      <c r="F87" s="64">
        <v>2.98</v>
      </c>
      <c r="G87" s="64">
        <v>132.07</v>
      </c>
      <c r="H87" s="64">
        <v>37.53</v>
      </c>
      <c r="I87" s="64">
        <v>4.67</v>
      </c>
      <c r="J87" s="64">
        <v>0.09</v>
      </c>
      <c r="K87" s="64">
        <v>355.16</v>
      </c>
      <c r="L87" s="64">
        <v>17.55</v>
      </c>
      <c r="M87" s="64">
        <v>66.22</v>
      </c>
      <c r="N87" s="64">
        <v>42.6</v>
      </c>
      <c r="O87" s="64">
        <v>0</v>
      </c>
      <c r="P87" s="64">
        <v>1.64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1" t="s">
        <v>1479</v>
      </c>
      <c r="B88" s="64">
        <v>46.29</v>
      </c>
      <c r="C88" s="64">
        <v>8.8000000000000007</v>
      </c>
      <c r="D88" s="64">
        <v>41.26</v>
      </c>
      <c r="E88" s="64">
        <v>5.95</v>
      </c>
      <c r="F88" s="64">
        <v>3.1</v>
      </c>
      <c r="G88" s="64">
        <v>132.07</v>
      </c>
      <c r="H88" s="64">
        <v>37.53</v>
      </c>
      <c r="I88" s="64">
        <v>4.92</v>
      </c>
      <c r="J88" s="64">
        <v>0.16</v>
      </c>
      <c r="K88" s="64">
        <v>139.25</v>
      </c>
      <c r="L88" s="64">
        <v>17.309999999999999</v>
      </c>
      <c r="M88" s="64">
        <v>72.08</v>
      </c>
      <c r="N88" s="64">
        <v>42.6</v>
      </c>
      <c r="O88" s="64">
        <v>0</v>
      </c>
      <c r="P88" s="64">
        <v>1.58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11" t="s">
        <v>1480</v>
      </c>
      <c r="B89" s="64">
        <v>54.17</v>
      </c>
      <c r="C89" s="64">
        <v>5.33</v>
      </c>
      <c r="D89" s="64">
        <v>45.76</v>
      </c>
      <c r="E89" s="64">
        <v>5.99</v>
      </c>
      <c r="F89" s="64">
        <v>3.22</v>
      </c>
      <c r="G89" s="64">
        <v>132.07</v>
      </c>
      <c r="H89" s="64">
        <v>37.53</v>
      </c>
      <c r="I89" s="64">
        <v>5.26</v>
      </c>
      <c r="J89" s="64">
        <v>0.1</v>
      </c>
      <c r="K89" s="64">
        <v>300.99</v>
      </c>
      <c r="L89" s="64">
        <v>17.5</v>
      </c>
      <c r="M89" s="64">
        <v>67.319999999999993</v>
      </c>
      <c r="N89" s="64">
        <v>42.4</v>
      </c>
      <c r="O89" s="64">
        <v>0</v>
      </c>
      <c r="P89" s="64">
        <v>1.68</v>
      </c>
      <c r="Q89" s="64">
        <v>9.6999999999999993</v>
      </c>
      <c r="R89" s="198"/>
      <c r="S89" s="198"/>
      <c r="T89" s="198"/>
      <c r="U89" s="198"/>
    </row>
    <row r="90" spans="1:26" s="12" customFormat="1" x14ac:dyDescent="0.25">
      <c r="A90" s="211" t="s">
        <v>1481</v>
      </c>
      <c r="B90" s="64">
        <v>60.84</v>
      </c>
      <c r="C90" s="64">
        <v>2.67</v>
      </c>
      <c r="D90" s="64">
        <v>49.72</v>
      </c>
      <c r="E90" s="64">
        <v>5.77</v>
      </c>
      <c r="F90" s="64">
        <v>3.15</v>
      </c>
      <c r="G90" s="64">
        <v>136.96</v>
      </c>
      <c r="H90" s="64">
        <v>42.86</v>
      </c>
      <c r="I90" s="64">
        <v>5.6</v>
      </c>
      <c r="J90" s="64">
        <v>0.1</v>
      </c>
      <c r="K90" s="64">
        <v>317.3</v>
      </c>
      <c r="L90" s="64">
        <v>17.22</v>
      </c>
      <c r="M90" s="64">
        <v>72.040000000000006</v>
      </c>
      <c r="N90" s="64">
        <v>42.8</v>
      </c>
      <c r="O90" s="64">
        <v>0</v>
      </c>
      <c r="P90" s="64">
        <v>1.81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1" t="s">
        <v>1482</v>
      </c>
      <c r="B91" s="64">
        <v>67.17</v>
      </c>
      <c r="C91" s="64">
        <v>0.21</v>
      </c>
      <c r="D91" s="64">
        <v>53.18</v>
      </c>
      <c r="E91" s="64">
        <v>6.18</v>
      </c>
      <c r="F91" s="64">
        <v>3</v>
      </c>
      <c r="G91" s="64">
        <v>137.31</v>
      </c>
      <c r="H91" s="64">
        <v>42.86</v>
      </c>
      <c r="I91" s="64">
        <v>5.89</v>
      </c>
      <c r="J91" s="64">
        <v>0.2</v>
      </c>
      <c r="K91" s="64">
        <v>342.05</v>
      </c>
      <c r="L91" s="64">
        <v>17.079999999999998</v>
      </c>
      <c r="M91" s="64">
        <v>77.22</v>
      </c>
      <c r="N91" s="64">
        <v>42.8</v>
      </c>
      <c r="O91" s="64">
        <v>0</v>
      </c>
      <c r="P91" s="64">
        <v>1.94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11" t="s">
        <v>1483</v>
      </c>
      <c r="B92" s="64">
        <v>73.58</v>
      </c>
      <c r="C92" s="6" t="s">
        <v>42</v>
      </c>
      <c r="D92" s="64">
        <v>56.74</v>
      </c>
      <c r="E92" s="64">
        <v>6.16</v>
      </c>
      <c r="F92" s="64">
        <v>3.07</v>
      </c>
      <c r="G92" s="64">
        <v>137.31</v>
      </c>
      <c r="H92" s="64">
        <v>42.86</v>
      </c>
      <c r="I92" s="64">
        <v>6.18</v>
      </c>
      <c r="J92" s="64">
        <v>0.12</v>
      </c>
      <c r="K92" s="64">
        <v>320.72000000000003</v>
      </c>
      <c r="L92" s="64">
        <v>16.68</v>
      </c>
      <c r="M92" s="64">
        <v>76.77</v>
      </c>
      <c r="N92" s="64">
        <v>42.6</v>
      </c>
      <c r="O92" s="64">
        <v>0</v>
      </c>
      <c r="P92" s="64">
        <v>2.09</v>
      </c>
      <c r="Q92" s="64">
        <v>9.74</v>
      </c>
      <c r="R92" s="198"/>
      <c r="S92" s="198"/>
      <c r="T92" s="198"/>
      <c r="U92" s="198"/>
    </row>
    <row r="93" spans="1:26" s="12" customFormat="1" x14ac:dyDescent="0.25">
      <c r="A93" s="211" t="s">
        <v>1484</v>
      </c>
      <c r="B93" s="64">
        <v>80.319999999999993</v>
      </c>
      <c r="C93" s="6" t="s">
        <v>42</v>
      </c>
      <c r="D93" s="64">
        <v>60.53</v>
      </c>
      <c r="E93" s="64">
        <v>6.02</v>
      </c>
      <c r="F93" s="64">
        <v>3.17</v>
      </c>
      <c r="G93" s="64">
        <v>137.31</v>
      </c>
      <c r="H93" s="64">
        <v>42.86</v>
      </c>
      <c r="I93" s="64">
        <v>6.49</v>
      </c>
      <c r="J93" s="64">
        <v>0.09</v>
      </c>
      <c r="K93" s="64">
        <v>270.57</v>
      </c>
      <c r="L93" s="64">
        <v>16.579999999999998</v>
      </c>
      <c r="M93" s="64">
        <v>76.41</v>
      </c>
      <c r="N93" s="64">
        <v>42.6</v>
      </c>
      <c r="O93" s="64">
        <v>0</v>
      </c>
      <c r="P93" s="64">
        <v>2.21</v>
      </c>
      <c r="Q93" s="64">
        <v>9.74</v>
      </c>
      <c r="R93" s="198"/>
      <c r="S93" s="198"/>
      <c r="T93" s="198"/>
      <c r="U93" s="198"/>
    </row>
    <row r="94" spans="1:26" s="12" customFormat="1" x14ac:dyDescent="0.25">
      <c r="A94" s="211" t="s">
        <v>1485</v>
      </c>
      <c r="B94" s="64">
        <v>85.06</v>
      </c>
      <c r="C94" s="6" t="s">
        <v>42</v>
      </c>
      <c r="D94" s="64">
        <v>63.11</v>
      </c>
      <c r="E94" s="64">
        <v>6.25</v>
      </c>
      <c r="F94" s="64">
        <v>3.22</v>
      </c>
      <c r="G94" s="64">
        <v>149.13999999999999</v>
      </c>
      <c r="H94" s="64">
        <v>48.74</v>
      </c>
      <c r="I94" s="64">
        <v>6.78</v>
      </c>
      <c r="J94" s="64">
        <v>0.1</v>
      </c>
      <c r="K94" s="64">
        <v>283.98</v>
      </c>
      <c r="L94" s="64">
        <v>16.59</v>
      </c>
      <c r="M94" s="64">
        <v>79.84</v>
      </c>
      <c r="N94" s="64">
        <v>42.7</v>
      </c>
      <c r="O94" s="64">
        <v>0</v>
      </c>
      <c r="P94" s="64">
        <v>2.31</v>
      </c>
      <c r="Q94" s="64">
        <v>9.76</v>
      </c>
      <c r="R94" s="198"/>
      <c r="S94" s="198"/>
      <c r="T94" s="198"/>
      <c r="U94" s="198"/>
    </row>
    <row r="95" spans="1:26" s="12" customFormat="1" x14ac:dyDescent="0.25">
      <c r="A95" s="211" t="s">
        <v>1486</v>
      </c>
      <c r="B95" s="64">
        <v>92.85</v>
      </c>
      <c r="C95" s="6" t="s">
        <v>42</v>
      </c>
      <c r="D95" s="64">
        <v>67.62</v>
      </c>
      <c r="E95" s="64">
        <v>6.55</v>
      </c>
      <c r="F95" s="64">
        <v>3.34</v>
      </c>
      <c r="G95" s="64">
        <v>149.99</v>
      </c>
      <c r="H95" s="64">
        <v>48.74</v>
      </c>
      <c r="I95" s="64">
        <v>6.99</v>
      </c>
      <c r="J95" s="64">
        <v>0.08</v>
      </c>
      <c r="K95" s="64">
        <v>347.01</v>
      </c>
      <c r="L95" s="64">
        <v>16.27</v>
      </c>
      <c r="M95" s="64">
        <v>80.290000000000006</v>
      </c>
      <c r="N95" s="64">
        <v>42.7</v>
      </c>
      <c r="O95" s="64">
        <v>0</v>
      </c>
      <c r="P95" s="64">
        <v>2.44</v>
      </c>
      <c r="Q95" s="64">
        <v>9.77</v>
      </c>
      <c r="R95" s="198"/>
      <c r="S95" s="198"/>
      <c r="T95" s="198"/>
      <c r="U95" s="198"/>
    </row>
    <row r="96" spans="1:26" s="12" customFormat="1" x14ac:dyDescent="0.25">
      <c r="A96" s="211" t="s">
        <v>1487</v>
      </c>
      <c r="B96" s="64">
        <v>97.57</v>
      </c>
      <c r="C96" s="6" t="s">
        <v>42</v>
      </c>
      <c r="D96" s="64">
        <v>70.319999999999993</v>
      </c>
      <c r="E96" s="64">
        <v>6.32</v>
      </c>
      <c r="F96" s="64">
        <v>3.19</v>
      </c>
      <c r="G96" s="64">
        <v>149.99</v>
      </c>
      <c r="H96" s="64">
        <v>48.74</v>
      </c>
      <c r="I96" s="64">
        <v>7.22</v>
      </c>
      <c r="J96" s="64">
        <v>7.0000000000000007E-2</v>
      </c>
      <c r="K96" s="64">
        <v>308.97000000000003</v>
      </c>
      <c r="L96" s="64">
        <v>16.23</v>
      </c>
      <c r="M96" s="64">
        <v>82.31</v>
      </c>
      <c r="N96" s="64">
        <v>42.5</v>
      </c>
      <c r="O96" s="64">
        <v>0</v>
      </c>
      <c r="P96" s="64">
        <v>2.52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1488</v>
      </c>
      <c r="B97" s="64">
        <v>105.76</v>
      </c>
      <c r="C97" s="6" t="s">
        <v>42</v>
      </c>
      <c r="D97" s="64">
        <v>75.36</v>
      </c>
      <c r="E97" s="64">
        <v>6.25</v>
      </c>
      <c r="F97" s="64">
        <v>3.04</v>
      </c>
      <c r="G97" s="64">
        <v>149.99</v>
      </c>
      <c r="H97" s="64">
        <v>48.74</v>
      </c>
      <c r="I97" s="64">
        <v>7.9</v>
      </c>
      <c r="J97" s="64">
        <v>0.11</v>
      </c>
      <c r="K97" s="64">
        <v>293.58999999999997</v>
      </c>
      <c r="L97" s="64">
        <v>16.07</v>
      </c>
      <c r="M97" s="64">
        <v>87.68</v>
      </c>
      <c r="N97" s="64">
        <v>42.5</v>
      </c>
      <c r="O97" s="64">
        <v>0</v>
      </c>
      <c r="P97" s="64">
        <v>2.64</v>
      </c>
      <c r="Q97" s="64">
        <v>9.8000000000000007</v>
      </c>
      <c r="R97" s="198"/>
      <c r="S97" s="198"/>
      <c r="T97" s="198"/>
      <c r="U97" s="198"/>
    </row>
    <row r="98" spans="1:33" s="12" customFormat="1" x14ac:dyDescent="0.25">
      <c r="A98" s="211" t="s">
        <v>1489</v>
      </c>
      <c r="B98" s="64">
        <v>112.47</v>
      </c>
      <c r="C98" s="6" t="s">
        <v>42</v>
      </c>
      <c r="D98" s="64">
        <v>79.17</v>
      </c>
      <c r="E98" s="64">
        <v>6.44</v>
      </c>
      <c r="F98" s="64">
        <v>3.43</v>
      </c>
      <c r="G98" s="64">
        <v>144.51</v>
      </c>
      <c r="H98" s="64">
        <v>52.98</v>
      </c>
      <c r="I98" s="64">
        <v>7.97</v>
      </c>
      <c r="J98" s="64">
        <v>0.13</v>
      </c>
      <c r="K98" s="64">
        <v>306.26</v>
      </c>
      <c r="L98" s="64">
        <v>15.92</v>
      </c>
      <c r="M98" s="64">
        <v>89.94</v>
      </c>
      <c r="N98" s="64">
        <v>42.7</v>
      </c>
      <c r="O98" s="64">
        <v>0</v>
      </c>
      <c r="P98" s="64">
        <v>2.75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11" t="s">
        <v>1490</v>
      </c>
      <c r="B99" s="64">
        <v>116.41</v>
      </c>
      <c r="C99" s="6" t="s">
        <v>42</v>
      </c>
      <c r="D99" s="64">
        <v>81.16</v>
      </c>
      <c r="E99" s="64">
        <v>6.39</v>
      </c>
      <c r="F99" s="64">
        <v>3.5</v>
      </c>
      <c r="G99" s="64">
        <v>144.12</v>
      </c>
      <c r="H99" s="64">
        <v>52.98</v>
      </c>
      <c r="I99" s="64">
        <v>7.83</v>
      </c>
      <c r="J99" s="64">
        <v>0.15</v>
      </c>
      <c r="K99" s="64">
        <v>299.39999999999998</v>
      </c>
      <c r="L99" s="64">
        <v>15.67</v>
      </c>
      <c r="M99" s="64">
        <v>93.81</v>
      </c>
      <c r="N99" s="64">
        <v>42.6</v>
      </c>
      <c r="O99" s="64">
        <v>0</v>
      </c>
      <c r="P99" s="64">
        <v>2.84</v>
      </c>
      <c r="Q99" s="64">
        <v>9.84</v>
      </c>
      <c r="R99" s="198"/>
      <c r="S99" s="198"/>
      <c r="T99" s="198"/>
      <c r="U99" s="198"/>
    </row>
    <row r="100" spans="1:33" s="12" customFormat="1" x14ac:dyDescent="0.25">
      <c r="A100" s="211" t="s">
        <v>1491</v>
      </c>
      <c r="B100" s="64">
        <v>122.54</v>
      </c>
      <c r="C100" s="6" t="s">
        <v>42</v>
      </c>
      <c r="D100" s="64">
        <v>84.84</v>
      </c>
      <c r="E100" s="64">
        <v>6.5</v>
      </c>
      <c r="F100" s="64">
        <v>3.39</v>
      </c>
      <c r="G100" s="64">
        <v>144.12</v>
      </c>
      <c r="H100" s="64">
        <v>52.98</v>
      </c>
      <c r="I100" s="64">
        <v>8.0399999999999991</v>
      </c>
      <c r="J100" s="64">
        <v>0.09</v>
      </c>
      <c r="K100" s="64">
        <v>279.76</v>
      </c>
      <c r="L100" s="64">
        <v>15.46</v>
      </c>
      <c r="M100" s="64">
        <v>94.23</v>
      </c>
      <c r="N100" s="64">
        <v>42.6</v>
      </c>
      <c r="O100" s="64">
        <v>0</v>
      </c>
      <c r="P100" s="64">
        <v>2.93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1492</v>
      </c>
      <c r="B101" s="64">
        <v>126.83</v>
      </c>
      <c r="C101" s="6" t="s">
        <v>42</v>
      </c>
      <c r="D101" s="64">
        <v>87.2</v>
      </c>
      <c r="E101" s="64">
        <v>6.68</v>
      </c>
      <c r="F101" s="64">
        <v>3.37</v>
      </c>
      <c r="G101" s="64">
        <v>144.12</v>
      </c>
      <c r="H101" s="64">
        <v>52.98</v>
      </c>
      <c r="I101" s="64">
        <v>8.73</v>
      </c>
      <c r="J101" s="64">
        <v>0.12</v>
      </c>
      <c r="K101" s="64">
        <v>299.07</v>
      </c>
      <c r="L101" s="64">
        <v>15.16</v>
      </c>
      <c r="M101" s="64">
        <v>94</v>
      </c>
      <c r="N101" s="64">
        <v>42.7</v>
      </c>
      <c r="O101" s="64">
        <v>0</v>
      </c>
      <c r="P101" s="64">
        <v>2.99</v>
      </c>
      <c r="Q101" s="64">
        <v>9.86</v>
      </c>
      <c r="R101" s="198"/>
      <c r="S101" s="198"/>
      <c r="T101" s="198"/>
      <c r="U101" s="198"/>
    </row>
    <row r="102" spans="1:33" s="12" customFormat="1" x14ac:dyDescent="0.25">
      <c r="A102" s="211" t="s">
        <v>1493</v>
      </c>
      <c r="B102" s="64">
        <v>129.29</v>
      </c>
      <c r="C102" s="6" t="s">
        <v>42</v>
      </c>
      <c r="D102" s="64">
        <v>88.49</v>
      </c>
      <c r="E102" s="64">
        <v>6.62</v>
      </c>
      <c r="F102" s="64">
        <v>3.5</v>
      </c>
      <c r="G102" s="64">
        <v>160.54</v>
      </c>
      <c r="H102" s="64">
        <v>55.71</v>
      </c>
      <c r="I102" s="64">
        <v>8.74</v>
      </c>
      <c r="J102" s="64">
        <v>0.03</v>
      </c>
      <c r="K102" s="64">
        <v>306.68</v>
      </c>
      <c r="L102" s="64">
        <v>14.57</v>
      </c>
      <c r="M102" s="64">
        <v>93.15</v>
      </c>
      <c r="N102" s="64">
        <v>42.7</v>
      </c>
      <c r="O102" s="64">
        <v>0</v>
      </c>
      <c r="P102" s="64">
        <v>3.01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1" t="s">
        <v>1494</v>
      </c>
      <c r="B103" s="64">
        <v>129.03</v>
      </c>
      <c r="C103" s="6" t="s">
        <v>42</v>
      </c>
      <c r="D103" s="64">
        <v>88.02</v>
      </c>
      <c r="E103" s="64">
        <v>6.5</v>
      </c>
      <c r="F103" s="64">
        <v>3.31</v>
      </c>
      <c r="G103" s="64">
        <v>161.71</v>
      </c>
      <c r="H103" s="64">
        <v>55.71</v>
      </c>
      <c r="I103" s="64">
        <v>8.48</v>
      </c>
      <c r="J103" s="64">
        <v>0.04</v>
      </c>
      <c r="K103" s="64">
        <v>167.14</v>
      </c>
      <c r="L103" s="64">
        <v>14.49</v>
      </c>
      <c r="M103" s="64">
        <v>97.04</v>
      </c>
      <c r="N103" s="64">
        <v>42.7</v>
      </c>
      <c r="O103" s="64">
        <v>0</v>
      </c>
      <c r="P103" s="64">
        <v>3</v>
      </c>
      <c r="Q103" s="64">
        <v>9.86</v>
      </c>
      <c r="R103" s="198"/>
      <c r="S103" s="198"/>
      <c r="T103" s="198"/>
      <c r="U103" s="198"/>
    </row>
    <row r="104" spans="1:33" s="12" customFormat="1" x14ac:dyDescent="0.25">
      <c r="A104" s="211" t="s">
        <v>1495</v>
      </c>
      <c r="B104" s="64">
        <v>127.29</v>
      </c>
      <c r="C104" s="6" t="s">
        <v>42</v>
      </c>
      <c r="D104" s="64">
        <v>86.71</v>
      </c>
      <c r="E104" s="64">
        <v>5.53</v>
      </c>
      <c r="F104" s="64">
        <v>3.51</v>
      </c>
      <c r="G104" s="64">
        <v>161.71</v>
      </c>
      <c r="H104" s="64">
        <v>55.71</v>
      </c>
      <c r="I104" s="64">
        <v>8.52</v>
      </c>
      <c r="J104" s="64">
        <v>0.13</v>
      </c>
      <c r="K104" s="64">
        <v>243.55</v>
      </c>
      <c r="L104" s="64">
        <v>14.65</v>
      </c>
      <c r="M104" s="64">
        <v>97.1</v>
      </c>
      <c r="N104" s="64">
        <v>42.3</v>
      </c>
      <c r="O104" s="64">
        <v>0</v>
      </c>
      <c r="P104" s="64">
        <v>2.97</v>
      </c>
      <c r="Q104" s="64">
        <v>9.8699999999999992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2.38</v>
      </c>
      <c r="C106" s="67">
        <f>MIN(C9:C104)</f>
        <v>0.13</v>
      </c>
      <c r="D106" s="67">
        <f t="shared" ref="D106:Q106" si="0">MIN(D9:D104)</f>
        <v>14.7</v>
      </c>
      <c r="E106" s="67">
        <f t="shared" si="0"/>
        <v>5.0599999999999996</v>
      </c>
      <c r="F106" s="67">
        <f t="shared" si="0"/>
        <v>2.9</v>
      </c>
      <c r="G106" s="67">
        <f t="shared" si="0"/>
        <v>9.3000000000000007</v>
      </c>
      <c r="H106" s="67">
        <f t="shared" si="0"/>
        <v>15.23</v>
      </c>
      <c r="I106" s="67">
        <f t="shared" si="0"/>
        <v>2.69</v>
      </c>
      <c r="J106" s="67">
        <f t="shared" si="0"/>
        <v>0.01</v>
      </c>
      <c r="K106" s="67">
        <f t="shared" si="0"/>
        <v>-0.19</v>
      </c>
      <c r="L106" s="67">
        <f t="shared" si="0"/>
        <v>13.56</v>
      </c>
      <c r="M106" s="67">
        <f t="shared" si="0"/>
        <v>20.64</v>
      </c>
      <c r="N106" s="67">
        <f t="shared" si="0"/>
        <v>41.9</v>
      </c>
      <c r="O106" s="67">
        <f t="shared" si="0"/>
        <v>0</v>
      </c>
      <c r="P106" s="67">
        <f t="shared" si="0"/>
        <v>0.59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129.29</v>
      </c>
      <c r="C107" s="66">
        <f t="shared" ref="C107:Q107" si="1">MAX(C9:C104)</f>
        <v>41.45</v>
      </c>
      <c r="D107" s="66">
        <f t="shared" si="1"/>
        <v>88.49</v>
      </c>
      <c r="E107" s="66">
        <f t="shared" si="1"/>
        <v>20.87</v>
      </c>
      <c r="F107" s="66">
        <f t="shared" si="1"/>
        <v>25.46</v>
      </c>
      <c r="G107" s="66">
        <f t="shared" si="1"/>
        <v>161.71</v>
      </c>
      <c r="H107" s="66">
        <f t="shared" si="1"/>
        <v>55.71</v>
      </c>
      <c r="I107" s="66">
        <f t="shared" si="1"/>
        <v>9.0500000000000007</v>
      </c>
      <c r="J107" s="66">
        <f t="shared" si="1"/>
        <v>1.1000000000000001</v>
      </c>
      <c r="K107" s="66">
        <f t="shared" si="1"/>
        <v>358.6</v>
      </c>
      <c r="L107" s="66">
        <f t="shared" si="1"/>
        <v>29.27</v>
      </c>
      <c r="M107" s="66">
        <f t="shared" si="1"/>
        <v>97.13</v>
      </c>
      <c r="N107" s="66">
        <f t="shared" si="1"/>
        <v>716.6</v>
      </c>
      <c r="O107" s="66">
        <f t="shared" si="1"/>
        <v>0</v>
      </c>
      <c r="P107" s="66">
        <f t="shared" si="1"/>
        <v>3.01</v>
      </c>
      <c r="Q107" s="66">
        <f t="shared" si="1"/>
        <v>9.8699999999999992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48.184374999999996</v>
      </c>
      <c r="C108" s="67">
        <f t="shared" ref="C108:Q108" si="2">AVERAGE(C9:C104)</f>
        <v>25.013333333333335</v>
      </c>
      <c r="D108" s="67">
        <f t="shared" si="2"/>
        <v>42.393541666666671</v>
      </c>
      <c r="E108" s="67">
        <f t="shared" si="2"/>
        <v>7.4106249999999951</v>
      </c>
      <c r="F108" s="67">
        <f t="shared" si="2"/>
        <v>6.2451041666666676</v>
      </c>
      <c r="G108" s="67">
        <f t="shared" si="2"/>
        <v>93.058124999999961</v>
      </c>
      <c r="H108" s="67">
        <f t="shared" si="2"/>
        <v>35.221666666666685</v>
      </c>
      <c r="I108" s="67">
        <f t="shared" si="2"/>
        <v>5.9924999999999997</v>
      </c>
      <c r="J108" s="67">
        <f t="shared" si="2"/>
        <v>0.21677083333333325</v>
      </c>
      <c r="K108" s="67">
        <f t="shared" si="2"/>
        <v>247.63906249999991</v>
      </c>
      <c r="L108" s="67">
        <f t="shared" si="2"/>
        <v>19.936249999999998</v>
      </c>
      <c r="M108" s="67">
        <f t="shared" si="2"/>
        <v>60.018854166666671</v>
      </c>
      <c r="N108" s="67">
        <f t="shared" si="2"/>
        <v>189.35520833333328</v>
      </c>
      <c r="O108" s="67">
        <f t="shared" si="2"/>
        <v>0</v>
      </c>
      <c r="P108" s="67">
        <f t="shared" si="2"/>
        <v>1.5308333333333328</v>
      </c>
      <c r="Q108" s="67">
        <f t="shared" si="2"/>
        <v>9.5984374999999957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35.846034583963899</v>
      </c>
      <c r="C109" s="67">
        <f t="shared" ref="C109:Q109" si="3">STDEV(C9:C104)</f>
        <v>12.667483043867344</v>
      </c>
      <c r="D109" s="67">
        <f t="shared" si="3"/>
        <v>19.139019552469865</v>
      </c>
      <c r="E109" s="67">
        <f t="shared" si="3"/>
        <v>2.9487995104163418</v>
      </c>
      <c r="F109" s="67">
        <f t="shared" si="3"/>
        <v>5.1308222373358765</v>
      </c>
      <c r="G109" s="67">
        <f t="shared" si="3"/>
        <v>43.748203266865211</v>
      </c>
      <c r="H109" s="67">
        <f t="shared" si="3"/>
        <v>12.156798978493772</v>
      </c>
      <c r="I109" s="67">
        <f t="shared" si="3"/>
        <v>2.2455631107164487</v>
      </c>
      <c r="J109" s="67">
        <f t="shared" si="3"/>
        <v>0.24434012011588613</v>
      </c>
      <c r="K109" s="67">
        <f t="shared" si="3"/>
        <v>110.86407676997653</v>
      </c>
      <c r="L109" s="67">
        <f t="shared" si="3"/>
        <v>5.4629614582876815</v>
      </c>
      <c r="M109" s="67">
        <f t="shared" si="3"/>
        <v>30.286138495837267</v>
      </c>
      <c r="N109" s="67">
        <f t="shared" si="3"/>
        <v>232.71756764021308</v>
      </c>
      <c r="O109" s="67">
        <f t="shared" si="3"/>
        <v>0</v>
      </c>
      <c r="P109" s="67">
        <f t="shared" si="3"/>
        <v>0.64669795547383357</v>
      </c>
      <c r="Q109" s="67">
        <f t="shared" si="3"/>
        <v>0.19994908891489038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COUNT(C9:C104)+45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215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1496</v>
      </c>
      <c r="B9" s="64">
        <v>124.75</v>
      </c>
      <c r="C9" s="6" t="s">
        <v>42</v>
      </c>
      <c r="D9" s="64">
        <v>85</v>
      </c>
      <c r="E9" s="64">
        <v>6.27</v>
      </c>
      <c r="F9" s="64">
        <v>3.45</v>
      </c>
      <c r="G9" s="64">
        <v>161.71</v>
      </c>
      <c r="H9" s="64">
        <v>55.71</v>
      </c>
      <c r="I9" s="64">
        <v>8.52</v>
      </c>
      <c r="J9" s="64">
        <v>0.24</v>
      </c>
      <c r="K9" s="64">
        <v>329.57</v>
      </c>
      <c r="L9" s="64">
        <v>14.43</v>
      </c>
      <c r="M9" s="64">
        <v>97.13</v>
      </c>
      <c r="N9" s="64">
        <v>42.5</v>
      </c>
      <c r="O9" s="64">
        <v>0</v>
      </c>
      <c r="P9" s="64">
        <v>2.91</v>
      </c>
      <c r="Q9" s="64">
        <v>9.8699999999999992</v>
      </c>
      <c r="R9" s="198"/>
      <c r="S9" s="198"/>
      <c r="T9" s="198"/>
      <c r="U9" s="198"/>
    </row>
    <row r="10" spans="1:21" s="12" customFormat="1" x14ac:dyDescent="0.25">
      <c r="A10" s="211" t="s">
        <v>1497</v>
      </c>
      <c r="B10" s="64">
        <v>123.23</v>
      </c>
      <c r="C10" s="6" t="s">
        <v>42</v>
      </c>
      <c r="D10" s="64">
        <v>83.67</v>
      </c>
      <c r="E10" s="64">
        <v>6.44</v>
      </c>
      <c r="F10" s="64">
        <v>3.44</v>
      </c>
      <c r="G10" s="64">
        <v>120.75</v>
      </c>
      <c r="H10" s="64">
        <v>51.6</v>
      </c>
      <c r="I10" s="64">
        <v>8.4499999999999993</v>
      </c>
      <c r="J10" s="64">
        <v>0.06</v>
      </c>
      <c r="K10" s="64">
        <v>341.86</v>
      </c>
      <c r="L10" s="64">
        <v>14.78</v>
      </c>
      <c r="M10" s="64">
        <v>97.01</v>
      </c>
      <c r="N10" s="64">
        <v>42.2</v>
      </c>
      <c r="O10" s="64">
        <v>0</v>
      </c>
      <c r="P10" s="64">
        <v>2.87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11" t="s">
        <v>1498</v>
      </c>
      <c r="B11" s="64">
        <v>121.06</v>
      </c>
      <c r="C11" s="6" t="s">
        <v>42</v>
      </c>
      <c r="D11" s="64">
        <v>82.04</v>
      </c>
      <c r="E11" s="64">
        <v>6.5</v>
      </c>
      <c r="F11" s="64">
        <v>3.37</v>
      </c>
      <c r="G11" s="64">
        <v>117.82</v>
      </c>
      <c r="H11" s="64">
        <v>51.6</v>
      </c>
      <c r="I11" s="64">
        <v>8.41</v>
      </c>
      <c r="J11" s="64">
        <v>0.12</v>
      </c>
      <c r="K11" s="64">
        <v>337.78</v>
      </c>
      <c r="L11" s="64">
        <v>14.9</v>
      </c>
      <c r="M11" s="64">
        <v>94.58</v>
      </c>
      <c r="N11" s="64">
        <v>42.2</v>
      </c>
      <c r="O11" s="64">
        <v>0</v>
      </c>
      <c r="P11" s="64">
        <v>2.82</v>
      </c>
      <c r="Q11" s="64">
        <v>9.86</v>
      </c>
      <c r="R11" s="198"/>
      <c r="S11" s="198"/>
      <c r="T11" s="198"/>
      <c r="U11" s="198"/>
    </row>
    <row r="12" spans="1:21" s="12" customFormat="1" x14ac:dyDescent="0.25">
      <c r="A12" s="211" t="s">
        <v>1499</v>
      </c>
      <c r="B12" s="64">
        <v>117.8</v>
      </c>
      <c r="C12" s="6" t="s">
        <v>42</v>
      </c>
      <c r="D12" s="64">
        <v>79.95</v>
      </c>
      <c r="E12" s="64">
        <v>6.3</v>
      </c>
      <c r="F12" s="64">
        <v>3.41</v>
      </c>
      <c r="G12" s="64">
        <v>117.82</v>
      </c>
      <c r="H12" s="64">
        <v>51.6</v>
      </c>
      <c r="I12" s="64">
        <v>8.42</v>
      </c>
      <c r="J12" s="64">
        <v>0.1</v>
      </c>
      <c r="K12" s="64">
        <v>202.2</v>
      </c>
      <c r="L12" s="64">
        <v>15</v>
      </c>
      <c r="M12" s="64">
        <v>86.48</v>
      </c>
      <c r="N12" s="64">
        <v>42.4</v>
      </c>
      <c r="O12" s="64">
        <v>0</v>
      </c>
      <c r="P12" s="64">
        <v>2.77</v>
      </c>
      <c r="Q12" s="64">
        <v>9.86</v>
      </c>
      <c r="R12" s="198"/>
      <c r="S12" s="198"/>
      <c r="T12" s="198"/>
      <c r="U12" s="198"/>
    </row>
    <row r="13" spans="1:21" s="12" customFormat="1" x14ac:dyDescent="0.25">
      <c r="A13" s="211" t="s">
        <v>1500</v>
      </c>
      <c r="B13" s="64">
        <v>113.69</v>
      </c>
      <c r="C13" s="6" t="s">
        <v>42</v>
      </c>
      <c r="D13" s="64">
        <v>77.48</v>
      </c>
      <c r="E13" s="64">
        <v>6.3</v>
      </c>
      <c r="F13" s="64">
        <v>3.42</v>
      </c>
      <c r="G13" s="64">
        <v>117.82</v>
      </c>
      <c r="H13" s="64">
        <v>51.6</v>
      </c>
      <c r="I13" s="64">
        <v>8.4600000000000009</v>
      </c>
      <c r="J13" s="64">
        <v>0.09</v>
      </c>
      <c r="K13" s="64">
        <v>287.8</v>
      </c>
      <c r="L13" s="64">
        <v>14.77</v>
      </c>
      <c r="M13" s="64">
        <v>89.27</v>
      </c>
      <c r="N13" s="64">
        <v>42.8</v>
      </c>
      <c r="O13" s="64">
        <v>0</v>
      </c>
      <c r="P13" s="64">
        <v>2.36</v>
      </c>
      <c r="Q13" s="64">
        <v>9.85</v>
      </c>
      <c r="R13" s="198"/>
      <c r="S13" s="198"/>
      <c r="T13" s="198"/>
      <c r="U13" s="198"/>
    </row>
    <row r="14" spans="1:21" s="12" customFormat="1" x14ac:dyDescent="0.25">
      <c r="A14" s="211" t="s">
        <v>1501</v>
      </c>
      <c r="B14" s="64">
        <v>109.71</v>
      </c>
      <c r="C14" s="6" t="s">
        <v>42</v>
      </c>
      <c r="D14" s="64">
        <v>74.97</v>
      </c>
      <c r="E14" s="64">
        <v>6.31</v>
      </c>
      <c r="F14" s="64">
        <v>3.44</v>
      </c>
      <c r="G14" s="64">
        <v>118.04</v>
      </c>
      <c r="H14" s="64">
        <v>51.15</v>
      </c>
      <c r="I14" s="64">
        <v>8.48</v>
      </c>
      <c r="J14" s="64">
        <v>0.02</v>
      </c>
      <c r="K14" s="64">
        <v>192.38</v>
      </c>
      <c r="L14" s="64">
        <v>14.55</v>
      </c>
      <c r="M14" s="64">
        <v>91.59</v>
      </c>
      <c r="N14" s="64">
        <v>42.6</v>
      </c>
      <c r="O14" s="64">
        <v>0</v>
      </c>
      <c r="P14" s="64">
        <v>2.4500000000000002</v>
      </c>
      <c r="Q14" s="64">
        <v>9.84</v>
      </c>
      <c r="R14" s="198"/>
      <c r="S14" s="198"/>
      <c r="T14" s="198"/>
      <c r="U14" s="198"/>
    </row>
    <row r="15" spans="1:21" s="12" customFormat="1" x14ac:dyDescent="0.25">
      <c r="A15" s="211" t="s">
        <v>1502</v>
      </c>
      <c r="B15" s="64">
        <v>105.89</v>
      </c>
      <c r="C15" s="6" t="s">
        <v>42</v>
      </c>
      <c r="D15" s="64">
        <v>72.58</v>
      </c>
      <c r="E15" s="64">
        <v>6.11</v>
      </c>
      <c r="F15" s="64">
        <v>3.1</v>
      </c>
      <c r="G15" s="64">
        <v>118.06</v>
      </c>
      <c r="H15" s="64">
        <v>51.15</v>
      </c>
      <c r="I15" s="64">
        <v>8.9700000000000006</v>
      </c>
      <c r="J15" s="64">
        <v>0.09</v>
      </c>
      <c r="K15" s="64">
        <v>339.58</v>
      </c>
      <c r="L15" s="64">
        <v>14.31</v>
      </c>
      <c r="M15" s="64">
        <v>94.08</v>
      </c>
      <c r="N15" s="64">
        <v>42.9</v>
      </c>
      <c r="O15" s="64">
        <v>0</v>
      </c>
      <c r="P15" s="64">
        <v>2.42</v>
      </c>
      <c r="Q15" s="64">
        <v>9.82</v>
      </c>
      <c r="R15" s="198"/>
      <c r="S15" s="198"/>
      <c r="T15" s="198"/>
      <c r="U15" s="198"/>
    </row>
    <row r="16" spans="1:21" s="12" customFormat="1" x14ac:dyDescent="0.25">
      <c r="A16" s="211" t="s">
        <v>1503</v>
      </c>
      <c r="B16" s="64">
        <v>101.93</v>
      </c>
      <c r="C16" s="6" t="s">
        <v>42</v>
      </c>
      <c r="D16" s="64">
        <v>70.239999999999995</v>
      </c>
      <c r="E16" s="64">
        <v>6.27</v>
      </c>
      <c r="F16" s="64">
        <v>3.45</v>
      </c>
      <c r="G16" s="64">
        <v>118.06</v>
      </c>
      <c r="H16" s="64">
        <v>51.15</v>
      </c>
      <c r="I16" s="64">
        <v>8.83</v>
      </c>
      <c r="J16" s="64">
        <v>0.09</v>
      </c>
      <c r="K16" s="64">
        <v>211.94</v>
      </c>
      <c r="L16" s="64">
        <v>14.01</v>
      </c>
      <c r="M16" s="64">
        <v>96.57</v>
      </c>
      <c r="N16" s="64">
        <v>42.6</v>
      </c>
      <c r="O16" s="64">
        <v>0</v>
      </c>
      <c r="P16" s="64">
        <v>2.37</v>
      </c>
      <c r="Q16" s="64">
        <v>9.81</v>
      </c>
      <c r="R16" s="198"/>
      <c r="S16" s="198"/>
      <c r="T16" s="198"/>
      <c r="U16" s="198"/>
    </row>
    <row r="17" spans="1:21" s="12" customFormat="1" x14ac:dyDescent="0.25">
      <c r="A17" s="211" t="s">
        <v>1504</v>
      </c>
      <c r="B17" s="64">
        <v>97.9</v>
      </c>
      <c r="C17" s="6" t="s">
        <v>42</v>
      </c>
      <c r="D17" s="64">
        <v>67.819999999999993</v>
      </c>
      <c r="E17" s="64">
        <v>5.89</v>
      </c>
      <c r="F17" s="64">
        <v>3.36</v>
      </c>
      <c r="G17" s="64">
        <v>118.06</v>
      </c>
      <c r="H17" s="64">
        <v>51.15</v>
      </c>
      <c r="I17" s="64">
        <v>8.4499999999999993</v>
      </c>
      <c r="J17" s="64">
        <v>0.12</v>
      </c>
      <c r="K17" s="64">
        <v>294.44</v>
      </c>
      <c r="L17" s="64">
        <v>14.09</v>
      </c>
      <c r="M17" s="64">
        <v>94.28</v>
      </c>
      <c r="N17" s="64">
        <v>42.6</v>
      </c>
      <c r="O17" s="64">
        <v>0</v>
      </c>
      <c r="P17" s="64">
        <v>2.3199999999999998</v>
      </c>
      <c r="Q17" s="64">
        <v>9.7899999999999991</v>
      </c>
      <c r="R17" s="198"/>
      <c r="S17" s="198"/>
      <c r="T17" s="198"/>
      <c r="U17" s="198"/>
    </row>
    <row r="18" spans="1:21" s="12" customFormat="1" x14ac:dyDescent="0.25">
      <c r="A18" s="211" t="s">
        <v>1505</v>
      </c>
      <c r="B18" s="64">
        <v>93.89</v>
      </c>
      <c r="C18" s="6" t="s">
        <v>42</v>
      </c>
      <c r="D18" s="64">
        <v>65.459999999999994</v>
      </c>
      <c r="E18" s="64">
        <v>5.66</v>
      </c>
      <c r="F18" s="64">
        <v>3.2</v>
      </c>
      <c r="G18" s="64">
        <v>114.51</v>
      </c>
      <c r="H18" s="64">
        <v>49.39</v>
      </c>
      <c r="I18" s="64">
        <v>8.42</v>
      </c>
      <c r="J18" s="64">
        <v>0.05</v>
      </c>
      <c r="K18" s="64">
        <v>106.16</v>
      </c>
      <c r="L18" s="64">
        <v>13.84</v>
      </c>
      <c r="M18" s="64">
        <v>92.37</v>
      </c>
      <c r="N18" s="64">
        <v>42.8</v>
      </c>
      <c r="O18" s="64">
        <v>0</v>
      </c>
      <c r="P18" s="64">
        <v>2.2799999999999998</v>
      </c>
      <c r="Q18" s="64">
        <v>9.7899999999999991</v>
      </c>
      <c r="R18" s="198"/>
      <c r="S18" s="198"/>
      <c r="T18" s="198"/>
      <c r="U18" s="198"/>
    </row>
    <row r="19" spans="1:21" s="12" customFormat="1" x14ac:dyDescent="0.25">
      <c r="A19" s="211" t="s">
        <v>1506</v>
      </c>
      <c r="B19" s="64">
        <v>90.23</v>
      </c>
      <c r="C19" s="6" t="s">
        <v>42</v>
      </c>
      <c r="D19" s="64">
        <v>63.05</v>
      </c>
      <c r="E19" s="64">
        <v>6.13</v>
      </c>
      <c r="F19" s="64">
        <v>3.41</v>
      </c>
      <c r="G19" s="64">
        <v>114.26</v>
      </c>
      <c r="H19" s="64">
        <v>49.39</v>
      </c>
      <c r="I19" s="64">
        <v>8.36</v>
      </c>
      <c r="J19" s="64">
        <v>0.06</v>
      </c>
      <c r="K19" s="64">
        <v>134.46</v>
      </c>
      <c r="L19" s="64">
        <v>13.71</v>
      </c>
      <c r="M19" s="64">
        <v>93.19</v>
      </c>
      <c r="N19" s="64">
        <v>42.5</v>
      </c>
      <c r="O19" s="64">
        <v>0</v>
      </c>
      <c r="P19" s="64">
        <v>2.23</v>
      </c>
      <c r="Q19" s="64">
        <v>9.7899999999999991</v>
      </c>
      <c r="R19" s="198"/>
      <c r="S19" s="198"/>
      <c r="T19" s="198"/>
      <c r="U19" s="198"/>
    </row>
    <row r="20" spans="1:21" s="12" customFormat="1" x14ac:dyDescent="0.25">
      <c r="A20" s="211" t="s">
        <v>1507</v>
      </c>
      <c r="B20" s="64">
        <v>86.56</v>
      </c>
      <c r="C20" s="6" t="s">
        <v>42</v>
      </c>
      <c r="D20" s="64">
        <v>60.93</v>
      </c>
      <c r="E20" s="64">
        <v>5.8</v>
      </c>
      <c r="F20" s="64">
        <v>3.35</v>
      </c>
      <c r="G20" s="64">
        <v>114.26</v>
      </c>
      <c r="H20" s="64">
        <v>49.39</v>
      </c>
      <c r="I20" s="64">
        <v>8.32</v>
      </c>
      <c r="J20" s="64">
        <v>0.11</v>
      </c>
      <c r="K20" s="64">
        <v>303.95</v>
      </c>
      <c r="L20" s="64">
        <v>13.75</v>
      </c>
      <c r="M20" s="64">
        <v>94.35</v>
      </c>
      <c r="N20" s="64">
        <v>42.5</v>
      </c>
      <c r="O20" s="64">
        <v>0</v>
      </c>
      <c r="P20" s="64">
        <v>2.2200000000000002</v>
      </c>
      <c r="Q20" s="64">
        <v>9.7799999999999994</v>
      </c>
      <c r="R20" s="198"/>
      <c r="S20" s="198"/>
      <c r="T20" s="198"/>
      <c r="U20" s="198"/>
    </row>
    <row r="21" spans="1:21" s="12" customFormat="1" x14ac:dyDescent="0.25">
      <c r="A21" s="211" t="s">
        <v>1508</v>
      </c>
      <c r="B21" s="64">
        <v>83.2</v>
      </c>
      <c r="C21" s="6" t="s">
        <v>42</v>
      </c>
      <c r="D21" s="64">
        <v>59.05</v>
      </c>
      <c r="E21" s="64">
        <v>5.75</v>
      </c>
      <c r="F21" s="64">
        <v>3.1</v>
      </c>
      <c r="G21" s="64">
        <v>114.26</v>
      </c>
      <c r="H21" s="64">
        <v>49.39</v>
      </c>
      <c r="I21" s="64">
        <v>8.2899999999999991</v>
      </c>
      <c r="J21" s="64">
        <v>0.1</v>
      </c>
      <c r="K21" s="64">
        <v>346.16</v>
      </c>
      <c r="L21" s="64">
        <v>13.44</v>
      </c>
      <c r="M21" s="64">
        <v>97.01</v>
      </c>
      <c r="N21" s="64">
        <v>42.8</v>
      </c>
      <c r="O21" s="64">
        <v>0</v>
      </c>
      <c r="P21" s="64">
        <v>2.21</v>
      </c>
      <c r="Q21" s="64">
        <v>9.75</v>
      </c>
      <c r="R21" s="198"/>
      <c r="S21" s="198"/>
      <c r="T21" s="198"/>
      <c r="U21" s="198"/>
    </row>
    <row r="22" spans="1:21" s="12" customFormat="1" x14ac:dyDescent="0.25">
      <c r="A22" s="211" t="s">
        <v>1509</v>
      </c>
      <c r="B22" s="64">
        <v>80.25</v>
      </c>
      <c r="C22" s="6" t="s">
        <v>42</v>
      </c>
      <c r="D22" s="64">
        <v>57.46</v>
      </c>
      <c r="E22" s="64">
        <v>5.66</v>
      </c>
      <c r="F22" s="64">
        <v>3.26</v>
      </c>
      <c r="G22" s="64">
        <v>149.61000000000001</v>
      </c>
      <c r="H22" s="64">
        <v>56</v>
      </c>
      <c r="I22" s="64">
        <v>8.24</v>
      </c>
      <c r="J22" s="64">
        <v>0.05</v>
      </c>
      <c r="K22" s="64">
        <v>240.44</v>
      </c>
      <c r="L22" s="64">
        <v>13.25</v>
      </c>
      <c r="M22" s="64">
        <v>97.11</v>
      </c>
      <c r="N22" s="64">
        <v>42.7</v>
      </c>
      <c r="O22" s="64">
        <v>0</v>
      </c>
      <c r="P22" s="64">
        <v>2.19</v>
      </c>
      <c r="Q22" s="64">
        <v>9.76</v>
      </c>
      <c r="R22" s="198"/>
      <c r="S22" s="198"/>
      <c r="T22" s="198"/>
      <c r="U22" s="198"/>
    </row>
    <row r="23" spans="1:21" s="12" customFormat="1" x14ac:dyDescent="0.25">
      <c r="A23" s="211" t="s">
        <v>1510</v>
      </c>
      <c r="B23" s="64">
        <v>77.3</v>
      </c>
      <c r="C23" s="6" t="s">
        <v>42</v>
      </c>
      <c r="D23" s="64">
        <v>55.74</v>
      </c>
      <c r="E23" s="64">
        <v>5.82</v>
      </c>
      <c r="F23" s="64">
        <v>3.61</v>
      </c>
      <c r="G23" s="64">
        <v>152.13</v>
      </c>
      <c r="H23" s="64">
        <v>56</v>
      </c>
      <c r="I23" s="64">
        <v>8.19</v>
      </c>
      <c r="J23" s="64">
        <v>7.0000000000000007E-2</v>
      </c>
      <c r="K23" s="64">
        <v>301.47000000000003</v>
      </c>
      <c r="L23" s="64">
        <v>13.21</v>
      </c>
      <c r="M23" s="64">
        <v>97.13</v>
      </c>
      <c r="N23" s="64">
        <v>42.5</v>
      </c>
      <c r="O23" s="64">
        <v>0</v>
      </c>
      <c r="P23" s="64">
        <v>2.16</v>
      </c>
      <c r="Q23" s="64">
        <v>9.76</v>
      </c>
      <c r="R23" s="198"/>
      <c r="S23" s="198"/>
      <c r="T23" s="198"/>
      <c r="U23" s="198"/>
    </row>
    <row r="24" spans="1:21" s="12" customFormat="1" x14ac:dyDescent="0.25">
      <c r="A24" s="211" t="s">
        <v>1511</v>
      </c>
      <c r="B24" s="64">
        <v>74.849999999999994</v>
      </c>
      <c r="C24" s="6" t="s">
        <v>42</v>
      </c>
      <c r="D24" s="64">
        <v>54.28</v>
      </c>
      <c r="E24" s="64">
        <v>5.94</v>
      </c>
      <c r="F24" s="64">
        <v>3.48</v>
      </c>
      <c r="G24" s="64">
        <v>152.13</v>
      </c>
      <c r="H24" s="64">
        <v>56</v>
      </c>
      <c r="I24" s="64">
        <v>8.14</v>
      </c>
      <c r="J24" s="64">
        <v>0.11</v>
      </c>
      <c r="K24" s="64">
        <v>281.94</v>
      </c>
      <c r="L24" s="64">
        <v>13.11</v>
      </c>
      <c r="M24" s="64">
        <v>97.13</v>
      </c>
      <c r="N24" s="64">
        <v>42.6</v>
      </c>
      <c r="O24" s="64">
        <v>0</v>
      </c>
      <c r="P24" s="64">
        <v>2.11</v>
      </c>
      <c r="Q24" s="64">
        <v>9.77</v>
      </c>
      <c r="R24" s="198"/>
      <c r="S24" s="198"/>
      <c r="T24" s="198"/>
      <c r="U24" s="198"/>
    </row>
    <row r="25" spans="1:21" s="12" customFormat="1" x14ac:dyDescent="0.25">
      <c r="A25" s="211" t="s">
        <v>1512</v>
      </c>
      <c r="B25" s="64">
        <v>73.3</v>
      </c>
      <c r="C25" s="6" t="s">
        <v>42</v>
      </c>
      <c r="D25" s="64">
        <v>53.31</v>
      </c>
      <c r="E25" s="64">
        <v>6.27</v>
      </c>
      <c r="F25" s="64">
        <v>3.34</v>
      </c>
      <c r="G25" s="64">
        <v>152.13</v>
      </c>
      <c r="H25" s="64">
        <v>56</v>
      </c>
      <c r="I25" s="64">
        <v>8.59</v>
      </c>
      <c r="J25" s="64">
        <v>0.1</v>
      </c>
      <c r="K25" s="64">
        <v>283.10000000000002</v>
      </c>
      <c r="L25" s="64">
        <v>13.3</v>
      </c>
      <c r="M25" s="64">
        <v>97.13</v>
      </c>
      <c r="N25" s="64">
        <v>42.3</v>
      </c>
      <c r="O25" s="64">
        <v>0</v>
      </c>
      <c r="P25" s="64">
        <v>2.08</v>
      </c>
      <c r="Q25" s="64">
        <v>9.74</v>
      </c>
      <c r="R25" s="198"/>
      <c r="S25" s="198"/>
      <c r="T25" s="198"/>
      <c r="U25" s="198"/>
    </row>
    <row r="26" spans="1:21" s="12" customFormat="1" x14ac:dyDescent="0.25">
      <c r="A26" s="211" t="s">
        <v>1513</v>
      </c>
      <c r="B26" s="64">
        <v>72.31</v>
      </c>
      <c r="C26" s="6" t="s">
        <v>42</v>
      </c>
      <c r="D26" s="64">
        <v>52.64</v>
      </c>
      <c r="E26" s="64">
        <v>6.07</v>
      </c>
      <c r="F26" s="64">
        <v>3.4</v>
      </c>
      <c r="G26" s="64">
        <v>137.63999999999999</v>
      </c>
      <c r="H26" s="64">
        <v>53.21</v>
      </c>
      <c r="I26" s="64">
        <v>8.4</v>
      </c>
      <c r="J26" s="64">
        <v>0.08</v>
      </c>
      <c r="K26" s="64">
        <v>261.20999999999998</v>
      </c>
      <c r="L26" s="64">
        <v>13.3</v>
      </c>
      <c r="M26" s="64">
        <v>97.11</v>
      </c>
      <c r="N26" s="64">
        <v>42.6</v>
      </c>
      <c r="O26" s="64">
        <v>0</v>
      </c>
      <c r="P26" s="64">
        <v>2.0499999999999998</v>
      </c>
      <c r="Q26" s="64">
        <v>9.75</v>
      </c>
      <c r="R26" s="198"/>
      <c r="S26" s="198"/>
      <c r="T26" s="198"/>
      <c r="U26" s="198"/>
    </row>
    <row r="27" spans="1:21" s="12" customFormat="1" x14ac:dyDescent="0.25">
      <c r="A27" s="211" t="s">
        <v>1514</v>
      </c>
      <c r="B27" s="64">
        <v>70.959999999999994</v>
      </c>
      <c r="C27" s="6" t="s">
        <v>42</v>
      </c>
      <c r="D27" s="64">
        <v>51.71</v>
      </c>
      <c r="E27" s="64">
        <v>6.17</v>
      </c>
      <c r="F27" s="64">
        <v>3.53</v>
      </c>
      <c r="G27" s="64">
        <v>136.6</v>
      </c>
      <c r="H27" s="64">
        <v>53.21</v>
      </c>
      <c r="I27" s="64">
        <v>7.99</v>
      </c>
      <c r="J27" s="64">
        <v>7.0000000000000007E-2</v>
      </c>
      <c r="K27" s="64">
        <v>218.57</v>
      </c>
      <c r="L27" s="64">
        <v>13.23</v>
      </c>
      <c r="M27" s="64">
        <v>94.87</v>
      </c>
      <c r="N27" s="64">
        <v>42.5</v>
      </c>
      <c r="O27" s="64">
        <v>0</v>
      </c>
      <c r="P27" s="64">
        <v>1.99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1" t="s">
        <v>1515</v>
      </c>
      <c r="B28" s="64">
        <v>68.88</v>
      </c>
      <c r="C28" s="6" t="s">
        <v>42</v>
      </c>
      <c r="D28" s="64">
        <v>50.31</v>
      </c>
      <c r="E28" s="64">
        <v>5.9</v>
      </c>
      <c r="F28" s="64">
        <v>3.42</v>
      </c>
      <c r="G28" s="64">
        <v>136.6</v>
      </c>
      <c r="H28" s="64">
        <v>53.21</v>
      </c>
      <c r="I28" s="64">
        <v>7.89</v>
      </c>
      <c r="J28" s="64">
        <v>0.04</v>
      </c>
      <c r="K28" s="64">
        <v>220.18</v>
      </c>
      <c r="L28" s="64">
        <v>13.35</v>
      </c>
      <c r="M28" s="64">
        <v>85.89</v>
      </c>
      <c r="N28" s="64">
        <v>42.5</v>
      </c>
      <c r="O28" s="64">
        <v>0</v>
      </c>
      <c r="P28" s="64">
        <v>1.9</v>
      </c>
      <c r="Q28" s="64">
        <v>9.73</v>
      </c>
      <c r="R28" s="198"/>
      <c r="S28" s="198"/>
      <c r="T28" s="198"/>
      <c r="U28" s="198"/>
    </row>
    <row r="29" spans="1:21" s="12" customFormat="1" x14ac:dyDescent="0.25">
      <c r="A29" s="211" t="s">
        <v>1516</v>
      </c>
      <c r="B29" s="64">
        <v>65.959999999999994</v>
      </c>
      <c r="C29" s="6" t="s">
        <v>42</v>
      </c>
      <c r="D29" s="64">
        <v>48.62</v>
      </c>
      <c r="E29" s="64">
        <v>5.51</v>
      </c>
      <c r="F29" s="64">
        <v>3.49</v>
      </c>
      <c r="G29" s="64">
        <v>136.6</v>
      </c>
      <c r="H29" s="64">
        <v>53.21</v>
      </c>
      <c r="I29" s="64">
        <v>7.75</v>
      </c>
      <c r="J29" s="64">
        <v>0.09</v>
      </c>
      <c r="K29" s="64">
        <v>256.57</v>
      </c>
      <c r="L29" s="64">
        <v>13.53</v>
      </c>
      <c r="M29" s="64">
        <v>86.02</v>
      </c>
      <c r="N29" s="64">
        <v>42.5</v>
      </c>
      <c r="O29" s="64">
        <v>0</v>
      </c>
      <c r="P29" s="64">
        <v>1.81</v>
      </c>
      <c r="Q29" s="64">
        <v>9.74</v>
      </c>
      <c r="R29" s="198"/>
      <c r="S29" s="198"/>
      <c r="T29" s="198"/>
      <c r="U29" s="198"/>
    </row>
    <row r="30" spans="1:21" s="12" customFormat="1" x14ac:dyDescent="0.25">
      <c r="A30" s="211" t="s">
        <v>1517</v>
      </c>
      <c r="B30" s="64">
        <v>63.38</v>
      </c>
      <c r="C30" s="6" t="s">
        <v>42</v>
      </c>
      <c r="D30" s="64">
        <v>47.17</v>
      </c>
      <c r="E30" s="64">
        <v>5.29</v>
      </c>
      <c r="F30" s="64">
        <v>3.53</v>
      </c>
      <c r="G30" s="64">
        <v>115.77</v>
      </c>
      <c r="H30" s="64">
        <v>49.82</v>
      </c>
      <c r="I30" s="64">
        <v>7.61</v>
      </c>
      <c r="J30" s="64">
        <v>0.08</v>
      </c>
      <c r="K30" s="64">
        <v>318.63</v>
      </c>
      <c r="L30" s="64">
        <v>13.42</v>
      </c>
      <c r="M30" s="64">
        <v>87.68</v>
      </c>
      <c r="N30" s="64">
        <v>42.8</v>
      </c>
      <c r="O30" s="64">
        <v>0</v>
      </c>
      <c r="P30" s="64">
        <v>1.74</v>
      </c>
      <c r="Q30" s="64">
        <v>9.7100000000000009</v>
      </c>
      <c r="R30" s="198"/>
      <c r="S30" s="198"/>
      <c r="T30" s="198"/>
      <c r="U30" s="198"/>
    </row>
    <row r="31" spans="1:21" s="12" customFormat="1" x14ac:dyDescent="0.25">
      <c r="A31" s="211" t="s">
        <v>1518</v>
      </c>
      <c r="B31" s="64">
        <v>61.51</v>
      </c>
      <c r="C31" s="6" t="s">
        <v>42</v>
      </c>
      <c r="D31" s="64">
        <v>46.14</v>
      </c>
      <c r="E31" s="64">
        <v>5.65</v>
      </c>
      <c r="F31" s="64">
        <v>3.19</v>
      </c>
      <c r="G31" s="64">
        <v>114.28</v>
      </c>
      <c r="H31" s="64">
        <v>49.82</v>
      </c>
      <c r="I31" s="64">
        <v>7.49</v>
      </c>
      <c r="J31" s="64">
        <v>0.08</v>
      </c>
      <c r="K31" s="64">
        <v>13.2</v>
      </c>
      <c r="L31" s="64">
        <v>13.29</v>
      </c>
      <c r="M31" s="64">
        <v>85.79</v>
      </c>
      <c r="N31" s="64">
        <v>42.7</v>
      </c>
      <c r="O31" s="64">
        <v>0</v>
      </c>
      <c r="P31" s="64">
        <v>1.67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1" t="s">
        <v>1519</v>
      </c>
      <c r="B32" s="64">
        <v>60.07</v>
      </c>
      <c r="C32" s="6" t="s">
        <v>42</v>
      </c>
      <c r="D32" s="64">
        <v>45.38</v>
      </c>
      <c r="E32" s="64">
        <v>5.55</v>
      </c>
      <c r="F32" s="64">
        <v>3.03</v>
      </c>
      <c r="G32" s="64">
        <v>114.28</v>
      </c>
      <c r="H32" s="64">
        <v>49.82</v>
      </c>
      <c r="I32" s="64">
        <v>7.39</v>
      </c>
      <c r="J32" s="64">
        <v>0.09</v>
      </c>
      <c r="K32" s="64">
        <v>40.47</v>
      </c>
      <c r="L32" s="64">
        <v>13.26</v>
      </c>
      <c r="M32" s="64">
        <v>85.12</v>
      </c>
      <c r="N32" s="64">
        <v>43.4</v>
      </c>
      <c r="O32" s="64">
        <v>0</v>
      </c>
      <c r="P32" s="64">
        <v>1.61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1" t="s">
        <v>1520</v>
      </c>
      <c r="B33" s="64">
        <v>58.22</v>
      </c>
      <c r="C33" s="6" t="s">
        <v>42</v>
      </c>
      <c r="D33" s="64">
        <v>44.38</v>
      </c>
      <c r="E33" s="64">
        <v>5.52</v>
      </c>
      <c r="F33" s="64">
        <v>2.92</v>
      </c>
      <c r="G33" s="64">
        <v>114.28</v>
      </c>
      <c r="H33" s="64">
        <v>49.82</v>
      </c>
      <c r="I33" s="64">
        <v>7.26</v>
      </c>
      <c r="J33" s="64">
        <v>7.0000000000000007E-2</v>
      </c>
      <c r="K33" s="64">
        <v>5.03</v>
      </c>
      <c r="L33" s="64">
        <v>13.29</v>
      </c>
      <c r="M33" s="64">
        <v>85.75</v>
      </c>
      <c r="N33" s="64">
        <v>46.6</v>
      </c>
      <c r="O33" s="64">
        <v>0</v>
      </c>
      <c r="P33" s="64">
        <v>1.54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1" t="s">
        <v>1521</v>
      </c>
      <c r="B34" s="64">
        <v>56.63</v>
      </c>
      <c r="C34" s="6" t="s">
        <v>42</v>
      </c>
      <c r="D34" s="64">
        <v>43.51</v>
      </c>
      <c r="E34" s="64">
        <v>5.59</v>
      </c>
      <c r="F34" s="64">
        <v>3.1</v>
      </c>
      <c r="G34" s="64">
        <v>87.84</v>
      </c>
      <c r="H34" s="64">
        <v>43.48</v>
      </c>
      <c r="I34" s="64">
        <v>7.11</v>
      </c>
      <c r="J34" s="64">
        <v>0.05</v>
      </c>
      <c r="K34" s="64">
        <v>9.49</v>
      </c>
      <c r="L34" s="64">
        <v>13.27</v>
      </c>
      <c r="M34" s="64">
        <v>89.78</v>
      </c>
      <c r="N34" s="64">
        <v>57</v>
      </c>
      <c r="O34" s="64">
        <v>0</v>
      </c>
      <c r="P34" s="64">
        <v>1.5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11" t="s">
        <v>1522</v>
      </c>
      <c r="B35" s="64">
        <v>57.65</v>
      </c>
      <c r="C35" s="6" t="s">
        <v>42</v>
      </c>
      <c r="D35" s="64">
        <v>44.2</v>
      </c>
      <c r="E35" s="64">
        <v>5.74</v>
      </c>
      <c r="F35" s="64">
        <v>3.06</v>
      </c>
      <c r="G35" s="64">
        <v>85.95</v>
      </c>
      <c r="H35" s="64">
        <v>43.48</v>
      </c>
      <c r="I35" s="64">
        <v>6.97</v>
      </c>
      <c r="J35" s="64">
        <v>0.15</v>
      </c>
      <c r="K35" s="64">
        <v>357.57</v>
      </c>
      <c r="L35" s="64">
        <v>13.59</v>
      </c>
      <c r="M35" s="64">
        <v>88.57</v>
      </c>
      <c r="N35" s="64">
        <v>72.099999999999994</v>
      </c>
      <c r="O35" s="64">
        <v>0</v>
      </c>
      <c r="P35" s="64">
        <v>1.48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1" t="s">
        <v>1523</v>
      </c>
      <c r="B36" s="64">
        <v>58.84</v>
      </c>
      <c r="C36" s="6" t="s">
        <v>42</v>
      </c>
      <c r="D36" s="64">
        <v>44.95</v>
      </c>
      <c r="E36" s="64">
        <v>5.52</v>
      </c>
      <c r="F36" s="64">
        <v>2.99</v>
      </c>
      <c r="G36" s="64">
        <v>85.95</v>
      </c>
      <c r="H36" s="64">
        <v>43.48</v>
      </c>
      <c r="I36" s="64">
        <v>6.87</v>
      </c>
      <c r="J36" s="64">
        <v>0.27</v>
      </c>
      <c r="K36" s="64">
        <v>345.12</v>
      </c>
      <c r="L36" s="64">
        <v>14.08</v>
      </c>
      <c r="M36" s="64">
        <v>87.83</v>
      </c>
      <c r="N36" s="64">
        <v>90</v>
      </c>
      <c r="O36" s="64">
        <v>0</v>
      </c>
      <c r="P36" s="64">
        <v>1.45</v>
      </c>
      <c r="Q36" s="64">
        <v>9.7100000000000009</v>
      </c>
      <c r="R36" s="198"/>
      <c r="S36" s="198"/>
      <c r="T36" s="198"/>
      <c r="U36" s="198"/>
    </row>
    <row r="37" spans="1:21" s="12" customFormat="1" x14ac:dyDescent="0.25">
      <c r="A37" s="211" t="s">
        <v>1524</v>
      </c>
      <c r="B37" s="64">
        <v>59.12</v>
      </c>
      <c r="C37" s="6" t="s">
        <v>42</v>
      </c>
      <c r="D37" s="64">
        <v>45.01</v>
      </c>
      <c r="E37" s="64">
        <v>5.44</v>
      </c>
      <c r="F37" s="64">
        <v>3.11</v>
      </c>
      <c r="G37" s="64">
        <v>85.95</v>
      </c>
      <c r="H37" s="64">
        <v>43.48</v>
      </c>
      <c r="I37" s="64">
        <v>6.82</v>
      </c>
      <c r="J37" s="64">
        <v>0.46</v>
      </c>
      <c r="K37" s="64">
        <v>342.64</v>
      </c>
      <c r="L37" s="64">
        <v>15.07</v>
      </c>
      <c r="M37" s="64">
        <v>80.650000000000006</v>
      </c>
      <c r="N37" s="64">
        <v>130.4</v>
      </c>
      <c r="O37" s="64">
        <v>0</v>
      </c>
      <c r="P37" s="64">
        <v>1.57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11" t="s">
        <v>1525</v>
      </c>
      <c r="B38" s="64">
        <v>58.71</v>
      </c>
      <c r="C38" s="6" t="s">
        <v>42</v>
      </c>
      <c r="D38" s="64">
        <v>45.02</v>
      </c>
      <c r="E38" s="64">
        <v>5.62</v>
      </c>
      <c r="F38" s="64">
        <v>2.9</v>
      </c>
      <c r="G38" s="64">
        <v>116.98</v>
      </c>
      <c r="H38" s="64">
        <v>44.85</v>
      </c>
      <c r="I38" s="64">
        <v>6.81</v>
      </c>
      <c r="J38" s="64">
        <v>0.39</v>
      </c>
      <c r="K38" s="64">
        <v>345.75</v>
      </c>
      <c r="L38" s="64">
        <v>16.899999999999999</v>
      </c>
      <c r="M38" s="64">
        <v>67.819999999999993</v>
      </c>
      <c r="N38" s="64">
        <v>202.1</v>
      </c>
      <c r="O38" s="64">
        <v>0</v>
      </c>
      <c r="P38" s="64">
        <v>1.69</v>
      </c>
      <c r="Q38" s="64">
        <v>9.7100000000000009</v>
      </c>
      <c r="R38" s="198"/>
      <c r="S38" s="198"/>
      <c r="T38" s="198"/>
      <c r="U38" s="198"/>
    </row>
    <row r="39" spans="1:21" s="12" customFormat="1" x14ac:dyDescent="0.25">
      <c r="A39" s="211" t="s">
        <v>1526</v>
      </c>
      <c r="B39" s="64">
        <v>57.69</v>
      </c>
      <c r="C39" s="6" t="s">
        <v>42</v>
      </c>
      <c r="D39" s="64">
        <v>44.58</v>
      </c>
      <c r="E39" s="64">
        <v>5.51</v>
      </c>
      <c r="F39" s="64">
        <v>3.14</v>
      </c>
      <c r="G39" s="64">
        <v>119.19</v>
      </c>
      <c r="H39" s="64">
        <v>44.85</v>
      </c>
      <c r="I39" s="64">
        <v>6.8</v>
      </c>
      <c r="J39" s="64">
        <v>0.34</v>
      </c>
      <c r="K39" s="64">
        <v>334.77</v>
      </c>
      <c r="L39" s="64">
        <v>18.97</v>
      </c>
      <c r="M39" s="64">
        <v>55.65</v>
      </c>
      <c r="N39" s="64">
        <v>253.3</v>
      </c>
      <c r="O39" s="64">
        <v>0</v>
      </c>
      <c r="P39" s="64">
        <v>1.71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1" t="s">
        <v>1527</v>
      </c>
      <c r="B40" s="64">
        <v>55.52</v>
      </c>
      <c r="C40" s="64">
        <v>0.59</v>
      </c>
      <c r="D40" s="64">
        <v>44.04</v>
      </c>
      <c r="E40" s="64">
        <v>5.52</v>
      </c>
      <c r="F40" s="64">
        <v>3.29</v>
      </c>
      <c r="G40" s="64">
        <v>119.19</v>
      </c>
      <c r="H40" s="64">
        <v>44.85</v>
      </c>
      <c r="I40" s="64">
        <v>6.75</v>
      </c>
      <c r="J40" s="64">
        <v>0.48</v>
      </c>
      <c r="K40" s="64">
        <v>334.42</v>
      </c>
      <c r="L40" s="64">
        <v>20.36</v>
      </c>
      <c r="M40" s="64">
        <v>45.99</v>
      </c>
      <c r="N40" s="64">
        <v>307.3</v>
      </c>
      <c r="O40" s="64">
        <v>0</v>
      </c>
      <c r="P40" s="64">
        <v>1.7</v>
      </c>
      <c r="Q40" s="64">
        <v>9.7100000000000009</v>
      </c>
      <c r="R40" s="198"/>
      <c r="S40" s="198"/>
      <c r="T40" s="198"/>
      <c r="U40" s="198"/>
    </row>
    <row r="41" spans="1:21" s="12" customFormat="1" x14ac:dyDescent="0.25">
      <c r="A41" s="211" t="s">
        <v>1528</v>
      </c>
      <c r="B41" s="64">
        <v>51.74</v>
      </c>
      <c r="C41" s="64">
        <v>2.08</v>
      </c>
      <c r="D41" s="64">
        <v>42.12</v>
      </c>
      <c r="E41" s="64">
        <v>6.76</v>
      </c>
      <c r="F41" s="64">
        <v>3.57</v>
      </c>
      <c r="G41" s="64">
        <v>119.19</v>
      </c>
      <c r="H41" s="64">
        <v>44.85</v>
      </c>
      <c r="I41" s="64">
        <v>6.67</v>
      </c>
      <c r="J41" s="64">
        <v>0.55000000000000004</v>
      </c>
      <c r="K41" s="64">
        <v>337.6</v>
      </c>
      <c r="L41" s="64">
        <v>21.83</v>
      </c>
      <c r="M41" s="64">
        <v>40.229999999999997</v>
      </c>
      <c r="N41" s="64">
        <v>361.4</v>
      </c>
      <c r="O41" s="64">
        <v>0</v>
      </c>
      <c r="P41" s="64">
        <v>1.67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11" t="s">
        <v>1529</v>
      </c>
      <c r="B42" s="64">
        <v>50.33</v>
      </c>
      <c r="C42" s="64">
        <v>1.83</v>
      </c>
      <c r="D42" s="64">
        <v>40.86</v>
      </c>
      <c r="E42" s="64">
        <v>6.85</v>
      </c>
      <c r="F42" s="64">
        <v>3.29</v>
      </c>
      <c r="G42" s="64">
        <v>119.29</v>
      </c>
      <c r="H42" s="64">
        <v>43.83</v>
      </c>
      <c r="I42" s="64">
        <v>6.57</v>
      </c>
      <c r="J42" s="64">
        <v>0.62</v>
      </c>
      <c r="K42" s="64">
        <v>333.58</v>
      </c>
      <c r="L42" s="64">
        <v>22.6</v>
      </c>
      <c r="M42" s="64">
        <v>36.880000000000003</v>
      </c>
      <c r="N42" s="64">
        <v>411.3</v>
      </c>
      <c r="O42" s="64">
        <v>0</v>
      </c>
      <c r="P42" s="64">
        <v>1.66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1" t="s">
        <v>1530</v>
      </c>
      <c r="B43" s="64">
        <v>47.76</v>
      </c>
      <c r="C43" s="64">
        <v>3.24</v>
      </c>
      <c r="D43" s="64">
        <v>39.54</v>
      </c>
      <c r="E43" s="64">
        <v>7.13</v>
      </c>
      <c r="F43" s="64">
        <v>4.25</v>
      </c>
      <c r="G43" s="64">
        <v>119.29</v>
      </c>
      <c r="H43" s="64">
        <v>43.83</v>
      </c>
      <c r="I43" s="64">
        <v>6.45</v>
      </c>
      <c r="J43" s="64">
        <v>0.63</v>
      </c>
      <c r="K43" s="64">
        <v>339.08</v>
      </c>
      <c r="L43" s="64">
        <v>23.6</v>
      </c>
      <c r="M43" s="64">
        <v>34.71</v>
      </c>
      <c r="N43" s="64">
        <v>454.8</v>
      </c>
      <c r="O43" s="64">
        <v>0</v>
      </c>
      <c r="P43" s="64">
        <v>1.59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1" t="s">
        <v>1531</v>
      </c>
      <c r="B44" s="64">
        <v>47.24</v>
      </c>
      <c r="C44" s="64">
        <v>4.16</v>
      </c>
      <c r="D44" s="64">
        <v>39.6</v>
      </c>
      <c r="E44" s="64">
        <v>7.06</v>
      </c>
      <c r="F44" s="64">
        <v>3.96</v>
      </c>
      <c r="G44" s="64">
        <v>119.29</v>
      </c>
      <c r="H44" s="64">
        <v>43.83</v>
      </c>
      <c r="I44" s="64">
        <v>6.31</v>
      </c>
      <c r="J44" s="64">
        <v>1.07</v>
      </c>
      <c r="K44" s="64">
        <v>344.51</v>
      </c>
      <c r="L44" s="64">
        <v>24.95</v>
      </c>
      <c r="M44" s="64">
        <v>32.630000000000003</v>
      </c>
      <c r="N44" s="64">
        <v>501.9</v>
      </c>
      <c r="O44" s="64">
        <v>0</v>
      </c>
      <c r="P44" s="64">
        <v>1.55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11" t="s">
        <v>1532</v>
      </c>
      <c r="B45" s="64">
        <v>44.64</v>
      </c>
      <c r="C45" s="64">
        <v>6.3</v>
      </c>
      <c r="D45" s="64">
        <v>38.619999999999997</v>
      </c>
      <c r="E45" s="64">
        <v>6.57</v>
      </c>
      <c r="F45" s="64">
        <v>3.31</v>
      </c>
      <c r="G45" s="64">
        <v>119.29</v>
      </c>
      <c r="H45" s="64">
        <v>43.83</v>
      </c>
      <c r="I45" s="64">
        <v>6.14</v>
      </c>
      <c r="J45" s="64">
        <v>0.95</v>
      </c>
      <c r="K45" s="64">
        <v>342.5</v>
      </c>
      <c r="L45" s="64">
        <v>25.83</v>
      </c>
      <c r="M45" s="64">
        <v>31.47</v>
      </c>
      <c r="N45" s="64">
        <v>542.4</v>
      </c>
      <c r="O45" s="64">
        <v>0</v>
      </c>
      <c r="P45" s="64">
        <v>1.47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1" t="s">
        <v>1533</v>
      </c>
      <c r="B46" s="64">
        <v>41.96</v>
      </c>
      <c r="C46" s="64">
        <v>8.19</v>
      </c>
      <c r="D46" s="64">
        <v>37.47</v>
      </c>
      <c r="E46" s="64">
        <v>6.54</v>
      </c>
      <c r="F46" s="64">
        <v>3.22</v>
      </c>
      <c r="G46" s="64">
        <v>96.59</v>
      </c>
      <c r="H46" s="64">
        <v>40.75</v>
      </c>
      <c r="I46" s="64">
        <v>5.92</v>
      </c>
      <c r="J46" s="64">
        <v>0.61</v>
      </c>
      <c r="K46" s="64">
        <v>342.06</v>
      </c>
      <c r="L46" s="64">
        <v>26.44</v>
      </c>
      <c r="M46" s="64">
        <v>29.77</v>
      </c>
      <c r="N46" s="64">
        <v>578.6</v>
      </c>
      <c r="O46" s="64">
        <v>0</v>
      </c>
      <c r="P46" s="64">
        <v>1.4</v>
      </c>
      <c r="Q46" s="64">
        <v>9.6999999999999993</v>
      </c>
      <c r="R46" s="198"/>
      <c r="S46" s="198"/>
      <c r="T46" s="198"/>
      <c r="U46" s="198"/>
    </row>
    <row r="47" spans="1:21" s="12" customFormat="1" x14ac:dyDescent="0.25">
      <c r="A47" s="211" t="s">
        <v>1534</v>
      </c>
      <c r="B47" s="64">
        <v>39.32</v>
      </c>
      <c r="C47" s="64">
        <v>11.06</v>
      </c>
      <c r="D47" s="64">
        <v>36.85</v>
      </c>
      <c r="E47" s="64">
        <v>6.16</v>
      </c>
      <c r="F47" s="64">
        <v>3.62</v>
      </c>
      <c r="G47" s="64">
        <v>94.96</v>
      </c>
      <c r="H47" s="64">
        <v>40.75</v>
      </c>
      <c r="I47" s="64">
        <v>5.7</v>
      </c>
      <c r="J47" s="64">
        <v>0.7</v>
      </c>
      <c r="K47" s="64">
        <v>344.43</v>
      </c>
      <c r="L47" s="64">
        <v>26.58</v>
      </c>
      <c r="M47" s="64">
        <v>28.99</v>
      </c>
      <c r="N47" s="64">
        <v>614.6</v>
      </c>
      <c r="O47" s="64">
        <v>0</v>
      </c>
      <c r="P47" s="64">
        <v>1.33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1" t="s">
        <v>1535</v>
      </c>
      <c r="B48" s="64">
        <v>37.369999999999997</v>
      </c>
      <c r="C48" s="64">
        <v>11.29</v>
      </c>
      <c r="D48" s="64">
        <v>35.4</v>
      </c>
      <c r="E48" s="64">
        <v>6.38</v>
      </c>
      <c r="F48" s="64">
        <v>3.46</v>
      </c>
      <c r="G48" s="64">
        <v>94.96</v>
      </c>
      <c r="H48" s="64">
        <v>40.75</v>
      </c>
      <c r="I48" s="64">
        <v>5.55</v>
      </c>
      <c r="J48" s="64">
        <v>0.65</v>
      </c>
      <c r="K48" s="64">
        <v>333.38</v>
      </c>
      <c r="L48" s="64">
        <v>26.82</v>
      </c>
      <c r="M48" s="64">
        <v>28.39</v>
      </c>
      <c r="N48" s="64">
        <v>642.29999999999995</v>
      </c>
      <c r="O48" s="64">
        <v>0</v>
      </c>
      <c r="P48" s="64">
        <v>1.29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1" t="s">
        <v>1536</v>
      </c>
      <c r="B49" s="64">
        <v>34.200000000000003</v>
      </c>
      <c r="C49" s="64">
        <v>12.58</v>
      </c>
      <c r="D49" s="64">
        <v>33.54</v>
      </c>
      <c r="E49" s="64">
        <v>6.03</v>
      </c>
      <c r="F49" s="64">
        <v>3.52</v>
      </c>
      <c r="G49" s="64">
        <v>94.96</v>
      </c>
      <c r="H49" s="64">
        <v>40.75</v>
      </c>
      <c r="I49" s="64">
        <v>5.4</v>
      </c>
      <c r="J49" s="64">
        <v>0.59</v>
      </c>
      <c r="K49" s="64">
        <v>334.1</v>
      </c>
      <c r="L49" s="64">
        <v>27.37</v>
      </c>
      <c r="M49" s="64">
        <v>28.42</v>
      </c>
      <c r="N49" s="64">
        <v>659.7</v>
      </c>
      <c r="O49" s="64">
        <v>0</v>
      </c>
      <c r="P49" s="64">
        <v>1.24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1" t="s">
        <v>1537</v>
      </c>
      <c r="B50" s="64">
        <v>32.380000000000003</v>
      </c>
      <c r="C50" s="64">
        <v>13.77</v>
      </c>
      <c r="D50" s="64">
        <v>32.700000000000003</v>
      </c>
      <c r="E50" s="64">
        <v>6.08</v>
      </c>
      <c r="F50" s="64">
        <v>3.34</v>
      </c>
      <c r="G50" s="64">
        <v>76.45</v>
      </c>
      <c r="H50" s="64">
        <v>33.380000000000003</v>
      </c>
      <c r="I50" s="64">
        <v>5.23</v>
      </c>
      <c r="J50" s="64">
        <v>0.55000000000000004</v>
      </c>
      <c r="K50" s="64">
        <v>338.04</v>
      </c>
      <c r="L50" s="64">
        <v>27.45</v>
      </c>
      <c r="M50" s="64">
        <v>28.8</v>
      </c>
      <c r="N50" s="64">
        <v>686.7</v>
      </c>
      <c r="O50" s="64">
        <v>0</v>
      </c>
      <c r="P50" s="64">
        <v>1.21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1" t="s">
        <v>1538</v>
      </c>
      <c r="B51" s="64">
        <v>29.27</v>
      </c>
      <c r="C51" s="64">
        <v>15.59</v>
      </c>
      <c r="D51" s="64">
        <v>31.16</v>
      </c>
      <c r="E51" s="64">
        <v>6.35</v>
      </c>
      <c r="F51" s="64">
        <v>3.85</v>
      </c>
      <c r="G51" s="64">
        <v>75.12</v>
      </c>
      <c r="H51" s="64">
        <v>33.380000000000003</v>
      </c>
      <c r="I51" s="64">
        <v>5.09</v>
      </c>
      <c r="J51" s="64">
        <v>0.43</v>
      </c>
      <c r="K51" s="64">
        <v>340.38</v>
      </c>
      <c r="L51" s="64">
        <v>27.01</v>
      </c>
      <c r="M51" s="64">
        <v>30.79</v>
      </c>
      <c r="N51" s="64">
        <v>696.9</v>
      </c>
      <c r="O51" s="64">
        <v>0</v>
      </c>
      <c r="P51" s="64">
        <v>1.1499999999999999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1" t="s">
        <v>1539</v>
      </c>
      <c r="B52" s="64">
        <v>26.99</v>
      </c>
      <c r="C52" s="64">
        <v>18.05</v>
      </c>
      <c r="D52" s="64">
        <v>30.61</v>
      </c>
      <c r="E52" s="64">
        <v>6.53</v>
      </c>
      <c r="F52" s="64">
        <v>3.68</v>
      </c>
      <c r="G52" s="64">
        <v>75.12</v>
      </c>
      <c r="H52" s="64">
        <v>33.380000000000003</v>
      </c>
      <c r="I52" s="64">
        <v>4.95</v>
      </c>
      <c r="J52" s="64">
        <v>0.4</v>
      </c>
      <c r="K52" s="64">
        <v>344.6</v>
      </c>
      <c r="L52" s="64">
        <v>28.07</v>
      </c>
      <c r="M52" s="64">
        <v>27.83</v>
      </c>
      <c r="N52" s="64">
        <v>704.4</v>
      </c>
      <c r="O52" s="64">
        <v>0</v>
      </c>
      <c r="P52" s="64">
        <v>1.1399999999999999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1" t="s">
        <v>1540</v>
      </c>
      <c r="B53" s="64">
        <v>26.61</v>
      </c>
      <c r="C53" s="64">
        <v>16.559999999999999</v>
      </c>
      <c r="D53" s="64">
        <v>29.53</v>
      </c>
      <c r="E53" s="64">
        <v>6.16</v>
      </c>
      <c r="F53" s="64">
        <v>3.49</v>
      </c>
      <c r="G53" s="64">
        <v>75.12</v>
      </c>
      <c r="H53" s="64">
        <v>33.380000000000003</v>
      </c>
      <c r="I53" s="64">
        <v>4.83</v>
      </c>
      <c r="J53" s="64">
        <v>0.36</v>
      </c>
      <c r="K53" s="64">
        <v>337.98</v>
      </c>
      <c r="L53" s="64">
        <v>28.06</v>
      </c>
      <c r="M53" s="64">
        <v>27.08</v>
      </c>
      <c r="N53" s="64">
        <v>712.7</v>
      </c>
      <c r="O53" s="64">
        <v>0</v>
      </c>
      <c r="P53" s="64">
        <v>1.1000000000000001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1" t="s">
        <v>1541</v>
      </c>
      <c r="B54" s="64">
        <v>24.53</v>
      </c>
      <c r="C54" s="64">
        <v>18.23</v>
      </c>
      <c r="D54" s="64">
        <v>28.73</v>
      </c>
      <c r="E54" s="64">
        <v>6.57</v>
      </c>
      <c r="F54" s="64">
        <v>3.57</v>
      </c>
      <c r="G54" s="64">
        <v>67.459999999999994</v>
      </c>
      <c r="H54" s="64">
        <v>32.299999999999997</v>
      </c>
      <c r="I54" s="64">
        <v>4.7300000000000004</v>
      </c>
      <c r="J54" s="64">
        <v>0.75</v>
      </c>
      <c r="K54" s="64">
        <v>336.12</v>
      </c>
      <c r="L54" s="64">
        <v>29.1</v>
      </c>
      <c r="M54" s="64">
        <v>23.05</v>
      </c>
      <c r="N54" s="64">
        <v>722.7</v>
      </c>
      <c r="O54" s="64">
        <v>0</v>
      </c>
      <c r="P54" s="64">
        <v>1.07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1" t="s">
        <v>1542</v>
      </c>
      <c r="B55" s="64">
        <v>19.91</v>
      </c>
      <c r="C55" s="64">
        <v>20.440000000000001</v>
      </c>
      <c r="D55" s="64">
        <v>26.19</v>
      </c>
      <c r="E55" s="64">
        <v>11.16</v>
      </c>
      <c r="F55" s="64">
        <v>7.51</v>
      </c>
      <c r="G55" s="64">
        <v>66.91</v>
      </c>
      <c r="H55" s="64">
        <v>32.299999999999997</v>
      </c>
      <c r="I55" s="64">
        <v>4.6500000000000004</v>
      </c>
      <c r="J55" s="64">
        <v>0.3</v>
      </c>
      <c r="K55" s="64">
        <v>9.14</v>
      </c>
      <c r="L55" s="64">
        <v>29.16</v>
      </c>
      <c r="M55" s="64">
        <v>22.27</v>
      </c>
      <c r="N55" s="64">
        <v>724.4</v>
      </c>
      <c r="O55" s="64">
        <v>0</v>
      </c>
      <c r="P55" s="64">
        <v>0.98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1" t="s">
        <v>1543</v>
      </c>
      <c r="B56" s="64">
        <v>19.100000000000001</v>
      </c>
      <c r="C56" s="64">
        <v>19.739999999999998</v>
      </c>
      <c r="D56" s="64">
        <v>25.17</v>
      </c>
      <c r="E56" s="64">
        <v>8.4</v>
      </c>
      <c r="F56" s="64">
        <v>5.14</v>
      </c>
      <c r="G56" s="64">
        <v>66.91</v>
      </c>
      <c r="H56" s="64">
        <v>32.299999999999997</v>
      </c>
      <c r="I56" s="64">
        <v>4.57</v>
      </c>
      <c r="J56" s="64">
        <v>0.94</v>
      </c>
      <c r="K56" s="64">
        <v>338.25</v>
      </c>
      <c r="L56" s="64">
        <v>28.29</v>
      </c>
      <c r="M56" s="64">
        <v>22.93</v>
      </c>
      <c r="N56" s="64">
        <v>707.4</v>
      </c>
      <c r="O56" s="64">
        <v>0</v>
      </c>
      <c r="P56" s="64">
        <v>1.01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1" t="s">
        <v>1544</v>
      </c>
      <c r="B57" s="64">
        <v>17.100000000000001</v>
      </c>
      <c r="C57" s="64">
        <v>22.89</v>
      </c>
      <c r="D57" s="64">
        <v>25.21</v>
      </c>
      <c r="E57" s="64">
        <v>13.51</v>
      </c>
      <c r="F57" s="64">
        <v>7.33</v>
      </c>
      <c r="G57" s="64">
        <v>66.91</v>
      </c>
      <c r="H57" s="64">
        <v>32.299999999999997</v>
      </c>
      <c r="I57" s="64">
        <v>4.4800000000000004</v>
      </c>
      <c r="J57" s="64">
        <v>0.47</v>
      </c>
      <c r="K57" s="64">
        <v>341.56</v>
      </c>
      <c r="L57" s="64">
        <v>29.04</v>
      </c>
      <c r="M57" s="64">
        <v>21.05</v>
      </c>
      <c r="N57" s="64">
        <v>691.2</v>
      </c>
      <c r="O57" s="64">
        <v>0</v>
      </c>
      <c r="P57" s="64">
        <v>0.93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1" t="s">
        <v>1545</v>
      </c>
      <c r="B58" s="64">
        <v>16.989999999999998</v>
      </c>
      <c r="C58" s="64">
        <v>21.75</v>
      </c>
      <c r="D58" s="64">
        <v>24.53</v>
      </c>
      <c r="E58" s="64">
        <v>12.19</v>
      </c>
      <c r="F58" s="64">
        <v>7.43</v>
      </c>
      <c r="G58" s="64">
        <v>51.6</v>
      </c>
      <c r="H58" s="64">
        <v>28.06</v>
      </c>
      <c r="I58" s="64">
        <v>4.3899999999999997</v>
      </c>
      <c r="J58" s="64">
        <v>0.37</v>
      </c>
      <c r="K58" s="64">
        <v>342.89</v>
      </c>
      <c r="L58" s="64">
        <v>28.29</v>
      </c>
      <c r="M58" s="64">
        <v>22.08</v>
      </c>
      <c r="N58" s="64">
        <v>667.5</v>
      </c>
      <c r="O58" s="64">
        <v>0</v>
      </c>
      <c r="P58" s="64">
        <v>0.92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1" t="s">
        <v>1546</v>
      </c>
      <c r="B59" s="64">
        <v>14.5</v>
      </c>
      <c r="C59" s="64">
        <v>21.94</v>
      </c>
      <c r="D59" s="64">
        <v>22.63</v>
      </c>
      <c r="E59" s="64">
        <v>15.76</v>
      </c>
      <c r="F59" s="64">
        <v>11.49</v>
      </c>
      <c r="G59" s="64">
        <v>50.7</v>
      </c>
      <c r="H59" s="64">
        <v>28.06</v>
      </c>
      <c r="I59" s="64">
        <v>4.3</v>
      </c>
      <c r="J59" s="64">
        <v>0.28000000000000003</v>
      </c>
      <c r="K59" s="64">
        <v>34.35</v>
      </c>
      <c r="L59" s="64">
        <v>28.03</v>
      </c>
      <c r="M59" s="64">
        <v>21.62</v>
      </c>
      <c r="N59" s="64">
        <v>638</v>
      </c>
      <c r="O59" s="64">
        <v>0</v>
      </c>
      <c r="P59" s="64">
        <v>0.84</v>
      </c>
      <c r="Q59" s="64">
        <v>9.59</v>
      </c>
      <c r="R59" s="198"/>
      <c r="S59" s="198"/>
      <c r="T59" s="198"/>
      <c r="U59" s="198"/>
    </row>
    <row r="60" spans="1:21" s="12" customFormat="1" x14ac:dyDescent="0.25">
      <c r="A60" s="211" t="s">
        <v>1547</v>
      </c>
      <c r="B60" s="64">
        <v>13.6</v>
      </c>
      <c r="C60" s="64">
        <v>24.6</v>
      </c>
      <c r="D60" s="64">
        <v>23.3</v>
      </c>
      <c r="E60" s="64">
        <v>16.97</v>
      </c>
      <c r="F60" s="64">
        <v>9.75</v>
      </c>
      <c r="G60" s="64">
        <v>50.7</v>
      </c>
      <c r="H60" s="64">
        <v>28.06</v>
      </c>
      <c r="I60" s="64">
        <v>4.22</v>
      </c>
      <c r="J60" s="64">
        <v>0.34</v>
      </c>
      <c r="K60" s="64">
        <v>6.68</v>
      </c>
      <c r="L60" s="64">
        <v>27.89</v>
      </c>
      <c r="M60" s="64">
        <v>21.91</v>
      </c>
      <c r="N60" s="64">
        <v>519.79999999999995</v>
      </c>
      <c r="O60" s="64">
        <v>0</v>
      </c>
      <c r="P60" s="64">
        <v>0.84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1" t="s">
        <v>1548</v>
      </c>
      <c r="B61" s="64">
        <v>10.39</v>
      </c>
      <c r="C61" s="64">
        <v>27.95</v>
      </c>
      <c r="D61" s="64">
        <v>22.47</v>
      </c>
      <c r="E61" s="64">
        <v>23.66</v>
      </c>
      <c r="F61" s="64">
        <v>15.67</v>
      </c>
      <c r="G61" s="64">
        <v>50.7</v>
      </c>
      <c r="H61" s="64">
        <v>28.06</v>
      </c>
      <c r="I61" s="64">
        <v>4.12</v>
      </c>
      <c r="J61" s="64">
        <v>0.42</v>
      </c>
      <c r="K61" s="64">
        <v>347.52</v>
      </c>
      <c r="L61" s="64">
        <v>28.06</v>
      </c>
      <c r="M61" s="64">
        <v>21.87</v>
      </c>
      <c r="N61" s="64">
        <v>463.9</v>
      </c>
      <c r="O61" s="64">
        <v>0</v>
      </c>
      <c r="P61" s="64">
        <v>0.87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1" t="s">
        <v>1549</v>
      </c>
      <c r="B62" s="64">
        <v>13.53</v>
      </c>
      <c r="C62" s="64">
        <v>22.72</v>
      </c>
      <c r="D62" s="64">
        <v>22.26</v>
      </c>
      <c r="E62" s="64">
        <v>10.08</v>
      </c>
      <c r="F62" s="64">
        <v>4.76</v>
      </c>
      <c r="G62" s="64">
        <v>56.23</v>
      </c>
      <c r="H62" s="64">
        <v>26.48</v>
      </c>
      <c r="I62" s="64">
        <v>4.04</v>
      </c>
      <c r="J62" s="64">
        <v>0.15</v>
      </c>
      <c r="K62" s="64">
        <v>93.77</v>
      </c>
      <c r="L62" s="64">
        <v>27.63</v>
      </c>
      <c r="M62" s="64">
        <v>22.17</v>
      </c>
      <c r="N62" s="64">
        <v>534.1</v>
      </c>
      <c r="O62" s="64">
        <v>0</v>
      </c>
      <c r="P62" s="64">
        <v>0.99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1" t="s">
        <v>1550</v>
      </c>
      <c r="B63" s="64">
        <v>13.17</v>
      </c>
      <c r="C63" s="64">
        <v>23.85</v>
      </c>
      <c r="D63" s="64">
        <v>22.57</v>
      </c>
      <c r="E63" s="64">
        <v>7.27</v>
      </c>
      <c r="F63" s="64">
        <v>6.27</v>
      </c>
      <c r="G63" s="64">
        <v>56.63</v>
      </c>
      <c r="H63" s="64">
        <v>26.48</v>
      </c>
      <c r="I63" s="64">
        <v>3.98</v>
      </c>
      <c r="J63" s="64">
        <v>0.21</v>
      </c>
      <c r="K63" s="64">
        <v>10.85</v>
      </c>
      <c r="L63" s="64">
        <v>27.31</v>
      </c>
      <c r="M63" s="64">
        <v>22.2</v>
      </c>
      <c r="N63" s="64">
        <v>510</v>
      </c>
      <c r="O63" s="64">
        <v>0</v>
      </c>
      <c r="P63" s="64">
        <v>0.91</v>
      </c>
      <c r="Q63" s="64">
        <v>9.4600000000000009</v>
      </c>
      <c r="R63" s="198"/>
      <c r="S63" s="198"/>
      <c r="T63" s="198"/>
      <c r="U63" s="198"/>
    </row>
    <row r="64" spans="1:21" s="12" customFormat="1" x14ac:dyDescent="0.25">
      <c r="A64" s="211" t="s">
        <v>1551</v>
      </c>
      <c r="B64" s="64">
        <v>11.78</v>
      </c>
      <c r="C64" s="64">
        <v>23.7</v>
      </c>
      <c r="D64" s="64">
        <v>21.37</v>
      </c>
      <c r="E64" s="64">
        <v>8.17</v>
      </c>
      <c r="F64" s="64">
        <v>5.65</v>
      </c>
      <c r="G64" s="64">
        <v>56.63</v>
      </c>
      <c r="H64" s="64">
        <v>26.48</v>
      </c>
      <c r="I64" s="64">
        <v>3.94</v>
      </c>
      <c r="J64" s="64">
        <v>0.76</v>
      </c>
      <c r="K64" s="64">
        <v>335.95</v>
      </c>
      <c r="L64" s="64">
        <v>27.45</v>
      </c>
      <c r="M64" s="64">
        <v>20.84</v>
      </c>
      <c r="N64" s="64">
        <v>263.8</v>
      </c>
      <c r="O64" s="64">
        <v>0</v>
      </c>
      <c r="P64" s="64">
        <v>0.89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11" t="s">
        <v>1552</v>
      </c>
      <c r="B65" s="64">
        <v>10.34</v>
      </c>
      <c r="C65" s="64">
        <v>23.97</v>
      </c>
      <c r="D65" s="64">
        <v>20.350000000000001</v>
      </c>
      <c r="E65" s="64">
        <v>14.13</v>
      </c>
      <c r="F65" s="64">
        <v>8.58</v>
      </c>
      <c r="G65" s="64">
        <v>56.63</v>
      </c>
      <c r="H65" s="64">
        <v>26.48</v>
      </c>
      <c r="I65" s="64">
        <v>4.17</v>
      </c>
      <c r="J65" s="64">
        <v>0.21</v>
      </c>
      <c r="K65" s="64">
        <v>340.07</v>
      </c>
      <c r="L65" s="64">
        <v>26.61</v>
      </c>
      <c r="M65" s="64">
        <v>21.69</v>
      </c>
      <c r="N65" s="64">
        <v>145.4</v>
      </c>
      <c r="O65" s="64">
        <v>0</v>
      </c>
      <c r="P65" s="64">
        <v>0.82</v>
      </c>
      <c r="Q65" s="64">
        <v>9.43</v>
      </c>
      <c r="R65" s="198"/>
      <c r="S65" s="198"/>
      <c r="T65" s="198"/>
      <c r="U65" s="198"/>
    </row>
    <row r="66" spans="1:21" s="12" customFormat="1" x14ac:dyDescent="0.25">
      <c r="A66" s="211" t="s">
        <v>1553</v>
      </c>
      <c r="B66" s="64">
        <v>10.32</v>
      </c>
      <c r="C66" s="64">
        <v>23.56</v>
      </c>
      <c r="D66" s="64">
        <v>20.13</v>
      </c>
      <c r="E66" s="64">
        <v>14.91</v>
      </c>
      <c r="F66" s="64">
        <v>8.3800000000000008</v>
      </c>
      <c r="G66" s="64">
        <v>55.79</v>
      </c>
      <c r="H66" s="64">
        <v>24.04</v>
      </c>
      <c r="I66" s="64">
        <v>3.99</v>
      </c>
      <c r="J66" s="64">
        <v>0.47</v>
      </c>
      <c r="K66" s="64">
        <v>335.29</v>
      </c>
      <c r="L66" s="64">
        <v>26.31</v>
      </c>
      <c r="M66" s="64">
        <v>21.96</v>
      </c>
      <c r="N66" s="64">
        <v>138</v>
      </c>
      <c r="O66" s="64">
        <v>0</v>
      </c>
      <c r="P66" s="64">
        <v>0.84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1" t="s">
        <v>1554</v>
      </c>
      <c r="B67" s="64">
        <v>10.18</v>
      </c>
      <c r="C67" s="64">
        <v>26.16</v>
      </c>
      <c r="D67" s="64">
        <v>21.37</v>
      </c>
      <c r="E67" s="64">
        <v>13.3</v>
      </c>
      <c r="F67" s="64">
        <v>8.15</v>
      </c>
      <c r="G67" s="64">
        <v>55.74</v>
      </c>
      <c r="H67" s="64">
        <v>24.04</v>
      </c>
      <c r="I67" s="64">
        <v>3.96</v>
      </c>
      <c r="J67" s="64">
        <v>0.26</v>
      </c>
      <c r="K67" s="64">
        <v>6.1</v>
      </c>
      <c r="L67" s="64">
        <v>25.99</v>
      </c>
      <c r="M67" s="64">
        <v>22.1</v>
      </c>
      <c r="N67" s="64">
        <v>127.6</v>
      </c>
      <c r="O67" s="64">
        <v>0</v>
      </c>
      <c r="P67" s="64">
        <v>0.82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1" t="s">
        <v>1555</v>
      </c>
      <c r="B68" s="64">
        <v>9.27</v>
      </c>
      <c r="C68" s="64">
        <v>26.39</v>
      </c>
      <c r="D68" s="64">
        <v>20.76</v>
      </c>
      <c r="E68" s="64">
        <v>15.37</v>
      </c>
      <c r="F68" s="64">
        <v>7.54</v>
      </c>
      <c r="G68" s="64">
        <v>55.74</v>
      </c>
      <c r="H68" s="64">
        <v>24.04</v>
      </c>
      <c r="I68" s="64">
        <v>4.0999999999999996</v>
      </c>
      <c r="J68" s="64">
        <v>0.06</v>
      </c>
      <c r="K68" s="64">
        <v>4.24</v>
      </c>
      <c r="L68" s="64">
        <v>25.69</v>
      </c>
      <c r="M68" s="64">
        <v>21.94</v>
      </c>
      <c r="N68" s="64">
        <v>113.9</v>
      </c>
      <c r="O68" s="64">
        <v>0</v>
      </c>
      <c r="P68" s="64">
        <v>0.77</v>
      </c>
      <c r="Q68" s="64">
        <v>9.3699999999999992</v>
      </c>
      <c r="R68" s="198"/>
      <c r="S68" s="198"/>
      <c r="T68" s="198"/>
      <c r="U68" s="198"/>
    </row>
    <row r="69" spans="1:21" s="12" customFormat="1" x14ac:dyDescent="0.25">
      <c r="A69" s="211" t="s">
        <v>1556</v>
      </c>
      <c r="B69" s="64">
        <v>8.42</v>
      </c>
      <c r="C69" s="64">
        <v>27.35</v>
      </c>
      <c r="D69" s="64">
        <v>20.59</v>
      </c>
      <c r="E69" s="64">
        <v>17.23</v>
      </c>
      <c r="F69" s="64">
        <v>12.12</v>
      </c>
      <c r="G69" s="64">
        <v>55.74</v>
      </c>
      <c r="H69" s="64">
        <v>24.04</v>
      </c>
      <c r="I69" s="64">
        <v>4.0199999999999996</v>
      </c>
      <c r="J69" s="64">
        <v>0.15</v>
      </c>
      <c r="K69" s="64">
        <v>78.930000000000007</v>
      </c>
      <c r="L69" s="64">
        <v>25.41</v>
      </c>
      <c r="M69" s="64">
        <v>22.08</v>
      </c>
      <c r="N69" s="64">
        <v>105.2</v>
      </c>
      <c r="O69" s="64">
        <v>0</v>
      </c>
      <c r="P69" s="64">
        <v>0.72</v>
      </c>
      <c r="Q69" s="64">
        <v>9.36</v>
      </c>
      <c r="R69" s="198"/>
      <c r="S69" s="198"/>
      <c r="T69" s="198"/>
      <c r="U69" s="198"/>
    </row>
    <row r="70" spans="1:21" s="12" customFormat="1" x14ac:dyDescent="0.25">
      <c r="A70" s="211" t="s">
        <v>1557</v>
      </c>
      <c r="B70" s="64">
        <v>10.41</v>
      </c>
      <c r="C70" s="64">
        <v>27.96</v>
      </c>
      <c r="D70" s="64">
        <v>22.49</v>
      </c>
      <c r="E70" s="64">
        <v>13.42</v>
      </c>
      <c r="F70" s="64">
        <v>8.31</v>
      </c>
      <c r="G70" s="64">
        <v>50.5</v>
      </c>
      <c r="H70" s="64">
        <v>23.94</v>
      </c>
      <c r="I70" s="64">
        <v>3.94</v>
      </c>
      <c r="J70" s="64">
        <v>0.22</v>
      </c>
      <c r="K70" s="64">
        <v>343.1</v>
      </c>
      <c r="L70" s="64">
        <v>25.22</v>
      </c>
      <c r="M70" s="64">
        <v>22.71</v>
      </c>
      <c r="N70" s="64">
        <v>98.4</v>
      </c>
      <c r="O70" s="64">
        <v>0</v>
      </c>
      <c r="P70" s="64">
        <v>0.8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1" t="s">
        <v>1558</v>
      </c>
      <c r="B71" s="64">
        <v>7.87</v>
      </c>
      <c r="C71" s="64">
        <v>27.35</v>
      </c>
      <c r="D71" s="64">
        <v>20.14</v>
      </c>
      <c r="E71" s="64">
        <v>13.96</v>
      </c>
      <c r="F71" s="64">
        <v>9.19</v>
      </c>
      <c r="G71" s="64">
        <v>50.13</v>
      </c>
      <c r="H71" s="64">
        <v>23.94</v>
      </c>
      <c r="I71" s="64">
        <v>3.88</v>
      </c>
      <c r="J71" s="64">
        <v>0.37</v>
      </c>
      <c r="K71" s="64">
        <v>343.88</v>
      </c>
      <c r="L71" s="64">
        <v>25.09</v>
      </c>
      <c r="M71" s="64">
        <v>23.2</v>
      </c>
      <c r="N71" s="64">
        <v>91.3</v>
      </c>
      <c r="O71" s="64">
        <v>0</v>
      </c>
      <c r="P71" s="64">
        <v>0.75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1" t="s">
        <v>1559</v>
      </c>
      <c r="B72" s="64">
        <v>5.36</v>
      </c>
      <c r="C72" s="64">
        <v>28.37</v>
      </c>
      <c r="D72" s="64">
        <v>18.66</v>
      </c>
      <c r="E72" s="64">
        <v>21.51</v>
      </c>
      <c r="F72" s="64">
        <v>19.989999999999998</v>
      </c>
      <c r="G72" s="64">
        <v>50.13</v>
      </c>
      <c r="H72" s="64">
        <v>23.94</v>
      </c>
      <c r="I72" s="64">
        <v>3.8</v>
      </c>
      <c r="J72" s="64">
        <v>0.14000000000000001</v>
      </c>
      <c r="K72" s="64">
        <v>104.67</v>
      </c>
      <c r="L72" s="64">
        <v>24.7</v>
      </c>
      <c r="M72" s="64">
        <v>22.98</v>
      </c>
      <c r="N72" s="64">
        <v>84.6</v>
      </c>
      <c r="O72" s="64">
        <v>0</v>
      </c>
      <c r="P72" s="64">
        <v>0.62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11" t="s">
        <v>1560</v>
      </c>
      <c r="B73" s="64">
        <v>10.28</v>
      </c>
      <c r="C73" s="64">
        <v>32.03</v>
      </c>
      <c r="D73" s="64">
        <v>24.51</v>
      </c>
      <c r="E73" s="64">
        <v>23.65</v>
      </c>
      <c r="F73" s="64">
        <v>14.86</v>
      </c>
      <c r="G73" s="64">
        <v>50.13</v>
      </c>
      <c r="H73" s="64">
        <v>23.94</v>
      </c>
      <c r="I73" s="64">
        <v>3.76</v>
      </c>
      <c r="J73" s="64">
        <v>0.5</v>
      </c>
      <c r="K73" s="64">
        <v>344.53</v>
      </c>
      <c r="L73" s="64">
        <v>24.58</v>
      </c>
      <c r="M73" s="64">
        <v>23.79</v>
      </c>
      <c r="N73" s="64">
        <v>76.599999999999994</v>
      </c>
      <c r="O73" s="64">
        <v>0</v>
      </c>
      <c r="P73" s="64">
        <v>0.78</v>
      </c>
      <c r="Q73" s="64">
        <v>9.35</v>
      </c>
      <c r="R73" s="198"/>
      <c r="S73" s="198"/>
      <c r="T73" s="198"/>
      <c r="U73" s="198"/>
    </row>
    <row r="74" spans="1:21" s="12" customFormat="1" x14ac:dyDescent="0.25">
      <c r="A74" s="211" t="s">
        <v>1561</v>
      </c>
      <c r="B74" s="64">
        <v>15.59</v>
      </c>
      <c r="C74" s="64">
        <v>39.58</v>
      </c>
      <c r="D74" s="64">
        <v>35.65</v>
      </c>
      <c r="E74" s="64">
        <v>24.18</v>
      </c>
      <c r="F74" s="64">
        <v>14.34</v>
      </c>
      <c r="G74" s="64">
        <v>50.96</v>
      </c>
      <c r="H74" s="64">
        <v>20.76</v>
      </c>
      <c r="I74" s="64">
        <v>3.74</v>
      </c>
      <c r="J74" s="64">
        <v>0.35</v>
      </c>
      <c r="K74" s="64">
        <v>346.91</v>
      </c>
      <c r="L74" s="64">
        <v>24.33</v>
      </c>
      <c r="M74" s="64">
        <v>25.75</v>
      </c>
      <c r="N74" s="64">
        <v>68.2</v>
      </c>
      <c r="O74" s="64">
        <v>0</v>
      </c>
      <c r="P74" s="64">
        <v>0.91</v>
      </c>
      <c r="Q74" s="64">
        <v>9.36</v>
      </c>
      <c r="R74" s="198"/>
      <c r="S74" s="198"/>
      <c r="T74" s="198"/>
      <c r="U74" s="198"/>
    </row>
    <row r="75" spans="1:21" s="12" customFormat="1" x14ac:dyDescent="0.25">
      <c r="A75" s="211" t="s">
        <v>1562</v>
      </c>
      <c r="B75" s="64">
        <v>9.2799999999999994</v>
      </c>
      <c r="C75" s="64">
        <v>38.57</v>
      </c>
      <c r="D75" s="64">
        <v>27.13</v>
      </c>
      <c r="E75" s="64">
        <v>24.3</v>
      </c>
      <c r="F75" s="64">
        <v>15.8</v>
      </c>
      <c r="G75" s="64">
        <v>50.96</v>
      </c>
      <c r="H75" s="64">
        <v>20.76</v>
      </c>
      <c r="I75" s="64">
        <v>3.74</v>
      </c>
      <c r="J75" s="64">
        <v>0.17</v>
      </c>
      <c r="K75" s="64">
        <v>343.35</v>
      </c>
      <c r="L75" s="64">
        <v>23.81</v>
      </c>
      <c r="M75" s="64">
        <v>26.45</v>
      </c>
      <c r="N75" s="64">
        <v>61.5</v>
      </c>
      <c r="O75" s="64">
        <v>0</v>
      </c>
      <c r="P75" s="64">
        <v>0.91</v>
      </c>
      <c r="Q75" s="64">
        <v>9.3800000000000008</v>
      </c>
      <c r="R75" s="198"/>
      <c r="S75" s="198"/>
      <c r="T75" s="198"/>
      <c r="U75" s="198"/>
    </row>
    <row r="76" spans="1:21" s="12" customFormat="1" x14ac:dyDescent="0.25">
      <c r="A76" s="211" t="s">
        <v>1563</v>
      </c>
      <c r="B76" s="64">
        <v>21.54</v>
      </c>
      <c r="C76" s="64">
        <v>42.61</v>
      </c>
      <c r="D76" s="64">
        <v>39.07</v>
      </c>
      <c r="E76" s="64">
        <v>21.35</v>
      </c>
      <c r="F76" s="64">
        <v>7.67</v>
      </c>
      <c r="G76" s="64">
        <v>50.96</v>
      </c>
      <c r="H76" s="64">
        <v>20.76</v>
      </c>
      <c r="I76" s="64">
        <v>3.77</v>
      </c>
      <c r="J76" s="64">
        <v>0.1</v>
      </c>
      <c r="K76" s="64">
        <v>355.07</v>
      </c>
      <c r="L76" s="64">
        <v>23.05</v>
      </c>
      <c r="M76" s="64">
        <v>29.1</v>
      </c>
      <c r="N76" s="64">
        <v>53.7</v>
      </c>
      <c r="O76" s="64">
        <v>0</v>
      </c>
      <c r="P76" s="64">
        <v>1.23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1" t="s">
        <v>1564</v>
      </c>
      <c r="B77" s="64">
        <v>24.95</v>
      </c>
      <c r="C77" s="64">
        <v>41.21</v>
      </c>
      <c r="D77" s="64">
        <v>41.08</v>
      </c>
      <c r="E77" s="64">
        <v>18.54</v>
      </c>
      <c r="F77" s="64">
        <v>6.03</v>
      </c>
      <c r="G77" s="64">
        <v>50.96</v>
      </c>
      <c r="H77" s="64">
        <v>20.76</v>
      </c>
      <c r="I77" s="64">
        <v>3.82</v>
      </c>
      <c r="J77" s="64">
        <v>0.24</v>
      </c>
      <c r="K77" s="64">
        <v>345.51</v>
      </c>
      <c r="L77" s="64">
        <v>22.15</v>
      </c>
      <c r="M77" s="64">
        <v>32.950000000000003</v>
      </c>
      <c r="N77" s="64">
        <v>46.5</v>
      </c>
      <c r="O77" s="64">
        <v>0</v>
      </c>
      <c r="P77" s="64">
        <v>1.29</v>
      </c>
      <c r="Q77" s="64">
        <v>9.4</v>
      </c>
      <c r="R77" s="198"/>
      <c r="S77" s="198"/>
      <c r="T77" s="198"/>
      <c r="U77" s="198"/>
    </row>
    <row r="78" spans="1:21" s="12" customFormat="1" x14ac:dyDescent="0.25">
      <c r="A78" s="211" t="s">
        <v>1565</v>
      </c>
      <c r="B78" s="64">
        <v>20.96</v>
      </c>
      <c r="C78" s="64">
        <v>39.9</v>
      </c>
      <c r="D78" s="64">
        <v>37.200000000000003</v>
      </c>
      <c r="E78" s="64">
        <v>17.16</v>
      </c>
      <c r="F78" s="64">
        <v>5.7</v>
      </c>
      <c r="G78" s="64">
        <v>64.77</v>
      </c>
      <c r="H78" s="64">
        <v>24.52</v>
      </c>
      <c r="I78" s="64">
        <v>3.91</v>
      </c>
      <c r="J78" s="64">
        <v>0.16</v>
      </c>
      <c r="K78" s="64">
        <v>3.24</v>
      </c>
      <c r="L78" s="64">
        <v>21.54</v>
      </c>
      <c r="M78" s="64">
        <v>32.71</v>
      </c>
      <c r="N78" s="64">
        <v>43.4</v>
      </c>
      <c r="O78" s="64">
        <v>0</v>
      </c>
      <c r="P78" s="64">
        <v>1.22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1" t="s">
        <v>1566</v>
      </c>
      <c r="B79" s="64">
        <v>14.55</v>
      </c>
      <c r="C79" s="64">
        <v>31.2</v>
      </c>
      <c r="D79" s="64">
        <v>27.51</v>
      </c>
      <c r="E79" s="64">
        <v>10.77</v>
      </c>
      <c r="F79" s="64">
        <v>4.9800000000000004</v>
      </c>
      <c r="G79" s="64">
        <v>65.75</v>
      </c>
      <c r="H79" s="64">
        <v>24.52</v>
      </c>
      <c r="I79" s="64">
        <v>4</v>
      </c>
      <c r="J79" s="64">
        <v>0.08</v>
      </c>
      <c r="K79" s="64">
        <v>38.11</v>
      </c>
      <c r="L79" s="64">
        <v>21.12</v>
      </c>
      <c r="M79" s="64">
        <v>33.33</v>
      </c>
      <c r="N79" s="64">
        <v>42.5</v>
      </c>
      <c r="O79" s="64">
        <v>0</v>
      </c>
      <c r="P79" s="64">
        <v>1.1200000000000001</v>
      </c>
      <c r="Q79" s="64">
        <v>9.44</v>
      </c>
      <c r="R79" s="198"/>
      <c r="S79" s="198"/>
      <c r="T79" s="198"/>
      <c r="U79" s="198"/>
    </row>
    <row r="80" spans="1:21" s="12" customFormat="1" x14ac:dyDescent="0.25">
      <c r="A80" s="211" t="s">
        <v>1567</v>
      </c>
      <c r="B80" s="64">
        <v>12.89</v>
      </c>
      <c r="C80" s="64">
        <v>21.66</v>
      </c>
      <c r="D80" s="64">
        <v>21.19</v>
      </c>
      <c r="E80" s="64">
        <v>6.89</v>
      </c>
      <c r="F80" s="64">
        <v>3.24</v>
      </c>
      <c r="G80" s="64">
        <v>65.75</v>
      </c>
      <c r="H80" s="64">
        <v>24.52</v>
      </c>
      <c r="I80" s="64">
        <v>3.78</v>
      </c>
      <c r="J80" s="64">
        <v>0.1</v>
      </c>
      <c r="K80" s="64">
        <v>2.13</v>
      </c>
      <c r="L80" s="64">
        <v>20.67</v>
      </c>
      <c r="M80" s="64">
        <v>35.78</v>
      </c>
      <c r="N80" s="64">
        <v>42.6</v>
      </c>
      <c r="O80" s="64">
        <v>0</v>
      </c>
      <c r="P80" s="64">
        <v>0.99</v>
      </c>
      <c r="Q80" s="64">
        <v>9.44</v>
      </c>
      <c r="R80" s="198"/>
      <c r="S80" s="198"/>
      <c r="T80" s="198"/>
      <c r="U80" s="198"/>
    </row>
    <row r="81" spans="1:26" s="12" customFormat="1" x14ac:dyDescent="0.25">
      <c r="A81" s="211" t="s">
        <v>1568</v>
      </c>
      <c r="B81" s="64">
        <v>14.54</v>
      </c>
      <c r="C81" s="64">
        <v>26.42</v>
      </c>
      <c r="D81" s="64">
        <v>25.01</v>
      </c>
      <c r="E81" s="64">
        <v>7.33</v>
      </c>
      <c r="F81" s="64">
        <v>3.45</v>
      </c>
      <c r="G81" s="64">
        <v>65.75</v>
      </c>
      <c r="H81" s="64">
        <v>24.52</v>
      </c>
      <c r="I81" s="64">
        <v>3.65</v>
      </c>
      <c r="J81" s="64">
        <v>0</v>
      </c>
      <c r="K81" s="64">
        <v>100.78</v>
      </c>
      <c r="L81" s="64">
        <v>20.100000000000001</v>
      </c>
      <c r="M81" s="64">
        <v>40.58</v>
      </c>
      <c r="N81" s="64">
        <v>42.4</v>
      </c>
      <c r="O81" s="64">
        <v>0</v>
      </c>
      <c r="P81" s="64">
        <v>1.08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1" t="s">
        <v>1569</v>
      </c>
      <c r="B82" s="64">
        <v>15.01</v>
      </c>
      <c r="C82" s="64">
        <v>23.3</v>
      </c>
      <c r="D82" s="64">
        <v>23.75</v>
      </c>
      <c r="E82" s="64">
        <v>7.05</v>
      </c>
      <c r="F82" s="64">
        <v>3.27</v>
      </c>
      <c r="G82" s="64">
        <v>86.97</v>
      </c>
      <c r="H82" s="64">
        <v>30.32</v>
      </c>
      <c r="I82" s="64">
        <v>3.77</v>
      </c>
      <c r="J82" s="64">
        <v>0.12</v>
      </c>
      <c r="K82" s="64">
        <v>343.47</v>
      </c>
      <c r="L82" s="64">
        <v>19.809999999999999</v>
      </c>
      <c r="M82" s="64">
        <v>47.69</v>
      </c>
      <c r="N82" s="64">
        <v>42.2</v>
      </c>
      <c r="O82" s="64">
        <v>0</v>
      </c>
      <c r="P82" s="64">
        <v>1.07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1" t="s">
        <v>1570</v>
      </c>
      <c r="B83" s="64">
        <v>16.39</v>
      </c>
      <c r="C83" s="64">
        <v>21.81</v>
      </c>
      <c r="D83" s="64">
        <v>24.07</v>
      </c>
      <c r="E83" s="64">
        <v>6.47</v>
      </c>
      <c r="F83" s="64">
        <v>3.16</v>
      </c>
      <c r="G83" s="64">
        <v>88.48</v>
      </c>
      <c r="H83" s="64">
        <v>30.32</v>
      </c>
      <c r="I83" s="64">
        <v>3.91</v>
      </c>
      <c r="J83" s="64">
        <v>0.05</v>
      </c>
      <c r="K83" s="64">
        <v>91.46</v>
      </c>
      <c r="L83" s="64">
        <v>19.190000000000001</v>
      </c>
      <c r="M83" s="64">
        <v>52.11</v>
      </c>
      <c r="N83" s="64">
        <v>42.3</v>
      </c>
      <c r="O83" s="64">
        <v>0</v>
      </c>
      <c r="P83" s="64">
        <v>1.1100000000000001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1" t="s">
        <v>1571</v>
      </c>
      <c r="B84" s="64">
        <v>18.52</v>
      </c>
      <c r="C84" s="64">
        <v>21.12</v>
      </c>
      <c r="D84" s="64">
        <v>25.43</v>
      </c>
      <c r="E84" s="64">
        <v>6.12</v>
      </c>
      <c r="F84" s="64">
        <v>3.06</v>
      </c>
      <c r="G84" s="64">
        <v>88.48</v>
      </c>
      <c r="H84" s="64">
        <v>30.32</v>
      </c>
      <c r="I84" s="64">
        <v>4.05</v>
      </c>
      <c r="J84" s="64">
        <v>0</v>
      </c>
      <c r="K84" s="64">
        <v>325.31</v>
      </c>
      <c r="L84" s="64">
        <v>18.739999999999998</v>
      </c>
      <c r="M84" s="64">
        <v>54.58</v>
      </c>
      <c r="N84" s="64">
        <v>42.1</v>
      </c>
      <c r="O84" s="64">
        <v>0</v>
      </c>
      <c r="P84" s="64">
        <v>1.1499999999999999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11" t="s">
        <v>1572</v>
      </c>
      <c r="B85" s="64">
        <v>22.51</v>
      </c>
      <c r="C85" s="64">
        <v>18.45</v>
      </c>
      <c r="D85" s="64">
        <v>27.19</v>
      </c>
      <c r="E85" s="64">
        <v>6.62</v>
      </c>
      <c r="F85" s="64">
        <v>2.87</v>
      </c>
      <c r="G85" s="64">
        <v>88.48</v>
      </c>
      <c r="H85" s="64">
        <v>30.32</v>
      </c>
      <c r="I85" s="64">
        <v>4.1900000000000004</v>
      </c>
      <c r="J85" s="64">
        <v>0.06</v>
      </c>
      <c r="K85" s="64">
        <v>1.74</v>
      </c>
      <c r="L85" s="64">
        <v>18.510000000000002</v>
      </c>
      <c r="M85" s="64">
        <v>55.98</v>
      </c>
      <c r="N85" s="64">
        <v>42.1</v>
      </c>
      <c r="O85" s="64">
        <v>0</v>
      </c>
      <c r="P85" s="64">
        <v>1.22</v>
      </c>
      <c r="Q85" s="64">
        <v>9.57</v>
      </c>
      <c r="R85" s="198"/>
      <c r="S85" s="198"/>
      <c r="T85" s="198"/>
      <c r="U85" s="198"/>
    </row>
    <row r="86" spans="1:26" s="12" customFormat="1" x14ac:dyDescent="0.25">
      <c r="A86" s="211" t="s">
        <v>1573</v>
      </c>
      <c r="B86" s="64">
        <v>23.43</v>
      </c>
      <c r="C86" s="64">
        <v>17.03</v>
      </c>
      <c r="D86" s="64">
        <v>27.22</v>
      </c>
      <c r="E86" s="64">
        <v>6.57</v>
      </c>
      <c r="F86" s="64">
        <v>3.29</v>
      </c>
      <c r="G86" s="64">
        <v>102.99</v>
      </c>
      <c r="H86" s="64">
        <v>38.369999999999997</v>
      </c>
      <c r="I86" s="64">
        <v>4.3499999999999996</v>
      </c>
      <c r="J86" s="64">
        <v>0.08</v>
      </c>
      <c r="K86" s="64">
        <v>129.09</v>
      </c>
      <c r="L86" s="64">
        <v>18.22</v>
      </c>
      <c r="M86" s="64">
        <v>56.18</v>
      </c>
      <c r="N86" s="64">
        <v>42.1</v>
      </c>
      <c r="O86" s="64">
        <v>0</v>
      </c>
      <c r="P86" s="64">
        <v>1.34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1" t="s">
        <v>1574</v>
      </c>
      <c r="B87" s="64">
        <v>25.05</v>
      </c>
      <c r="C87" s="64">
        <v>17.100000000000001</v>
      </c>
      <c r="D87" s="64">
        <v>28.56</v>
      </c>
      <c r="E87" s="64">
        <v>6.3</v>
      </c>
      <c r="F87" s="64">
        <v>3.14</v>
      </c>
      <c r="G87" s="64">
        <v>104.03</v>
      </c>
      <c r="H87" s="64">
        <v>38.369999999999997</v>
      </c>
      <c r="I87" s="64">
        <v>4.53</v>
      </c>
      <c r="J87" s="64">
        <v>0.12</v>
      </c>
      <c r="K87" s="64">
        <v>313.74</v>
      </c>
      <c r="L87" s="64">
        <v>18.190000000000001</v>
      </c>
      <c r="M87" s="64">
        <v>57.71</v>
      </c>
      <c r="N87" s="64">
        <v>42</v>
      </c>
      <c r="O87" s="64">
        <v>0</v>
      </c>
      <c r="P87" s="64">
        <v>1.43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1" t="s">
        <v>1575</v>
      </c>
      <c r="B88" s="64">
        <v>28.19</v>
      </c>
      <c r="C88" s="64">
        <v>15.18</v>
      </c>
      <c r="D88" s="64">
        <v>30.07</v>
      </c>
      <c r="E88" s="64">
        <v>6.28</v>
      </c>
      <c r="F88" s="64">
        <v>3.03</v>
      </c>
      <c r="G88" s="64">
        <v>104.03</v>
      </c>
      <c r="H88" s="64">
        <v>38.369999999999997</v>
      </c>
      <c r="I88" s="64">
        <v>4.72</v>
      </c>
      <c r="J88" s="64">
        <v>0.13</v>
      </c>
      <c r="K88" s="64">
        <v>288.58</v>
      </c>
      <c r="L88" s="64">
        <v>17.78</v>
      </c>
      <c r="M88" s="64">
        <v>61.11</v>
      </c>
      <c r="N88" s="64">
        <v>42.2</v>
      </c>
      <c r="O88" s="64">
        <v>0</v>
      </c>
      <c r="P88" s="64">
        <v>1.54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1" t="s">
        <v>1576</v>
      </c>
      <c r="B89" s="64">
        <v>33.049999999999997</v>
      </c>
      <c r="C89" s="64">
        <v>13.34</v>
      </c>
      <c r="D89" s="64">
        <v>33.01</v>
      </c>
      <c r="E89" s="64">
        <v>6.48</v>
      </c>
      <c r="F89" s="64">
        <v>2.96</v>
      </c>
      <c r="G89" s="64">
        <v>104.03</v>
      </c>
      <c r="H89" s="64">
        <v>38.369999999999997</v>
      </c>
      <c r="I89" s="64">
        <v>4.9000000000000004</v>
      </c>
      <c r="J89" s="64">
        <v>0.08</v>
      </c>
      <c r="K89" s="64">
        <v>272.7</v>
      </c>
      <c r="L89" s="64">
        <v>17.420000000000002</v>
      </c>
      <c r="M89" s="64">
        <v>61.31</v>
      </c>
      <c r="N89" s="64">
        <v>42.3</v>
      </c>
      <c r="O89" s="64">
        <v>0</v>
      </c>
      <c r="P89" s="64">
        <v>1.64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1577</v>
      </c>
      <c r="B90" s="64">
        <v>45.77</v>
      </c>
      <c r="C90" s="64">
        <v>14.88</v>
      </c>
      <c r="D90" s="64">
        <v>44.02</v>
      </c>
      <c r="E90" s="64">
        <v>6.65</v>
      </c>
      <c r="F90" s="64">
        <v>3.09</v>
      </c>
      <c r="G90" s="64">
        <v>119.14</v>
      </c>
      <c r="H90" s="64">
        <v>42.49</v>
      </c>
      <c r="I90" s="64">
        <v>5.41</v>
      </c>
      <c r="J90" s="64">
        <v>0.09</v>
      </c>
      <c r="K90" s="64">
        <v>272.7</v>
      </c>
      <c r="L90" s="64">
        <v>17.18</v>
      </c>
      <c r="M90" s="64">
        <v>63.76</v>
      </c>
      <c r="N90" s="64">
        <v>42.1</v>
      </c>
      <c r="O90" s="64">
        <v>0</v>
      </c>
      <c r="P90" s="64">
        <v>1.92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1" t="s">
        <v>1578</v>
      </c>
      <c r="B91" s="64">
        <v>54.97</v>
      </c>
      <c r="C91" s="64">
        <v>8.25</v>
      </c>
      <c r="D91" s="64">
        <v>47.23</v>
      </c>
      <c r="E91" s="64">
        <v>6.9</v>
      </c>
      <c r="F91" s="64">
        <v>3.59</v>
      </c>
      <c r="G91" s="64">
        <v>120.22</v>
      </c>
      <c r="H91" s="64">
        <v>42.49</v>
      </c>
      <c r="I91" s="64">
        <v>5.46</v>
      </c>
      <c r="J91" s="64">
        <v>0.14000000000000001</v>
      </c>
      <c r="K91" s="64">
        <v>307.69</v>
      </c>
      <c r="L91" s="64">
        <v>17.190000000000001</v>
      </c>
      <c r="M91" s="64">
        <v>64.81</v>
      </c>
      <c r="N91" s="64">
        <v>41.9</v>
      </c>
      <c r="O91" s="64">
        <v>0</v>
      </c>
      <c r="P91" s="64">
        <v>2.0499999999999998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1" t="s">
        <v>1579</v>
      </c>
      <c r="B92" s="64">
        <v>55.85</v>
      </c>
      <c r="C92" s="64">
        <v>9.24</v>
      </c>
      <c r="D92" s="64">
        <v>49.05</v>
      </c>
      <c r="E92" s="64">
        <v>6.81</v>
      </c>
      <c r="F92" s="64">
        <v>3.59</v>
      </c>
      <c r="G92" s="64">
        <v>120.22</v>
      </c>
      <c r="H92" s="64">
        <v>42.49</v>
      </c>
      <c r="I92" s="64">
        <v>5.36</v>
      </c>
      <c r="J92" s="64">
        <v>0.09</v>
      </c>
      <c r="K92" s="64">
        <v>343.64</v>
      </c>
      <c r="L92" s="64">
        <v>17.07</v>
      </c>
      <c r="M92" s="64">
        <v>65.739999999999995</v>
      </c>
      <c r="N92" s="64">
        <v>42.1</v>
      </c>
      <c r="O92" s="64">
        <v>0</v>
      </c>
      <c r="P92" s="64">
        <v>2.06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1" t="s">
        <v>1580</v>
      </c>
      <c r="B93" s="64">
        <v>59.87</v>
      </c>
      <c r="C93" s="64">
        <v>6.06</v>
      </c>
      <c r="D93" s="64">
        <v>49.74</v>
      </c>
      <c r="E93" s="64">
        <v>6.51</v>
      </c>
      <c r="F93" s="64">
        <v>3.45</v>
      </c>
      <c r="G93" s="64">
        <v>120.22</v>
      </c>
      <c r="H93" s="64">
        <v>42.49</v>
      </c>
      <c r="I93" s="64">
        <v>5.52</v>
      </c>
      <c r="J93" s="64">
        <v>0.14000000000000001</v>
      </c>
      <c r="K93" s="64">
        <v>315.49</v>
      </c>
      <c r="L93" s="64">
        <v>17.14</v>
      </c>
      <c r="M93" s="64">
        <v>70.680000000000007</v>
      </c>
      <c r="N93" s="64">
        <v>42.1</v>
      </c>
      <c r="O93" s="64">
        <v>0</v>
      </c>
      <c r="P93" s="64">
        <v>2.0699999999999998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1" t="s">
        <v>1581</v>
      </c>
      <c r="B94" s="64">
        <v>71.81</v>
      </c>
      <c r="C94" s="64">
        <v>3.81</v>
      </c>
      <c r="D94" s="64">
        <v>57.5</v>
      </c>
      <c r="E94" s="64">
        <v>6.97</v>
      </c>
      <c r="F94" s="64">
        <v>3.55</v>
      </c>
      <c r="G94" s="64">
        <v>127.16</v>
      </c>
      <c r="H94" s="64">
        <v>47.58</v>
      </c>
      <c r="I94" s="64">
        <v>5.66</v>
      </c>
      <c r="J94" s="64">
        <v>0.09</v>
      </c>
      <c r="K94" s="64">
        <v>315.51</v>
      </c>
      <c r="L94" s="64">
        <v>16.7</v>
      </c>
      <c r="M94" s="64">
        <v>74.02</v>
      </c>
      <c r="N94" s="64">
        <v>42.2</v>
      </c>
      <c r="O94" s="64">
        <v>0</v>
      </c>
      <c r="P94" s="64">
        <v>2.2799999999999998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1" t="s">
        <v>1582</v>
      </c>
      <c r="B95" s="64">
        <v>64.239999999999995</v>
      </c>
      <c r="C95" s="64">
        <v>1.82</v>
      </c>
      <c r="D95" s="64">
        <v>51.52</v>
      </c>
      <c r="E95" s="64">
        <v>7.11</v>
      </c>
      <c r="F95" s="64">
        <v>3.47</v>
      </c>
      <c r="G95" s="64">
        <v>127.66</v>
      </c>
      <c r="H95" s="64">
        <v>47.58</v>
      </c>
      <c r="I95" s="64">
        <v>5.78</v>
      </c>
      <c r="J95" s="64">
        <v>0.19</v>
      </c>
      <c r="K95" s="64">
        <v>326.49</v>
      </c>
      <c r="L95" s="64">
        <v>16.03</v>
      </c>
      <c r="M95" s="64">
        <v>88.55</v>
      </c>
      <c r="N95" s="64">
        <v>42.1</v>
      </c>
      <c r="O95" s="64">
        <v>0</v>
      </c>
      <c r="P95" s="64">
        <v>2.17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1" t="s">
        <v>1583</v>
      </c>
      <c r="B96" s="64">
        <v>72.73</v>
      </c>
      <c r="C96" s="64">
        <v>0.67</v>
      </c>
      <c r="D96" s="64">
        <v>56.85</v>
      </c>
      <c r="E96" s="64">
        <v>6.84</v>
      </c>
      <c r="F96" s="64">
        <v>3.35</v>
      </c>
      <c r="G96" s="64">
        <v>127.66</v>
      </c>
      <c r="H96" s="64">
        <v>47.58</v>
      </c>
      <c r="I96" s="64">
        <v>5.92</v>
      </c>
      <c r="J96" s="64">
        <v>0.14000000000000001</v>
      </c>
      <c r="K96" s="64">
        <v>331.96</v>
      </c>
      <c r="L96" s="64">
        <v>15.81</v>
      </c>
      <c r="M96" s="64">
        <v>88.15</v>
      </c>
      <c r="N96" s="64">
        <v>42.2</v>
      </c>
      <c r="O96" s="64">
        <v>0</v>
      </c>
      <c r="P96" s="64">
        <v>2.31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1584</v>
      </c>
      <c r="B97" s="64">
        <v>73.959999999999994</v>
      </c>
      <c r="C97" s="6" t="s">
        <v>42</v>
      </c>
      <c r="D97" s="64">
        <v>56.77</v>
      </c>
      <c r="E97" s="64">
        <v>6.97</v>
      </c>
      <c r="F97" s="64">
        <v>3.24</v>
      </c>
      <c r="G97" s="64">
        <v>127.66</v>
      </c>
      <c r="H97" s="64">
        <v>47.58</v>
      </c>
      <c r="I97" s="64">
        <v>6.11</v>
      </c>
      <c r="J97" s="64">
        <v>0.1</v>
      </c>
      <c r="K97" s="64">
        <v>321.08</v>
      </c>
      <c r="L97" s="64">
        <v>15.77</v>
      </c>
      <c r="M97" s="64">
        <v>79.27</v>
      </c>
      <c r="N97" s="64">
        <v>42.1</v>
      </c>
      <c r="O97" s="64">
        <v>0</v>
      </c>
      <c r="P97" s="64">
        <v>2.3199999999999998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1" t="s">
        <v>1585</v>
      </c>
      <c r="B98" s="64">
        <v>78.37</v>
      </c>
      <c r="C98" s="6" t="s">
        <v>42</v>
      </c>
      <c r="D98" s="64">
        <v>59.2</v>
      </c>
      <c r="E98" s="64">
        <v>7.35</v>
      </c>
      <c r="F98" s="64">
        <v>3.22</v>
      </c>
      <c r="G98" s="64">
        <v>139.58000000000001</v>
      </c>
      <c r="H98" s="64">
        <v>50.86</v>
      </c>
      <c r="I98" s="64">
        <v>6.32</v>
      </c>
      <c r="J98" s="64">
        <v>0.1</v>
      </c>
      <c r="K98" s="64">
        <v>330.48</v>
      </c>
      <c r="L98" s="64">
        <v>15.85</v>
      </c>
      <c r="M98" s="64">
        <v>76.52</v>
      </c>
      <c r="N98" s="64">
        <v>41.9</v>
      </c>
      <c r="O98" s="64">
        <v>0</v>
      </c>
      <c r="P98" s="64">
        <v>2.36</v>
      </c>
      <c r="Q98" s="64">
        <v>9.75</v>
      </c>
      <c r="R98" s="198"/>
      <c r="S98" s="198"/>
      <c r="T98" s="198"/>
      <c r="U98" s="198"/>
    </row>
    <row r="99" spans="1:33" s="12" customFormat="1" x14ac:dyDescent="0.25">
      <c r="A99" s="211" t="s">
        <v>1586</v>
      </c>
      <c r="B99" s="64">
        <v>81.77</v>
      </c>
      <c r="C99" s="6" t="s">
        <v>42</v>
      </c>
      <c r="D99" s="64">
        <v>61.32</v>
      </c>
      <c r="E99" s="64">
        <v>7.12</v>
      </c>
      <c r="F99" s="64">
        <v>3.32</v>
      </c>
      <c r="G99" s="64">
        <v>140.43</v>
      </c>
      <c r="H99" s="64">
        <v>50.86</v>
      </c>
      <c r="I99" s="64">
        <v>6.49</v>
      </c>
      <c r="J99" s="64">
        <v>0.13</v>
      </c>
      <c r="K99" s="64">
        <v>289.77</v>
      </c>
      <c r="L99" s="64">
        <v>16.28</v>
      </c>
      <c r="M99" s="64">
        <v>71.739999999999995</v>
      </c>
      <c r="N99" s="64">
        <v>41.4</v>
      </c>
      <c r="O99" s="64">
        <v>0</v>
      </c>
      <c r="P99" s="64">
        <v>2.38</v>
      </c>
      <c r="Q99" s="64">
        <v>9.76</v>
      </c>
      <c r="R99" s="198"/>
      <c r="S99" s="198"/>
      <c r="T99" s="198"/>
      <c r="U99" s="198"/>
    </row>
    <row r="100" spans="1:33" s="12" customFormat="1" x14ac:dyDescent="0.25">
      <c r="A100" s="211" t="s">
        <v>1587</v>
      </c>
      <c r="B100" s="64">
        <v>82.28</v>
      </c>
      <c r="C100" s="6" t="s">
        <v>42</v>
      </c>
      <c r="D100" s="64">
        <v>61.38</v>
      </c>
      <c r="E100" s="64">
        <v>6.98</v>
      </c>
      <c r="F100" s="64">
        <v>3.46</v>
      </c>
      <c r="G100" s="64">
        <v>140.43</v>
      </c>
      <c r="H100" s="64">
        <v>50.86</v>
      </c>
      <c r="I100" s="64">
        <v>6.57</v>
      </c>
      <c r="J100" s="64">
        <v>0.17</v>
      </c>
      <c r="K100" s="64">
        <v>291</v>
      </c>
      <c r="L100" s="64">
        <v>16.649999999999999</v>
      </c>
      <c r="M100" s="64">
        <v>62.59</v>
      </c>
      <c r="N100" s="64">
        <v>41.5</v>
      </c>
      <c r="O100" s="64">
        <v>0</v>
      </c>
      <c r="P100" s="64">
        <v>2.36</v>
      </c>
      <c r="Q100" s="64">
        <v>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1588</v>
      </c>
      <c r="B101" s="64">
        <v>81.33</v>
      </c>
      <c r="C101" s="6" t="s">
        <v>42</v>
      </c>
      <c r="D101" s="64">
        <v>60.67</v>
      </c>
      <c r="E101" s="64">
        <v>6.37</v>
      </c>
      <c r="F101" s="64">
        <v>3.25</v>
      </c>
      <c r="G101" s="64">
        <v>140.43</v>
      </c>
      <c r="H101" s="64">
        <v>50.86</v>
      </c>
      <c r="I101" s="64">
        <v>6.6</v>
      </c>
      <c r="J101" s="64">
        <v>7.0000000000000007E-2</v>
      </c>
      <c r="K101" s="64">
        <v>315.82</v>
      </c>
      <c r="L101" s="64">
        <v>16.95</v>
      </c>
      <c r="M101" s="64">
        <v>54.69</v>
      </c>
      <c r="N101" s="64">
        <v>41.5</v>
      </c>
      <c r="O101" s="64">
        <v>0</v>
      </c>
      <c r="P101" s="64">
        <v>2.3199999999999998</v>
      </c>
      <c r="Q101" s="64">
        <v>9.77</v>
      </c>
      <c r="R101" s="198"/>
      <c r="S101" s="198"/>
      <c r="T101" s="198"/>
      <c r="U101" s="198"/>
    </row>
    <row r="102" spans="1:33" s="12" customFormat="1" x14ac:dyDescent="0.25">
      <c r="A102" s="211" t="s">
        <v>1589</v>
      </c>
      <c r="B102" s="64">
        <v>79.790000000000006</v>
      </c>
      <c r="C102" s="6" t="s">
        <v>42</v>
      </c>
      <c r="D102" s="64">
        <v>59.65</v>
      </c>
      <c r="E102" s="64">
        <v>6.56</v>
      </c>
      <c r="F102" s="64">
        <v>3.02</v>
      </c>
      <c r="G102" s="64">
        <v>126.78</v>
      </c>
      <c r="H102" s="64">
        <v>50.67</v>
      </c>
      <c r="I102" s="64">
        <v>6.56</v>
      </c>
      <c r="J102" s="64">
        <v>0.18</v>
      </c>
      <c r="K102" s="64">
        <v>274.08999999999997</v>
      </c>
      <c r="L102" s="64">
        <v>17.07</v>
      </c>
      <c r="M102" s="64">
        <v>54.61</v>
      </c>
      <c r="N102" s="64">
        <v>41.8</v>
      </c>
      <c r="O102" s="64">
        <v>0</v>
      </c>
      <c r="P102" s="64">
        <v>2.2799999999999998</v>
      </c>
      <c r="Q102" s="64">
        <v>9.76</v>
      </c>
      <c r="R102" s="198"/>
      <c r="S102" s="198"/>
      <c r="T102" s="198"/>
      <c r="U102" s="198"/>
    </row>
    <row r="103" spans="1:33" s="12" customFormat="1" x14ac:dyDescent="0.25">
      <c r="A103" s="211" t="s">
        <v>1590</v>
      </c>
      <c r="B103" s="64">
        <v>77.53</v>
      </c>
      <c r="C103" s="6" t="s">
        <v>42</v>
      </c>
      <c r="D103" s="64">
        <v>58.32</v>
      </c>
      <c r="E103" s="64">
        <v>6.82</v>
      </c>
      <c r="F103" s="64">
        <v>3.28</v>
      </c>
      <c r="G103" s="64">
        <v>125.8</v>
      </c>
      <c r="H103" s="64">
        <v>50.67</v>
      </c>
      <c r="I103" s="64">
        <v>6.47</v>
      </c>
      <c r="J103" s="64">
        <v>0.16</v>
      </c>
      <c r="K103" s="64">
        <v>295.17</v>
      </c>
      <c r="L103" s="64">
        <v>16.71</v>
      </c>
      <c r="M103" s="64">
        <v>59.09</v>
      </c>
      <c r="N103" s="64">
        <v>42.1</v>
      </c>
      <c r="O103" s="64">
        <v>0</v>
      </c>
      <c r="P103" s="64">
        <v>2.2200000000000002</v>
      </c>
      <c r="Q103" s="64">
        <v>9.76</v>
      </c>
      <c r="R103" s="198"/>
      <c r="S103" s="198"/>
      <c r="T103" s="198"/>
      <c r="U103" s="198"/>
    </row>
    <row r="104" spans="1:33" s="12" customFormat="1" x14ac:dyDescent="0.25">
      <c r="A104" s="211" t="s">
        <v>1591</v>
      </c>
      <c r="B104" s="64">
        <v>75.2</v>
      </c>
      <c r="C104" s="6" t="s">
        <v>42</v>
      </c>
      <c r="D104" s="64">
        <v>56.78</v>
      </c>
      <c r="E104" s="64">
        <v>5.39</v>
      </c>
      <c r="F104" s="64">
        <v>3.22</v>
      </c>
      <c r="G104" s="64">
        <v>125.8</v>
      </c>
      <c r="H104" s="64">
        <v>50.67</v>
      </c>
      <c r="I104" s="64">
        <v>6.37</v>
      </c>
      <c r="J104" s="64">
        <v>0.14000000000000001</v>
      </c>
      <c r="K104" s="64">
        <v>296.44</v>
      </c>
      <c r="L104" s="64">
        <v>16.23</v>
      </c>
      <c r="M104" s="64">
        <v>63.11</v>
      </c>
      <c r="N104" s="64">
        <v>42.2</v>
      </c>
      <c r="O104" s="64">
        <v>0</v>
      </c>
      <c r="P104" s="64">
        <v>2.1800000000000002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5.36</v>
      </c>
      <c r="C106" s="67">
        <f>MIN(C9:C104)</f>
        <v>0.59</v>
      </c>
      <c r="D106" s="67">
        <f t="shared" ref="D106:Q106" si="0">MIN(D9:D104)</f>
        <v>18.66</v>
      </c>
      <c r="E106" s="67">
        <f t="shared" si="0"/>
        <v>5.29</v>
      </c>
      <c r="F106" s="67">
        <f t="shared" si="0"/>
        <v>2.87</v>
      </c>
      <c r="G106" s="67">
        <f t="shared" si="0"/>
        <v>50.13</v>
      </c>
      <c r="H106" s="67">
        <f t="shared" si="0"/>
        <v>20.76</v>
      </c>
      <c r="I106" s="67">
        <f t="shared" si="0"/>
        <v>3.65</v>
      </c>
      <c r="J106" s="67">
        <f t="shared" si="0"/>
        <v>0</v>
      </c>
      <c r="K106" s="67">
        <f t="shared" si="0"/>
        <v>1.74</v>
      </c>
      <c r="L106" s="67">
        <f t="shared" si="0"/>
        <v>13.11</v>
      </c>
      <c r="M106" s="67">
        <f t="shared" si="0"/>
        <v>20.84</v>
      </c>
      <c r="N106" s="67">
        <f t="shared" si="0"/>
        <v>41.4</v>
      </c>
      <c r="O106" s="67">
        <f t="shared" si="0"/>
        <v>0</v>
      </c>
      <c r="P106" s="67">
        <f t="shared" si="0"/>
        <v>0.62</v>
      </c>
      <c r="Q106" s="67">
        <f t="shared" si="0"/>
        <v>9.35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124.75</v>
      </c>
      <c r="C107" s="66">
        <f t="shared" ref="C107:Q107" si="1">MAX(C9:C104)</f>
        <v>42.61</v>
      </c>
      <c r="D107" s="66">
        <f t="shared" si="1"/>
        <v>85</v>
      </c>
      <c r="E107" s="66">
        <f t="shared" si="1"/>
        <v>24.3</v>
      </c>
      <c r="F107" s="66">
        <f t="shared" si="1"/>
        <v>19.989999999999998</v>
      </c>
      <c r="G107" s="66">
        <f t="shared" si="1"/>
        <v>161.71</v>
      </c>
      <c r="H107" s="66">
        <f t="shared" si="1"/>
        <v>56</v>
      </c>
      <c r="I107" s="66">
        <f t="shared" si="1"/>
        <v>8.9700000000000006</v>
      </c>
      <c r="J107" s="66">
        <f t="shared" si="1"/>
        <v>1.07</v>
      </c>
      <c r="K107" s="66">
        <f t="shared" si="1"/>
        <v>357.57</v>
      </c>
      <c r="L107" s="66">
        <f t="shared" si="1"/>
        <v>29.16</v>
      </c>
      <c r="M107" s="66">
        <f t="shared" si="1"/>
        <v>97.13</v>
      </c>
      <c r="N107" s="66">
        <f t="shared" si="1"/>
        <v>724.4</v>
      </c>
      <c r="O107" s="66">
        <f t="shared" si="1"/>
        <v>0</v>
      </c>
      <c r="P107" s="66">
        <f t="shared" si="1"/>
        <v>2.91</v>
      </c>
      <c r="Q107" s="66">
        <f t="shared" si="1"/>
        <v>9.8699999999999992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49.372604166666662</v>
      </c>
      <c r="C108" s="67">
        <f t="shared" ref="C108:Q108" si="2">AVERAGE(C9:C104)</f>
        <v>19.113157894736844</v>
      </c>
      <c r="D108" s="67">
        <f t="shared" si="2"/>
        <v>42.554791666666681</v>
      </c>
      <c r="E108" s="67">
        <f t="shared" si="2"/>
        <v>8.7249999999999996</v>
      </c>
      <c r="F108" s="67">
        <f t="shared" si="2"/>
        <v>4.8919791666666663</v>
      </c>
      <c r="G108" s="67">
        <f t="shared" si="2"/>
        <v>98.360520833333325</v>
      </c>
      <c r="H108" s="67">
        <f t="shared" si="2"/>
        <v>39.962916666666672</v>
      </c>
      <c r="I108" s="67">
        <f t="shared" si="2"/>
        <v>5.9034375000000017</v>
      </c>
      <c r="J108" s="67">
        <f t="shared" si="2"/>
        <v>0.24552083333333341</v>
      </c>
      <c r="K108" s="67">
        <f t="shared" si="2"/>
        <v>253.93229166666671</v>
      </c>
      <c r="L108" s="67">
        <f t="shared" si="2"/>
        <v>19.865416666666665</v>
      </c>
      <c r="M108" s="67">
        <f t="shared" si="2"/>
        <v>56.479270833333338</v>
      </c>
      <c r="N108" s="67">
        <f t="shared" si="2"/>
        <v>193.12604166666662</v>
      </c>
      <c r="O108" s="67">
        <f t="shared" si="2"/>
        <v>0</v>
      </c>
      <c r="P108" s="67">
        <f t="shared" si="2"/>
        <v>1.6008333333333333</v>
      </c>
      <c r="Q108" s="67">
        <f t="shared" si="2"/>
        <v>9.6408333333333331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32.652994970068967</v>
      </c>
      <c r="C109" s="67">
        <f t="shared" ref="C109:Q109" si="3">STDEV(C9:C104)</f>
        <v>10.820914959646885</v>
      </c>
      <c r="D109" s="67">
        <f t="shared" si="3"/>
        <v>17.314056350969896</v>
      </c>
      <c r="E109" s="67">
        <f t="shared" si="3"/>
        <v>4.8982138527598487</v>
      </c>
      <c r="F109" s="67">
        <f t="shared" si="3"/>
        <v>3.3273550804115173</v>
      </c>
      <c r="G109" s="67">
        <f t="shared" si="3"/>
        <v>32.039083743052082</v>
      </c>
      <c r="H109" s="67">
        <f t="shared" si="3"/>
        <v>11.051624497560828</v>
      </c>
      <c r="I109" s="67">
        <f t="shared" si="3"/>
        <v>1.6951663965056947</v>
      </c>
      <c r="J109" s="67">
        <f t="shared" si="3"/>
        <v>0.23183419570513247</v>
      </c>
      <c r="K109" s="67">
        <f t="shared" si="3"/>
        <v>120.77397691537745</v>
      </c>
      <c r="L109" s="67">
        <f t="shared" si="3"/>
        <v>5.5261468286618909</v>
      </c>
      <c r="M109" s="67">
        <f t="shared" si="3"/>
        <v>28.667391570610622</v>
      </c>
      <c r="N109" s="67">
        <f t="shared" si="3"/>
        <v>238.93629155060592</v>
      </c>
      <c r="O109" s="67">
        <f t="shared" si="3"/>
        <v>0</v>
      </c>
      <c r="P109" s="67">
        <f t="shared" si="3"/>
        <v>0.60016079716700976</v>
      </c>
      <c r="Q109" s="67">
        <f t="shared" si="3"/>
        <v>0.14542617346896175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>COUNT(C9:C104)+39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1592</v>
      </c>
      <c r="B9" s="64">
        <v>73.12</v>
      </c>
      <c r="C9" s="6" t="s">
        <v>42</v>
      </c>
      <c r="D9" s="64">
        <v>55.42</v>
      </c>
      <c r="E9" s="64">
        <v>5.75</v>
      </c>
      <c r="F9" s="64">
        <v>2.85</v>
      </c>
      <c r="G9" s="64">
        <v>125.8</v>
      </c>
      <c r="H9" s="64">
        <v>50.67</v>
      </c>
      <c r="I9" s="64">
        <v>6.26</v>
      </c>
      <c r="J9" s="64">
        <v>0.09</v>
      </c>
      <c r="K9" s="64">
        <v>308.63</v>
      </c>
      <c r="L9" s="64">
        <v>15.94</v>
      </c>
      <c r="M9" s="64">
        <v>65.92</v>
      </c>
      <c r="N9" s="64">
        <v>42.1</v>
      </c>
      <c r="O9" s="64">
        <v>0</v>
      </c>
      <c r="P9" s="64">
        <v>2.11</v>
      </c>
      <c r="Q9" s="64">
        <v>9.76</v>
      </c>
      <c r="R9" s="198"/>
      <c r="S9" s="198"/>
      <c r="T9" s="198"/>
      <c r="U9" s="198"/>
    </row>
    <row r="10" spans="1:21" s="12" customFormat="1" x14ac:dyDescent="0.25">
      <c r="A10" s="211" t="s">
        <v>1593</v>
      </c>
      <c r="B10" s="64">
        <v>70.87</v>
      </c>
      <c r="C10" s="6" t="s">
        <v>42</v>
      </c>
      <c r="D10" s="64">
        <v>54.01</v>
      </c>
      <c r="E10" s="64">
        <v>5.57</v>
      </c>
      <c r="F10" s="64">
        <v>2.93</v>
      </c>
      <c r="G10" s="64">
        <v>88.61</v>
      </c>
      <c r="H10" s="64">
        <v>41.83</v>
      </c>
      <c r="I10" s="64">
        <v>6.14</v>
      </c>
      <c r="J10" s="64">
        <v>0.09</v>
      </c>
      <c r="K10" s="64">
        <v>277.07</v>
      </c>
      <c r="L10" s="64">
        <v>15.54</v>
      </c>
      <c r="M10" s="64">
        <v>72.569999999999993</v>
      </c>
      <c r="N10" s="64">
        <v>42.3</v>
      </c>
      <c r="O10" s="64">
        <v>0</v>
      </c>
      <c r="P10" s="64">
        <v>2.06</v>
      </c>
      <c r="Q10" s="64">
        <v>9.75</v>
      </c>
      <c r="R10" s="198"/>
      <c r="S10" s="198"/>
      <c r="T10" s="198"/>
      <c r="U10" s="198"/>
    </row>
    <row r="11" spans="1:21" s="12" customFormat="1" x14ac:dyDescent="0.25">
      <c r="A11" s="211" t="s">
        <v>1594</v>
      </c>
      <c r="B11" s="64">
        <v>68.41</v>
      </c>
      <c r="C11" s="6" t="s">
        <v>42</v>
      </c>
      <c r="D11" s="64">
        <v>52.27</v>
      </c>
      <c r="E11" s="64">
        <v>5.7</v>
      </c>
      <c r="F11" s="64">
        <v>3.03</v>
      </c>
      <c r="G11" s="64">
        <v>85.96</v>
      </c>
      <c r="H11" s="64">
        <v>41.83</v>
      </c>
      <c r="I11" s="64">
        <v>6.02</v>
      </c>
      <c r="J11" s="64">
        <v>0.09</v>
      </c>
      <c r="K11" s="64">
        <v>305.86</v>
      </c>
      <c r="L11" s="64">
        <v>15.17</v>
      </c>
      <c r="M11" s="64">
        <v>71.430000000000007</v>
      </c>
      <c r="N11" s="64">
        <v>42.3</v>
      </c>
      <c r="O11" s="64">
        <v>0</v>
      </c>
      <c r="P11" s="64">
        <v>2</v>
      </c>
      <c r="Q11" s="64">
        <v>9.73</v>
      </c>
      <c r="R11" s="198"/>
      <c r="S11" s="198"/>
      <c r="T11" s="198"/>
      <c r="U11" s="198"/>
    </row>
    <row r="12" spans="1:21" s="12" customFormat="1" x14ac:dyDescent="0.25">
      <c r="A12" s="211" t="s">
        <v>1595</v>
      </c>
      <c r="B12" s="64">
        <v>64.92</v>
      </c>
      <c r="C12" s="6" t="s">
        <v>42</v>
      </c>
      <c r="D12" s="64">
        <v>50.15</v>
      </c>
      <c r="E12" s="64">
        <v>5.51</v>
      </c>
      <c r="F12" s="64">
        <v>3.02</v>
      </c>
      <c r="G12" s="64">
        <v>85.96</v>
      </c>
      <c r="H12" s="64">
        <v>41.83</v>
      </c>
      <c r="I12" s="64">
        <v>6.31</v>
      </c>
      <c r="J12" s="64">
        <v>0.73</v>
      </c>
      <c r="K12" s="64">
        <v>344.13</v>
      </c>
      <c r="L12" s="64">
        <v>15.07</v>
      </c>
      <c r="M12" s="64">
        <v>73.69</v>
      </c>
      <c r="N12" s="64">
        <v>41.1</v>
      </c>
      <c r="O12" s="64">
        <v>0</v>
      </c>
      <c r="P12" s="64">
        <v>1.96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1" t="s">
        <v>1596</v>
      </c>
      <c r="B13" s="64">
        <v>61.79</v>
      </c>
      <c r="C13" s="6" t="s">
        <v>42</v>
      </c>
      <c r="D13" s="64">
        <v>48.25</v>
      </c>
      <c r="E13" s="64">
        <v>5.31</v>
      </c>
      <c r="F13" s="64">
        <v>3.24</v>
      </c>
      <c r="G13" s="64">
        <v>85.96</v>
      </c>
      <c r="H13" s="64">
        <v>41.83</v>
      </c>
      <c r="I13" s="64">
        <v>6.13</v>
      </c>
      <c r="J13" s="64">
        <v>0.32</v>
      </c>
      <c r="K13" s="64">
        <v>331.52</v>
      </c>
      <c r="L13" s="64">
        <v>15.75</v>
      </c>
      <c r="M13" s="64">
        <v>62.1</v>
      </c>
      <c r="N13" s="64">
        <v>41.4</v>
      </c>
      <c r="O13" s="64">
        <v>0</v>
      </c>
      <c r="P13" s="64">
        <v>1.67</v>
      </c>
      <c r="Q13" s="64">
        <v>9.7200000000000006</v>
      </c>
      <c r="R13" s="198"/>
      <c r="S13" s="198"/>
      <c r="T13" s="198"/>
      <c r="U13" s="198"/>
    </row>
    <row r="14" spans="1:21" s="12" customFormat="1" x14ac:dyDescent="0.25">
      <c r="A14" s="211" t="s">
        <v>1597</v>
      </c>
      <c r="B14" s="64">
        <v>57.36</v>
      </c>
      <c r="C14" s="64">
        <v>0.71</v>
      </c>
      <c r="D14" s="64">
        <v>45.9</v>
      </c>
      <c r="E14" s="64">
        <v>5.81</v>
      </c>
      <c r="F14" s="64">
        <v>3.13</v>
      </c>
      <c r="G14" s="64">
        <v>86.14</v>
      </c>
      <c r="H14" s="64">
        <v>41.8</v>
      </c>
      <c r="I14" s="64">
        <v>5.79</v>
      </c>
      <c r="J14" s="64">
        <v>0.09</v>
      </c>
      <c r="K14" s="64">
        <v>271.52999999999997</v>
      </c>
      <c r="L14" s="64">
        <v>15.56</v>
      </c>
      <c r="M14" s="64">
        <v>63.5</v>
      </c>
      <c r="N14" s="64">
        <v>42.2</v>
      </c>
      <c r="O14" s="64">
        <v>0</v>
      </c>
      <c r="P14" s="64">
        <v>1.71</v>
      </c>
      <c r="Q14" s="64">
        <v>9.7100000000000009</v>
      </c>
      <c r="R14" s="198"/>
      <c r="S14" s="198"/>
      <c r="T14" s="198"/>
      <c r="U14" s="198"/>
    </row>
    <row r="15" spans="1:21" s="12" customFormat="1" x14ac:dyDescent="0.25">
      <c r="A15" s="211" t="s">
        <v>1598</v>
      </c>
      <c r="B15" s="64">
        <v>56.99</v>
      </c>
      <c r="C15" s="64">
        <v>0.34</v>
      </c>
      <c r="D15" s="64">
        <v>45.42</v>
      </c>
      <c r="E15" s="64">
        <v>5.94</v>
      </c>
      <c r="F15" s="64">
        <v>3.3</v>
      </c>
      <c r="G15" s="64">
        <v>86.16</v>
      </c>
      <c r="H15" s="64">
        <v>41.8</v>
      </c>
      <c r="I15" s="64">
        <v>5.72</v>
      </c>
      <c r="J15" s="64">
        <v>7.0000000000000007E-2</v>
      </c>
      <c r="K15" s="64">
        <v>297.52999999999997</v>
      </c>
      <c r="L15" s="64">
        <v>15.24</v>
      </c>
      <c r="M15" s="64">
        <v>68.33</v>
      </c>
      <c r="N15" s="64">
        <v>42.2</v>
      </c>
      <c r="O15" s="64">
        <v>0</v>
      </c>
      <c r="P15" s="64">
        <v>1.68</v>
      </c>
      <c r="Q15" s="64">
        <v>9.7100000000000009</v>
      </c>
      <c r="R15" s="198"/>
      <c r="S15" s="198"/>
      <c r="T15" s="198"/>
      <c r="U15" s="198"/>
    </row>
    <row r="16" spans="1:21" s="12" customFormat="1" x14ac:dyDescent="0.25">
      <c r="A16" s="211" t="s">
        <v>1599</v>
      </c>
      <c r="B16" s="64">
        <v>55.02</v>
      </c>
      <c r="C16" s="64">
        <v>0.81</v>
      </c>
      <c r="D16" s="64">
        <v>44.09</v>
      </c>
      <c r="E16" s="64">
        <v>5.73</v>
      </c>
      <c r="F16" s="64">
        <v>3.21</v>
      </c>
      <c r="G16" s="64">
        <v>86.16</v>
      </c>
      <c r="H16" s="64">
        <v>41.8</v>
      </c>
      <c r="I16" s="64">
        <v>5.66</v>
      </c>
      <c r="J16" s="64">
        <v>0.08</v>
      </c>
      <c r="K16" s="64">
        <v>33.19</v>
      </c>
      <c r="L16" s="64">
        <v>14.96</v>
      </c>
      <c r="M16" s="64">
        <v>70.010000000000005</v>
      </c>
      <c r="N16" s="64">
        <v>42.1</v>
      </c>
      <c r="O16" s="64">
        <v>0</v>
      </c>
      <c r="P16" s="64">
        <v>1.65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1" t="s">
        <v>1600</v>
      </c>
      <c r="B17" s="64">
        <v>52.98</v>
      </c>
      <c r="C17" s="64">
        <v>1.4</v>
      </c>
      <c r="D17" s="64">
        <v>42.76</v>
      </c>
      <c r="E17" s="64">
        <v>5.27</v>
      </c>
      <c r="F17" s="64">
        <v>3.51</v>
      </c>
      <c r="G17" s="64">
        <v>86.16</v>
      </c>
      <c r="H17" s="64">
        <v>41.8</v>
      </c>
      <c r="I17" s="64">
        <v>5.61</v>
      </c>
      <c r="J17" s="64">
        <v>0.06</v>
      </c>
      <c r="K17" s="64">
        <v>21.99</v>
      </c>
      <c r="L17" s="64">
        <v>15.06</v>
      </c>
      <c r="M17" s="64">
        <v>65.27</v>
      </c>
      <c r="N17" s="64">
        <v>41.8</v>
      </c>
      <c r="O17" s="64">
        <v>0</v>
      </c>
      <c r="P17" s="64">
        <v>1.62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11" t="s">
        <v>1601</v>
      </c>
      <c r="B18" s="64">
        <v>51.03</v>
      </c>
      <c r="C18" s="64">
        <v>2.0499999999999998</v>
      </c>
      <c r="D18" s="64">
        <v>41.53</v>
      </c>
      <c r="E18" s="64">
        <v>5.84</v>
      </c>
      <c r="F18" s="64">
        <v>3.24</v>
      </c>
      <c r="G18" s="64">
        <v>95.3</v>
      </c>
      <c r="H18" s="64">
        <v>41.19</v>
      </c>
      <c r="I18" s="64">
        <v>5.56</v>
      </c>
      <c r="J18" s="64">
        <v>0.13</v>
      </c>
      <c r="K18" s="64">
        <v>326.8</v>
      </c>
      <c r="L18" s="64">
        <v>15.13</v>
      </c>
      <c r="M18" s="64">
        <v>64.17</v>
      </c>
      <c r="N18" s="64">
        <v>41.7</v>
      </c>
      <c r="O18" s="64">
        <v>0</v>
      </c>
      <c r="P18" s="64">
        <v>1.58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1" t="s">
        <v>1602</v>
      </c>
      <c r="B19" s="64">
        <v>49.02</v>
      </c>
      <c r="C19" s="64">
        <v>2.66</v>
      </c>
      <c r="D19" s="64">
        <v>40.24</v>
      </c>
      <c r="E19" s="64">
        <v>5.58</v>
      </c>
      <c r="F19" s="64">
        <v>3.24</v>
      </c>
      <c r="G19" s="64">
        <v>95.95</v>
      </c>
      <c r="H19" s="64">
        <v>41.19</v>
      </c>
      <c r="I19" s="64">
        <v>5.52</v>
      </c>
      <c r="J19" s="64">
        <v>0.06</v>
      </c>
      <c r="K19" s="64">
        <v>24.11</v>
      </c>
      <c r="L19" s="64">
        <v>15.11</v>
      </c>
      <c r="M19" s="64">
        <v>63.93</v>
      </c>
      <c r="N19" s="64">
        <v>42.1</v>
      </c>
      <c r="O19" s="64">
        <v>0</v>
      </c>
      <c r="P19" s="64">
        <v>1.54</v>
      </c>
      <c r="Q19" s="64">
        <v>9.6999999999999993</v>
      </c>
      <c r="R19" s="198"/>
      <c r="S19" s="198"/>
      <c r="T19" s="198"/>
      <c r="U19" s="198"/>
    </row>
    <row r="20" spans="1:21" s="12" customFormat="1" x14ac:dyDescent="0.25">
      <c r="A20" s="211" t="s">
        <v>1603</v>
      </c>
      <c r="B20" s="64">
        <v>46.95</v>
      </c>
      <c r="C20" s="64">
        <v>3.16</v>
      </c>
      <c r="D20" s="64">
        <v>38.840000000000003</v>
      </c>
      <c r="E20" s="64">
        <v>5.79</v>
      </c>
      <c r="F20" s="64">
        <v>3.26</v>
      </c>
      <c r="G20" s="64">
        <v>95.95</v>
      </c>
      <c r="H20" s="64">
        <v>41.19</v>
      </c>
      <c r="I20" s="64">
        <v>5.43</v>
      </c>
      <c r="J20" s="64">
        <v>0.03</v>
      </c>
      <c r="K20" s="64">
        <v>239.14</v>
      </c>
      <c r="L20" s="64">
        <v>14.89</v>
      </c>
      <c r="M20" s="64">
        <v>69.12</v>
      </c>
      <c r="N20" s="64">
        <v>42.2</v>
      </c>
      <c r="O20" s="64">
        <v>0</v>
      </c>
      <c r="P20" s="64">
        <v>1.49</v>
      </c>
      <c r="Q20" s="64">
        <v>9.69</v>
      </c>
      <c r="R20" s="198"/>
      <c r="S20" s="198"/>
      <c r="T20" s="198"/>
      <c r="U20" s="198"/>
    </row>
    <row r="21" spans="1:21" s="12" customFormat="1" x14ac:dyDescent="0.25">
      <c r="A21" s="211" t="s">
        <v>1604</v>
      </c>
      <c r="B21" s="64">
        <v>44.7</v>
      </c>
      <c r="C21" s="64">
        <v>3.82</v>
      </c>
      <c r="D21" s="64">
        <v>37.380000000000003</v>
      </c>
      <c r="E21" s="64">
        <v>5.8</v>
      </c>
      <c r="F21" s="64">
        <v>3.28</v>
      </c>
      <c r="G21" s="64">
        <v>95.95</v>
      </c>
      <c r="H21" s="64">
        <v>41.19</v>
      </c>
      <c r="I21" s="64">
        <v>5.32</v>
      </c>
      <c r="J21" s="64">
        <v>0.13</v>
      </c>
      <c r="K21" s="64">
        <v>262.29000000000002</v>
      </c>
      <c r="L21" s="64">
        <v>14.6</v>
      </c>
      <c r="M21" s="64">
        <v>72.64</v>
      </c>
      <c r="N21" s="64">
        <v>42.1</v>
      </c>
      <c r="O21" s="64">
        <v>0</v>
      </c>
      <c r="P21" s="64">
        <v>1.43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1" t="s">
        <v>1605</v>
      </c>
      <c r="B22" s="64">
        <v>42.71</v>
      </c>
      <c r="C22" s="64">
        <v>4.43</v>
      </c>
      <c r="D22" s="64">
        <v>36.1</v>
      </c>
      <c r="E22" s="64">
        <v>5.72</v>
      </c>
      <c r="F22" s="64">
        <v>3.21</v>
      </c>
      <c r="G22" s="64">
        <v>90.71</v>
      </c>
      <c r="H22" s="64">
        <v>40.35</v>
      </c>
      <c r="I22" s="64">
        <v>5.22</v>
      </c>
      <c r="J22" s="64">
        <v>0.1</v>
      </c>
      <c r="K22" s="64">
        <v>325.93</v>
      </c>
      <c r="L22" s="64">
        <v>14.37</v>
      </c>
      <c r="M22" s="64">
        <v>74.55</v>
      </c>
      <c r="N22" s="64">
        <v>42.2</v>
      </c>
      <c r="O22" s="64">
        <v>0</v>
      </c>
      <c r="P22" s="64">
        <v>1.4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1" t="s">
        <v>1606</v>
      </c>
      <c r="B23" s="64">
        <v>40.869999999999997</v>
      </c>
      <c r="C23" s="64">
        <v>5.12</v>
      </c>
      <c r="D23" s="64">
        <v>34.99</v>
      </c>
      <c r="E23" s="64">
        <v>5.27</v>
      </c>
      <c r="F23" s="64">
        <v>3.49</v>
      </c>
      <c r="G23" s="64">
        <v>90.33</v>
      </c>
      <c r="H23" s="64">
        <v>40.35</v>
      </c>
      <c r="I23" s="64">
        <v>5.15</v>
      </c>
      <c r="J23" s="64">
        <v>0.08</v>
      </c>
      <c r="K23" s="64">
        <v>3.48</v>
      </c>
      <c r="L23" s="64">
        <v>14.04</v>
      </c>
      <c r="M23" s="64">
        <v>74.349999999999994</v>
      </c>
      <c r="N23" s="64">
        <v>41.9</v>
      </c>
      <c r="O23" s="64">
        <v>0</v>
      </c>
      <c r="P23" s="64">
        <v>1.36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1" t="s">
        <v>1607</v>
      </c>
      <c r="B24" s="64">
        <v>39.119999999999997</v>
      </c>
      <c r="C24" s="64">
        <v>5.92</v>
      </c>
      <c r="D24" s="64">
        <v>34</v>
      </c>
      <c r="E24" s="64">
        <v>5.25</v>
      </c>
      <c r="F24" s="64">
        <v>3.36</v>
      </c>
      <c r="G24" s="64">
        <v>90.33</v>
      </c>
      <c r="H24" s="64">
        <v>40.35</v>
      </c>
      <c r="I24" s="64">
        <v>5.08</v>
      </c>
      <c r="J24" s="64">
        <v>0.17</v>
      </c>
      <c r="K24" s="64">
        <v>85.96</v>
      </c>
      <c r="L24" s="64">
        <v>14.57</v>
      </c>
      <c r="M24" s="64">
        <v>69.959999999999994</v>
      </c>
      <c r="N24" s="64">
        <v>41.6</v>
      </c>
      <c r="O24" s="64">
        <v>0</v>
      </c>
      <c r="P24" s="64">
        <v>1.33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1" t="s">
        <v>1608</v>
      </c>
      <c r="B25" s="64">
        <v>37.46</v>
      </c>
      <c r="C25" s="64">
        <v>6.41</v>
      </c>
      <c r="D25" s="64">
        <v>32.92</v>
      </c>
      <c r="E25" s="64">
        <v>5.42</v>
      </c>
      <c r="F25" s="64">
        <v>3.11</v>
      </c>
      <c r="G25" s="64">
        <v>90.33</v>
      </c>
      <c r="H25" s="64">
        <v>40.35</v>
      </c>
      <c r="I25" s="64">
        <v>5.37</v>
      </c>
      <c r="J25" s="64">
        <v>0.15</v>
      </c>
      <c r="K25" s="64">
        <v>77.569999999999993</v>
      </c>
      <c r="L25" s="64">
        <v>14.73</v>
      </c>
      <c r="M25" s="64">
        <v>66.78</v>
      </c>
      <c r="N25" s="64">
        <v>41.7</v>
      </c>
      <c r="O25" s="64">
        <v>0</v>
      </c>
      <c r="P25" s="64">
        <v>1.29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1" t="s">
        <v>1609</v>
      </c>
      <c r="B26" s="64">
        <v>35.880000000000003</v>
      </c>
      <c r="C26" s="64">
        <v>6.98</v>
      </c>
      <c r="D26" s="64">
        <v>31.96</v>
      </c>
      <c r="E26" s="64">
        <v>5.28</v>
      </c>
      <c r="F26" s="64">
        <v>3.15</v>
      </c>
      <c r="G26" s="64">
        <v>98.38</v>
      </c>
      <c r="H26" s="64">
        <v>43.04</v>
      </c>
      <c r="I26" s="64">
        <v>5.27</v>
      </c>
      <c r="J26" s="64">
        <v>0.12</v>
      </c>
      <c r="K26" s="64">
        <v>88.11</v>
      </c>
      <c r="L26" s="64">
        <v>14.69</v>
      </c>
      <c r="M26" s="64">
        <v>66.52</v>
      </c>
      <c r="N26" s="64">
        <v>41.8</v>
      </c>
      <c r="O26" s="64">
        <v>0</v>
      </c>
      <c r="P26" s="64">
        <v>1.27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1" t="s">
        <v>1610</v>
      </c>
      <c r="B27" s="64">
        <v>34.15</v>
      </c>
      <c r="C27" s="64">
        <v>7.63</v>
      </c>
      <c r="D27" s="64">
        <v>30.91</v>
      </c>
      <c r="E27" s="64">
        <v>5.28</v>
      </c>
      <c r="F27" s="64">
        <v>3.08</v>
      </c>
      <c r="G27" s="64">
        <v>98.95</v>
      </c>
      <c r="H27" s="64">
        <v>43.04</v>
      </c>
      <c r="I27" s="64">
        <v>5</v>
      </c>
      <c r="J27" s="64">
        <v>0.17</v>
      </c>
      <c r="K27" s="64">
        <v>316.13</v>
      </c>
      <c r="L27" s="64">
        <v>14.52</v>
      </c>
      <c r="M27" s="64">
        <v>68.2</v>
      </c>
      <c r="N27" s="64">
        <v>41.5</v>
      </c>
      <c r="O27" s="64">
        <v>0</v>
      </c>
      <c r="P27" s="64">
        <v>1.23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1" t="s">
        <v>1611</v>
      </c>
      <c r="B28" s="64">
        <v>32.31</v>
      </c>
      <c r="C28" s="64">
        <v>8.64</v>
      </c>
      <c r="D28" s="64">
        <v>29.96</v>
      </c>
      <c r="E28" s="64">
        <v>5.25</v>
      </c>
      <c r="F28" s="64">
        <v>2.91</v>
      </c>
      <c r="G28" s="64">
        <v>98.95</v>
      </c>
      <c r="H28" s="64">
        <v>43.04</v>
      </c>
      <c r="I28" s="64">
        <v>4.95</v>
      </c>
      <c r="J28" s="64">
        <v>0.18</v>
      </c>
      <c r="K28" s="64">
        <v>329.15</v>
      </c>
      <c r="L28" s="64">
        <v>14.49</v>
      </c>
      <c r="M28" s="64">
        <v>69.11</v>
      </c>
      <c r="N28" s="64">
        <v>41.9</v>
      </c>
      <c r="O28" s="64">
        <v>0</v>
      </c>
      <c r="P28" s="64">
        <v>1.18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1" t="s">
        <v>1612</v>
      </c>
      <c r="B29" s="64">
        <v>30.61</v>
      </c>
      <c r="C29" s="64">
        <v>9.31</v>
      </c>
      <c r="D29" s="64">
        <v>28.95</v>
      </c>
      <c r="E29" s="64">
        <v>5.05</v>
      </c>
      <c r="F29" s="64">
        <v>3.3</v>
      </c>
      <c r="G29" s="64">
        <v>98.95</v>
      </c>
      <c r="H29" s="64">
        <v>43.04</v>
      </c>
      <c r="I29" s="64">
        <v>4.88</v>
      </c>
      <c r="J29" s="64">
        <v>0.22</v>
      </c>
      <c r="K29" s="64">
        <v>330.11</v>
      </c>
      <c r="L29" s="64">
        <v>14.36</v>
      </c>
      <c r="M29" s="64">
        <v>71.209999999999994</v>
      </c>
      <c r="N29" s="64">
        <v>41.8</v>
      </c>
      <c r="O29" s="64">
        <v>0</v>
      </c>
      <c r="P29" s="64">
        <v>1.17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1" t="s">
        <v>1613</v>
      </c>
      <c r="B30" s="64">
        <v>29.22</v>
      </c>
      <c r="C30" s="64">
        <v>10.16</v>
      </c>
      <c r="D30" s="64">
        <v>28.28</v>
      </c>
      <c r="E30" s="64">
        <v>5.0199999999999996</v>
      </c>
      <c r="F30" s="64">
        <v>3.36</v>
      </c>
      <c r="G30" s="64">
        <v>89.73</v>
      </c>
      <c r="H30" s="64">
        <v>39.450000000000003</v>
      </c>
      <c r="I30" s="64">
        <v>4.82</v>
      </c>
      <c r="J30" s="64">
        <v>0.08</v>
      </c>
      <c r="K30" s="64">
        <v>93.78</v>
      </c>
      <c r="L30" s="64">
        <v>14.16</v>
      </c>
      <c r="M30" s="64">
        <v>72.14</v>
      </c>
      <c r="N30" s="64">
        <v>42</v>
      </c>
      <c r="O30" s="64">
        <v>0</v>
      </c>
      <c r="P30" s="64">
        <v>1.18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1" t="s">
        <v>1614</v>
      </c>
      <c r="B31" s="64">
        <v>27.95</v>
      </c>
      <c r="C31" s="64">
        <v>10.86</v>
      </c>
      <c r="D31" s="64">
        <v>27.63</v>
      </c>
      <c r="E31" s="64">
        <v>4.96</v>
      </c>
      <c r="F31" s="64">
        <v>2.85</v>
      </c>
      <c r="G31" s="64">
        <v>89.07</v>
      </c>
      <c r="H31" s="64">
        <v>39.450000000000003</v>
      </c>
      <c r="I31" s="64">
        <v>4.7699999999999996</v>
      </c>
      <c r="J31" s="64">
        <v>0.18</v>
      </c>
      <c r="K31" s="64">
        <v>87.08</v>
      </c>
      <c r="L31" s="64">
        <v>13.97</v>
      </c>
      <c r="M31" s="64">
        <v>73.739999999999995</v>
      </c>
      <c r="N31" s="64">
        <v>42.2</v>
      </c>
      <c r="O31" s="64">
        <v>0</v>
      </c>
      <c r="P31" s="64">
        <v>1.19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1" t="s">
        <v>1615</v>
      </c>
      <c r="B32" s="64">
        <v>26.73</v>
      </c>
      <c r="C32" s="64">
        <v>11.3</v>
      </c>
      <c r="D32" s="64">
        <v>26.87</v>
      </c>
      <c r="E32" s="64">
        <v>5.18</v>
      </c>
      <c r="F32" s="64">
        <v>2.84</v>
      </c>
      <c r="G32" s="64">
        <v>89.07</v>
      </c>
      <c r="H32" s="64">
        <v>39.450000000000003</v>
      </c>
      <c r="I32" s="64">
        <v>4.7</v>
      </c>
      <c r="J32" s="64">
        <v>0.15</v>
      </c>
      <c r="K32" s="64">
        <v>80.78</v>
      </c>
      <c r="L32" s="64">
        <v>13.78</v>
      </c>
      <c r="M32" s="64">
        <v>76.97</v>
      </c>
      <c r="N32" s="64">
        <v>42.6</v>
      </c>
      <c r="O32" s="64">
        <v>0</v>
      </c>
      <c r="P32" s="64">
        <v>1.19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1" t="s">
        <v>1616</v>
      </c>
      <c r="B33" s="64">
        <v>25.74</v>
      </c>
      <c r="C33" s="64">
        <v>11.82</v>
      </c>
      <c r="D33" s="64">
        <v>26.36</v>
      </c>
      <c r="E33" s="64">
        <v>4.99</v>
      </c>
      <c r="F33" s="64">
        <v>3.06</v>
      </c>
      <c r="G33" s="64">
        <v>89.07</v>
      </c>
      <c r="H33" s="64">
        <v>39.450000000000003</v>
      </c>
      <c r="I33" s="64">
        <v>4.62</v>
      </c>
      <c r="J33" s="64">
        <v>0.18</v>
      </c>
      <c r="K33" s="64">
        <v>98.93</v>
      </c>
      <c r="L33" s="64">
        <v>13.71</v>
      </c>
      <c r="M33" s="64">
        <v>79.930000000000007</v>
      </c>
      <c r="N33" s="64">
        <v>45.4</v>
      </c>
      <c r="O33" s="64">
        <v>0</v>
      </c>
      <c r="P33" s="64">
        <v>1.2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1" t="s">
        <v>1617</v>
      </c>
      <c r="B34" s="64">
        <v>24.99</v>
      </c>
      <c r="C34" s="64">
        <v>12.26</v>
      </c>
      <c r="D34" s="64">
        <v>25.98</v>
      </c>
      <c r="E34" s="64">
        <v>5.36</v>
      </c>
      <c r="F34" s="64">
        <v>2.92</v>
      </c>
      <c r="G34" s="64">
        <v>91.72</v>
      </c>
      <c r="H34" s="64">
        <v>39.270000000000003</v>
      </c>
      <c r="I34" s="64">
        <v>4.55</v>
      </c>
      <c r="J34" s="64">
        <v>0.16</v>
      </c>
      <c r="K34" s="64">
        <v>348.41</v>
      </c>
      <c r="L34" s="64">
        <v>13.68</v>
      </c>
      <c r="M34" s="64">
        <v>82.46</v>
      </c>
      <c r="N34" s="64">
        <v>54.8</v>
      </c>
      <c r="O34" s="64">
        <v>0</v>
      </c>
      <c r="P34" s="64">
        <v>1.22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1" t="s">
        <v>1618</v>
      </c>
      <c r="B35" s="64">
        <v>24.88</v>
      </c>
      <c r="C35" s="64">
        <v>12.42</v>
      </c>
      <c r="D35" s="64">
        <v>25.98</v>
      </c>
      <c r="E35" s="64">
        <v>5.55</v>
      </c>
      <c r="F35" s="64">
        <v>3.22</v>
      </c>
      <c r="G35" s="64">
        <v>91.91</v>
      </c>
      <c r="H35" s="64">
        <v>39.270000000000003</v>
      </c>
      <c r="I35" s="64">
        <v>4.5</v>
      </c>
      <c r="J35" s="64">
        <v>0.27</v>
      </c>
      <c r="K35" s="64">
        <v>340.75</v>
      </c>
      <c r="L35" s="64">
        <v>13.76</v>
      </c>
      <c r="M35" s="64">
        <v>85</v>
      </c>
      <c r="N35" s="64">
        <v>69.599999999999994</v>
      </c>
      <c r="O35" s="64">
        <v>0</v>
      </c>
      <c r="P35" s="64">
        <v>1.25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1" t="s">
        <v>1619</v>
      </c>
      <c r="B36" s="64">
        <v>25.93</v>
      </c>
      <c r="C36" s="64">
        <v>12.37</v>
      </c>
      <c r="D36" s="64">
        <v>26.8</v>
      </c>
      <c r="E36" s="64">
        <v>5.57</v>
      </c>
      <c r="F36" s="64">
        <v>3.4</v>
      </c>
      <c r="G36" s="64">
        <v>91.91</v>
      </c>
      <c r="H36" s="64">
        <v>39.270000000000003</v>
      </c>
      <c r="I36" s="64">
        <v>4.47</v>
      </c>
      <c r="J36" s="64">
        <v>0.43</v>
      </c>
      <c r="K36" s="64">
        <v>346.04</v>
      </c>
      <c r="L36" s="64">
        <v>14.27</v>
      </c>
      <c r="M36" s="64">
        <v>80.58</v>
      </c>
      <c r="N36" s="64">
        <v>87.2</v>
      </c>
      <c r="O36" s="64">
        <v>0</v>
      </c>
      <c r="P36" s="64">
        <v>1.26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1" t="s">
        <v>1620</v>
      </c>
      <c r="B37" s="64">
        <v>27.06</v>
      </c>
      <c r="C37" s="64">
        <v>12</v>
      </c>
      <c r="D37" s="64">
        <v>27.51</v>
      </c>
      <c r="E37" s="64">
        <v>5.7</v>
      </c>
      <c r="F37" s="64">
        <v>3.28</v>
      </c>
      <c r="G37" s="64">
        <v>91.91</v>
      </c>
      <c r="H37" s="64">
        <v>39.270000000000003</v>
      </c>
      <c r="I37" s="64">
        <v>4.45</v>
      </c>
      <c r="J37" s="64">
        <v>0.39</v>
      </c>
      <c r="K37" s="64">
        <v>345.2</v>
      </c>
      <c r="L37" s="64">
        <v>15.09</v>
      </c>
      <c r="M37" s="64">
        <v>74.680000000000007</v>
      </c>
      <c r="N37" s="64">
        <v>131.19999999999999</v>
      </c>
      <c r="O37" s="64">
        <v>0</v>
      </c>
      <c r="P37" s="64">
        <v>1.22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1" t="s">
        <v>1621</v>
      </c>
      <c r="B38" s="64">
        <v>27.69</v>
      </c>
      <c r="C38" s="64">
        <v>11.82</v>
      </c>
      <c r="D38" s="64">
        <v>27.92</v>
      </c>
      <c r="E38" s="64">
        <v>5.63</v>
      </c>
      <c r="F38" s="64">
        <v>3.14</v>
      </c>
      <c r="G38" s="64">
        <v>108.34</v>
      </c>
      <c r="H38" s="64">
        <v>42.5</v>
      </c>
      <c r="I38" s="64">
        <v>4.75</v>
      </c>
      <c r="J38" s="64">
        <v>0.53</v>
      </c>
      <c r="K38" s="64">
        <v>339.58</v>
      </c>
      <c r="L38" s="64">
        <v>16.8</v>
      </c>
      <c r="M38" s="64">
        <v>62.4</v>
      </c>
      <c r="N38" s="64">
        <v>217.4</v>
      </c>
      <c r="O38" s="64">
        <v>0</v>
      </c>
      <c r="P38" s="64">
        <v>1.25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1" t="s">
        <v>1622</v>
      </c>
      <c r="B39" s="64">
        <v>27.31</v>
      </c>
      <c r="C39" s="64">
        <v>12.15</v>
      </c>
      <c r="D39" s="64">
        <v>27.79</v>
      </c>
      <c r="E39" s="64">
        <v>5.57</v>
      </c>
      <c r="F39" s="64">
        <v>3.32</v>
      </c>
      <c r="G39" s="64">
        <v>109.51</v>
      </c>
      <c r="H39" s="64">
        <v>42.5</v>
      </c>
      <c r="I39" s="64">
        <v>4.62</v>
      </c>
      <c r="J39" s="64">
        <v>0.3</v>
      </c>
      <c r="K39" s="64">
        <v>323.60000000000002</v>
      </c>
      <c r="L39" s="64">
        <v>19</v>
      </c>
      <c r="M39" s="64">
        <v>51.62</v>
      </c>
      <c r="N39" s="64">
        <v>264.10000000000002</v>
      </c>
      <c r="O39" s="64">
        <v>0</v>
      </c>
      <c r="P39" s="64">
        <v>1.2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1" t="s">
        <v>1623</v>
      </c>
      <c r="B40" s="64">
        <v>26.48</v>
      </c>
      <c r="C40" s="64">
        <v>12.86</v>
      </c>
      <c r="D40" s="64">
        <v>27.49</v>
      </c>
      <c r="E40" s="64">
        <v>5.78</v>
      </c>
      <c r="F40" s="64">
        <v>3.15</v>
      </c>
      <c r="G40" s="64">
        <v>109.51</v>
      </c>
      <c r="H40" s="64">
        <v>42.5</v>
      </c>
      <c r="I40" s="64">
        <v>4.32</v>
      </c>
      <c r="J40" s="64">
        <v>0.31</v>
      </c>
      <c r="K40" s="64">
        <v>337.95</v>
      </c>
      <c r="L40" s="64">
        <v>20.21</v>
      </c>
      <c r="M40" s="64">
        <v>46.86</v>
      </c>
      <c r="N40" s="64">
        <v>316.60000000000002</v>
      </c>
      <c r="O40" s="64">
        <v>0</v>
      </c>
      <c r="P40" s="64">
        <v>1.17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1" t="s">
        <v>1624</v>
      </c>
      <c r="B41" s="64">
        <v>25.84</v>
      </c>
      <c r="C41" s="64">
        <v>13.65</v>
      </c>
      <c r="D41" s="64">
        <v>27.4</v>
      </c>
      <c r="E41" s="64">
        <v>5.58</v>
      </c>
      <c r="F41" s="64">
        <v>3.13</v>
      </c>
      <c r="G41" s="64">
        <v>109.51</v>
      </c>
      <c r="H41" s="64">
        <v>42.5</v>
      </c>
      <c r="I41" s="64">
        <v>4.5599999999999996</v>
      </c>
      <c r="J41" s="64">
        <v>0.47</v>
      </c>
      <c r="K41" s="64">
        <v>336.37</v>
      </c>
      <c r="L41" s="64">
        <v>22.02</v>
      </c>
      <c r="M41" s="64">
        <v>41.42</v>
      </c>
      <c r="N41" s="64">
        <v>363.7</v>
      </c>
      <c r="O41" s="64">
        <v>0</v>
      </c>
      <c r="P41" s="64">
        <v>1.1399999999999999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1" t="s">
        <v>1625</v>
      </c>
      <c r="B42" s="64">
        <v>25.22</v>
      </c>
      <c r="C42" s="64">
        <v>14.33</v>
      </c>
      <c r="D42" s="64">
        <v>27.25</v>
      </c>
      <c r="E42" s="64">
        <v>5.41</v>
      </c>
      <c r="F42" s="64">
        <v>3.11</v>
      </c>
      <c r="G42" s="64">
        <v>103.9</v>
      </c>
      <c r="H42" s="64">
        <v>40.28</v>
      </c>
      <c r="I42" s="64">
        <v>4.71</v>
      </c>
      <c r="J42" s="64">
        <v>0.09</v>
      </c>
      <c r="K42" s="64">
        <v>352.21</v>
      </c>
      <c r="L42" s="64">
        <v>22.5</v>
      </c>
      <c r="M42" s="64">
        <v>40.630000000000003</v>
      </c>
      <c r="N42" s="64">
        <v>411.1</v>
      </c>
      <c r="O42" s="64">
        <v>0</v>
      </c>
      <c r="P42" s="64">
        <v>1.1200000000000001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1" t="s">
        <v>1626</v>
      </c>
      <c r="B43" s="64">
        <v>24.43</v>
      </c>
      <c r="C43" s="64">
        <v>15.05</v>
      </c>
      <c r="D43" s="64">
        <v>27</v>
      </c>
      <c r="E43" s="64">
        <v>5.75</v>
      </c>
      <c r="F43" s="64">
        <v>3.12</v>
      </c>
      <c r="G43" s="64">
        <v>103.5</v>
      </c>
      <c r="H43" s="64">
        <v>40.28</v>
      </c>
      <c r="I43" s="64">
        <v>4.66</v>
      </c>
      <c r="J43" s="64">
        <v>0.54</v>
      </c>
      <c r="K43" s="64">
        <v>130.27000000000001</v>
      </c>
      <c r="L43" s="64">
        <v>22.75</v>
      </c>
      <c r="M43" s="64">
        <v>39.04</v>
      </c>
      <c r="N43" s="64">
        <v>461.1</v>
      </c>
      <c r="O43" s="64">
        <v>0</v>
      </c>
      <c r="P43" s="64">
        <v>1.1000000000000001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1" t="s">
        <v>1627</v>
      </c>
      <c r="B44" s="64">
        <v>23.61</v>
      </c>
      <c r="C44" s="64">
        <v>15.55</v>
      </c>
      <c r="D44" s="64">
        <v>26.6</v>
      </c>
      <c r="E44" s="64">
        <v>5.84</v>
      </c>
      <c r="F44" s="64">
        <v>3.17</v>
      </c>
      <c r="G44" s="64">
        <v>103.5</v>
      </c>
      <c r="H44" s="64">
        <v>40.28</v>
      </c>
      <c r="I44" s="64">
        <v>4.6100000000000003</v>
      </c>
      <c r="J44" s="64">
        <v>0.39</v>
      </c>
      <c r="K44" s="64">
        <v>126.09</v>
      </c>
      <c r="L44" s="64">
        <v>22.3</v>
      </c>
      <c r="M44" s="64">
        <v>40.72</v>
      </c>
      <c r="N44" s="64">
        <v>498.7</v>
      </c>
      <c r="O44" s="64">
        <v>0</v>
      </c>
      <c r="P44" s="64">
        <v>1.08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1" t="s">
        <v>1628</v>
      </c>
      <c r="B45" s="64">
        <v>22.81</v>
      </c>
      <c r="C45" s="64">
        <v>15.86</v>
      </c>
      <c r="D45" s="64">
        <v>26.12</v>
      </c>
      <c r="E45" s="64">
        <v>5.39</v>
      </c>
      <c r="F45" s="64">
        <v>3.25</v>
      </c>
      <c r="G45" s="64">
        <v>103.5</v>
      </c>
      <c r="H45" s="64">
        <v>40.28</v>
      </c>
      <c r="I45" s="64">
        <v>4.5599999999999996</v>
      </c>
      <c r="J45" s="64">
        <v>0.44</v>
      </c>
      <c r="K45" s="64">
        <v>129.36000000000001</v>
      </c>
      <c r="L45" s="64">
        <v>22.81</v>
      </c>
      <c r="M45" s="64">
        <v>39.58</v>
      </c>
      <c r="N45" s="64">
        <v>541.70000000000005</v>
      </c>
      <c r="O45" s="64">
        <v>0</v>
      </c>
      <c r="P45" s="64">
        <v>1.06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1" t="s">
        <v>1629</v>
      </c>
      <c r="B46" s="64">
        <v>21.84</v>
      </c>
      <c r="C46" s="64">
        <v>16.34</v>
      </c>
      <c r="D46" s="64">
        <v>25.59</v>
      </c>
      <c r="E46" s="64">
        <v>6.23</v>
      </c>
      <c r="F46" s="64">
        <v>3.29</v>
      </c>
      <c r="G46" s="64">
        <v>90.17</v>
      </c>
      <c r="H46" s="64">
        <v>33.51</v>
      </c>
      <c r="I46" s="64">
        <v>4.5</v>
      </c>
      <c r="J46" s="64">
        <v>0.45</v>
      </c>
      <c r="K46" s="64">
        <v>354.22</v>
      </c>
      <c r="L46" s="64">
        <v>24.47</v>
      </c>
      <c r="M46" s="64">
        <v>35.200000000000003</v>
      </c>
      <c r="N46" s="64">
        <v>573.1</v>
      </c>
      <c r="O46" s="64">
        <v>0</v>
      </c>
      <c r="P46" s="64">
        <v>1.03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1" t="s">
        <v>1630</v>
      </c>
      <c r="B47" s="64">
        <v>19.72</v>
      </c>
      <c r="C47" s="64">
        <v>18.329999999999998</v>
      </c>
      <c r="D47" s="64">
        <v>24.92</v>
      </c>
      <c r="E47" s="64">
        <v>6.33</v>
      </c>
      <c r="F47" s="64">
        <v>4.29</v>
      </c>
      <c r="G47" s="64">
        <v>89.22</v>
      </c>
      <c r="H47" s="64">
        <v>33.51</v>
      </c>
      <c r="I47" s="64">
        <v>4.45</v>
      </c>
      <c r="J47" s="64">
        <v>0.31</v>
      </c>
      <c r="K47" s="64">
        <v>133.33000000000001</v>
      </c>
      <c r="L47" s="64">
        <v>24.5</v>
      </c>
      <c r="M47" s="64">
        <v>34.9</v>
      </c>
      <c r="N47" s="64">
        <v>611.20000000000005</v>
      </c>
      <c r="O47" s="64">
        <v>0</v>
      </c>
      <c r="P47" s="64">
        <v>1.02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1" t="s">
        <v>1631</v>
      </c>
      <c r="B48" s="64">
        <v>19.760000000000002</v>
      </c>
      <c r="C48" s="64">
        <v>18.04</v>
      </c>
      <c r="D48" s="64">
        <v>24.81</v>
      </c>
      <c r="E48" s="64">
        <v>6.58</v>
      </c>
      <c r="F48" s="64">
        <v>3.51</v>
      </c>
      <c r="G48" s="64">
        <v>89.22</v>
      </c>
      <c r="H48" s="64">
        <v>33.51</v>
      </c>
      <c r="I48" s="64">
        <v>4.42</v>
      </c>
      <c r="J48" s="64">
        <v>0.2</v>
      </c>
      <c r="K48" s="64">
        <v>100.54</v>
      </c>
      <c r="L48" s="64">
        <v>24.61</v>
      </c>
      <c r="M48" s="64">
        <v>34.590000000000003</v>
      </c>
      <c r="N48" s="64">
        <v>631.70000000000005</v>
      </c>
      <c r="O48" s="64">
        <v>0</v>
      </c>
      <c r="P48" s="64">
        <v>1.02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1" t="s">
        <v>1632</v>
      </c>
      <c r="B49" s="64">
        <v>19.309999999999999</v>
      </c>
      <c r="C49" s="64">
        <v>19.059999999999999</v>
      </c>
      <c r="D49" s="64">
        <v>24.99</v>
      </c>
      <c r="E49" s="64">
        <v>6.85</v>
      </c>
      <c r="F49" s="64">
        <v>3.67</v>
      </c>
      <c r="G49" s="64">
        <v>89.22</v>
      </c>
      <c r="H49" s="64">
        <v>33.51</v>
      </c>
      <c r="I49" s="64">
        <v>4.3899999999999997</v>
      </c>
      <c r="J49" s="64">
        <v>0.42</v>
      </c>
      <c r="K49" s="64">
        <v>347.55</v>
      </c>
      <c r="L49" s="64">
        <v>26.11</v>
      </c>
      <c r="M49" s="64">
        <v>32.270000000000003</v>
      </c>
      <c r="N49" s="64">
        <v>644.20000000000005</v>
      </c>
      <c r="O49" s="64">
        <v>0</v>
      </c>
      <c r="P49" s="64">
        <v>1.03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1" t="s">
        <v>1633</v>
      </c>
      <c r="B50" s="64">
        <v>18.149999999999999</v>
      </c>
      <c r="C50" s="64">
        <v>21.26</v>
      </c>
      <c r="D50" s="64">
        <v>25.2</v>
      </c>
      <c r="E50" s="64">
        <v>8.06</v>
      </c>
      <c r="F50" s="64">
        <v>4.62</v>
      </c>
      <c r="G50" s="64">
        <v>78.67</v>
      </c>
      <c r="H50" s="64">
        <v>33.25</v>
      </c>
      <c r="I50" s="64">
        <v>4.37</v>
      </c>
      <c r="J50" s="64">
        <v>0.5</v>
      </c>
      <c r="K50" s="64">
        <v>338.61</v>
      </c>
      <c r="L50" s="64">
        <v>27.24</v>
      </c>
      <c r="M50" s="64">
        <v>30.22</v>
      </c>
      <c r="N50" s="64">
        <v>662.5</v>
      </c>
      <c r="O50" s="64">
        <v>0</v>
      </c>
      <c r="P50" s="64">
        <v>1.02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1" t="s">
        <v>1634</v>
      </c>
      <c r="B51" s="64">
        <v>19.059999999999999</v>
      </c>
      <c r="C51" s="64">
        <v>20.8</v>
      </c>
      <c r="D51" s="64">
        <v>25.69</v>
      </c>
      <c r="E51" s="64">
        <v>9.39</v>
      </c>
      <c r="F51" s="64">
        <v>4</v>
      </c>
      <c r="G51" s="64">
        <v>77.92</v>
      </c>
      <c r="H51" s="64">
        <v>33.25</v>
      </c>
      <c r="I51" s="64">
        <v>4.34</v>
      </c>
      <c r="J51" s="64">
        <v>0.38</v>
      </c>
      <c r="K51" s="64">
        <v>339.2</v>
      </c>
      <c r="L51" s="64">
        <v>26.91</v>
      </c>
      <c r="M51" s="64">
        <v>31.39</v>
      </c>
      <c r="N51" s="64">
        <v>678.7</v>
      </c>
      <c r="O51" s="64">
        <v>0</v>
      </c>
      <c r="P51" s="64">
        <v>1.02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1" t="s">
        <v>1635</v>
      </c>
      <c r="B52" s="64">
        <v>18.89</v>
      </c>
      <c r="C52" s="64">
        <v>21.22</v>
      </c>
      <c r="D52" s="64">
        <v>25.77</v>
      </c>
      <c r="E52" s="64">
        <v>9.76</v>
      </c>
      <c r="F52" s="64">
        <v>3.87</v>
      </c>
      <c r="G52" s="64">
        <v>77.92</v>
      </c>
      <c r="H52" s="64">
        <v>33.25</v>
      </c>
      <c r="I52" s="64">
        <v>4.29</v>
      </c>
      <c r="J52" s="64">
        <v>0.65</v>
      </c>
      <c r="K52" s="64">
        <v>337.89</v>
      </c>
      <c r="L52" s="64">
        <v>27.98</v>
      </c>
      <c r="M52" s="64">
        <v>29.01</v>
      </c>
      <c r="N52" s="64">
        <v>686.9</v>
      </c>
      <c r="O52" s="64">
        <v>0</v>
      </c>
      <c r="P52" s="64">
        <v>1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1" t="s">
        <v>1636</v>
      </c>
      <c r="B53" s="64">
        <v>17.489999999999998</v>
      </c>
      <c r="C53" s="64">
        <v>22.15</v>
      </c>
      <c r="D53" s="64">
        <v>25.13</v>
      </c>
      <c r="E53" s="64">
        <v>11.33</v>
      </c>
      <c r="F53" s="64">
        <v>5.54</v>
      </c>
      <c r="G53" s="64">
        <v>77.92</v>
      </c>
      <c r="H53" s="64">
        <v>33.25</v>
      </c>
      <c r="I53" s="64">
        <v>4.25</v>
      </c>
      <c r="J53" s="64">
        <v>0.71</v>
      </c>
      <c r="K53" s="64">
        <v>335.53</v>
      </c>
      <c r="L53" s="64">
        <v>28.56</v>
      </c>
      <c r="M53" s="64">
        <v>27.13</v>
      </c>
      <c r="N53" s="64">
        <v>689.4</v>
      </c>
      <c r="O53" s="64">
        <v>0</v>
      </c>
      <c r="P53" s="64">
        <v>0.99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1" t="s">
        <v>1637</v>
      </c>
      <c r="B54" s="64">
        <v>17.25</v>
      </c>
      <c r="C54" s="64">
        <v>21.36</v>
      </c>
      <c r="D54" s="64">
        <v>24.54</v>
      </c>
      <c r="E54" s="64">
        <v>6.71</v>
      </c>
      <c r="F54" s="64">
        <v>4</v>
      </c>
      <c r="G54" s="64">
        <v>72.92</v>
      </c>
      <c r="H54" s="64">
        <v>31.96</v>
      </c>
      <c r="I54" s="64">
        <v>4.21</v>
      </c>
      <c r="J54" s="64">
        <v>0.26</v>
      </c>
      <c r="K54" s="64">
        <v>350.1</v>
      </c>
      <c r="L54" s="64">
        <v>28.61</v>
      </c>
      <c r="M54" s="64">
        <v>26.04</v>
      </c>
      <c r="N54" s="64">
        <v>698.8</v>
      </c>
      <c r="O54" s="64">
        <v>0</v>
      </c>
      <c r="P54" s="64">
        <v>0.98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1" t="s">
        <v>1638</v>
      </c>
      <c r="B55" s="64">
        <v>16.84</v>
      </c>
      <c r="C55" s="64">
        <v>20.88</v>
      </c>
      <c r="D55" s="64">
        <v>23.95</v>
      </c>
      <c r="E55" s="64">
        <v>6.54</v>
      </c>
      <c r="F55" s="64">
        <v>3.71</v>
      </c>
      <c r="G55" s="64">
        <v>72.56</v>
      </c>
      <c r="H55" s="64">
        <v>31.96</v>
      </c>
      <c r="I55" s="64">
        <v>4.17</v>
      </c>
      <c r="J55" s="64">
        <v>0.3</v>
      </c>
      <c r="K55" s="64">
        <v>356.79</v>
      </c>
      <c r="L55" s="64">
        <v>28.29</v>
      </c>
      <c r="M55" s="64">
        <v>25.42</v>
      </c>
      <c r="N55" s="64">
        <v>705.4</v>
      </c>
      <c r="O55" s="64">
        <v>0</v>
      </c>
      <c r="P55" s="64">
        <v>0.93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1" t="s">
        <v>1639</v>
      </c>
      <c r="B56" s="64">
        <v>15.41</v>
      </c>
      <c r="C56" s="64">
        <v>22.07</v>
      </c>
      <c r="D56" s="64">
        <v>23.43</v>
      </c>
      <c r="E56" s="64">
        <v>7.68</v>
      </c>
      <c r="F56" s="64">
        <v>4.46</v>
      </c>
      <c r="G56" s="64">
        <v>72.56</v>
      </c>
      <c r="H56" s="64">
        <v>31.96</v>
      </c>
      <c r="I56" s="64">
        <v>4.1500000000000004</v>
      </c>
      <c r="J56" s="64">
        <v>0.4</v>
      </c>
      <c r="K56" s="64">
        <v>114.58</v>
      </c>
      <c r="L56" s="64">
        <v>27.2</v>
      </c>
      <c r="M56" s="64">
        <v>25.48</v>
      </c>
      <c r="N56" s="64">
        <v>676.8</v>
      </c>
      <c r="O56" s="64">
        <v>0</v>
      </c>
      <c r="P56" s="64">
        <v>0.87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1" t="s">
        <v>1640</v>
      </c>
      <c r="B57" s="64">
        <v>14.84</v>
      </c>
      <c r="C57" s="64">
        <v>22.42</v>
      </c>
      <c r="D57" s="64">
        <v>23.15</v>
      </c>
      <c r="E57" s="64">
        <v>7.56</v>
      </c>
      <c r="F57" s="64">
        <v>4.5599999999999996</v>
      </c>
      <c r="G57" s="64">
        <v>72.56</v>
      </c>
      <c r="H57" s="64">
        <v>31.96</v>
      </c>
      <c r="I57" s="64">
        <v>4.12</v>
      </c>
      <c r="J57" s="64">
        <v>0.25</v>
      </c>
      <c r="K57" s="64">
        <v>70.34</v>
      </c>
      <c r="L57" s="64">
        <v>27.83</v>
      </c>
      <c r="M57" s="64">
        <v>23.81</v>
      </c>
      <c r="N57" s="64">
        <v>650.29999999999995</v>
      </c>
      <c r="O57" s="64">
        <v>0</v>
      </c>
      <c r="P57" s="64">
        <v>0.84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1" t="s">
        <v>1641</v>
      </c>
      <c r="B58" s="64">
        <v>13.5</v>
      </c>
      <c r="C58" s="64">
        <v>23.41</v>
      </c>
      <c r="D58" s="64">
        <v>22.6</v>
      </c>
      <c r="E58" s="64">
        <v>7.31</v>
      </c>
      <c r="F58" s="64">
        <v>4.78</v>
      </c>
      <c r="G58" s="64">
        <v>64.95</v>
      </c>
      <c r="H58" s="64">
        <v>26.22</v>
      </c>
      <c r="I58" s="64">
        <v>4.05</v>
      </c>
      <c r="J58" s="64">
        <v>0.54</v>
      </c>
      <c r="K58" s="64">
        <v>338.89</v>
      </c>
      <c r="L58" s="64">
        <v>27.49</v>
      </c>
      <c r="M58" s="64">
        <v>24.28</v>
      </c>
      <c r="N58" s="64">
        <v>634.29999999999995</v>
      </c>
      <c r="O58" s="64">
        <v>0</v>
      </c>
      <c r="P58" s="64">
        <v>0.82</v>
      </c>
      <c r="Q58" s="64">
        <v>9.51</v>
      </c>
      <c r="R58" s="198"/>
      <c r="S58" s="198"/>
      <c r="T58" s="198"/>
      <c r="U58" s="198"/>
    </row>
    <row r="59" spans="1:21" s="12" customFormat="1" x14ac:dyDescent="0.25">
      <c r="A59" s="211" t="s">
        <v>1642</v>
      </c>
      <c r="B59" s="64">
        <v>13.04</v>
      </c>
      <c r="C59" s="64">
        <v>24.16</v>
      </c>
      <c r="D59" s="64">
        <v>22.62</v>
      </c>
      <c r="E59" s="64">
        <v>8.4700000000000006</v>
      </c>
      <c r="F59" s="64">
        <v>5.08</v>
      </c>
      <c r="G59" s="64">
        <v>64.41</v>
      </c>
      <c r="H59" s="64">
        <v>26.22</v>
      </c>
      <c r="I59" s="64">
        <v>3.97</v>
      </c>
      <c r="J59" s="64">
        <v>0.23</v>
      </c>
      <c r="K59" s="64">
        <v>28.97</v>
      </c>
      <c r="L59" s="64">
        <v>28.5</v>
      </c>
      <c r="M59" s="64">
        <v>22.09</v>
      </c>
      <c r="N59" s="64">
        <v>627.4</v>
      </c>
      <c r="O59" s="64">
        <v>0</v>
      </c>
      <c r="P59" s="64">
        <v>0.79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1" t="s">
        <v>1643</v>
      </c>
      <c r="B60" s="64">
        <v>12.5</v>
      </c>
      <c r="C60" s="64">
        <v>25.05</v>
      </c>
      <c r="D60" s="64">
        <v>22.65</v>
      </c>
      <c r="E60" s="64">
        <v>8.3699999999999992</v>
      </c>
      <c r="F60" s="64">
        <v>5.21</v>
      </c>
      <c r="G60" s="64">
        <v>64.41</v>
      </c>
      <c r="H60" s="64">
        <v>26.22</v>
      </c>
      <c r="I60" s="64">
        <v>3.87</v>
      </c>
      <c r="J60" s="64">
        <v>0.31</v>
      </c>
      <c r="K60" s="64">
        <v>342.2</v>
      </c>
      <c r="L60" s="64">
        <v>27.96</v>
      </c>
      <c r="M60" s="64">
        <v>22.2</v>
      </c>
      <c r="N60" s="64">
        <v>549.1</v>
      </c>
      <c r="O60" s="64">
        <v>0</v>
      </c>
      <c r="P60" s="64">
        <v>0.78</v>
      </c>
      <c r="Q60" s="64">
        <v>9.4700000000000006</v>
      </c>
      <c r="R60" s="198"/>
      <c r="S60" s="198"/>
      <c r="T60" s="198"/>
      <c r="U60" s="198"/>
    </row>
    <row r="61" spans="1:21" s="12" customFormat="1" x14ac:dyDescent="0.25">
      <c r="A61" s="211" t="s">
        <v>1644</v>
      </c>
      <c r="B61" s="64">
        <v>11.48</v>
      </c>
      <c r="C61" s="64">
        <v>23.8</v>
      </c>
      <c r="D61" s="64">
        <v>21.18</v>
      </c>
      <c r="E61" s="64">
        <v>7.99</v>
      </c>
      <c r="F61" s="64">
        <v>6.17</v>
      </c>
      <c r="G61" s="64">
        <v>64.41</v>
      </c>
      <c r="H61" s="64">
        <v>26.22</v>
      </c>
      <c r="I61" s="64">
        <v>3.79</v>
      </c>
      <c r="J61" s="64">
        <v>0.23</v>
      </c>
      <c r="K61" s="64">
        <v>49.28</v>
      </c>
      <c r="L61" s="64">
        <v>27.74</v>
      </c>
      <c r="M61" s="64">
        <v>22.71</v>
      </c>
      <c r="N61" s="64">
        <v>467.2</v>
      </c>
      <c r="O61" s="64">
        <v>0</v>
      </c>
      <c r="P61" s="64">
        <v>0.81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1" t="s">
        <v>1645</v>
      </c>
      <c r="B62" s="64">
        <v>10.62</v>
      </c>
      <c r="C62" s="64">
        <v>24.06</v>
      </c>
      <c r="D62" s="64">
        <v>20.62</v>
      </c>
      <c r="E62" s="64">
        <v>6.85</v>
      </c>
      <c r="F62" s="64">
        <v>5.74</v>
      </c>
      <c r="G62" s="64">
        <v>59.51</v>
      </c>
      <c r="H62" s="64">
        <v>23.02</v>
      </c>
      <c r="I62" s="64">
        <v>3.71</v>
      </c>
      <c r="J62" s="64">
        <v>0.28999999999999998</v>
      </c>
      <c r="K62" s="64">
        <v>37.49</v>
      </c>
      <c r="L62" s="64">
        <v>27.37</v>
      </c>
      <c r="M62" s="64">
        <v>22.77</v>
      </c>
      <c r="N62" s="64">
        <v>534.20000000000005</v>
      </c>
      <c r="O62" s="64">
        <v>0</v>
      </c>
      <c r="P62" s="64">
        <v>0.85</v>
      </c>
      <c r="Q62" s="64">
        <v>9.42</v>
      </c>
      <c r="R62" s="198"/>
      <c r="S62" s="198"/>
      <c r="T62" s="198"/>
      <c r="U62" s="198"/>
    </row>
    <row r="63" spans="1:21" s="12" customFormat="1" x14ac:dyDescent="0.25">
      <c r="A63" s="211" t="s">
        <v>1646</v>
      </c>
      <c r="B63" s="64">
        <v>8.93</v>
      </c>
      <c r="C63" s="64">
        <v>25.72</v>
      </c>
      <c r="D63" s="64">
        <v>20.14</v>
      </c>
      <c r="E63" s="64">
        <v>7.02</v>
      </c>
      <c r="F63" s="64">
        <v>6.96</v>
      </c>
      <c r="G63" s="64">
        <v>59.16</v>
      </c>
      <c r="H63" s="64">
        <v>23.02</v>
      </c>
      <c r="I63" s="64">
        <v>3.64</v>
      </c>
      <c r="J63" s="64">
        <v>0.5</v>
      </c>
      <c r="K63" s="64">
        <v>347.95</v>
      </c>
      <c r="L63" s="64">
        <v>27.63</v>
      </c>
      <c r="M63" s="64">
        <v>22.2</v>
      </c>
      <c r="N63" s="64">
        <v>502.7</v>
      </c>
      <c r="O63" s="64">
        <v>0</v>
      </c>
      <c r="P63" s="64">
        <v>0.82</v>
      </c>
      <c r="Q63" s="64">
        <v>9.41</v>
      </c>
      <c r="R63" s="198"/>
      <c r="S63" s="198"/>
      <c r="T63" s="198"/>
      <c r="U63" s="198"/>
    </row>
    <row r="64" spans="1:21" s="12" customFormat="1" x14ac:dyDescent="0.25">
      <c r="A64" s="211" t="s">
        <v>1647</v>
      </c>
      <c r="B64" s="64">
        <v>10.88</v>
      </c>
      <c r="C64" s="64">
        <v>27.73</v>
      </c>
      <c r="D64" s="64">
        <v>22.75</v>
      </c>
      <c r="E64" s="64">
        <v>14.06</v>
      </c>
      <c r="F64" s="64">
        <v>9.19</v>
      </c>
      <c r="G64" s="64">
        <v>59.16</v>
      </c>
      <c r="H64" s="64">
        <v>23.02</v>
      </c>
      <c r="I64" s="64">
        <v>3.57</v>
      </c>
      <c r="J64" s="64">
        <v>0.78</v>
      </c>
      <c r="K64" s="64">
        <v>339.32</v>
      </c>
      <c r="L64" s="64">
        <v>27.06</v>
      </c>
      <c r="M64" s="64">
        <v>22.72</v>
      </c>
      <c r="N64" s="64">
        <v>307.8</v>
      </c>
      <c r="O64" s="64">
        <v>0</v>
      </c>
      <c r="P64" s="64">
        <v>0.79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1" t="s">
        <v>1648</v>
      </c>
      <c r="B65" s="64">
        <v>7.76</v>
      </c>
      <c r="C65" s="64">
        <v>27.87</v>
      </c>
      <c r="D65" s="64">
        <v>20.32</v>
      </c>
      <c r="E65" s="64">
        <v>15.36</v>
      </c>
      <c r="F65" s="64">
        <v>15.89</v>
      </c>
      <c r="G65" s="64">
        <v>59.16</v>
      </c>
      <c r="H65" s="64">
        <v>23.02</v>
      </c>
      <c r="I65" s="64">
        <v>3.49</v>
      </c>
      <c r="J65" s="64">
        <v>0.87</v>
      </c>
      <c r="K65" s="64">
        <v>342.06</v>
      </c>
      <c r="L65" s="64">
        <v>27.1</v>
      </c>
      <c r="M65" s="64">
        <v>22.81</v>
      </c>
      <c r="N65" s="64">
        <v>150.30000000000001</v>
      </c>
      <c r="O65" s="64">
        <v>0</v>
      </c>
      <c r="P65" s="64">
        <v>0.78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1" t="s">
        <v>1649</v>
      </c>
      <c r="B66" s="64">
        <v>12.83</v>
      </c>
      <c r="C66" s="64">
        <v>31.08</v>
      </c>
      <c r="D66" s="64">
        <v>26.07</v>
      </c>
      <c r="E66" s="64">
        <v>22.17</v>
      </c>
      <c r="F66" s="64">
        <v>17.13</v>
      </c>
      <c r="G66" s="64">
        <v>57.49</v>
      </c>
      <c r="H66" s="64">
        <v>21.11</v>
      </c>
      <c r="I66" s="64">
        <v>3.45</v>
      </c>
      <c r="J66" s="64">
        <v>0.45</v>
      </c>
      <c r="K66" s="64">
        <v>352.78</v>
      </c>
      <c r="L66" s="64">
        <v>26.76</v>
      </c>
      <c r="M66" s="64">
        <v>22.82</v>
      </c>
      <c r="N66" s="64">
        <v>140.9</v>
      </c>
      <c r="O66" s="64">
        <v>0</v>
      </c>
      <c r="P66" s="64">
        <v>0.8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1" t="s">
        <v>1650</v>
      </c>
      <c r="B67" s="64">
        <v>7.23</v>
      </c>
      <c r="C67" s="64">
        <v>26.02</v>
      </c>
      <c r="D67" s="64">
        <v>18.940000000000001</v>
      </c>
      <c r="E67" s="64">
        <v>14.19</v>
      </c>
      <c r="F67" s="64">
        <v>15.11</v>
      </c>
      <c r="G67" s="64">
        <v>57.38</v>
      </c>
      <c r="H67" s="64">
        <v>21.11</v>
      </c>
      <c r="I67" s="64">
        <v>3.43</v>
      </c>
      <c r="J67" s="64">
        <v>0.93</v>
      </c>
      <c r="K67" s="64">
        <v>339.36</v>
      </c>
      <c r="L67" s="64">
        <v>26.2</v>
      </c>
      <c r="M67" s="64">
        <v>23.62</v>
      </c>
      <c r="N67" s="64">
        <v>133.9</v>
      </c>
      <c r="O67" s="64">
        <v>0</v>
      </c>
      <c r="P67" s="64">
        <v>0.77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1" t="s">
        <v>1651</v>
      </c>
      <c r="B68" s="64">
        <v>6.82</v>
      </c>
      <c r="C68" s="64">
        <v>27.49</v>
      </c>
      <c r="D68" s="64">
        <v>19.37</v>
      </c>
      <c r="E68" s="64">
        <v>15.12</v>
      </c>
      <c r="F68" s="64">
        <v>13.83</v>
      </c>
      <c r="G68" s="64">
        <v>57.38</v>
      </c>
      <c r="H68" s="64">
        <v>21.11</v>
      </c>
      <c r="I68" s="64">
        <v>3.4</v>
      </c>
      <c r="J68" s="64">
        <v>0.89</v>
      </c>
      <c r="K68" s="64">
        <v>344.88</v>
      </c>
      <c r="L68" s="64">
        <v>26</v>
      </c>
      <c r="M68" s="64">
        <v>23.62</v>
      </c>
      <c r="N68" s="64">
        <v>119</v>
      </c>
      <c r="O68" s="64">
        <v>0</v>
      </c>
      <c r="P68" s="64">
        <v>0.79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1" t="s">
        <v>1652</v>
      </c>
      <c r="B69" s="64">
        <v>7.59</v>
      </c>
      <c r="C69" s="64">
        <v>27.57</v>
      </c>
      <c r="D69" s="64">
        <v>20.03</v>
      </c>
      <c r="E69" s="64">
        <v>13.18</v>
      </c>
      <c r="F69" s="64">
        <v>10.8</v>
      </c>
      <c r="G69" s="64">
        <v>57.38</v>
      </c>
      <c r="H69" s="64">
        <v>21.11</v>
      </c>
      <c r="I69" s="64">
        <v>3.35</v>
      </c>
      <c r="J69" s="64">
        <v>1.06</v>
      </c>
      <c r="K69" s="64">
        <v>341.85</v>
      </c>
      <c r="L69" s="64">
        <v>25.79</v>
      </c>
      <c r="M69" s="64">
        <v>24.17</v>
      </c>
      <c r="N69" s="64">
        <v>110.6</v>
      </c>
      <c r="O69" s="64">
        <v>0</v>
      </c>
      <c r="P69" s="64">
        <v>0.82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1" t="s">
        <v>1653</v>
      </c>
      <c r="B70" s="64">
        <v>10.46</v>
      </c>
      <c r="C70" s="64">
        <v>33.76</v>
      </c>
      <c r="D70" s="64">
        <v>25.57</v>
      </c>
      <c r="E70" s="64">
        <v>18.649999999999999</v>
      </c>
      <c r="F70" s="64">
        <v>16.37</v>
      </c>
      <c r="G70" s="64">
        <v>54.25</v>
      </c>
      <c r="H70" s="64">
        <v>21.72</v>
      </c>
      <c r="I70" s="64">
        <v>3.3</v>
      </c>
      <c r="J70" s="64">
        <v>0.51</v>
      </c>
      <c r="K70" s="64">
        <v>339.55</v>
      </c>
      <c r="L70" s="64">
        <v>25.49</v>
      </c>
      <c r="M70" s="64">
        <v>23.11</v>
      </c>
      <c r="N70" s="64">
        <v>101.6</v>
      </c>
      <c r="O70" s="64">
        <v>0</v>
      </c>
      <c r="P70" s="64">
        <v>0.81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1" t="s">
        <v>1654</v>
      </c>
      <c r="B71" s="64">
        <v>7.02</v>
      </c>
      <c r="C71" s="64">
        <v>33.32</v>
      </c>
      <c r="D71" s="64">
        <v>22.57</v>
      </c>
      <c r="E71" s="64">
        <v>21.05</v>
      </c>
      <c r="F71" s="64">
        <v>13.57</v>
      </c>
      <c r="G71" s="64">
        <v>54.02</v>
      </c>
      <c r="H71" s="64">
        <v>21.72</v>
      </c>
      <c r="I71" s="64">
        <v>3.26</v>
      </c>
      <c r="J71" s="64">
        <v>0.38</v>
      </c>
      <c r="K71" s="64">
        <v>339.78</v>
      </c>
      <c r="L71" s="64">
        <v>25.16</v>
      </c>
      <c r="M71" s="64">
        <v>25.01</v>
      </c>
      <c r="N71" s="64">
        <v>94.7</v>
      </c>
      <c r="O71" s="64">
        <v>0</v>
      </c>
      <c r="P71" s="64">
        <v>0.83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1" t="s">
        <v>1655</v>
      </c>
      <c r="B72" s="64">
        <v>6.09</v>
      </c>
      <c r="C72" s="64">
        <v>27.64</v>
      </c>
      <c r="D72" s="64">
        <v>18.86</v>
      </c>
      <c r="E72" s="64">
        <v>8.36</v>
      </c>
      <c r="F72" s="64">
        <v>9.1300000000000008</v>
      </c>
      <c r="G72" s="64">
        <v>54.02</v>
      </c>
      <c r="H72" s="64">
        <v>21.72</v>
      </c>
      <c r="I72" s="64">
        <v>3.25</v>
      </c>
      <c r="J72" s="64">
        <v>0.22</v>
      </c>
      <c r="K72" s="64">
        <v>20.12</v>
      </c>
      <c r="L72" s="64">
        <v>24.89</v>
      </c>
      <c r="M72" s="64">
        <v>25.55</v>
      </c>
      <c r="N72" s="64">
        <v>86.6</v>
      </c>
      <c r="O72" s="64">
        <v>0</v>
      </c>
      <c r="P72" s="64">
        <v>0.8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1" t="s">
        <v>1656</v>
      </c>
      <c r="B73" s="64">
        <v>4.96</v>
      </c>
      <c r="C73" s="64">
        <v>28.37</v>
      </c>
      <c r="D73" s="64">
        <v>18.34</v>
      </c>
      <c r="E73" s="64">
        <v>17</v>
      </c>
      <c r="F73" s="64">
        <v>14.56</v>
      </c>
      <c r="G73" s="64">
        <v>54.02</v>
      </c>
      <c r="H73" s="64">
        <v>21.72</v>
      </c>
      <c r="I73" s="64">
        <v>3.23</v>
      </c>
      <c r="J73" s="64">
        <v>0.21</v>
      </c>
      <c r="K73" s="64">
        <v>92.46</v>
      </c>
      <c r="L73" s="64">
        <v>24.37</v>
      </c>
      <c r="M73" s="64">
        <v>26.47</v>
      </c>
      <c r="N73" s="64">
        <v>78.2</v>
      </c>
      <c r="O73" s="64">
        <v>0</v>
      </c>
      <c r="P73" s="64">
        <v>0.71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1" t="s">
        <v>1657</v>
      </c>
      <c r="B74" s="64">
        <v>6.01</v>
      </c>
      <c r="C74" s="64">
        <v>33.28</v>
      </c>
      <c r="D74" s="64">
        <v>21.75</v>
      </c>
      <c r="E74" s="64">
        <v>15.77</v>
      </c>
      <c r="F74" s="64">
        <v>7.64</v>
      </c>
      <c r="G74" s="64">
        <v>51.26</v>
      </c>
      <c r="H74" s="64">
        <v>21.02</v>
      </c>
      <c r="I74" s="64">
        <v>3.19</v>
      </c>
      <c r="J74" s="64">
        <v>0.15</v>
      </c>
      <c r="K74" s="64">
        <v>348.2</v>
      </c>
      <c r="L74" s="64">
        <v>24.07</v>
      </c>
      <c r="M74" s="64">
        <v>27.95</v>
      </c>
      <c r="N74" s="64">
        <v>69.599999999999994</v>
      </c>
      <c r="O74" s="64">
        <v>0</v>
      </c>
      <c r="P74" s="64">
        <v>0.82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1" t="s">
        <v>1658</v>
      </c>
      <c r="B75" s="64">
        <v>5.44</v>
      </c>
      <c r="C75" s="64">
        <v>34.85</v>
      </c>
      <c r="D75" s="64">
        <v>22.11</v>
      </c>
      <c r="E75" s="64">
        <v>17.27</v>
      </c>
      <c r="F75" s="64">
        <v>9.02</v>
      </c>
      <c r="G75" s="64">
        <v>51.06</v>
      </c>
      <c r="H75" s="64">
        <v>21.02</v>
      </c>
      <c r="I75" s="64">
        <v>3.17</v>
      </c>
      <c r="J75" s="64">
        <v>0.15</v>
      </c>
      <c r="K75" s="64">
        <v>106.28</v>
      </c>
      <c r="L75" s="64">
        <v>23.6</v>
      </c>
      <c r="M75" s="64">
        <v>28.16</v>
      </c>
      <c r="N75" s="64">
        <v>61.2</v>
      </c>
      <c r="O75" s="64">
        <v>0</v>
      </c>
      <c r="P75" s="64">
        <v>0.75</v>
      </c>
      <c r="Q75" s="64">
        <v>9.32</v>
      </c>
      <c r="R75" s="198"/>
      <c r="S75" s="198"/>
      <c r="T75" s="198"/>
      <c r="U75" s="198"/>
    </row>
    <row r="76" spans="1:21" s="12" customFormat="1" x14ac:dyDescent="0.25">
      <c r="A76" s="211" t="s">
        <v>1659</v>
      </c>
      <c r="B76" s="64">
        <v>5.16</v>
      </c>
      <c r="C76" s="64">
        <v>30.22</v>
      </c>
      <c r="D76" s="64">
        <v>19.47</v>
      </c>
      <c r="E76" s="64">
        <v>16.170000000000002</v>
      </c>
      <c r="F76" s="64">
        <v>12.51</v>
      </c>
      <c r="G76" s="64">
        <v>51.06</v>
      </c>
      <c r="H76" s="64">
        <v>21.02</v>
      </c>
      <c r="I76" s="64">
        <v>3.16</v>
      </c>
      <c r="J76" s="64">
        <v>0.08</v>
      </c>
      <c r="K76" s="64">
        <v>46.93</v>
      </c>
      <c r="L76" s="64">
        <v>23.14</v>
      </c>
      <c r="M76" s="64">
        <v>29.14</v>
      </c>
      <c r="N76" s="64">
        <v>52.9</v>
      </c>
      <c r="O76" s="64">
        <v>0</v>
      </c>
      <c r="P76" s="64">
        <v>0.7</v>
      </c>
      <c r="Q76" s="64">
        <v>9.32</v>
      </c>
      <c r="R76" s="198"/>
      <c r="S76" s="198"/>
      <c r="T76" s="198"/>
      <c r="U76" s="198"/>
    </row>
    <row r="77" spans="1:21" s="12" customFormat="1" x14ac:dyDescent="0.25">
      <c r="A77" s="211" t="s">
        <v>1660</v>
      </c>
      <c r="B77" s="64">
        <v>5.0999999999999996</v>
      </c>
      <c r="C77" s="64">
        <v>31.57</v>
      </c>
      <c r="D77" s="64">
        <v>20.12</v>
      </c>
      <c r="E77" s="64">
        <v>13.14</v>
      </c>
      <c r="F77" s="64">
        <v>8.02</v>
      </c>
      <c r="G77" s="64">
        <v>51.06</v>
      </c>
      <c r="H77" s="64">
        <v>21.02</v>
      </c>
      <c r="I77" s="64">
        <v>3.14</v>
      </c>
      <c r="J77" s="64">
        <v>0.14000000000000001</v>
      </c>
      <c r="K77" s="64">
        <v>79.48</v>
      </c>
      <c r="L77" s="64">
        <v>22.68</v>
      </c>
      <c r="M77" s="64">
        <v>31.24</v>
      </c>
      <c r="N77" s="64">
        <v>46.4</v>
      </c>
      <c r="O77" s="64">
        <v>0</v>
      </c>
      <c r="P77" s="64">
        <v>0.75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1" t="s">
        <v>1661</v>
      </c>
      <c r="B78" s="64">
        <v>14.34</v>
      </c>
      <c r="C78" s="64">
        <v>30.06</v>
      </c>
      <c r="D78" s="64">
        <v>26.74</v>
      </c>
      <c r="E78" s="64">
        <v>8.68</v>
      </c>
      <c r="F78" s="64">
        <v>3.92</v>
      </c>
      <c r="G78" s="64">
        <v>52.93</v>
      </c>
      <c r="H78" s="64">
        <v>22.73</v>
      </c>
      <c r="I78" s="64">
        <v>3.11</v>
      </c>
      <c r="J78" s="64">
        <v>0.13</v>
      </c>
      <c r="K78" s="64">
        <v>343.1</v>
      </c>
      <c r="L78" s="64">
        <v>21.89</v>
      </c>
      <c r="M78" s="64">
        <v>38.770000000000003</v>
      </c>
      <c r="N78" s="64">
        <v>43.7</v>
      </c>
      <c r="O78" s="64">
        <v>0</v>
      </c>
      <c r="P78" s="64">
        <v>0.96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1" t="s">
        <v>1662</v>
      </c>
      <c r="B79" s="64">
        <v>16.61</v>
      </c>
      <c r="C79" s="64">
        <v>26.18</v>
      </c>
      <c r="D79" s="64">
        <v>26.4</v>
      </c>
      <c r="E79" s="64">
        <v>7.46</v>
      </c>
      <c r="F79" s="64">
        <v>3.6</v>
      </c>
      <c r="G79" s="64">
        <v>53.06</v>
      </c>
      <c r="H79" s="64">
        <v>22.73</v>
      </c>
      <c r="I79" s="64">
        <v>3.12</v>
      </c>
      <c r="J79" s="64">
        <v>0.08</v>
      </c>
      <c r="K79" s="64">
        <v>30.71</v>
      </c>
      <c r="L79" s="64">
        <v>20.89</v>
      </c>
      <c r="M79" s="64">
        <v>40.659999999999997</v>
      </c>
      <c r="N79" s="64">
        <v>42.9</v>
      </c>
      <c r="O79" s="64">
        <v>0</v>
      </c>
      <c r="P79" s="64">
        <v>0.96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11" t="s">
        <v>1663</v>
      </c>
      <c r="B80" s="64">
        <v>12.31</v>
      </c>
      <c r="C80" s="64">
        <v>27.56</v>
      </c>
      <c r="D80" s="64">
        <v>23.81</v>
      </c>
      <c r="E80" s="64">
        <v>6.86</v>
      </c>
      <c r="F80" s="64">
        <v>3.26</v>
      </c>
      <c r="G80" s="64">
        <v>53.06</v>
      </c>
      <c r="H80" s="64">
        <v>22.73</v>
      </c>
      <c r="I80" s="64">
        <v>3.2</v>
      </c>
      <c r="J80" s="64">
        <v>0.09</v>
      </c>
      <c r="K80" s="64">
        <v>37.020000000000003</v>
      </c>
      <c r="L80" s="64">
        <v>20.55</v>
      </c>
      <c r="M80" s="64">
        <v>40.94</v>
      </c>
      <c r="N80" s="64">
        <v>42.6</v>
      </c>
      <c r="O80" s="64">
        <v>0</v>
      </c>
      <c r="P80" s="64">
        <v>0.94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1" t="s">
        <v>1664</v>
      </c>
      <c r="B81" s="64">
        <v>23.97</v>
      </c>
      <c r="C81" s="64">
        <v>31.27</v>
      </c>
      <c r="D81" s="64">
        <v>35.1</v>
      </c>
      <c r="E81" s="64">
        <v>9.1999999999999993</v>
      </c>
      <c r="F81" s="64">
        <v>3.63</v>
      </c>
      <c r="G81" s="64">
        <v>53.06</v>
      </c>
      <c r="H81" s="64">
        <v>22.73</v>
      </c>
      <c r="I81" s="64">
        <v>3.07</v>
      </c>
      <c r="J81" s="64">
        <v>0.16</v>
      </c>
      <c r="K81" s="64">
        <v>338.39</v>
      </c>
      <c r="L81" s="64">
        <v>20.02</v>
      </c>
      <c r="M81" s="64">
        <v>50.69</v>
      </c>
      <c r="N81" s="64">
        <v>42.8</v>
      </c>
      <c r="O81" s="64">
        <v>0</v>
      </c>
      <c r="P81" s="64">
        <v>1.23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1" t="s">
        <v>1665</v>
      </c>
      <c r="B82" s="64">
        <v>28.63</v>
      </c>
      <c r="C82" s="64">
        <v>29.42</v>
      </c>
      <c r="D82" s="64">
        <v>37.869999999999997</v>
      </c>
      <c r="E82" s="64">
        <v>11.08</v>
      </c>
      <c r="F82" s="64">
        <v>3.92</v>
      </c>
      <c r="G82" s="64">
        <v>70.790000000000006</v>
      </c>
      <c r="H82" s="64">
        <v>29.77</v>
      </c>
      <c r="I82" s="64">
        <v>3.01</v>
      </c>
      <c r="J82" s="64">
        <v>0.1</v>
      </c>
      <c r="K82" s="64">
        <v>331.4</v>
      </c>
      <c r="L82" s="64">
        <v>19.39</v>
      </c>
      <c r="M82" s="64">
        <v>53.87</v>
      </c>
      <c r="N82" s="64">
        <v>42.6</v>
      </c>
      <c r="O82" s="64">
        <v>0</v>
      </c>
      <c r="P82" s="64">
        <v>1.41</v>
      </c>
      <c r="Q82" s="64">
        <v>9.51</v>
      </c>
      <c r="R82" s="198"/>
      <c r="S82" s="198"/>
      <c r="T82" s="198"/>
      <c r="U82" s="198"/>
    </row>
    <row r="83" spans="1:26" s="12" customFormat="1" x14ac:dyDescent="0.25">
      <c r="A83" s="211" t="s">
        <v>1666</v>
      </c>
      <c r="B83" s="64">
        <v>31.82</v>
      </c>
      <c r="C83" s="64">
        <v>28.58</v>
      </c>
      <c r="D83" s="64">
        <v>39.99</v>
      </c>
      <c r="E83" s="64">
        <v>10.1</v>
      </c>
      <c r="F83" s="64">
        <v>4.4400000000000004</v>
      </c>
      <c r="G83" s="64">
        <v>72.06</v>
      </c>
      <c r="H83" s="64">
        <v>29.77</v>
      </c>
      <c r="I83" s="64">
        <v>3.15</v>
      </c>
      <c r="J83" s="64">
        <v>7.0000000000000007E-2</v>
      </c>
      <c r="K83" s="64">
        <v>8.34</v>
      </c>
      <c r="L83" s="64">
        <v>18.989999999999998</v>
      </c>
      <c r="M83" s="64">
        <v>54.9</v>
      </c>
      <c r="N83" s="64">
        <v>42.4</v>
      </c>
      <c r="O83" s="64">
        <v>0</v>
      </c>
      <c r="P83" s="64">
        <v>1.65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1" t="s">
        <v>1667</v>
      </c>
      <c r="B84" s="64">
        <v>28.06</v>
      </c>
      <c r="C84" s="64">
        <v>30.58</v>
      </c>
      <c r="D84" s="64">
        <v>38.020000000000003</v>
      </c>
      <c r="E84" s="64">
        <v>9.61</v>
      </c>
      <c r="F84" s="64">
        <v>4.3899999999999997</v>
      </c>
      <c r="G84" s="64">
        <v>72.06</v>
      </c>
      <c r="H84" s="64">
        <v>29.77</v>
      </c>
      <c r="I84" s="64">
        <v>3.32</v>
      </c>
      <c r="J84" s="64">
        <v>0.05</v>
      </c>
      <c r="K84" s="64">
        <v>37.409999999999997</v>
      </c>
      <c r="L84" s="64">
        <v>18.850000000000001</v>
      </c>
      <c r="M84" s="64">
        <v>57.85</v>
      </c>
      <c r="N84" s="64">
        <v>42.4</v>
      </c>
      <c r="O84" s="64">
        <v>0</v>
      </c>
      <c r="P84" s="64">
        <v>1.77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1" t="s">
        <v>1668</v>
      </c>
      <c r="B85" s="64">
        <v>29.84</v>
      </c>
      <c r="C85" s="64">
        <v>27.69</v>
      </c>
      <c r="D85" s="64">
        <v>37.94</v>
      </c>
      <c r="E85" s="64">
        <v>11.01</v>
      </c>
      <c r="F85" s="64">
        <v>4.28</v>
      </c>
      <c r="G85" s="64">
        <v>72.06</v>
      </c>
      <c r="H85" s="64">
        <v>29.77</v>
      </c>
      <c r="I85" s="64">
        <v>3.51</v>
      </c>
      <c r="J85" s="64">
        <v>0.05</v>
      </c>
      <c r="K85" s="64">
        <v>54.48</v>
      </c>
      <c r="L85" s="64">
        <v>18.920000000000002</v>
      </c>
      <c r="M85" s="64">
        <v>57.34</v>
      </c>
      <c r="N85" s="64">
        <v>42.2</v>
      </c>
      <c r="O85" s="64">
        <v>0</v>
      </c>
      <c r="P85" s="64">
        <v>1.58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1" t="s">
        <v>1669</v>
      </c>
      <c r="B86" s="64">
        <v>28</v>
      </c>
      <c r="C86" s="64">
        <v>34.36</v>
      </c>
      <c r="D86" s="64">
        <v>39.94</v>
      </c>
      <c r="E86" s="64">
        <v>11.81</v>
      </c>
      <c r="F86" s="64">
        <v>4.03</v>
      </c>
      <c r="G86" s="64">
        <v>92.07</v>
      </c>
      <c r="H86" s="64">
        <v>36.58</v>
      </c>
      <c r="I86" s="64">
        <v>4.0199999999999996</v>
      </c>
      <c r="J86" s="64">
        <v>0.05</v>
      </c>
      <c r="K86" s="64">
        <v>92.56</v>
      </c>
      <c r="L86" s="64">
        <v>18.87</v>
      </c>
      <c r="M86" s="64">
        <v>54.2</v>
      </c>
      <c r="N86" s="64">
        <v>42.3</v>
      </c>
      <c r="O86" s="64">
        <v>0</v>
      </c>
      <c r="P86" s="64">
        <v>1.88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1" t="s">
        <v>1670</v>
      </c>
      <c r="B87" s="64">
        <v>33.44</v>
      </c>
      <c r="C87" s="64">
        <v>25.07</v>
      </c>
      <c r="D87" s="64">
        <v>39.46</v>
      </c>
      <c r="E87" s="64">
        <v>9.0299999999999994</v>
      </c>
      <c r="F87" s="64">
        <v>4.03</v>
      </c>
      <c r="G87" s="64">
        <v>93.5</v>
      </c>
      <c r="H87" s="64">
        <v>36.58</v>
      </c>
      <c r="I87" s="64">
        <v>4.45</v>
      </c>
      <c r="J87" s="64">
        <v>0.02</v>
      </c>
      <c r="K87" s="64">
        <v>104.94</v>
      </c>
      <c r="L87" s="64">
        <v>18.61</v>
      </c>
      <c r="M87" s="64">
        <v>56.25</v>
      </c>
      <c r="N87" s="64">
        <v>42.3</v>
      </c>
      <c r="O87" s="64">
        <v>0</v>
      </c>
      <c r="P87" s="64">
        <v>1.66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1" t="s">
        <v>1671</v>
      </c>
      <c r="B88" s="64">
        <v>38.14</v>
      </c>
      <c r="C88" s="64">
        <v>24.48</v>
      </c>
      <c r="D88" s="64">
        <v>42.92</v>
      </c>
      <c r="E88" s="64">
        <v>8.98</v>
      </c>
      <c r="F88" s="64">
        <v>3.93</v>
      </c>
      <c r="G88" s="64">
        <v>93.5</v>
      </c>
      <c r="H88" s="64">
        <v>36.58</v>
      </c>
      <c r="I88" s="64">
        <v>4.3499999999999996</v>
      </c>
      <c r="J88" s="64">
        <v>0.04</v>
      </c>
      <c r="K88" s="64">
        <v>44.1</v>
      </c>
      <c r="L88" s="64">
        <v>18.190000000000001</v>
      </c>
      <c r="M88" s="64">
        <v>59.6</v>
      </c>
      <c r="N88" s="64">
        <v>42.4</v>
      </c>
      <c r="O88" s="64">
        <v>0</v>
      </c>
      <c r="P88" s="64">
        <v>1.87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1" t="s">
        <v>1672</v>
      </c>
      <c r="B89" s="64">
        <v>29.18</v>
      </c>
      <c r="C89" s="64">
        <v>15.76</v>
      </c>
      <c r="D89" s="64">
        <v>31.18</v>
      </c>
      <c r="E89" s="64">
        <v>6.95</v>
      </c>
      <c r="F89" s="64">
        <v>3.41</v>
      </c>
      <c r="G89" s="64">
        <v>93.5</v>
      </c>
      <c r="H89" s="64">
        <v>36.58</v>
      </c>
      <c r="I89" s="64">
        <v>4.32</v>
      </c>
      <c r="J89" s="64">
        <v>0.03</v>
      </c>
      <c r="K89" s="64">
        <v>141.96</v>
      </c>
      <c r="L89" s="64">
        <v>18.09</v>
      </c>
      <c r="M89" s="64">
        <v>57.64</v>
      </c>
      <c r="N89" s="64">
        <v>42.1</v>
      </c>
      <c r="O89" s="64">
        <v>0</v>
      </c>
      <c r="P89" s="64">
        <v>1.49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1" t="s">
        <v>1673</v>
      </c>
      <c r="B90" s="64">
        <v>30.94</v>
      </c>
      <c r="C90" s="64">
        <v>15.52</v>
      </c>
      <c r="D90" s="64">
        <v>32.46</v>
      </c>
      <c r="E90" s="64">
        <v>6.39</v>
      </c>
      <c r="F90" s="64">
        <v>3.44</v>
      </c>
      <c r="G90" s="64">
        <v>99.63</v>
      </c>
      <c r="H90" s="64">
        <v>40.44</v>
      </c>
      <c r="I90" s="64">
        <v>4.5</v>
      </c>
      <c r="J90" s="64">
        <v>0.09</v>
      </c>
      <c r="K90" s="64">
        <v>230.27</v>
      </c>
      <c r="L90" s="64">
        <v>18.059999999999999</v>
      </c>
      <c r="M90" s="64">
        <v>61.25</v>
      </c>
      <c r="N90" s="64">
        <v>42.2</v>
      </c>
      <c r="O90" s="64">
        <v>0</v>
      </c>
      <c r="P90" s="64">
        <v>1.52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1" t="s">
        <v>1674</v>
      </c>
      <c r="B91" s="64">
        <v>33.53</v>
      </c>
      <c r="C91" s="64">
        <v>13.78</v>
      </c>
      <c r="D91" s="64">
        <v>33.630000000000003</v>
      </c>
      <c r="E91" s="64">
        <v>6.61</v>
      </c>
      <c r="F91" s="64">
        <v>3.5</v>
      </c>
      <c r="G91" s="64">
        <v>99.99</v>
      </c>
      <c r="H91" s="64">
        <v>40.44</v>
      </c>
      <c r="I91" s="64">
        <v>4.6500000000000004</v>
      </c>
      <c r="J91" s="64">
        <v>0.08</v>
      </c>
      <c r="K91" s="64">
        <v>344.11</v>
      </c>
      <c r="L91" s="64">
        <v>17.78</v>
      </c>
      <c r="M91" s="64">
        <v>63.53</v>
      </c>
      <c r="N91" s="64">
        <v>42.3</v>
      </c>
      <c r="O91" s="64">
        <v>0</v>
      </c>
      <c r="P91" s="64">
        <v>1.55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1" t="s">
        <v>1675</v>
      </c>
      <c r="B92" s="64">
        <v>36.97</v>
      </c>
      <c r="C92" s="64">
        <v>12.19</v>
      </c>
      <c r="D92" s="64">
        <v>35.56</v>
      </c>
      <c r="E92" s="64">
        <v>6.54</v>
      </c>
      <c r="F92" s="64">
        <v>3.5</v>
      </c>
      <c r="G92" s="64">
        <v>99.99</v>
      </c>
      <c r="H92" s="64">
        <v>40.44</v>
      </c>
      <c r="I92" s="64">
        <v>5.12</v>
      </c>
      <c r="J92" s="64">
        <v>0.15</v>
      </c>
      <c r="K92" s="64">
        <v>327.41000000000003</v>
      </c>
      <c r="L92" s="64">
        <v>17.63</v>
      </c>
      <c r="M92" s="64">
        <v>72</v>
      </c>
      <c r="N92" s="64">
        <v>42.3</v>
      </c>
      <c r="O92" s="64">
        <v>0</v>
      </c>
      <c r="P92" s="64">
        <v>1.65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1" t="s">
        <v>1676</v>
      </c>
      <c r="B93" s="64">
        <v>40.65</v>
      </c>
      <c r="C93" s="64">
        <v>10.84</v>
      </c>
      <c r="D93" s="64">
        <v>37.799999999999997</v>
      </c>
      <c r="E93" s="64">
        <v>6.22</v>
      </c>
      <c r="F93" s="64">
        <v>3.34</v>
      </c>
      <c r="G93" s="64">
        <v>99.99</v>
      </c>
      <c r="H93" s="64">
        <v>40.44</v>
      </c>
      <c r="I93" s="64">
        <v>5.21</v>
      </c>
      <c r="J93" s="64">
        <v>0.13</v>
      </c>
      <c r="K93" s="64">
        <v>291.72000000000003</v>
      </c>
      <c r="L93" s="64">
        <v>17.53</v>
      </c>
      <c r="M93" s="64">
        <v>69.5</v>
      </c>
      <c r="N93" s="64">
        <v>42.4</v>
      </c>
      <c r="O93" s="64">
        <v>0</v>
      </c>
      <c r="P93" s="64">
        <v>1.76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1" t="s">
        <v>1677</v>
      </c>
      <c r="B94" s="64">
        <v>44.36</v>
      </c>
      <c r="C94" s="64">
        <v>9.2899999999999991</v>
      </c>
      <c r="D94" s="64">
        <v>39.97</v>
      </c>
      <c r="E94" s="64">
        <v>6.45</v>
      </c>
      <c r="F94" s="64">
        <v>3.25</v>
      </c>
      <c r="G94" s="64">
        <v>109.36</v>
      </c>
      <c r="H94" s="64">
        <v>43.9</v>
      </c>
      <c r="I94" s="64">
        <v>5.21</v>
      </c>
      <c r="J94" s="64">
        <v>0.13</v>
      </c>
      <c r="K94" s="64">
        <v>300.83999999999997</v>
      </c>
      <c r="L94" s="64">
        <v>17.29</v>
      </c>
      <c r="M94" s="64">
        <v>75.2</v>
      </c>
      <c r="N94" s="64">
        <v>42.4</v>
      </c>
      <c r="O94" s="64">
        <v>0</v>
      </c>
      <c r="P94" s="64">
        <v>1.85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1" t="s">
        <v>1678</v>
      </c>
      <c r="B95" s="64">
        <v>48.57</v>
      </c>
      <c r="C95" s="64">
        <v>7.57</v>
      </c>
      <c r="D95" s="64">
        <v>42.45</v>
      </c>
      <c r="E95" s="64">
        <v>6.02</v>
      </c>
      <c r="F95" s="64">
        <v>3.05</v>
      </c>
      <c r="G95" s="64">
        <v>110.03</v>
      </c>
      <c r="H95" s="64">
        <v>43.9</v>
      </c>
      <c r="I95" s="64">
        <v>5.43</v>
      </c>
      <c r="J95" s="64">
        <v>0.11</v>
      </c>
      <c r="K95" s="64">
        <v>319.51</v>
      </c>
      <c r="L95" s="64">
        <v>17.059999999999999</v>
      </c>
      <c r="M95" s="64">
        <v>74.739999999999995</v>
      </c>
      <c r="N95" s="64">
        <v>42.4</v>
      </c>
      <c r="O95" s="64">
        <v>0</v>
      </c>
      <c r="P95" s="64">
        <v>1.96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1" t="s">
        <v>1679</v>
      </c>
      <c r="B96" s="64">
        <v>52.31</v>
      </c>
      <c r="C96" s="64">
        <v>6</v>
      </c>
      <c r="D96" s="64">
        <v>44.62</v>
      </c>
      <c r="E96" s="64">
        <v>6.26</v>
      </c>
      <c r="F96" s="64">
        <v>3.12</v>
      </c>
      <c r="G96" s="64">
        <v>110.03</v>
      </c>
      <c r="H96" s="64">
        <v>43.9</v>
      </c>
      <c r="I96" s="64">
        <v>5.67</v>
      </c>
      <c r="J96" s="64">
        <v>0.11</v>
      </c>
      <c r="K96" s="64">
        <v>270.89</v>
      </c>
      <c r="L96" s="64">
        <v>16.850000000000001</v>
      </c>
      <c r="M96" s="64">
        <v>73.040000000000006</v>
      </c>
      <c r="N96" s="64">
        <v>42.3</v>
      </c>
      <c r="O96" s="64">
        <v>0</v>
      </c>
      <c r="P96" s="64">
        <v>2.0499999999999998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1680</v>
      </c>
      <c r="B97" s="64">
        <v>54.46</v>
      </c>
      <c r="C97" s="64">
        <v>5.05</v>
      </c>
      <c r="D97" s="64">
        <v>45.84</v>
      </c>
      <c r="E97" s="64">
        <v>6.04</v>
      </c>
      <c r="F97" s="64">
        <v>3.04</v>
      </c>
      <c r="G97" s="64">
        <v>110.03</v>
      </c>
      <c r="H97" s="64">
        <v>43.9</v>
      </c>
      <c r="I97" s="64">
        <v>5.95</v>
      </c>
      <c r="J97" s="64">
        <v>0.12</v>
      </c>
      <c r="K97" s="64">
        <v>123.34</v>
      </c>
      <c r="L97" s="64">
        <v>16.489999999999998</v>
      </c>
      <c r="M97" s="64">
        <v>74.3</v>
      </c>
      <c r="N97" s="64">
        <v>42.3</v>
      </c>
      <c r="O97" s="64">
        <v>0</v>
      </c>
      <c r="P97" s="64">
        <v>2.11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1" t="s">
        <v>1681</v>
      </c>
      <c r="B98" s="64">
        <v>55.21</v>
      </c>
      <c r="C98" s="64">
        <v>4.57</v>
      </c>
      <c r="D98" s="64">
        <v>46.2</v>
      </c>
      <c r="E98" s="64">
        <v>6.04</v>
      </c>
      <c r="F98" s="64">
        <v>3.24</v>
      </c>
      <c r="G98" s="64">
        <v>121.96</v>
      </c>
      <c r="H98" s="64">
        <v>46.87</v>
      </c>
      <c r="I98" s="64">
        <v>6.18</v>
      </c>
      <c r="J98" s="64">
        <v>0.08</v>
      </c>
      <c r="K98" s="64">
        <v>234.34</v>
      </c>
      <c r="L98" s="64">
        <v>16.149999999999999</v>
      </c>
      <c r="M98" s="64">
        <v>85.91</v>
      </c>
      <c r="N98" s="64">
        <v>42.1</v>
      </c>
      <c r="O98" s="64">
        <v>0</v>
      </c>
      <c r="P98" s="64">
        <v>2.15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1" t="s">
        <v>1682</v>
      </c>
      <c r="B99" s="64">
        <v>59.87</v>
      </c>
      <c r="C99" s="64">
        <v>2.6</v>
      </c>
      <c r="D99" s="64">
        <v>48.91</v>
      </c>
      <c r="E99" s="64">
        <v>6.26</v>
      </c>
      <c r="F99" s="64">
        <v>3.34</v>
      </c>
      <c r="G99" s="64">
        <v>122.82</v>
      </c>
      <c r="H99" s="64">
        <v>46.87</v>
      </c>
      <c r="I99" s="64">
        <v>6.36</v>
      </c>
      <c r="J99" s="64">
        <v>0.14000000000000001</v>
      </c>
      <c r="K99" s="64">
        <v>301.14</v>
      </c>
      <c r="L99" s="64">
        <v>16.16</v>
      </c>
      <c r="M99" s="64">
        <v>87.89</v>
      </c>
      <c r="N99" s="64">
        <v>42.2</v>
      </c>
      <c r="O99" s="64">
        <v>0</v>
      </c>
      <c r="P99" s="64">
        <v>2.23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11" t="s">
        <v>1683</v>
      </c>
      <c r="B100" s="64">
        <v>63.68</v>
      </c>
      <c r="C100" s="64">
        <v>0.72</v>
      </c>
      <c r="D100" s="64">
        <v>50.98</v>
      </c>
      <c r="E100" s="64">
        <v>6.02</v>
      </c>
      <c r="F100" s="64">
        <v>2.99</v>
      </c>
      <c r="G100" s="64">
        <v>122.82</v>
      </c>
      <c r="H100" s="64">
        <v>46.87</v>
      </c>
      <c r="I100" s="64">
        <v>6.52</v>
      </c>
      <c r="J100" s="64">
        <v>0.09</v>
      </c>
      <c r="K100" s="64">
        <v>325.20999999999998</v>
      </c>
      <c r="L100" s="64">
        <v>16.18</v>
      </c>
      <c r="M100" s="64">
        <v>89.4</v>
      </c>
      <c r="N100" s="64">
        <v>42.3</v>
      </c>
      <c r="O100" s="64">
        <v>0</v>
      </c>
      <c r="P100" s="64">
        <v>2.3199999999999998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1684</v>
      </c>
      <c r="B101" s="64">
        <v>66.33</v>
      </c>
      <c r="C101" s="64">
        <v>0.03</v>
      </c>
      <c r="D101" s="64">
        <v>52.44</v>
      </c>
      <c r="E101" s="64">
        <v>6.18</v>
      </c>
      <c r="F101" s="64">
        <v>3</v>
      </c>
      <c r="G101" s="64">
        <v>122.82</v>
      </c>
      <c r="H101" s="64">
        <v>46.87</v>
      </c>
      <c r="I101" s="64">
        <v>6.72</v>
      </c>
      <c r="J101" s="64">
        <v>0.1</v>
      </c>
      <c r="K101" s="64">
        <v>329.26</v>
      </c>
      <c r="L101" s="64">
        <v>15.74</v>
      </c>
      <c r="M101" s="64">
        <v>92.56</v>
      </c>
      <c r="N101" s="64">
        <v>42.3</v>
      </c>
      <c r="O101" s="64">
        <v>0</v>
      </c>
      <c r="P101" s="64">
        <v>2.39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1" t="s">
        <v>1685</v>
      </c>
      <c r="B102" s="64">
        <v>69.69</v>
      </c>
      <c r="C102" s="64">
        <v>1.77</v>
      </c>
      <c r="D102" s="64">
        <v>56.2</v>
      </c>
      <c r="E102" s="64">
        <v>6.13</v>
      </c>
      <c r="F102" s="64">
        <v>3.31</v>
      </c>
      <c r="G102" s="64">
        <v>146.09</v>
      </c>
      <c r="H102" s="64">
        <v>54.17</v>
      </c>
      <c r="I102" s="64">
        <v>7.4</v>
      </c>
      <c r="J102" s="64">
        <v>0.13</v>
      </c>
      <c r="K102" s="64">
        <v>309.83</v>
      </c>
      <c r="L102" s="64">
        <v>15.69</v>
      </c>
      <c r="M102" s="64">
        <v>94.48</v>
      </c>
      <c r="N102" s="64">
        <v>42.2</v>
      </c>
      <c r="O102" s="64">
        <v>0</v>
      </c>
      <c r="P102" s="64">
        <v>2.4900000000000002</v>
      </c>
      <c r="Q102" s="64">
        <v>9.74</v>
      </c>
      <c r="R102" s="198"/>
      <c r="S102" s="198"/>
      <c r="T102" s="198"/>
      <c r="U102" s="198"/>
    </row>
    <row r="103" spans="1:33" s="12" customFormat="1" x14ac:dyDescent="0.25">
      <c r="A103" s="211" t="s">
        <v>1686</v>
      </c>
      <c r="B103" s="64">
        <v>70.64</v>
      </c>
      <c r="C103" s="6" t="s">
        <v>42</v>
      </c>
      <c r="D103" s="64">
        <v>54.94</v>
      </c>
      <c r="E103" s="64">
        <v>6.2</v>
      </c>
      <c r="F103" s="64">
        <v>3.38</v>
      </c>
      <c r="G103" s="64">
        <v>147.75</v>
      </c>
      <c r="H103" s="64">
        <v>54.17</v>
      </c>
      <c r="I103" s="64">
        <v>7.44</v>
      </c>
      <c r="J103" s="64">
        <v>0.11</v>
      </c>
      <c r="K103" s="64">
        <v>313.06</v>
      </c>
      <c r="L103" s="64">
        <v>15.43</v>
      </c>
      <c r="M103" s="64">
        <v>95.89</v>
      </c>
      <c r="N103" s="64">
        <v>42.2</v>
      </c>
      <c r="O103" s="64">
        <v>0</v>
      </c>
      <c r="P103" s="64">
        <v>2.52</v>
      </c>
      <c r="Q103" s="64">
        <v>9.75</v>
      </c>
      <c r="R103" s="198"/>
      <c r="S103" s="198"/>
      <c r="T103" s="198"/>
      <c r="U103" s="198"/>
    </row>
    <row r="104" spans="1:33" s="12" customFormat="1" x14ac:dyDescent="0.25">
      <c r="A104" s="211" t="s">
        <v>1687</v>
      </c>
      <c r="B104" s="64">
        <v>69.23</v>
      </c>
      <c r="C104" s="64">
        <v>0.19</v>
      </c>
      <c r="D104" s="64">
        <v>53.89</v>
      </c>
      <c r="E104" s="64">
        <v>4.83</v>
      </c>
      <c r="F104" s="64">
        <v>3.56</v>
      </c>
      <c r="G104" s="64">
        <v>147.75</v>
      </c>
      <c r="H104" s="64">
        <v>54.17</v>
      </c>
      <c r="I104" s="64">
        <v>7.25</v>
      </c>
      <c r="J104" s="64">
        <v>0.05</v>
      </c>
      <c r="K104" s="64">
        <v>309.64999999999998</v>
      </c>
      <c r="L104" s="64">
        <v>15.65</v>
      </c>
      <c r="M104" s="64">
        <v>86.73</v>
      </c>
      <c r="N104" s="64">
        <v>42.2</v>
      </c>
      <c r="O104" s="64">
        <v>0</v>
      </c>
      <c r="P104" s="64">
        <v>2.5299999999999998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4.96</v>
      </c>
      <c r="C106" s="67">
        <f>MIN(C9:C104)</f>
        <v>0.03</v>
      </c>
      <c r="D106" s="67">
        <f t="shared" ref="D106:Q106" si="0">MIN(D9:D104)</f>
        <v>18.34</v>
      </c>
      <c r="E106" s="67">
        <f t="shared" si="0"/>
        <v>4.83</v>
      </c>
      <c r="F106" s="67">
        <f t="shared" si="0"/>
        <v>2.84</v>
      </c>
      <c r="G106" s="67">
        <f t="shared" si="0"/>
        <v>51.06</v>
      </c>
      <c r="H106" s="67">
        <f t="shared" si="0"/>
        <v>21.02</v>
      </c>
      <c r="I106" s="67">
        <f t="shared" si="0"/>
        <v>3.01</v>
      </c>
      <c r="J106" s="67">
        <f t="shared" si="0"/>
        <v>0.02</v>
      </c>
      <c r="K106" s="67">
        <f t="shared" si="0"/>
        <v>3.48</v>
      </c>
      <c r="L106" s="67">
        <f t="shared" si="0"/>
        <v>13.68</v>
      </c>
      <c r="M106" s="67">
        <f t="shared" si="0"/>
        <v>22.09</v>
      </c>
      <c r="N106" s="67">
        <f t="shared" si="0"/>
        <v>41.1</v>
      </c>
      <c r="O106" s="67">
        <f t="shared" si="0"/>
        <v>0</v>
      </c>
      <c r="P106" s="67">
        <f t="shared" si="0"/>
        <v>0.7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73.12</v>
      </c>
      <c r="C107" s="66">
        <f t="shared" ref="C107:Q107" si="1">MAX(C9:C104)</f>
        <v>34.85</v>
      </c>
      <c r="D107" s="66">
        <f t="shared" si="1"/>
        <v>56.2</v>
      </c>
      <c r="E107" s="66">
        <f t="shared" si="1"/>
        <v>22.17</v>
      </c>
      <c r="F107" s="66">
        <f t="shared" si="1"/>
        <v>17.13</v>
      </c>
      <c r="G107" s="66">
        <f t="shared" si="1"/>
        <v>147.75</v>
      </c>
      <c r="H107" s="66">
        <f t="shared" si="1"/>
        <v>54.17</v>
      </c>
      <c r="I107" s="66">
        <f t="shared" si="1"/>
        <v>7.44</v>
      </c>
      <c r="J107" s="66">
        <f t="shared" si="1"/>
        <v>1.06</v>
      </c>
      <c r="K107" s="66">
        <f t="shared" si="1"/>
        <v>356.79</v>
      </c>
      <c r="L107" s="66">
        <f t="shared" si="1"/>
        <v>28.61</v>
      </c>
      <c r="M107" s="66">
        <f t="shared" si="1"/>
        <v>95.89</v>
      </c>
      <c r="N107" s="66">
        <f t="shared" si="1"/>
        <v>705.4</v>
      </c>
      <c r="O107" s="66">
        <f t="shared" si="1"/>
        <v>0</v>
      </c>
      <c r="P107" s="66">
        <f t="shared" si="1"/>
        <v>2.5299999999999998</v>
      </c>
      <c r="Q107" s="66">
        <f t="shared" si="1"/>
        <v>9.76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30.884583333333325</v>
      </c>
      <c r="C108" s="67">
        <f t="shared" ref="C108:Q108" si="2">AVERAGE(C9:C104)</f>
        <v>16.731999999999992</v>
      </c>
      <c r="D108" s="67">
        <f t="shared" si="2"/>
        <v>32.370208333333316</v>
      </c>
      <c r="E108" s="67">
        <f t="shared" si="2"/>
        <v>7.9883333333333333</v>
      </c>
      <c r="F108" s="67">
        <f t="shared" si="2"/>
        <v>4.8885416666666659</v>
      </c>
      <c r="G108" s="67">
        <f t="shared" si="2"/>
        <v>86.268437500000047</v>
      </c>
      <c r="H108" s="67">
        <f t="shared" si="2"/>
        <v>35.629375000000003</v>
      </c>
      <c r="I108" s="67">
        <f t="shared" si="2"/>
        <v>4.6185416666666663</v>
      </c>
      <c r="J108" s="67">
        <f t="shared" si="2"/>
        <v>0.25322916666666656</v>
      </c>
      <c r="K108" s="67">
        <f t="shared" si="2"/>
        <v>229.87635416666669</v>
      </c>
      <c r="L108" s="67">
        <f t="shared" si="2"/>
        <v>19.988125</v>
      </c>
      <c r="M108" s="67">
        <f t="shared" si="2"/>
        <v>53.107916666666654</v>
      </c>
      <c r="N108" s="67">
        <f t="shared" si="2"/>
        <v>191.58124999999998</v>
      </c>
      <c r="O108" s="67">
        <f t="shared" si="2"/>
        <v>0</v>
      </c>
      <c r="P108" s="67">
        <f t="shared" si="2"/>
        <v>1.3289583333333328</v>
      </c>
      <c r="Q108" s="67">
        <f t="shared" si="2"/>
        <v>9.5861458333333349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18.997242399146522</v>
      </c>
      <c r="C109" s="67">
        <f t="shared" ref="C109:Q109" si="3">STDEV(C9:C104)</f>
        <v>10.336231160666921</v>
      </c>
      <c r="D109" s="67">
        <f t="shared" si="3"/>
        <v>10.422105957421479</v>
      </c>
      <c r="E109" s="67">
        <f t="shared" si="3"/>
        <v>3.8105009110328854</v>
      </c>
      <c r="F109" s="67">
        <f t="shared" si="3"/>
        <v>3.4052464101787243</v>
      </c>
      <c r="G109" s="67">
        <f t="shared" si="3"/>
        <v>22.763381828492129</v>
      </c>
      <c r="H109" s="67">
        <f t="shared" si="3"/>
        <v>8.9539093270393924</v>
      </c>
      <c r="I109" s="67">
        <f t="shared" si="3"/>
        <v>1.0712992398968175</v>
      </c>
      <c r="J109" s="67">
        <f t="shared" si="3"/>
        <v>0.22587138767876253</v>
      </c>
      <c r="K109" s="67">
        <f t="shared" si="3"/>
        <v>126.5987617559781</v>
      </c>
      <c r="L109" s="67">
        <f t="shared" si="3"/>
        <v>5.0505591795677232</v>
      </c>
      <c r="M109" s="67">
        <f t="shared" si="3"/>
        <v>22.420630016814407</v>
      </c>
      <c r="N109" s="67">
        <f t="shared" si="3"/>
        <v>233.65736242018531</v>
      </c>
      <c r="O109" s="67">
        <f t="shared" si="3"/>
        <v>0</v>
      </c>
      <c r="P109" s="67">
        <f t="shared" si="3"/>
        <v>0.48205585866909051</v>
      </c>
      <c r="Q109" s="67">
        <f t="shared" si="3"/>
        <v>0.13154442748938006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1688</v>
      </c>
      <c r="B9" s="64">
        <v>68.91</v>
      </c>
      <c r="C9" s="6" t="s">
        <v>42</v>
      </c>
      <c r="D9" s="64">
        <v>53.34</v>
      </c>
      <c r="E9" s="64">
        <v>4.54</v>
      </c>
      <c r="F9" s="64">
        <v>3.42</v>
      </c>
      <c r="G9" s="64">
        <v>147.75</v>
      </c>
      <c r="H9" s="64">
        <v>54.17</v>
      </c>
      <c r="I9" s="64">
        <v>7.38</v>
      </c>
      <c r="J9" s="64">
        <v>0.11</v>
      </c>
      <c r="K9" s="64">
        <v>308.73</v>
      </c>
      <c r="L9" s="64">
        <v>15.71</v>
      </c>
      <c r="M9" s="64">
        <v>86.34</v>
      </c>
      <c r="N9" s="64">
        <v>42.2</v>
      </c>
      <c r="O9" s="64">
        <v>0</v>
      </c>
      <c r="P9" s="64">
        <v>2.5099999999999998</v>
      </c>
      <c r="Q9" s="64">
        <v>9.75</v>
      </c>
      <c r="R9" s="198"/>
      <c r="S9" s="198"/>
      <c r="T9" s="198"/>
      <c r="U9" s="198"/>
    </row>
    <row r="10" spans="1:21" s="12" customFormat="1" x14ac:dyDescent="0.25">
      <c r="A10" s="211" t="s">
        <v>1689</v>
      </c>
      <c r="B10" s="64">
        <v>68.55</v>
      </c>
      <c r="C10" s="6" t="s">
        <v>42</v>
      </c>
      <c r="D10" s="64">
        <v>52.92</v>
      </c>
      <c r="E10" s="64">
        <v>4.7699999999999996</v>
      </c>
      <c r="F10" s="64">
        <v>3.42</v>
      </c>
      <c r="G10" s="64">
        <v>135.88999999999999</v>
      </c>
      <c r="H10" s="64">
        <v>53.48</v>
      </c>
      <c r="I10" s="64">
        <v>7.45</v>
      </c>
      <c r="J10" s="64">
        <v>0.04</v>
      </c>
      <c r="K10" s="64">
        <v>349.88</v>
      </c>
      <c r="L10" s="64">
        <v>15.3</v>
      </c>
      <c r="M10" s="64">
        <v>93.19</v>
      </c>
      <c r="N10" s="64">
        <v>42.4</v>
      </c>
      <c r="O10" s="64">
        <v>0</v>
      </c>
      <c r="P10" s="64">
        <v>2.5299999999999998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1" t="s">
        <v>1690</v>
      </c>
      <c r="B11" s="64">
        <v>67.819999999999993</v>
      </c>
      <c r="C11" s="6" t="s">
        <v>42</v>
      </c>
      <c r="D11" s="64">
        <v>52.3</v>
      </c>
      <c r="E11" s="64">
        <v>4.7</v>
      </c>
      <c r="F11" s="64">
        <v>3.57</v>
      </c>
      <c r="G11" s="64">
        <v>135.19</v>
      </c>
      <c r="H11" s="64">
        <v>53.48</v>
      </c>
      <c r="I11" s="64">
        <v>7.47</v>
      </c>
      <c r="J11" s="64">
        <v>0.05</v>
      </c>
      <c r="K11" s="64">
        <v>4.25</v>
      </c>
      <c r="L11" s="64">
        <v>15.03</v>
      </c>
      <c r="M11" s="64">
        <v>94.49</v>
      </c>
      <c r="N11" s="64">
        <v>42.3</v>
      </c>
      <c r="O11" s="64">
        <v>0</v>
      </c>
      <c r="P11" s="64">
        <v>2.52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1" t="s">
        <v>1691</v>
      </c>
      <c r="B12" s="64">
        <v>66.459999999999994</v>
      </c>
      <c r="C12" s="6" t="s">
        <v>42</v>
      </c>
      <c r="D12" s="64">
        <v>51.25</v>
      </c>
      <c r="E12" s="64">
        <v>4.87</v>
      </c>
      <c r="F12" s="64">
        <v>3.31</v>
      </c>
      <c r="G12" s="64">
        <v>135.19</v>
      </c>
      <c r="H12" s="64">
        <v>53.48</v>
      </c>
      <c r="I12" s="64">
        <v>7.51</v>
      </c>
      <c r="J12" s="64">
        <v>0.04</v>
      </c>
      <c r="K12" s="64">
        <v>113.89</v>
      </c>
      <c r="L12" s="64">
        <v>14.86</v>
      </c>
      <c r="M12" s="64">
        <v>95.21</v>
      </c>
      <c r="N12" s="64">
        <v>42.3</v>
      </c>
      <c r="O12" s="64">
        <v>0</v>
      </c>
      <c r="P12" s="64">
        <v>2.48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1" t="s">
        <v>1692</v>
      </c>
      <c r="B13" s="64">
        <v>64.77</v>
      </c>
      <c r="C13" s="6" t="s">
        <v>42</v>
      </c>
      <c r="D13" s="64">
        <v>50.1</v>
      </c>
      <c r="E13" s="64">
        <v>4.5</v>
      </c>
      <c r="F13" s="64">
        <v>3.27</v>
      </c>
      <c r="G13" s="64">
        <v>135.19</v>
      </c>
      <c r="H13" s="64">
        <v>53.48</v>
      </c>
      <c r="I13" s="64">
        <v>7.54</v>
      </c>
      <c r="J13" s="64">
        <v>0.13</v>
      </c>
      <c r="K13" s="64">
        <v>332.07</v>
      </c>
      <c r="L13" s="64">
        <v>14.66</v>
      </c>
      <c r="M13" s="64">
        <v>96.51</v>
      </c>
      <c r="N13" s="64">
        <v>42.3</v>
      </c>
      <c r="O13" s="64">
        <v>0</v>
      </c>
      <c r="P13" s="64">
        <v>2.1</v>
      </c>
      <c r="Q13" s="64">
        <v>9.73</v>
      </c>
      <c r="R13" s="198"/>
      <c r="S13" s="198"/>
      <c r="T13" s="198"/>
      <c r="U13" s="198"/>
    </row>
    <row r="14" spans="1:21" s="12" customFormat="1" x14ac:dyDescent="0.25">
      <c r="A14" s="211" t="s">
        <v>1693</v>
      </c>
      <c r="B14" s="64">
        <v>63.46</v>
      </c>
      <c r="C14" s="6" t="s">
        <v>42</v>
      </c>
      <c r="D14" s="64">
        <v>49.16</v>
      </c>
      <c r="E14" s="64">
        <v>4.49</v>
      </c>
      <c r="F14" s="64">
        <v>3.27</v>
      </c>
      <c r="G14" s="64">
        <v>131.52000000000001</v>
      </c>
      <c r="H14" s="64">
        <v>54.38</v>
      </c>
      <c r="I14" s="64">
        <v>7.6</v>
      </c>
      <c r="J14" s="64">
        <v>0.08</v>
      </c>
      <c r="K14" s="64">
        <v>350.79</v>
      </c>
      <c r="L14" s="64">
        <v>14.58</v>
      </c>
      <c r="M14" s="64">
        <v>95.87</v>
      </c>
      <c r="N14" s="64">
        <v>42.2</v>
      </c>
      <c r="O14" s="64">
        <v>0</v>
      </c>
      <c r="P14" s="64">
        <v>2.19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1" t="s">
        <v>1694</v>
      </c>
      <c r="B15" s="64">
        <v>61.81</v>
      </c>
      <c r="C15" s="6" t="s">
        <v>42</v>
      </c>
      <c r="D15" s="64">
        <v>48.12</v>
      </c>
      <c r="E15" s="64">
        <v>4.59</v>
      </c>
      <c r="F15" s="64">
        <v>3.4</v>
      </c>
      <c r="G15" s="64">
        <v>131.31</v>
      </c>
      <c r="H15" s="64">
        <v>54.38</v>
      </c>
      <c r="I15" s="64">
        <v>7.65</v>
      </c>
      <c r="J15" s="64">
        <v>0.16</v>
      </c>
      <c r="K15" s="64">
        <v>338.31</v>
      </c>
      <c r="L15" s="64">
        <v>14.43</v>
      </c>
      <c r="M15" s="64">
        <v>95.6</v>
      </c>
      <c r="N15" s="64">
        <v>42</v>
      </c>
      <c r="O15" s="64">
        <v>0</v>
      </c>
      <c r="P15" s="64">
        <v>2.17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1" t="s">
        <v>1695</v>
      </c>
      <c r="B16" s="64">
        <v>60.16</v>
      </c>
      <c r="C16" s="6" t="s">
        <v>42</v>
      </c>
      <c r="D16" s="64">
        <v>47.08</v>
      </c>
      <c r="E16" s="64">
        <v>4.8600000000000003</v>
      </c>
      <c r="F16" s="64">
        <v>3.22</v>
      </c>
      <c r="G16" s="64">
        <v>131.31</v>
      </c>
      <c r="H16" s="64">
        <v>54.38</v>
      </c>
      <c r="I16" s="64">
        <v>7.68</v>
      </c>
      <c r="J16" s="64">
        <v>0.2</v>
      </c>
      <c r="K16" s="64">
        <v>349.06</v>
      </c>
      <c r="L16" s="64">
        <v>14.71</v>
      </c>
      <c r="M16" s="64">
        <v>89.07</v>
      </c>
      <c r="N16" s="64">
        <v>42</v>
      </c>
      <c r="O16" s="64">
        <v>0</v>
      </c>
      <c r="P16" s="64">
        <v>2.15</v>
      </c>
      <c r="Q16" s="64">
        <v>9.73</v>
      </c>
      <c r="R16" s="198"/>
      <c r="S16" s="198"/>
      <c r="T16" s="198"/>
      <c r="U16" s="198"/>
    </row>
    <row r="17" spans="1:21" s="12" customFormat="1" x14ac:dyDescent="0.25">
      <c r="A17" s="211" t="s">
        <v>1696</v>
      </c>
      <c r="B17" s="64">
        <v>58.07</v>
      </c>
      <c r="C17" s="6" t="s">
        <v>42</v>
      </c>
      <c r="D17" s="64">
        <v>45.84</v>
      </c>
      <c r="E17" s="64">
        <v>4.7</v>
      </c>
      <c r="F17" s="64">
        <v>3.29</v>
      </c>
      <c r="G17" s="64">
        <v>131.31</v>
      </c>
      <c r="H17" s="64">
        <v>54.38</v>
      </c>
      <c r="I17" s="64">
        <v>7.79</v>
      </c>
      <c r="J17" s="64">
        <v>0.1</v>
      </c>
      <c r="K17" s="64">
        <v>311.66000000000003</v>
      </c>
      <c r="L17" s="64">
        <v>14.83</v>
      </c>
      <c r="M17" s="64">
        <v>78.930000000000007</v>
      </c>
      <c r="N17" s="64">
        <v>42.1</v>
      </c>
      <c r="O17" s="64">
        <v>0</v>
      </c>
      <c r="P17" s="64">
        <v>2.09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11" t="s">
        <v>1697</v>
      </c>
      <c r="B18" s="64">
        <v>55.81</v>
      </c>
      <c r="C18" s="64">
        <v>0.24</v>
      </c>
      <c r="D18" s="64">
        <v>44.42</v>
      </c>
      <c r="E18" s="64">
        <v>4.37</v>
      </c>
      <c r="F18" s="64">
        <v>3.19</v>
      </c>
      <c r="G18" s="64">
        <v>129.81</v>
      </c>
      <c r="H18" s="64">
        <v>55.28</v>
      </c>
      <c r="I18" s="64">
        <v>8.3000000000000007</v>
      </c>
      <c r="J18" s="64">
        <v>0.26</v>
      </c>
      <c r="K18" s="64">
        <v>337.86</v>
      </c>
      <c r="L18" s="64">
        <v>14.86</v>
      </c>
      <c r="M18" s="64">
        <v>76.52</v>
      </c>
      <c r="N18" s="64">
        <v>41.9</v>
      </c>
      <c r="O18" s="64">
        <v>0</v>
      </c>
      <c r="P18" s="64">
        <v>2.0299999999999998</v>
      </c>
      <c r="Q18" s="64">
        <v>9.7100000000000009</v>
      </c>
      <c r="R18" s="198"/>
      <c r="S18" s="198"/>
      <c r="T18" s="198"/>
      <c r="U18" s="198"/>
    </row>
    <row r="19" spans="1:21" s="12" customFormat="1" x14ac:dyDescent="0.25">
      <c r="A19" s="211" t="s">
        <v>1698</v>
      </c>
      <c r="B19" s="64">
        <v>53.56</v>
      </c>
      <c r="C19" s="64">
        <v>1.0900000000000001</v>
      </c>
      <c r="D19" s="64">
        <v>43.06</v>
      </c>
      <c r="E19" s="64">
        <v>4.58</v>
      </c>
      <c r="F19" s="64">
        <v>3.21</v>
      </c>
      <c r="G19" s="64">
        <v>129.71</v>
      </c>
      <c r="H19" s="64">
        <v>55.28</v>
      </c>
      <c r="I19" s="64">
        <v>8.06</v>
      </c>
      <c r="J19" s="64">
        <v>0.15</v>
      </c>
      <c r="K19" s="64">
        <v>336.29</v>
      </c>
      <c r="L19" s="64">
        <v>14.82</v>
      </c>
      <c r="M19" s="64">
        <v>77.3</v>
      </c>
      <c r="N19" s="64">
        <v>42</v>
      </c>
      <c r="O19" s="64">
        <v>0</v>
      </c>
      <c r="P19" s="64">
        <v>1.96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1" t="s">
        <v>1699</v>
      </c>
      <c r="B20" s="64">
        <v>51.37</v>
      </c>
      <c r="C20" s="64">
        <v>2.04</v>
      </c>
      <c r="D20" s="64">
        <v>41.8</v>
      </c>
      <c r="E20" s="64">
        <v>4.58</v>
      </c>
      <c r="F20" s="64">
        <v>3.28</v>
      </c>
      <c r="G20" s="64">
        <v>129.71</v>
      </c>
      <c r="H20" s="64">
        <v>55.28</v>
      </c>
      <c r="I20" s="64">
        <v>7.55</v>
      </c>
      <c r="J20" s="64">
        <v>0.1</v>
      </c>
      <c r="K20" s="64">
        <v>62.13</v>
      </c>
      <c r="L20" s="64">
        <v>14.77</v>
      </c>
      <c r="M20" s="64">
        <v>76.81</v>
      </c>
      <c r="N20" s="64">
        <v>42.3</v>
      </c>
      <c r="O20" s="64">
        <v>0</v>
      </c>
      <c r="P20" s="64">
        <v>1.89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1" t="s">
        <v>1700</v>
      </c>
      <c r="B21" s="64">
        <v>49.18</v>
      </c>
      <c r="C21" s="64">
        <v>2.5</v>
      </c>
      <c r="D21" s="64">
        <v>40.29</v>
      </c>
      <c r="E21" s="64">
        <v>4.37</v>
      </c>
      <c r="F21" s="64">
        <v>3.2</v>
      </c>
      <c r="G21" s="64">
        <v>129.71</v>
      </c>
      <c r="H21" s="64">
        <v>55.28</v>
      </c>
      <c r="I21" s="64">
        <v>7.4</v>
      </c>
      <c r="J21" s="64">
        <v>0.11</v>
      </c>
      <c r="K21" s="64">
        <v>32.35</v>
      </c>
      <c r="L21" s="64">
        <v>14.53</v>
      </c>
      <c r="M21" s="64">
        <v>79.95</v>
      </c>
      <c r="N21" s="64">
        <v>42.2</v>
      </c>
      <c r="O21" s="64">
        <v>0</v>
      </c>
      <c r="P21" s="64">
        <v>1.85</v>
      </c>
      <c r="Q21" s="64">
        <v>9.7100000000000009</v>
      </c>
      <c r="R21" s="198"/>
      <c r="S21" s="198"/>
      <c r="T21" s="198"/>
      <c r="U21" s="198"/>
    </row>
    <row r="22" spans="1:21" s="12" customFormat="1" x14ac:dyDescent="0.25">
      <c r="A22" s="211" t="s">
        <v>1701</v>
      </c>
      <c r="B22" s="64">
        <v>47.49</v>
      </c>
      <c r="C22" s="64">
        <v>3.24</v>
      </c>
      <c r="D22" s="64">
        <v>39.32</v>
      </c>
      <c r="E22" s="64">
        <v>4.43</v>
      </c>
      <c r="F22" s="64">
        <v>2.89</v>
      </c>
      <c r="G22" s="64">
        <v>135.58000000000001</v>
      </c>
      <c r="H22" s="64">
        <v>56.07</v>
      </c>
      <c r="I22" s="64">
        <v>7.77</v>
      </c>
      <c r="J22" s="64">
        <v>0.14000000000000001</v>
      </c>
      <c r="K22" s="64">
        <v>97.68</v>
      </c>
      <c r="L22" s="64">
        <v>14.58</v>
      </c>
      <c r="M22" s="64">
        <v>78.099999999999994</v>
      </c>
      <c r="N22" s="64">
        <v>42.2</v>
      </c>
      <c r="O22" s="64">
        <v>0</v>
      </c>
      <c r="P22" s="64">
        <v>1.86</v>
      </c>
      <c r="Q22" s="64">
        <v>9.6999999999999993</v>
      </c>
      <c r="R22" s="198"/>
      <c r="S22" s="198"/>
      <c r="T22" s="198"/>
      <c r="U22" s="198"/>
    </row>
    <row r="23" spans="1:21" s="12" customFormat="1" x14ac:dyDescent="0.25">
      <c r="A23" s="211" t="s">
        <v>1702</v>
      </c>
      <c r="B23" s="64">
        <v>45.76</v>
      </c>
      <c r="C23" s="64">
        <v>3.89</v>
      </c>
      <c r="D23" s="64">
        <v>38.270000000000003</v>
      </c>
      <c r="E23" s="64">
        <v>4.6900000000000004</v>
      </c>
      <c r="F23" s="64">
        <v>3.12</v>
      </c>
      <c r="G23" s="64">
        <v>135.93</v>
      </c>
      <c r="H23" s="64">
        <v>56.07</v>
      </c>
      <c r="I23" s="64">
        <v>7.63</v>
      </c>
      <c r="J23" s="64">
        <v>0.14000000000000001</v>
      </c>
      <c r="K23" s="64">
        <v>113.51</v>
      </c>
      <c r="L23" s="64">
        <v>14.42</v>
      </c>
      <c r="M23" s="64">
        <v>79.27</v>
      </c>
      <c r="N23" s="64">
        <v>42.2</v>
      </c>
      <c r="O23" s="64">
        <v>0</v>
      </c>
      <c r="P23" s="64">
        <v>1.87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1" t="s">
        <v>1703</v>
      </c>
      <c r="B24" s="64">
        <v>43.96</v>
      </c>
      <c r="C24" s="64">
        <v>4.74</v>
      </c>
      <c r="D24" s="64">
        <v>37.270000000000003</v>
      </c>
      <c r="E24" s="64">
        <v>4.63</v>
      </c>
      <c r="F24" s="64">
        <v>3.2</v>
      </c>
      <c r="G24" s="64">
        <v>135.93</v>
      </c>
      <c r="H24" s="64">
        <v>56.07</v>
      </c>
      <c r="I24" s="64">
        <v>7.3</v>
      </c>
      <c r="J24" s="64">
        <v>7.0000000000000007E-2</v>
      </c>
      <c r="K24" s="64">
        <v>52.7</v>
      </c>
      <c r="L24" s="64">
        <v>14.36</v>
      </c>
      <c r="M24" s="64">
        <v>80.08</v>
      </c>
      <c r="N24" s="64">
        <v>42.1</v>
      </c>
      <c r="O24" s="64">
        <v>0</v>
      </c>
      <c r="P24" s="64">
        <v>1.85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1" t="s">
        <v>1704</v>
      </c>
      <c r="B25" s="64">
        <v>42.29</v>
      </c>
      <c r="C25" s="64">
        <v>5.48</v>
      </c>
      <c r="D25" s="64">
        <v>36.32</v>
      </c>
      <c r="E25" s="64">
        <v>4.5</v>
      </c>
      <c r="F25" s="64">
        <v>3.18</v>
      </c>
      <c r="G25" s="64">
        <v>135.93</v>
      </c>
      <c r="H25" s="64">
        <v>56.07</v>
      </c>
      <c r="I25" s="64">
        <v>7.72</v>
      </c>
      <c r="J25" s="64">
        <v>0.33</v>
      </c>
      <c r="K25" s="64">
        <v>339.05</v>
      </c>
      <c r="L25" s="64">
        <v>14.26</v>
      </c>
      <c r="M25" s="64">
        <v>81.78</v>
      </c>
      <c r="N25" s="64">
        <v>41.9</v>
      </c>
      <c r="O25" s="64">
        <v>0</v>
      </c>
      <c r="P25" s="64">
        <v>1.85</v>
      </c>
      <c r="Q25" s="64">
        <v>9.69</v>
      </c>
      <c r="R25" s="198"/>
      <c r="S25" s="198"/>
      <c r="T25" s="198"/>
      <c r="U25" s="198"/>
    </row>
    <row r="26" spans="1:21" s="12" customFormat="1" x14ac:dyDescent="0.25">
      <c r="A26" s="211" t="s">
        <v>1705</v>
      </c>
      <c r="B26" s="64">
        <v>40.840000000000003</v>
      </c>
      <c r="C26" s="64">
        <v>6.4</v>
      </c>
      <c r="D26" s="64">
        <v>35.630000000000003</v>
      </c>
      <c r="E26" s="64">
        <v>4.53</v>
      </c>
      <c r="F26" s="64">
        <v>3.15</v>
      </c>
      <c r="G26" s="64">
        <v>143.69</v>
      </c>
      <c r="H26" s="64">
        <v>57.29</v>
      </c>
      <c r="I26" s="64">
        <v>7.55</v>
      </c>
      <c r="J26" s="64">
        <v>0.13</v>
      </c>
      <c r="K26" s="64">
        <v>357.55</v>
      </c>
      <c r="L26" s="64">
        <v>14.3</v>
      </c>
      <c r="M26" s="64">
        <v>80.19</v>
      </c>
      <c r="N26" s="64">
        <v>42.1</v>
      </c>
      <c r="O26" s="64">
        <v>0</v>
      </c>
      <c r="P26" s="64">
        <v>1.84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1" t="s">
        <v>1706</v>
      </c>
      <c r="B27" s="64">
        <v>39.369999999999997</v>
      </c>
      <c r="C27" s="64">
        <v>6.9</v>
      </c>
      <c r="D27" s="64">
        <v>34.72</v>
      </c>
      <c r="E27" s="64">
        <v>4.5999999999999996</v>
      </c>
      <c r="F27" s="64">
        <v>3.29</v>
      </c>
      <c r="G27" s="64">
        <v>144.24</v>
      </c>
      <c r="H27" s="64">
        <v>57.29</v>
      </c>
      <c r="I27" s="64">
        <v>7.59</v>
      </c>
      <c r="J27" s="64">
        <v>7.0000000000000007E-2</v>
      </c>
      <c r="K27" s="64">
        <v>97.41</v>
      </c>
      <c r="L27" s="64">
        <v>14.1</v>
      </c>
      <c r="M27" s="64">
        <v>80.209999999999994</v>
      </c>
      <c r="N27" s="64">
        <v>42.4</v>
      </c>
      <c r="O27" s="64">
        <v>0</v>
      </c>
      <c r="P27" s="64">
        <v>1.82</v>
      </c>
      <c r="Q27" s="64">
        <v>9.68</v>
      </c>
      <c r="R27" s="198"/>
      <c r="S27" s="198"/>
      <c r="T27" s="198"/>
      <c r="U27" s="198"/>
    </row>
    <row r="28" spans="1:21" s="12" customFormat="1" x14ac:dyDescent="0.25">
      <c r="A28" s="211" t="s">
        <v>1707</v>
      </c>
      <c r="B28" s="64">
        <v>37.700000000000003</v>
      </c>
      <c r="C28" s="64">
        <v>7.6</v>
      </c>
      <c r="D28" s="64">
        <v>33.74</v>
      </c>
      <c r="E28" s="64">
        <v>4.3499999999999996</v>
      </c>
      <c r="F28" s="64">
        <v>3.47</v>
      </c>
      <c r="G28" s="64">
        <v>144.24</v>
      </c>
      <c r="H28" s="64">
        <v>57.29</v>
      </c>
      <c r="I28" s="64">
        <v>7.38</v>
      </c>
      <c r="J28" s="64">
        <v>7.0000000000000007E-2</v>
      </c>
      <c r="K28" s="64">
        <v>292.68</v>
      </c>
      <c r="L28" s="64">
        <v>13.97</v>
      </c>
      <c r="M28" s="64">
        <v>80.5</v>
      </c>
      <c r="N28" s="64">
        <v>42.3</v>
      </c>
      <c r="O28" s="64">
        <v>0</v>
      </c>
      <c r="P28" s="64">
        <v>1.78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11" t="s">
        <v>1708</v>
      </c>
      <c r="B29" s="64">
        <v>36.049999999999997</v>
      </c>
      <c r="C29" s="64">
        <v>7.72</v>
      </c>
      <c r="D29" s="64">
        <v>32.479999999999997</v>
      </c>
      <c r="E29" s="64">
        <v>4.2300000000000004</v>
      </c>
      <c r="F29" s="64">
        <v>3.37</v>
      </c>
      <c r="G29" s="64">
        <v>144.24</v>
      </c>
      <c r="H29" s="64">
        <v>57.29</v>
      </c>
      <c r="I29" s="64">
        <v>6.94</v>
      </c>
      <c r="J29" s="64">
        <v>0.13</v>
      </c>
      <c r="K29" s="64">
        <v>127.19</v>
      </c>
      <c r="L29" s="64">
        <v>14.09</v>
      </c>
      <c r="M29" s="64">
        <v>75.849999999999994</v>
      </c>
      <c r="N29" s="64">
        <v>41.8</v>
      </c>
      <c r="O29" s="64">
        <v>0</v>
      </c>
      <c r="P29" s="64">
        <v>1.72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11" t="s">
        <v>1709</v>
      </c>
      <c r="B30" s="64">
        <v>34.18</v>
      </c>
      <c r="C30" s="64">
        <v>8.4600000000000009</v>
      </c>
      <c r="D30" s="64">
        <v>31.37</v>
      </c>
      <c r="E30" s="64">
        <v>4.55</v>
      </c>
      <c r="F30" s="64">
        <v>3.31</v>
      </c>
      <c r="G30" s="64">
        <v>127.03</v>
      </c>
      <c r="H30" s="64">
        <v>53.41</v>
      </c>
      <c r="I30" s="64">
        <v>6.78</v>
      </c>
      <c r="J30" s="64">
        <v>0.05</v>
      </c>
      <c r="K30" s="64">
        <v>124.22</v>
      </c>
      <c r="L30" s="64">
        <v>14.01</v>
      </c>
      <c r="M30" s="64">
        <v>75.180000000000007</v>
      </c>
      <c r="N30" s="64">
        <v>42.2</v>
      </c>
      <c r="O30" s="64">
        <v>0</v>
      </c>
      <c r="P30" s="64">
        <v>1.63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1" t="s">
        <v>1710</v>
      </c>
      <c r="B31" s="64">
        <v>32.22</v>
      </c>
      <c r="C31" s="64">
        <v>9.3000000000000007</v>
      </c>
      <c r="D31" s="64">
        <v>30.23</v>
      </c>
      <c r="E31" s="64">
        <v>4.3600000000000003</v>
      </c>
      <c r="F31" s="64">
        <v>3.13</v>
      </c>
      <c r="G31" s="64">
        <v>125.8</v>
      </c>
      <c r="H31" s="64">
        <v>53.41</v>
      </c>
      <c r="I31" s="64">
        <v>6.59</v>
      </c>
      <c r="J31" s="64">
        <v>0.09</v>
      </c>
      <c r="K31" s="64">
        <v>343.31</v>
      </c>
      <c r="L31" s="64">
        <v>13.87</v>
      </c>
      <c r="M31" s="64">
        <v>77.31</v>
      </c>
      <c r="N31" s="64">
        <v>42.3</v>
      </c>
      <c r="O31" s="64">
        <v>0</v>
      </c>
      <c r="P31" s="64">
        <v>1.54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1" t="s">
        <v>1711</v>
      </c>
      <c r="B32" s="64">
        <v>30.76</v>
      </c>
      <c r="C32" s="64">
        <v>10.1</v>
      </c>
      <c r="D32" s="64">
        <v>29.48</v>
      </c>
      <c r="E32" s="64">
        <v>3.94</v>
      </c>
      <c r="F32" s="64">
        <v>3.11</v>
      </c>
      <c r="G32" s="64">
        <v>125.8</v>
      </c>
      <c r="H32" s="64">
        <v>53.41</v>
      </c>
      <c r="I32" s="64">
        <v>6.4</v>
      </c>
      <c r="J32" s="64">
        <v>0.24</v>
      </c>
      <c r="K32" s="64">
        <v>341.69</v>
      </c>
      <c r="L32" s="64">
        <v>13.8</v>
      </c>
      <c r="M32" s="64">
        <v>79.12</v>
      </c>
      <c r="N32" s="64">
        <v>42.5</v>
      </c>
      <c r="O32" s="64">
        <v>0</v>
      </c>
      <c r="P32" s="64">
        <v>1.48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1" t="s">
        <v>1712</v>
      </c>
      <c r="B33" s="64">
        <v>29.36</v>
      </c>
      <c r="C33" s="64">
        <v>10.9</v>
      </c>
      <c r="D33" s="64">
        <v>28.77</v>
      </c>
      <c r="E33" s="64">
        <v>3.8</v>
      </c>
      <c r="F33" s="64">
        <v>3.04</v>
      </c>
      <c r="G33" s="64">
        <v>125.8</v>
      </c>
      <c r="H33" s="64">
        <v>53.41</v>
      </c>
      <c r="I33" s="64">
        <v>6.24</v>
      </c>
      <c r="J33" s="64">
        <v>0.14000000000000001</v>
      </c>
      <c r="K33" s="64">
        <v>349.49</v>
      </c>
      <c r="L33" s="64">
        <v>13.63</v>
      </c>
      <c r="M33" s="64">
        <v>79.95</v>
      </c>
      <c r="N33" s="64">
        <v>45.1</v>
      </c>
      <c r="O33" s="64">
        <v>0</v>
      </c>
      <c r="P33" s="64">
        <v>1.43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1" t="s">
        <v>1713</v>
      </c>
      <c r="B34" s="64">
        <v>28.3</v>
      </c>
      <c r="C34" s="64">
        <v>11.62</v>
      </c>
      <c r="D34" s="64">
        <v>28.3</v>
      </c>
      <c r="E34" s="64">
        <v>4.03</v>
      </c>
      <c r="F34" s="64">
        <v>3.19</v>
      </c>
      <c r="G34" s="64">
        <v>101.16</v>
      </c>
      <c r="H34" s="64">
        <v>46.3</v>
      </c>
      <c r="I34" s="64">
        <v>6.1</v>
      </c>
      <c r="J34" s="64">
        <v>0.28999999999999998</v>
      </c>
      <c r="K34" s="64">
        <v>340.14</v>
      </c>
      <c r="L34" s="64">
        <v>13.59</v>
      </c>
      <c r="M34" s="64">
        <v>81.849999999999994</v>
      </c>
      <c r="N34" s="64">
        <v>54.4</v>
      </c>
      <c r="O34" s="64">
        <v>0</v>
      </c>
      <c r="P34" s="64">
        <v>1.38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1" t="s">
        <v>1714</v>
      </c>
      <c r="B35" s="64">
        <v>27.64</v>
      </c>
      <c r="C35" s="64">
        <v>12.13</v>
      </c>
      <c r="D35" s="64">
        <v>28.04</v>
      </c>
      <c r="E35" s="64">
        <v>4.07</v>
      </c>
      <c r="F35" s="64">
        <v>3.01</v>
      </c>
      <c r="G35" s="64">
        <v>99.4</v>
      </c>
      <c r="H35" s="64">
        <v>46.3</v>
      </c>
      <c r="I35" s="64">
        <v>6.01</v>
      </c>
      <c r="J35" s="64">
        <v>0.13</v>
      </c>
      <c r="K35" s="64">
        <v>347.52</v>
      </c>
      <c r="L35" s="64">
        <v>13.85</v>
      </c>
      <c r="M35" s="64">
        <v>81.16</v>
      </c>
      <c r="N35" s="64">
        <v>70.5</v>
      </c>
      <c r="O35" s="64">
        <v>0</v>
      </c>
      <c r="P35" s="64">
        <v>1.34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1" t="s">
        <v>1715</v>
      </c>
      <c r="B36" s="64">
        <v>27.21</v>
      </c>
      <c r="C36" s="64">
        <v>12.49</v>
      </c>
      <c r="D36" s="64">
        <v>27.88</v>
      </c>
      <c r="E36" s="64">
        <v>3.78</v>
      </c>
      <c r="F36" s="64">
        <v>3.09</v>
      </c>
      <c r="G36" s="64">
        <v>99.4</v>
      </c>
      <c r="H36" s="64">
        <v>46.3</v>
      </c>
      <c r="I36" s="64">
        <v>5.89</v>
      </c>
      <c r="J36" s="64">
        <v>0.2</v>
      </c>
      <c r="K36" s="64">
        <v>342.68</v>
      </c>
      <c r="L36" s="64">
        <v>14.31</v>
      </c>
      <c r="M36" s="64">
        <v>79.81</v>
      </c>
      <c r="N36" s="64">
        <v>88.5</v>
      </c>
      <c r="O36" s="64">
        <v>0</v>
      </c>
      <c r="P36" s="64">
        <v>1.3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1" t="s">
        <v>1716</v>
      </c>
      <c r="B37" s="64">
        <v>26.97</v>
      </c>
      <c r="C37" s="64">
        <v>12.78</v>
      </c>
      <c r="D37" s="64">
        <v>27.85</v>
      </c>
      <c r="E37" s="64">
        <v>3.86</v>
      </c>
      <c r="F37" s="64">
        <v>3.15</v>
      </c>
      <c r="G37" s="64">
        <v>99.4</v>
      </c>
      <c r="H37" s="64">
        <v>46.3</v>
      </c>
      <c r="I37" s="64">
        <v>5.77</v>
      </c>
      <c r="J37" s="64">
        <v>0.62</v>
      </c>
      <c r="K37" s="64">
        <v>349.68</v>
      </c>
      <c r="L37" s="64">
        <v>15.13</v>
      </c>
      <c r="M37" s="64">
        <v>74.510000000000005</v>
      </c>
      <c r="N37" s="64">
        <v>124.8</v>
      </c>
      <c r="O37" s="64">
        <v>0</v>
      </c>
      <c r="P37" s="64">
        <v>1.37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1" t="s">
        <v>1717</v>
      </c>
      <c r="B38" s="64">
        <v>26.6</v>
      </c>
      <c r="C38" s="64">
        <v>12.99</v>
      </c>
      <c r="D38" s="64">
        <v>27.66</v>
      </c>
      <c r="E38" s="64">
        <v>3.96</v>
      </c>
      <c r="F38" s="64">
        <v>2.91</v>
      </c>
      <c r="G38" s="64">
        <v>95.3</v>
      </c>
      <c r="H38" s="64">
        <v>42.21</v>
      </c>
      <c r="I38" s="64">
        <v>5.66</v>
      </c>
      <c r="J38" s="64">
        <v>0.66</v>
      </c>
      <c r="K38" s="64">
        <v>347.63</v>
      </c>
      <c r="L38" s="64">
        <v>16.829999999999998</v>
      </c>
      <c r="M38" s="64">
        <v>65.430000000000007</v>
      </c>
      <c r="N38" s="64">
        <v>197.4</v>
      </c>
      <c r="O38" s="64">
        <v>0</v>
      </c>
      <c r="P38" s="64">
        <v>1.43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1" t="s">
        <v>1718</v>
      </c>
      <c r="B39" s="64">
        <v>26.15</v>
      </c>
      <c r="C39" s="64">
        <v>13.29</v>
      </c>
      <c r="D39" s="64">
        <v>27.46</v>
      </c>
      <c r="E39" s="64">
        <v>3.48</v>
      </c>
      <c r="F39" s="64">
        <v>3.03</v>
      </c>
      <c r="G39" s="64">
        <v>95.05</v>
      </c>
      <c r="H39" s="64">
        <v>42.21</v>
      </c>
      <c r="I39" s="64">
        <v>5.55</v>
      </c>
      <c r="J39" s="64">
        <v>0.56999999999999995</v>
      </c>
      <c r="K39" s="64">
        <v>346.19</v>
      </c>
      <c r="L39" s="64">
        <v>19.100000000000001</v>
      </c>
      <c r="M39" s="64">
        <v>53.78</v>
      </c>
      <c r="N39" s="64">
        <v>246.6</v>
      </c>
      <c r="O39" s="64">
        <v>0</v>
      </c>
      <c r="P39" s="64">
        <v>1.42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1" t="s">
        <v>1719</v>
      </c>
      <c r="B40" s="64">
        <v>26.08</v>
      </c>
      <c r="C40" s="64">
        <v>14.25</v>
      </c>
      <c r="D40" s="64">
        <v>27.9</v>
      </c>
      <c r="E40" s="64">
        <v>5.0199999999999996</v>
      </c>
      <c r="F40" s="64">
        <v>3.05</v>
      </c>
      <c r="G40" s="64">
        <v>95.05</v>
      </c>
      <c r="H40" s="64">
        <v>42.21</v>
      </c>
      <c r="I40" s="64">
        <v>5.48</v>
      </c>
      <c r="J40" s="64">
        <v>0.56000000000000005</v>
      </c>
      <c r="K40" s="64">
        <v>341.83</v>
      </c>
      <c r="L40" s="64">
        <v>20.73</v>
      </c>
      <c r="M40" s="64">
        <v>46.69</v>
      </c>
      <c r="N40" s="64">
        <v>295</v>
      </c>
      <c r="O40" s="64">
        <v>0</v>
      </c>
      <c r="P40" s="64">
        <v>1.41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1" t="s">
        <v>1720</v>
      </c>
      <c r="B41" s="64">
        <v>25.16</v>
      </c>
      <c r="C41" s="64">
        <v>14.99</v>
      </c>
      <c r="D41" s="64">
        <v>27.55</v>
      </c>
      <c r="E41" s="64">
        <v>5.32</v>
      </c>
      <c r="F41" s="64">
        <v>3.26</v>
      </c>
      <c r="G41" s="64">
        <v>95.05</v>
      </c>
      <c r="H41" s="64">
        <v>42.21</v>
      </c>
      <c r="I41" s="64">
        <v>5.4</v>
      </c>
      <c r="J41" s="64">
        <v>0.56999999999999995</v>
      </c>
      <c r="K41" s="64">
        <v>341.42</v>
      </c>
      <c r="L41" s="64">
        <v>21.73</v>
      </c>
      <c r="M41" s="64">
        <v>42.09</v>
      </c>
      <c r="N41" s="64">
        <v>346.2</v>
      </c>
      <c r="O41" s="64">
        <v>0</v>
      </c>
      <c r="P41" s="64">
        <v>1.4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1" t="s">
        <v>1721</v>
      </c>
      <c r="B42" s="64">
        <v>25.25</v>
      </c>
      <c r="C42" s="64">
        <v>16.04</v>
      </c>
      <c r="D42" s="64">
        <v>28.16</v>
      </c>
      <c r="E42" s="64">
        <v>5.44</v>
      </c>
      <c r="F42" s="64">
        <v>3.18</v>
      </c>
      <c r="G42" s="64">
        <v>89.02</v>
      </c>
      <c r="H42" s="64">
        <v>39.42</v>
      </c>
      <c r="I42" s="64">
        <v>5.3</v>
      </c>
      <c r="J42" s="64">
        <v>0.39</v>
      </c>
      <c r="K42" s="64">
        <v>333.07</v>
      </c>
      <c r="L42" s="64">
        <v>22.83</v>
      </c>
      <c r="M42" s="64">
        <v>38.369999999999997</v>
      </c>
      <c r="N42" s="64">
        <v>392.2</v>
      </c>
      <c r="O42" s="64">
        <v>0</v>
      </c>
      <c r="P42" s="64">
        <v>1.39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1" t="s">
        <v>1722</v>
      </c>
      <c r="B43" s="64">
        <v>23.8</v>
      </c>
      <c r="C43" s="64">
        <v>18.07</v>
      </c>
      <c r="D43" s="64">
        <v>28.07</v>
      </c>
      <c r="E43" s="64">
        <v>6.07</v>
      </c>
      <c r="F43" s="64">
        <v>3.56</v>
      </c>
      <c r="G43" s="64">
        <v>88.66</v>
      </c>
      <c r="H43" s="64">
        <v>39.42</v>
      </c>
      <c r="I43" s="64">
        <v>5.2</v>
      </c>
      <c r="J43" s="64">
        <v>0.52</v>
      </c>
      <c r="K43" s="64">
        <v>339.34</v>
      </c>
      <c r="L43" s="64">
        <v>23.84</v>
      </c>
      <c r="M43" s="64">
        <v>35.19</v>
      </c>
      <c r="N43" s="64">
        <v>435.8</v>
      </c>
      <c r="O43" s="64">
        <v>0</v>
      </c>
      <c r="P43" s="64">
        <v>1.36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1" t="s">
        <v>1723</v>
      </c>
      <c r="B44" s="64">
        <v>23.95</v>
      </c>
      <c r="C44" s="64">
        <v>16.54</v>
      </c>
      <c r="D44" s="64">
        <v>27.39</v>
      </c>
      <c r="E44" s="64">
        <v>5.69</v>
      </c>
      <c r="F44" s="64">
        <v>3.55</v>
      </c>
      <c r="G44" s="64">
        <v>88.66</v>
      </c>
      <c r="H44" s="64">
        <v>39.42</v>
      </c>
      <c r="I44" s="64">
        <v>5.1100000000000003</v>
      </c>
      <c r="J44" s="64">
        <v>0.66</v>
      </c>
      <c r="K44" s="64">
        <v>340.08</v>
      </c>
      <c r="L44" s="64">
        <v>25.01</v>
      </c>
      <c r="M44" s="64">
        <v>33.340000000000003</v>
      </c>
      <c r="N44" s="64">
        <v>478.9</v>
      </c>
      <c r="O44" s="64">
        <v>0</v>
      </c>
      <c r="P44" s="64">
        <v>1.34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1724</v>
      </c>
      <c r="B45" s="64">
        <v>23.49</v>
      </c>
      <c r="C45" s="64">
        <v>17.399999999999999</v>
      </c>
      <c r="D45" s="64">
        <v>27.47</v>
      </c>
      <c r="E45" s="64">
        <v>5.91</v>
      </c>
      <c r="F45" s="64">
        <v>3.4</v>
      </c>
      <c r="G45" s="64">
        <v>88.66</v>
      </c>
      <c r="H45" s="64">
        <v>39.42</v>
      </c>
      <c r="I45" s="64">
        <v>5.01</v>
      </c>
      <c r="J45" s="64">
        <v>0.67</v>
      </c>
      <c r="K45" s="64">
        <v>336.44</v>
      </c>
      <c r="L45" s="64">
        <v>25.63</v>
      </c>
      <c r="M45" s="64">
        <v>31.29</v>
      </c>
      <c r="N45" s="64">
        <v>525.5</v>
      </c>
      <c r="O45" s="64">
        <v>0</v>
      </c>
      <c r="P45" s="64">
        <v>1.32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1" t="s">
        <v>1725</v>
      </c>
      <c r="B46" s="64">
        <v>22.71</v>
      </c>
      <c r="C46" s="64">
        <v>18.489999999999998</v>
      </c>
      <c r="D46" s="64">
        <v>27.41</v>
      </c>
      <c r="E46" s="64">
        <v>5.73</v>
      </c>
      <c r="F46" s="64">
        <v>3.44</v>
      </c>
      <c r="G46" s="64">
        <v>83.33</v>
      </c>
      <c r="H46" s="64">
        <v>33.869999999999997</v>
      </c>
      <c r="I46" s="64">
        <v>4.92</v>
      </c>
      <c r="J46" s="64">
        <v>0.6</v>
      </c>
      <c r="K46" s="64">
        <v>343.88</v>
      </c>
      <c r="L46" s="64">
        <v>26.3</v>
      </c>
      <c r="M46" s="64">
        <v>30.14</v>
      </c>
      <c r="N46" s="64">
        <v>563.79999999999995</v>
      </c>
      <c r="O46" s="64">
        <v>0</v>
      </c>
      <c r="P46" s="64">
        <v>1.28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1" t="s">
        <v>1726</v>
      </c>
      <c r="B47" s="64">
        <v>22.22</v>
      </c>
      <c r="C47" s="64">
        <v>18.760000000000002</v>
      </c>
      <c r="D47" s="64">
        <v>27.16</v>
      </c>
      <c r="E47" s="64">
        <v>5.77</v>
      </c>
      <c r="F47" s="64">
        <v>3.63</v>
      </c>
      <c r="G47" s="64">
        <v>83.02</v>
      </c>
      <c r="H47" s="64">
        <v>33.869999999999997</v>
      </c>
      <c r="I47" s="64">
        <v>5.15</v>
      </c>
      <c r="J47" s="64">
        <v>0.28000000000000003</v>
      </c>
      <c r="K47" s="64">
        <v>37.28</v>
      </c>
      <c r="L47" s="64">
        <v>26.12</v>
      </c>
      <c r="M47" s="64">
        <v>29.54</v>
      </c>
      <c r="N47" s="64">
        <v>595.29999999999995</v>
      </c>
      <c r="O47" s="64">
        <v>0</v>
      </c>
      <c r="P47" s="64">
        <v>1.23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1727</v>
      </c>
      <c r="B48" s="64">
        <v>21.17</v>
      </c>
      <c r="C48" s="64">
        <v>19.559999999999999</v>
      </c>
      <c r="D48" s="64">
        <v>26.74</v>
      </c>
      <c r="E48" s="64">
        <v>5.6</v>
      </c>
      <c r="F48" s="64">
        <v>3.54</v>
      </c>
      <c r="G48" s="64">
        <v>83.02</v>
      </c>
      <c r="H48" s="64">
        <v>33.869999999999997</v>
      </c>
      <c r="I48" s="64">
        <v>5.25</v>
      </c>
      <c r="J48" s="64">
        <v>0.17</v>
      </c>
      <c r="K48" s="64">
        <v>327.64999999999998</v>
      </c>
      <c r="L48" s="64">
        <v>24.94</v>
      </c>
      <c r="M48" s="64">
        <v>31.82</v>
      </c>
      <c r="N48" s="64">
        <v>623.4</v>
      </c>
      <c r="O48" s="64">
        <v>0</v>
      </c>
      <c r="P48" s="64">
        <v>1.1599999999999999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1" t="s">
        <v>1728</v>
      </c>
      <c r="B49" s="64">
        <v>20.059999999999999</v>
      </c>
      <c r="C49" s="64">
        <v>20.260000000000002</v>
      </c>
      <c r="D49" s="64">
        <v>26.21</v>
      </c>
      <c r="E49" s="64">
        <v>5.36</v>
      </c>
      <c r="F49" s="64">
        <v>3.82</v>
      </c>
      <c r="G49" s="64">
        <v>83.02</v>
      </c>
      <c r="H49" s="64">
        <v>33.869999999999997</v>
      </c>
      <c r="I49" s="64">
        <v>5.12</v>
      </c>
      <c r="J49" s="64">
        <v>0.15</v>
      </c>
      <c r="K49" s="64">
        <v>11.48</v>
      </c>
      <c r="L49" s="64">
        <v>25.62</v>
      </c>
      <c r="M49" s="64">
        <v>31.32</v>
      </c>
      <c r="N49" s="64">
        <v>645.9</v>
      </c>
      <c r="O49" s="64">
        <v>0</v>
      </c>
      <c r="P49" s="64">
        <v>1.1100000000000001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1" t="s">
        <v>1729</v>
      </c>
      <c r="B50" s="64">
        <v>19.420000000000002</v>
      </c>
      <c r="C50" s="64">
        <v>20.2</v>
      </c>
      <c r="D50" s="64">
        <v>25.66</v>
      </c>
      <c r="E50" s="64">
        <v>5.21</v>
      </c>
      <c r="F50" s="64">
        <v>3.43</v>
      </c>
      <c r="G50" s="64">
        <v>78.23</v>
      </c>
      <c r="H50" s="64">
        <v>31.46</v>
      </c>
      <c r="I50" s="64">
        <v>5.01</v>
      </c>
      <c r="J50" s="64">
        <v>0.39</v>
      </c>
      <c r="K50" s="64">
        <v>342.71</v>
      </c>
      <c r="L50" s="64">
        <v>26.62</v>
      </c>
      <c r="M50" s="64">
        <v>29.35</v>
      </c>
      <c r="N50" s="64">
        <v>663.2</v>
      </c>
      <c r="O50" s="64">
        <v>0</v>
      </c>
      <c r="P50" s="64">
        <v>1.08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1" t="s">
        <v>1730</v>
      </c>
      <c r="B51" s="64">
        <v>18.239999999999998</v>
      </c>
      <c r="C51" s="64">
        <v>20.68</v>
      </c>
      <c r="D51" s="64">
        <v>24.97</v>
      </c>
      <c r="E51" s="64">
        <v>5.15</v>
      </c>
      <c r="F51" s="64">
        <v>2.97</v>
      </c>
      <c r="G51" s="64">
        <v>77.95</v>
      </c>
      <c r="H51" s="64">
        <v>31.46</v>
      </c>
      <c r="I51" s="64">
        <v>4.9000000000000004</v>
      </c>
      <c r="J51" s="64">
        <v>0.37</v>
      </c>
      <c r="K51" s="64">
        <v>337.74</v>
      </c>
      <c r="L51" s="64">
        <v>26.17</v>
      </c>
      <c r="M51" s="64">
        <v>30.4</v>
      </c>
      <c r="N51" s="64">
        <v>673.2</v>
      </c>
      <c r="O51" s="64">
        <v>0</v>
      </c>
      <c r="P51" s="64">
        <v>1.06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1" t="s">
        <v>1731</v>
      </c>
      <c r="B52" s="64">
        <v>17.190000000000001</v>
      </c>
      <c r="C52" s="64">
        <v>21.46</v>
      </c>
      <c r="D52" s="64">
        <v>24.54</v>
      </c>
      <c r="E52" s="64">
        <v>5.13</v>
      </c>
      <c r="F52" s="64">
        <v>3.14</v>
      </c>
      <c r="G52" s="64">
        <v>77.95</v>
      </c>
      <c r="H52" s="64">
        <v>31.46</v>
      </c>
      <c r="I52" s="64">
        <v>4.79</v>
      </c>
      <c r="J52" s="64">
        <v>0.64</v>
      </c>
      <c r="K52" s="64">
        <v>342.86</v>
      </c>
      <c r="L52" s="64">
        <v>27.41</v>
      </c>
      <c r="M52" s="64">
        <v>27.12</v>
      </c>
      <c r="N52" s="64">
        <v>673.8</v>
      </c>
      <c r="O52" s="64">
        <v>0</v>
      </c>
      <c r="P52" s="64">
        <v>1.03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1" t="s">
        <v>1732</v>
      </c>
      <c r="B53" s="64">
        <v>16.309999999999999</v>
      </c>
      <c r="C53" s="64">
        <v>22.43</v>
      </c>
      <c r="D53" s="64">
        <v>24.34</v>
      </c>
      <c r="E53" s="64">
        <v>5.32</v>
      </c>
      <c r="F53" s="64">
        <v>3.55</v>
      </c>
      <c r="G53" s="64">
        <v>77.95</v>
      </c>
      <c r="H53" s="64">
        <v>31.46</v>
      </c>
      <c r="I53" s="64">
        <v>4.67</v>
      </c>
      <c r="J53" s="64">
        <v>0.88</v>
      </c>
      <c r="K53" s="64">
        <v>335.53</v>
      </c>
      <c r="L53" s="64">
        <v>28.38</v>
      </c>
      <c r="M53" s="64">
        <v>24.02</v>
      </c>
      <c r="N53" s="64">
        <v>675.2</v>
      </c>
      <c r="O53" s="64">
        <v>0</v>
      </c>
      <c r="P53" s="64">
        <v>1.01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1" t="s">
        <v>1733</v>
      </c>
      <c r="B54" s="64">
        <v>15.54</v>
      </c>
      <c r="C54" s="64">
        <v>23.62</v>
      </c>
      <c r="D54" s="64">
        <v>24.34</v>
      </c>
      <c r="E54" s="64">
        <v>5.49</v>
      </c>
      <c r="F54" s="64">
        <v>4.1399999999999997</v>
      </c>
      <c r="G54" s="64">
        <v>71.36</v>
      </c>
      <c r="H54" s="64">
        <v>29.48</v>
      </c>
      <c r="I54" s="64">
        <v>4.55</v>
      </c>
      <c r="J54" s="64">
        <v>1.19</v>
      </c>
      <c r="K54" s="64">
        <v>339.42</v>
      </c>
      <c r="L54" s="64">
        <v>28.75</v>
      </c>
      <c r="M54" s="64">
        <v>22.96</v>
      </c>
      <c r="N54" s="64">
        <v>658.5</v>
      </c>
      <c r="O54" s="64">
        <v>0</v>
      </c>
      <c r="P54" s="64">
        <v>0.97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1" t="s">
        <v>1734</v>
      </c>
      <c r="B55" s="64">
        <v>14.63</v>
      </c>
      <c r="C55" s="64">
        <v>24.51</v>
      </c>
      <c r="D55" s="64">
        <v>24.07</v>
      </c>
      <c r="E55" s="64">
        <v>5.45</v>
      </c>
      <c r="F55" s="64">
        <v>4.34</v>
      </c>
      <c r="G55" s="64">
        <v>70.97</v>
      </c>
      <c r="H55" s="64">
        <v>29.48</v>
      </c>
      <c r="I55" s="64">
        <v>4.43</v>
      </c>
      <c r="J55" s="64">
        <v>0.77</v>
      </c>
      <c r="K55" s="64">
        <v>337.84</v>
      </c>
      <c r="L55" s="64">
        <v>28.69</v>
      </c>
      <c r="M55" s="64">
        <v>21.31</v>
      </c>
      <c r="N55" s="64">
        <v>674.6</v>
      </c>
      <c r="O55" s="64">
        <v>0</v>
      </c>
      <c r="P55" s="64">
        <v>0.95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1" t="s">
        <v>1735</v>
      </c>
      <c r="B56" s="64">
        <v>13.21</v>
      </c>
      <c r="C56" s="64">
        <v>25.21</v>
      </c>
      <c r="D56" s="64">
        <v>23.31</v>
      </c>
      <c r="E56" s="64">
        <v>6.49</v>
      </c>
      <c r="F56" s="64">
        <v>6.2</v>
      </c>
      <c r="G56" s="64">
        <v>70.97</v>
      </c>
      <c r="H56" s="64">
        <v>29.48</v>
      </c>
      <c r="I56" s="64">
        <v>4.29</v>
      </c>
      <c r="J56" s="64">
        <v>0.8</v>
      </c>
      <c r="K56" s="64">
        <v>337.33</v>
      </c>
      <c r="L56" s="64">
        <v>28.53</v>
      </c>
      <c r="M56" s="64">
        <v>20.61</v>
      </c>
      <c r="N56" s="64">
        <v>668.5</v>
      </c>
      <c r="O56" s="64">
        <v>0</v>
      </c>
      <c r="P56" s="64">
        <v>0.87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1" t="s">
        <v>1736</v>
      </c>
      <c r="B57" s="64">
        <v>11.23</v>
      </c>
      <c r="C57" s="64">
        <v>25.81</v>
      </c>
      <c r="D57" s="64">
        <v>22.03</v>
      </c>
      <c r="E57" s="64">
        <v>6.39</v>
      </c>
      <c r="F57" s="64">
        <v>7.76</v>
      </c>
      <c r="G57" s="64">
        <v>70.97</v>
      </c>
      <c r="H57" s="64">
        <v>29.48</v>
      </c>
      <c r="I57" s="64">
        <v>4.18</v>
      </c>
      <c r="J57" s="64">
        <v>0.85</v>
      </c>
      <c r="K57" s="64">
        <v>338.63</v>
      </c>
      <c r="L57" s="64">
        <v>28.84</v>
      </c>
      <c r="M57" s="64">
        <v>19.5</v>
      </c>
      <c r="N57" s="64">
        <v>661.6</v>
      </c>
      <c r="O57" s="64">
        <v>0</v>
      </c>
      <c r="P57" s="64">
        <v>0.83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1" t="s">
        <v>1737</v>
      </c>
      <c r="B58" s="64">
        <v>9.1</v>
      </c>
      <c r="C58" s="64">
        <v>24.58</v>
      </c>
      <c r="D58" s="64">
        <v>19.68</v>
      </c>
      <c r="E58" s="64">
        <v>6.65</v>
      </c>
      <c r="F58" s="64">
        <v>8.3699999999999992</v>
      </c>
      <c r="G58" s="64">
        <v>64.010000000000005</v>
      </c>
      <c r="H58" s="64">
        <v>21.79</v>
      </c>
      <c r="I58" s="64">
        <v>4.1100000000000003</v>
      </c>
      <c r="J58" s="64">
        <v>0.8</v>
      </c>
      <c r="K58" s="64">
        <v>121.09</v>
      </c>
      <c r="L58" s="64">
        <v>27.29</v>
      </c>
      <c r="M58" s="64">
        <v>21.86</v>
      </c>
      <c r="N58" s="64">
        <v>659.9</v>
      </c>
      <c r="O58" s="64">
        <v>0</v>
      </c>
      <c r="P58" s="64">
        <v>0.86</v>
      </c>
      <c r="Q58" s="64">
        <v>9.51</v>
      </c>
      <c r="R58" s="198"/>
      <c r="S58" s="198"/>
      <c r="T58" s="198"/>
      <c r="U58" s="198"/>
    </row>
    <row r="59" spans="1:21" s="12" customFormat="1" x14ac:dyDescent="0.25">
      <c r="A59" s="211" t="s">
        <v>1738</v>
      </c>
      <c r="B59" s="64">
        <v>9.7799999999999994</v>
      </c>
      <c r="C59" s="64">
        <v>25.95</v>
      </c>
      <c r="D59" s="64">
        <v>18.25</v>
      </c>
      <c r="E59" s="64">
        <v>7.72</v>
      </c>
      <c r="F59" s="64">
        <v>8.07</v>
      </c>
      <c r="G59" s="64">
        <v>63.51</v>
      </c>
      <c r="H59" s="64">
        <v>21.79</v>
      </c>
      <c r="I59" s="64">
        <v>4.03</v>
      </c>
      <c r="J59" s="64">
        <v>0.52</v>
      </c>
      <c r="K59" s="64">
        <v>337.49</v>
      </c>
      <c r="L59" s="64">
        <v>27.34</v>
      </c>
      <c r="M59" s="64">
        <v>21.97</v>
      </c>
      <c r="N59" s="64">
        <v>606.9</v>
      </c>
      <c r="O59" s="64">
        <v>0</v>
      </c>
      <c r="P59" s="64">
        <v>0.86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1" t="s">
        <v>1739</v>
      </c>
      <c r="B60" s="64">
        <v>8.4</v>
      </c>
      <c r="C60" s="64">
        <v>24.09</v>
      </c>
      <c r="D60" s="64">
        <v>18.86</v>
      </c>
      <c r="E60" s="64">
        <v>7.37</v>
      </c>
      <c r="F60" s="64">
        <v>10.130000000000001</v>
      </c>
      <c r="G60" s="64">
        <v>63.51</v>
      </c>
      <c r="H60" s="64">
        <v>21.79</v>
      </c>
      <c r="I60" s="64">
        <v>3.98</v>
      </c>
      <c r="J60" s="64">
        <v>0.35</v>
      </c>
      <c r="K60" s="64">
        <v>90.51</v>
      </c>
      <c r="L60" s="64">
        <v>26.58</v>
      </c>
      <c r="M60" s="64">
        <v>23.54</v>
      </c>
      <c r="N60" s="64">
        <v>519.70000000000005</v>
      </c>
      <c r="O60" s="64">
        <v>0</v>
      </c>
      <c r="P60" s="64">
        <v>0.83</v>
      </c>
      <c r="Q60" s="64">
        <v>9.48</v>
      </c>
      <c r="R60" s="198"/>
      <c r="S60" s="198"/>
      <c r="T60" s="198"/>
      <c r="U60" s="198"/>
    </row>
    <row r="61" spans="1:21" s="12" customFormat="1" x14ac:dyDescent="0.25">
      <c r="A61" s="211" t="s">
        <v>1740</v>
      </c>
      <c r="B61" s="64">
        <v>7.75</v>
      </c>
      <c r="C61" s="64">
        <v>26.05</v>
      </c>
      <c r="D61" s="64">
        <v>19.36</v>
      </c>
      <c r="E61" s="64">
        <v>13.14</v>
      </c>
      <c r="F61" s="64">
        <v>11.95</v>
      </c>
      <c r="G61" s="64">
        <v>63.51</v>
      </c>
      <c r="H61" s="64">
        <v>21.79</v>
      </c>
      <c r="I61" s="64">
        <v>3.91</v>
      </c>
      <c r="J61" s="64">
        <v>0.68</v>
      </c>
      <c r="K61" s="64">
        <v>342.13</v>
      </c>
      <c r="L61" s="64">
        <v>27.48</v>
      </c>
      <c r="M61" s="64">
        <v>21.69</v>
      </c>
      <c r="N61" s="64">
        <v>410.3</v>
      </c>
      <c r="O61" s="64">
        <v>0</v>
      </c>
      <c r="P61" s="64">
        <v>0.79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1" t="s">
        <v>1741</v>
      </c>
      <c r="B62" s="64">
        <v>6.97</v>
      </c>
      <c r="C62" s="64">
        <v>24.05</v>
      </c>
      <c r="D62" s="64">
        <v>17.7</v>
      </c>
      <c r="E62" s="64">
        <v>14.5</v>
      </c>
      <c r="F62" s="64">
        <v>17.420000000000002</v>
      </c>
      <c r="G62" s="64">
        <v>51.36</v>
      </c>
      <c r="H62" s="64">
        <v>17.12</v>
      </c>
      <c r="I62" s="64">
        <v>3.84</v>
      </c>
      <c r="J62" s="64">
        <v>0.28999999999999998</v>
      </c>
      <c r="K62" s="64">
        <v>334.45</v>
      </c>
      <c r="L62" s="64">
        <v>27.29</v>
      </c>
      <c r="M62" s="64">
        <v>21.73</v>
      </c>
      <c r="N62" s="64">
        <v>513.79999999999995</v>
      </c>
      <c r="O62" s="64">
        <v>0</v>
      </c>
      <c r="P62" s="64">
        <v>0.74</v>
      </c>
      <c r="Q62" s="64">
        <v>9.44</v>
      </c>
      <c r="R62" s="198"/>
      <c r="S62" s="198"/>
      <c r="T62" s="198"/>
      <c r="U62" s="198"/>
    </row>
    <row r="63" spans="1:21" s="12" customFormat="1" x14ac:dyDescent="0.25">
      <c r="A63" s="211" t="s">
        <v>1742</v>
      </c>
      <c r="B63" s="64">
        <v>7.17</v>
      </c>
      <c r="C63" s="64">
        <v>26.49</v>
      </c>
      <c r="D63" s="64">
        <v>19.13</v>
      </c>
      <c r="E63" s="64">
        <v>6.32</v>
      </c>
      <c r="F63" s="64">
        <v>11.01</v>
      </c>
      <c r="G63" s="64">
        <v>50.5</v>
      </c>
      <c r="H63" s="64">
        <v>17.12</v>
      </c>
      <c r="I63" s="64">
        <v>3.76</v>
      </c>
      <c r="J63" s="64">
        <v>0.27</v>
      </c>
      <c r="K63" s="64">
        <v>335.96</v>
      </c>
      <c r="L63" s="64">
        <v>26.89</v>
      </c>
      <c r="M63" s="64">
        <v>22.71</v>
      </c>
      <c r="N63" s="64">
        <v>488</v>
      </c>
      <c r="O63" s="64">
        <v>0</v>
      </c>
      <c r="P63" s="64">
        <v>0.79</v>
      </c>
      <c r="Q63" s="64">
        <v>9.42</v>
      </c>
      <c r="R63" s="198"/>
      <c r="S63" s="198"/>
      <c r="T63" s="198"/>
      <c r="U63" s="198"/>
    </row>
    <row r="64" spans="1:21" s="12" customFormat="1" x14ac:dyDescent="0.25">
      <c r="A64" s="211" t="s">
        <v>1743</v>
      </c>
      <c r="B64" s="64">
        <v>7</v>
      </c>
      <c r="C64" s="64">
        <v>25.81</v>
      </c>
      <c r="D64" s="64">
        <v>18.64</v>
      </c>
      <c r="E64" s="64">
        <v>5.75</v>
      </c>
      <c r="F64" s="64">
        <v>4.24</v>
      </c>
      <c r="G64" s="64">
        <v>50.5</v>
      </c>
      <c r="H64" s="64">
        <v>17.12</v>
      </c>
      <c r="I64" s="64">
        <v>3.71</v>
      </c>
      <c r="J64" s="64">
        <v>1.23</v>
      </c>
      <c r="K64" s="64">
        <v>123.81</v>
      </c>
      <c r="L64" s="64">
        <v>25.46</v>
      </c>
      <c r="M64" s="64">
        <v>25.05</v>
      </c>
      <c r="N64" s="64">
        <v>393.3</v>
      </c>
      <c r="O64" s="64">
        <v>0</v>
      </c>
      <c r="P64" s="64">
        <v>0.83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1" t="s">
        <v>1744</v>
      </c>
      <c r="B65" s="64">
        <v>6.06</v>
      </c>
      <c r="C65" s="64">
        <v>24.51</v>
      </c>
      <c r="D65" s="64">
        <v>17.21</v>
      </c>
      <c r="E65" s="64">
        <v>7.16</v>
      </c>
      <c r="F65" s="64">
        <v>7.25</v>
      </c>
      <c r="G65" s="64">
        <v>50.5</v>
      </c>
      <c r="H65" s="64">
        <v>17.12</v>
      </c>
      <c r="I65" s="64">
        <v>3.65</v>
      </c>
      <c r="J65" s="64">
        <v>0.19</v>
      </c>
      <c r="K65" s="64">
        <v>60.06</v>
      </c>
      <c r="L65" s="64">
        <v>24.91</v>
      </c>
      <c r="M65" s="64">
        <v>26.38</v>
      </c>
      <c r="N65" s="64">
        <v>156.69999999999999</v>
      </c>
      <c r="O65" s="64">
        <v>0</v>
      </c>
      <c r="P65" s="64">
        <v>0.75</v>
      </c>
      <c r="Q65" s="64">
        <v>9.3699999999999992</v>
      </c>
      <c r="R65" s="198"/>
      <c r="S65" s="198"/>
      <c r="T65" s="198"/>
      <c r="U65" s="198"/>
    </row>
    <row r="66" spans="1:21" s="12" customFormat="1" x14ac:dyDescent="0.25">
      <c r="A66" s="211" t="s">
        <v>1745</v>
      </c>
      <c r="B66" s="64">
        <v>5.83</v>
      </c>
      <c r="C66" s="64">
        <v>24.93</v>
      </c>
      <c r="D66" s="64">
        <v>17.239999999999998</v>
      </c>
      <c r="E66" s="64">
        <v>5.76</v>
      </c>
      <c r="F66" s="64">
        <v>3.85</v>
      </c>
      <c r="G66" s="64">
        <v>51.32</v>
      </c>
      <c r="H66" s="64">
        <v>21.67</v>
      </c>
      <c r="I66" s="64">
        <v>3.56</v>
      </c>
      <c r="J66" s="64">
        <v>0.91</v>
      </c>
      <c r="K66" s="64">
        <v>335.06</v>
      </c>
      <c r="L66" s="64">
        <v>25.72</v>
      </c>
      <c r="M66" s="64">
        <v>24.63</v>
      </c>
      <c r="N66" s="64">
        <v>142.30000000000001</v>
      </c>
      <c r="O66" s="64">
        <v>0</v>
      </c>
      <c r="P66" s="64">
        <v>0.75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1" t="s">
        <v>1746</v>
      </c>
      <c r="B67" s="64">
        <v>5.55</v>
      </c>
      <c r="C67" s="64">
        <v>25.71</v>
      </c>
      <c r="D67" s="64">
        <v>17.420000000000002</v>
      </c>
      <c r="E67" s="64">
        <v>6.12</v>
      </c>
      <c r="F67" s="64">
        <v>5.56</v>
      </c>
      <c r="G67" s="64">
        <v>51.37</v>
      </c>
      <c r="H67" s="64">
        <v>21.67</v>
      </c>
      <c r="I67" s="64">
        <v>3.48</v>
      </c>
      <c r="J67" s="64">
        <v>0.82</v>
      </c>
      <c r="K67" s="64">
        <v>340.82</v>
      </c>
      <c r="L67" s="64">
        <v>25.61</v>
      </c>
      <c r="M67" s="64">
        <v>24.36</v>
      </c>
      <c r="N67" s="64">
        <v>130.4</v>
      </c>
      <c r="O67" s="64">
        <v>0</v>
      </c>
      <c r="P67" s="64">
        <v>0.74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11" t="s">
        <v>1747</v>
      </c>
      <c r="B68" s="64">
        <v>5.42</v>
      </c>
      <c r="C68" s="64">
        <v>26.57</v>
      </c>
      <c r="D68" s="64">
        <v>17.77</v>
      </c>
      <c r="E68" s="64">
        <v>9.64</v>
      </c>
      <c r="F68" s="64">
        <v>5.84</v>
      </c>
      <c r="G68" s="64">
        <v>51.37</v>
      </c>
      <c r="H68" s="64">
        <v>21.67</v>
      </c>
      <c r="I68" s="64">
        <v>3.41</v>
      </c>
      <c r="J68" s="64">
        <v>0.74</v>
      </c>
      <c r="K68" s="64">
        <v>343.61</v>
      </c>
      <c r="L68" s="64">
        <v>25.36</v>
      </c>
      <c r="M68" s="64">
        <v>24.69</v>
      </c>
      <c r="N68" s="64">
        <v>117.5</v>
      </c>
      <c r="O68" s="64">
        <v>0</v>
      </c>
      <c r="P68" s="64">
        <v>0.73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1" t="s">
        <v>1748</v>
      </c>
      <c r="B69" s="64">
        <v>5.51</v>
      </c>
      <c r="C69" s="64">
        <v>27.36</v>
      </c>
      <c r="D69" s="64">
        <v>18.25</v>
      </c>
      <c r="E69" s="64">
        <v>7.22</v>
      </c>
      <c r="F69" s="64">
        <v>5.68</v>
      </c>
      <c r="G69" s="64">
        <v>51.37</v>
      </c>
      <c r="H69" s="64">
        <v>21.67</v>
      </c>
      <c r="I69" s="64">
        <v>3.35</v>
      </c>
      <c r="J69" s="64">
        <v>0.61</v>
      </c>
      <c r="K69" s="64">
        <v>338.85</v>
      </c>
      <c r="L69" s="64">
        <v>25.11</v>
      </c>
      <c r="M69" s="64">
        <v>24.8</v>
      </c>
      <c r="N69" s="64">
        <v>108.7</v>
      </c>
      <c r="O69" s="64">
        <v>0</v>
      </c>
      <c r="P69" s="64">
        <v>0.73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11" t="s">
        <v>1749</v>
      </c>
      <c r="B70" s="64">
        <v>5.21</v>
      </c>
      <c r="C70" s="64">
        <v>27.81</v>
      </c>
      <c r="D70" s="64">
        <v>18.25</v>
      </c>
      <c r="E70" s="64">
        <v>8.74</v>
      </c>
      <c r="F70" s="64">
        <v>7.73</v>
      </c>
      <c r="G70" s="64">
        <v>56.73</v>
      </c>
      <c r="H70" s="64">
        <v>21.2</v>
      </c>
      <c r="I70" s="64">
        <v>3.31</v>
      </c>
      <c r="J70" s="64">
        <v>0.19</v>
      </c>
      <c r="K70" s="64">
        <v>110.19</v>
      </c>
      <c r="L70" s="64">
        <v>24.61</v>
      </c>
      <c r="M70" s="64">
        <v>25.78</v>
      </c>
      <c r="N70" s="64">
        <v>99.9</v>
      </c>
      <c r="O70" s="64">
        <v>0</v>
      </c>
      <c r="P70" s="64">
        <v>0.74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1" t="s">
        <v>1750</v>
      </c>
      <c r="B71" s="64">
        <v>5.45</v>
      </c>
      <c r="C71" s="64">
        <v>26.39</v>
      </c>
      <c r="D71" s="64">
        <v>17.7</v>
      </c>
      <c r="E71" s="64">
        <v>10.49</v>
      </c>
      <c r="F71" s="64">
        <v>7.56</v>
      </c>
      <c r="G71" s="64">
        <v>57.11</v>
      </c>
      <c r="H71" s="64">
        <v>21.2</v>
      </c>
      <c r="I71" s="64">
        <v>3.28</v>
      </c>
      <c r="J71" s="64">
        <v>0.44</v>
      </c>
      <c r="K71" s="64">
        <v>349.93</v>
      </c>
      <c r="L71" s="64">
        <v>24.13</v>
      </c>
      <c r="M71" s="64">
        <v>26.44</v>
      </c>
      <c r="N71" s="64">
        <v>92.3</v>
      </c>
      <c r="O71" s="64">
        <v>0</v>
      </c>
      <c r="P71" s="64">
        <v>0.7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1" t="s">
        <v>1751</v>
      </c>
      <c r="B72" s="64">
        <v>5.54</v>
      </c>
      <c r="C72" s="64">
        <v>27.51</v>
      </c>
      <c r="D72" s="64">
        <v>18.36</v>
      </c>
      <c r="E72" s="64">
        <v>5.56</v>
      </c>
      <c r="F72" s="64">
        <v>5.0999999999999996</v>
      </c>
      <c r="G72" s="64">
        <v>57.11</v>
      </c>
      <c r="H72" s="64">
        <v>21.2</v>
      </c>
      <c r="I72" s="64">
        <v>3.24</v>
      </c>
      <c r="J72" s="64">
        <v>0.71</v>
      </c>
      <c r="K72" s="64">
        <v>341.8</v>
      </c>
      <c r="L72" s="64">
        <v>24.14</v>
      </c>
      <c r="M72" s="64">
        <v>26.35</v>
      </c>
      <c r="N72" s="64">
        <v>84.5</v>
      </c>
      <c r="O72" s="64">
        <v>0</v>
      </c>
      <c r="P72" s="64">
        <v>0.73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1" t="s">
        <v>1752</v>
      </c>
      <c r="B73" s="64">
        <v>5.39</v>
      </c>
      <c r="C73" s="64">
        <v>26.52</v>
      </c>
      <c r="D73" s="64">
        <v>17.72</v>
      </c>
      <c r="E73" s="64">
        <v>4.32</v>
      </c>
      <c r="F73" s="64">
        <v>4.62</v>
      </c>
      <c r="G73" s="64">
        <v>57.11</v>
      </c>
      <c r="H73" s="64">
        <v>21.2</v>
      </c>
      <c r="I73" s="64">
        <v>3.18</v>
      </c>
      <c r="J73" s="64">
        <v>0.93</v>
      </c>
      <c r="K73" s="64">
        <v>343.45</v>
      </c>
      <c r="L73" s="64">
        <v>23.97</v>
      </c>
      <c r="M73" s="64">
        <v>26.53</v>
      </c>
      <c r="N73" s="64">
        <v>76.900000000000006</v>
      </c>
      <c r="O73" s="64">
        <v>0</v>
      </c>
      <c r="P73" s="64">
        <v>0.73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1" t="s">
        <v>1753</v>
      </c>
      <c r="B74" s="64">
        <v>6.57</v>
      </c>
      <c r="C74" s="64">
        <v>26.35</v>
      </c>
      <c r="D74" s="64">
        <v>18.57</v>
      </c>
      <c r="E74" s="64">
        <v>5.26</v>
      </c>
      <c r="F74" s="64">
        <v>8.1999999999999993</v>
      </c>
      <c r="G74" s="64">
        <v>55.06</v>
      </c>
      <c r="H74" s="64">
        <v>18.64</v>
      </c>
      <c r="I74" s="64">
        <v>3.13</v>
      </c>
      <c r="J74" s="64">
        <v>1.02</v>
      </c>
      <c r="K74" s="64">
        <v>336.57</v>
      </c>
      <c r="L74" s="64">
        <v>23.68</v>
      </c>
      <c r="M74" s="64">
        <v>26.83</v>
      </c>
      <c r="N74" s="64">
        <v>69.3</v>
      </c>
      <c r="O74" s="64">
        <v>0</v>
      </c>
      <c r="P74" s="64">
        <v>0.72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1" t="s">
        <v>1754</v>
      </c>
      <c r="B75" s="64">
        <v>11.81</v>
      </c>
      <c r="C75" s="64">
        <v>33.72</v>
      </c>
      <c r="D75" s="64">
        <v>26.63</v>
      </c>
      <c r="E75" s="64">
        <v>10.91</v>
      </c>
      <c r="F75" s="64">
        <v>10.130000000000001</v>
      </c>
      <c r="G75" s="64">
        <v>54.91</v>
      </c>
      <c r="H75" s="64">
        <v>18.64</v>
      </c>
      <c r="I75" s="64">
        <v>3.12</v>
      </c>
      <c r="J75" s="64">
        <v>0.49</v>
      </c>
      <c r="K75" s="64">
        <v>345.44</v>
      </c>
      <c r="L75" s="64">
        <v>23.12</v>
      </c>
      <c r="M75" s="64">
        <v>28.83</v>
      </c>
      <c r="N75" s="64">
        <v>60.8</v>
      </c>
      <c r="O75" s="64">
        <v>0</v>
      </c>
      <c r="P75" s="64">
        <v>0.84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1" t="s">
        <v>1755</v>
      </c>
      <c r="B76" s="64">
        <v>7.78</v>
      </c>
      <c r="C76" s="64">
        <v>33.67</v>
      </c>
      <c r="D76" s="64">
        <v>23.37</v>
      </c>
      <c r="E76" s="64">
        <v>12.3</v>
      </c>
      <c r="F76" s="64">
        <v>11.7</v>
      </c>
      <c r="G76" s="64">
        <v>54.91</v>
      </c>
      <c r="H76" s="64">
        <v>18.64</v>
      </c>
      <c r="I76" s="64">
        <v>3.12</v>
      </c>
      <c r="J76" s="64">
        <v>0.35</v>
      </c>
      <c r="K76" s="64">
        <v>347.83</v>
      </c>
      <c r="L76" s="64">
        <v>22.62</v>
      </c>
      <c r="M76" s="64">
        <v>28.77</v>
      </c>
      <c r="N76" s="64">
        <v>53</v>
      </c>
      <c r="O76" s="64">
        <v>0</v>
      </c>
      <c r="P76" s="64">
        <v>0.81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1" t="s">
        <v>1756</v>
      </c>
      <c r="B77" s="64">
        <v>10.96</v>
      </c>
      <c r="C77" s="64">
        <v>38.619999999999997</v>
      </c>
      <c r="D77" s="64">
        <v>28.51</v>
      </c>
      <c r="E77" s="64">
        <v>10.25</v>
      </c>
      <c r="F77" s="64">
        <v>7.24</v>
      </c>
      <c r="G77" s="64">
        <v>54.91</v>
      </c>
      <c r="H77" s="64">
        <v>18.64</v>
      </c>
      <c r="I77" s="64">
        <v>3.13</v>
      </c>
      <c r="J77" s="64">
        <v>0.2</v>
      </c>
      <c r="K77" s="64">
        <v>349.6</v>
      </c>
      <c r="L77" s="64">
        <v>21.83</v>
      </c>
      <c r="M77" s="64">
        <v>30.73</v>
      </c>
      <c r="N77" s="64">
        <v>46.5</v>
      </c>
      <c r="O77" s="64">
        <v>0</v>
      </c>
      <c r="P77" s="64">
        <v>0.97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1" t="s">
        <v>1757</v>
      </c>
      <c r="B78" s="64">
        <v>12.16</v>
      </c>
      <c r="C78" s="64">
        <v>33.49</v>
      </c>
      <c r="D78" s="64">
        <v>26.79</v>
      </c>
      <c r="E78" s="64">
        <v>9.0500000000000007</v>
      </c>
      <c r="F78" s="64">
        <v>6.88</v>
      </c>
      <c r="G78" s="64">
        <v>55.46</v>
      </c>
      <c r="H78" s="64">
        <v>18.899999999999999</v>
      </c>
      <c r="I78" s="64">
        <v>3.15</v>
      </c>
      <c r="J78" s="64">
        <v>0.08</v>
      </c>
      <c r="K78" s="64">
        <v>18.100000000000001</v>
      </c>
      <c r="L78" s="64">
        <v>21.05</v>
      </c>
      <c r="M78" s="64">
        <v>33.090000000000003</v>
      </c>
      <c r="N78" s="64">
        <v>43.6</v>
      </c>
      <c r="O78" s="64">
        <v>0</v>
      </c>
      <c r="P78" s="64">
        <v>0.99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1" t="s">
        <v>1758</v>
      </c>
      <c r="B79" s="64">
        <v>17.670000000000002</v>
      </c>
      <c r="C79" s="64">
        <v>33.78</v>
      </c>
      <c r="D79" s="64">
        <v>31.35</v>
      </c>
      <c r="E79" s="64">
        <v>8.24</v>
      </c>
      <c r="F79" s="64">
        <v>4.99</v>
      </c>
      <c r="G79" s="64">
        <v>55.5</v>
      </c>
      <c r="H79" s="64">
        <v>18.899999999999999</v>
      </c>
      <c r="I79" s="64">
        <v>3.18</v>
      </c>
      <c r="J79" s="64">
        <v>7.0000000000000007E-2</v>
      </c>
      <c r="K79" s="64">
        <v>18.62</v>
      </c>
      <c r="L79" s="64">
        <v>20.3</v>
      </c>
      <c r="M79" s="64">
        <v>40.26</v>
      </c>
      <c r="N79" s="64">
        <v>42.9</v>
      </c>
      <c r="O79" s="64">
        <v>0</v>
      </c>
      <c r="P79" s="64">
        <v>1.1299999999999999</v>
      </c>
      <c r="Q79" s="64">
        <v>9.4</v>
      </c>
      <c r="R79" s="198"/>
      <c r="S79" s="198"/>
      <c r="T79" s="198"/>
      <c r="U79" s="198"/>
    </row>
    <row r="80" spans="1:21" s="12" customFormat="1" x14ac:dyDescent="0.25">
      <c r="A80" s="211" t="s">
        <v>1759</v>
      </c>
      <c r="B80" s="64">
        <v>11.92</v>
      </c>
      <c r="C80" s="64">
        <v>36.33</v>
      </c>
      <c r="D80" s="64">
        <v>28.08</v>
      </c>
      <c r="E80" s="64">
        <v>7.09</v>
      </c>
      <c r="F80" s="64">
        <v>5.1100000000000003</v>
      </c>
      <c r="G80" s="64">
        <v>55.5</v>
      </c>
      <c r="H80" s="64">
        <v>18.899999999999999</v>
      </c>
      <c r="I80" s="64">
        <v>3.24</v>
      </c>
      <c r="J80" s="64">
        <v>7.0000000000000007E-2</v>
      </c>
      <c r="K80" s="64">
        <v>89</v>
      </c>
      <c r="L80" s="64">
        <v>19.77</v>
      </c>
      <c r="M80" s="64">
        <v>41.68</v>
      </c>
      <c r="N80" s="64">
        <v>42.6</v>
      </c>
      <c r="O80" s="64">
        <v>0</v>
      </c>
      <c r="P80" s="64">
        <v>1.17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1" t="s">
        <v>1760</v>
      </c>
      <c r="B81" s="64">
        <v>11.55</v>
      </c>
      <c r="C81" s="64">
        <v>26.9</v>
      </c>
      <c r="D81" s="64">
        <v>22.85</v>
      </c>
      <c r="E81" s="64">
        <v>5.41</v>
      </c>
      <c r="F81" s="64">
        <v>4.6500000000000004</v>
      </c>
      <c r="G81" s="64">
        <v>55.5</v>
      </c>
      <c r="H81" s="64">
        <v>18.899999999999999</v>
      </c>
      <c r="I81" s="64">
        <v>3.32</v>
      </c>
      <c r="J81" s="64">
        <v>0.05</v>
      </c>
      <c r="K81" s="64">
        <v>351.55</v>
      </c>
      <c r="L81" s="64">
        <v>19.48</v>
      </c>
      <c r="M81" s="64">
        <v>40.97</v>
      </c>
      <c r="N81" s="64">
        <v>42.5</v>
      </c>
      <c r="O81" s="64">
        <v>0</v>
      </c>
      <c r="P81" s="64">
        <v>1.02</v>
      </c>
      <c r="Q81" s="64">
        <v>9.44</v>
      </c>
      <c r="R81" s="198"/>
      <c r="S81" s="198"/>
      <c r="T81" s="198"/>
      <c r="U81" s="198"/>
    </row>
    <row r="82" spans="1:26" s="12" customFormat="1" x14ac:dyDescent="0.25">
      <c r="A82" s="211" t="s">
        <v>1761</v>
      </c>
      <c r="B82" s="64">
        <v>11.08</v>
      </c>
      <c r="C82" s="64">
        <v>22.06</v>
      </c>
      <c r="D82" s="64">
        <v>19.95</v>
      </c>
      <c r="E82" s="64">
        <v>4.41</v>
      </c>
      <c r="F82" s="64">
        <v>3.3</v>
      </c>
      <c r="G82" s="64">
        <v>68.069999999999993</v>
      </c>
      <c r="H82" s="64">
        <v>27.04</v>
      </c>
      <c r="I82" s="64">
        <v>3.16</v>
      </c>
      <c r="J82" s="64">
        <v>7.0000000000000007E-2</v>
      </c>
      <c r="K82" s="64">
        <v>330.65</v>
      </c>
      <c r="L82" s="64">
        <v>19.12</v>
      </c>
      <c r="M82" s="64">
        <v>46.05</v>
      </c>
      <c r="N82" s="64">
        <v>42.5</v>
      </c>
      <c r="O82" s="64">
        <v>0</v>
      </c>
      <c r="P82" s="64">
        <v>0.94</v>
      </c>
      <c r="Q82" s="64">
        <v>9.44</v>
      </c>
      <c r="R82" s="198"/>
      <c r="S82" s="198"/>
      <c r="T82" s="198"/>
      <c r="U82" s="198"/>
    </row>
    <row r="83" spans="1:26" s="12" customFormat="1" x14ac:dyDescent="0.25">
      <c r="A83" s="211" t="s">
        <v>1762</v>
      </c>
      <c r="B83" s="64">
        <v>13.9</v>
      </c>
      <c r="C83" s="64">
        <v>21.4</v>
      </c>
      <c r="D83" s="64">
        <v>21.87</v>
      </c>
      <c r="E83" s="64">
        <v>4.33</v>
      </c>
      <c r="F83" s="64">
        <v>3.2</v>
      </c>
      <c r="G83" s="64">
        <v>68.97</v>
      </c>
      <c r="H83" s="64">
        <v>27.04</v>
      </c>
      <c r="I83" s="64">
        <v>3.1</v>
      </c>
      <c r="J83" s="64">
        <v>0.06</v>
      </c>
      <c r="K83" s="64">
        <v>26.71</v>
      </c>
      <c r="L83" s="64">
        <v>18.59</v>
      </c>
      <c r="M83" s="64">
        <v>49.6</v>
      </c>
      <c r="N83" s="64">
        <v>42.3</v>
      </c>
      <c r="O83" s="64">
        <v>0</v>
      </c>
      <c r="P83" s="64">
        <v>0.98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1" t="s">
        <v>1763</v>
      </c>
      <c r="B84" s="64">
        <v>14.31</v>
      </c>
      <c r="C84" s="64">
        <v>22.1</v>
      </c>
      <c r="D84" s="64">
        <v>22.56</v>
      </c>
      <c r="E84" s="64">
        <v>4.3600000000000003</v>
      </c>
      <c r="F84" s="64">
        <v>3.25</v>
      </c>
      <c r="G84" s="64">
        <v>68.97</v>
      </c>
      <c r="H84" s="64">
        <v>27.04</v>
      </c>
      <c r="I84" s="64">
        <v>3.28</v>
      </c>
      <c r="J84" s="64">
        <v>0.1</v>
      </c>
      <c r="K84" s="64">
        <v>67.180000000000007</v>
      </c>
      <c r="L84" s="64">
        <v>19.079999999999998</v>
      </c>
      <c r="M84" s="64">
        <v>41.67</v>
      </c>
      <c r="N84" s="64">
        <v>41.9</v>
      </c>
      <c r="O84" s="64">
        <v>0</v>
      </c>
      <c r="P84" s="64">
        <v>1.03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1" t="s">
        <v>1764</v>
      </c>
      <c r="B85" s="64">
        <v>15.94</v>
      </c>
      <c r="C85" s="64">
        <v>23.54</v>
      </c>
      <c r="D85" s="64">
        <v>24.62</v>
      </c>
      <c r="E85" s="64">
        <v>4.25</v>
      </c>
      <c r="F85" s="64">
        <v>3</v>
      </c>
      <c r="G85" s="64">
        <v>68.97</v>
      </c>
      <c r="H85" s="64">
        <v>27.04</v>
      </c>
      <c r="I85" s="64">
        <v>3.47</v>
      </c>
      <c r="J85" s="64">
        <v>0.04</v>
      </c>
      <c r="K85" s="64">
        <v>36.630000000000003</v>
      </c>
      <c r="L85" s="64">
        <v>19.190000000000001</v>
      </c>
      <c r="M85" s="64">
        <v>38.020000000000003</v>
      </c>
      <c r="N85" s="64">
        <v>42</v>
      </c>
      <c r="O85" s="64">
        <v>0</v>
      </c>
      <c r="P85" s="64">
        <v>1.06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1" t="s">
        <v>1765</v>
      </c>
      <c r="B86" s="64">
        <v>15.26</v>
      </c>
      <c r="C86" s="64">
        <v>21.73</v>
      </c>
      <c r="D86" s="64">
        <v>23.13</v>
      </c>
      <c r="E86" s="64">
        <v>4.25</v>
      </c>
      <c r="F86" s="64">
        <v>3.73</v>
      </c>
      <c r="G86" s="64">
        <v>83.29</v>
      </c>
      <c r="H86" s="64">
        <v>30.91</v>
      </c>
      <c r="I86" s="64">
        <v>3.63</v>
      </c>
      <c r="J86" s="64">
        <v>0.14000000000000001</v>
      </c>
      <c r="K86" s="64">
        <v>86.81</v>
      </c>
      <c r="L86" s="64">
        <v>19.170000000000002</v>
      </c>
      <c r="M86" s="64">
        <v>36.409999999999997</v>
      </c>
      <c r="N86" s="64">
        <v>41.9</v>
      </c>
      <c r="O86" s="64">
        <v>0</v>
      </c>
      <c r="P86" s="64">
        <v>1.0900000000000001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11" t="s">
        <v>1766</v>
      </c>
      <c r="B87" s="64">
        <v>15.21</v>
      </c>
      <c r="C87" s="64">
        <v>20.86</v>
      </c>
      <c r="D87" s="64">
        <v>22.63</v>
      </c>
      <c r="E87" s="64">
        <v>3.49</v>
      </c>
      <c r="F87" s="64">
        <v>3.29</v>
      </c>
      <c r="G87" s="64">
        <v>84.31</v>
      </c>
      <c r="H87" s="64">
        <v>30.91</v>
      </c>
      <c r="I87" s="64">
        <v>3.72</v>
      </c>
      <c r="J87" s="64">
        <v>0.01</v>
      </c>
      <c r="K87" s="64">
        <v>323.35000000000002</v>
      </c>
      <c r="L87" s="64">
        <v>18.95</v>
      </c>
      <c r="M87" s="64">
        <v>38.14</v>
      </c>
      <c r="N87" s="64">
        <v>42.3</v>
      </c>
      <c r="O87" s="64">
        <v>0</v>
      </c>
      <c r="P87" s="64">
        <v>1.1000000000000001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1" t="s">
        <v>1767</v>
      </c>
      <c r="B88" s="64">
        <v>15.22</v>
      </c>
      <c r="C88" s="64">
        <v>20.62</v>
      </c>
      <c r="D88" s="64">
        <v>22.52</v>
      </c>
      <c r="E88" s="64">
        <v>3.55</v>
      </c>
      <c r="F88" s="64">
        <v>3.1</v>
      </c>
      <c r="G88" s="64">
        <v>84.31</v>
      </c>
      <c r="H88" s="64">
        <v>30.91</v>
      </c>
      <c r="I88" s="64">
        <v>4</v>
      </c>
      <c r="J88" s="64">
        <v>0.14000000000000001</v>
      </c>
      <c r="K88" s="64">
        <v>322.70999999999998</v>
      </c>
      <c r="L88" s="64">
        <v>18.100000000000001</v>
      </c>
      <c r="M88" s="64">
        <v>46.29</v>
      </c>
      <c r="N88" s="64">
        <v>42.7</v>
      </c>
      <c r="O88" s="64">
        <v>0</v>
      </c>
      <c r="P88" s="64">
        <v>1.1000000000000001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1" t="s">
        <v>1768</v>
      </c>
      <c r="B89" s="64">
        <v>16.63</v>
      </c>
      <c r="C89" s="64">
        <v>20.2</v>
      </c>
      <c r="D89" s="64">
        <v>23.42</v>
      </c>
      <c r="E89" s="64">
        <v>4.0199999999999996</v>
      </c>
      <c r="F89" s="64">
        <v>3.24</v>
      </c>
      <c r="G89" s="64">
        <v>84.31</v>
      </c>
      <c r="H89" s="64">
        <v>30.91</v>
      </c>
      <c r="I89" s="64">
        <v>3.92</v>
      </c>
      <c r="J89" s="64">
        <v>0.12</v>
      </c>
      <c r="K89" s="64">
        <v>334.86</v>
      </c>
      <c r="L89" s="64">
        <v>17.23</v>
      </c>
      <c r="M89" s="64">
        <v>50.97</v>
      </c>
      <c r="N89" s="64">
        <v>42.7</v>
      </c>
      <c r="O89" s="64">
        <v>0</v>
      </c>
      <c r="P89" s="64">
        <v>1.1499999999999999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1" t="s">
        <v>1769</v>
      </c>
      <c r="B90" s="64">
        <v>19.47</v>
      </c>
      <c r="C90" s="64">
        <v>19.32</v>
      </c>
      <c r="D90" s="64">
        <v>25.25</v>
      </c>
      <c r="E90" s="64">
        <v>3.97</v>
      </c>
      <c r="F90" s="64">
        <v>3.14</v>
      </c>
      <c r="G90" s="64">
        <v>82.12</v>
      </c>
      <c r="H90" s="64">
        <v>29.25</v>
      </c>
      <c r="I90" s="64">
        <v>3.78</v>
      </c>
      <c r="J90" s="64">
        <v>0.13</v>
      </c>
      <c r="K90" s="64">
        <v>322.72000000000003</v>
      </c>
      <c r="L90" s="64">
        <v>16.899999999999999</v>
      </c>
      <c r="M90" s="64">
        <v>52.34</v>
      </c>
      <c r="N90" s="64">
        <v>42.2</v>
      </c>
      <c r="O90" s="64">
        <v>0</v>
      </c>
      <c r="P90" s="64">
        <v>1.19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1" t="s">
        <v>1770</v>
      </c>
      <c r="B91" s="64">
        <v>23.4</v>
      </c>
      <c r="C91" s="64">
        <v>18.72</v>
      </c>
      <c r="D91" s="64">
        <v>28.09</v>
      </c>
      <c r="E91" s="64">
        <v>3.87</v>
      </c>
      <c r="F91" s="64">
        <v>2.94</v>
      </c>
      <c r="G91" s="64">
        <v>81.97</v>
      </c>
      <c r="H91" s="64">
        <v>29.25</v>
      </c>
      <c r="I91" s="64">
        <v>3.86</v>
      </c>
      <c r="J91" s="64">
        <v>0.14000000000000001</v>
      </c>
      <c r="K91" s="64">
        <v>315.97000000000003</v>
      </c>
      <c r="L91" s="64">
        <v>16.78</v>
      </c>
      <c r="M91" s="64">
        <v>51.72</v>
      </c>
      <c r="N91" s="64">
        <v>42.2</v>
      </c>
      <c r="O91" s="64">
        <v>0</v>
      </c>
      <c r="P91" s="64">
        <v>1.24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1" t="s">
        <v>1771</v>
      </c>
      <c r="B92" s="64">
        <v>30.18</v>
      </c>
      <c r="C92" s="64">
        <v>15.39</v>
      </c>
      <c r="D92" s="64">
        <v>31.78</v>
      </c>
      <c r="E92" s="64">
        <v>3.84</v>
      </c>
      <c r="F92" s="64">
        <v>2.88</v>
      </c>
      <c r="G92" s="64">
        <v>81.97</v>
      </c>
      <c r="H92" s="64">
        <v>29.25</v>
      </c>
      <c r="I92" s="64">
        <v>3.95</v>
      </c>
      <c r="J92" s="64">
        <v>0.13</v>
      </c>
      <c r="K92" s="64">
        <v>347.73</v>
      </c>
      <c r="L92" s="64">
        <v>16.690000000000001</v>
      </c>
      <c r="M92" s="64">
        <v>56.87</v>
      </c>
      <c r="N92" s="64">
        <v>42.4</v>
      </c>
      <c r="O92" s="64">
        <v>0</v>
      </c>
      <c r="P92" s="64">
        <v>1.35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1" t="s">
        <v>1772</v>
      </c>
      <c r="B93" s="64">
        <v>28.91</v>
      </c>
      <c r="C93" s="64">
        <v>18.36</v>
      </c>
      <c r="D93" s="64">
        <v>32.32</v>
      </c>
      <c r="E93" s="64">
        <v>3.97</v>
      </c>
      <c r="F93" s="64">
        <v>3.14</v>
      </c>
      <c r="G93" s="64">
        <v>81.97</v>
      </c>
      <c r="H93" s="64">
        <v>29.25</v>
      </c>
      <c r="I93" s="64">
        <v>4.0599999999999996</v>
      </c>
      <c r="J93" s="64">
        <v>0.08</v>
      </c>
      <c r="K93" s="64">
        <v>16.559999999999999</v>
      </c>
      <c r="L93" s="64">
        <v>16.649999999999999</v>
      </c>
      <c r="M93" s="64">
        <v>49.12</v>
      </c>
      <c r="N93" s="64">
        <v>42</v>
      </c>
      <c r="O93" s="64">
        <v>0</v>
      </c>
      <c r="P93" s="64">
        <v>1.46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1" t="s">
        <v>1773</v>
      </c>
      <c r="B94" s="64">
        <v>27.56</v>
      </c>
      <c r="C94" s="64">
        <v>20.59</v>
      </c>
      <c r="D94" s="64">
        <v>32.4</v>
      </c>
      <c r="E94" s="64">
        <v>4.37</v>
      </c>
      <c r="F94" s="64">
        <v>3.81</v>
      </c>
      <c r="G94" s="64">
        <v>85.11</v>
      </c>
      <c r="H94" s="64">
        <v>30.83</v>
      </c>
      <c r="I94" s="64">
        <v>4.18</v>
      </c>
      <c r="J94" s="64">
        <v>0.1</v>
      </c>
      <c r="K94" s="64">
        <v>67.7</v>
      </c>
      <c r="L94" s="64">
        <v>17.09</v>
      </c>
      <c r="M94" s="64">
        <v>44.36</v>
      </c>
      <c r="N94" s="64">
        <v>42.1</v>
      </c>
      <c r="O94" s="64">
        <v>0</v>
      </c>
      <c r="P94" s="64">
        <v>1.46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1" t="s">
        <v>1774</v>
      </c>
      <c r="B95" s="64">
        <v>26.23</v>
      </c>
      <c r="C95" s="64">
        <v>23.13</v>
      </c>
      <c r="D95" s="64">
        <v>32.65</v>
      </c>
      <c r="E95" s="64">
        <v>4.6500000000000004</v>
      </c>
      <c r="F95" s="64">
        <v>4.62</v>
      </c>
      <c r="G95" s="64">
        <v>85.34</v>
      </c>
      <c r="H95" s="64">
        <v>30.83</v>
      </c>
      <c r="I95" s="64">
        <v>4.26</v>
      </c>
      <c r="J95" s="64">
        <v>0.11</v>
      </c>
      <c r="K95" s="64">
        <v>61.82</v>
      </c>
      <c r="L95" s="64">
        <v>17.27</v>
      </c>
      <c r="M95" s="64">
        <v>42.72</v>
      </c>
      <c r="N95" s="64">
        <v>42.2</v>
      </c>
      <c r="O95" s="64">
        <v>0</v>
      </c>
      <c r="P95" s="64">
        <v>1.47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1" t="s">
        <v>1775</v>
      </c>
      <c r="B96" s="64">
        <v>26.7</v>
      </c>
      <c r="C96" s="64">
        <v>22.38</v>
      </c>
      <c r="D96" s="64">
        <v>32.64</v>
      </c>
      <c r="E96" s="64">
        <v>4.42</v>
      </c>
      <c r="F96" s="64">
        <v>3.49</v>
      </c>
      <c r="G96" s="64">
        <v>85.34</v>
      </c>
      <c r="H96" s="64">
        <v>30.83</v>
      </c>
      <c r="I96" s="64">
        <v>4.29</v>
      </c>
      <c r="J96" s="64">
        <v>0.05</v>
      </c>
      <c r="K96" s="64">
        <v>46.75</v>
      </c>
      <c r="L96" s="64">
        <v>17.21</v>
      </c>
      <c r="M96" s="64">
        <v>42.94</v>
      </c>
      <c r="N96" s="64">
        <v>42.2</v>
      </c>
      <c r="O96" s="64">
        <v>0</v>
      </c>
      <c r="P96" s="64">
        <v>1.47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1776</v>
      </c>
      <c r="B97" s="64">
        <v>28.6</v>
      </c>
      <c r="C97" s="64">
        <v>16.399999999999999</v>
      </c>
      <c r="D97" s="64">
        <v>31.04</v>
      </c>
      <c r="E97" s="64">
        <v>3.92</v>
      </c>
      <c r="F97" s="64">
        <v>3.38</v>
      </c>
      <c r="G97" s="64">
        <v>85.34</v>
      </c>
      <c r="H97" s="64">
        <v>30.83</v>
      </c>
      <c r="I97" s="64">
        <v>4.3099999999999996</v>
      </c>
      <c r="J97" s="64">
        <v>0.12</v>
      </c>
      <c r="K97" s="64">
        <v>299.11</v>
      </c>
      <c r="L97" s="64">
        <v>16.75</v>
      </c>
      <c r="M97" s="64">
        <v>50.31</v>
      </c>
      <c r="N97" s="64">
        <v>42.5</v>
      </c>
      <c r="O97" s="64">
        <v>0</v>
      </c>
      <c r="P97" s="64">
        <v>1.47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1" t="s">
        <v>1777</v>
      </c>
      <c r="B98" s="64">
        <v>29.55</v>
      </c>
      <c r="C98" s="64">
        <v>16.2</v>
      </c>
      <c r="D98" s="64">
        <v>31.7</v>
      </c>
      <c r="E98" s="64">
        <v>3.99</v>
      </c>
      <c r="F98" s="64">
        <v>3.31</v>
      </c>
      <c r="G98" s="64">
        <v>83.58</v>
      </c>
      <c r="H98" s="64">
        <v>30.83</v>
      </c>
      <c r="I98" s="64">
        <v>4.62</v>
      </c>
      <c r="J98" s="64">
        <v>0.09</v>
      </c>
      <c r="K98" s="64">
        <v>286.14</v>
      </c>
      <c r="L98" s="64">
        <v>15.93</v>
      </c>
      <c r="M98" s="64">
        <v>54.92</v>
      </c>
      <c r="N98" s="64">
        <v>42.6</v>
      </c>
      <c r="O98" s="64">
        <v>0</v>
      </c>
      <c r="P98" s="64">
        <v>1.48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1" t="s">
        <v>1778</v>
      </c>
      <c r="B99" s="64">
        <v>29.55</v>
      </c>
      <c r="C99" s="64">
        <v>14.76</v>
      </c>
      <c r="D99" s="64">
        <v>30.95</v>
      </c>
      <c r="E99" s="64">
        <v>3.91</v>
      </c>
      <c r="F99" s="64">
        <v>3.42</v>
      </c>
      <c r="G99" s="64">
        <v>83.45</v>
      </c>
      <c r="H99" s="64">
        <v>30.83</v>
      </c>
      <c r="I99" s="64">
        <v>4.54</v>
      </c>
      <c r="J99" s="64">
        <v>0.09</v>
      </c>
      <c r="K99" s="64">
        <v>254.78</v>
      </c>
      <c r="L99" s="64">
        <v>15.45</v>
      </c>
      <c r="M99" s="64">
        <v>60.33</v>
      </c>
      <c r="N99" s="64">
        <v>42.3</v>
      </c>
      <c r="O99" s="64">
        <v>0</v>
      </c>
      <c r="P99" s="64">
        <v>1.47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1" t="s">
        <v>1779</v>
      </c>
      <c r="B100" s="64">
        <v>29.55</v>
      </c>
      <c r="C100" s="64">
        <v>14</v>
      </c>
      <c r="D100" s="64">
        <v>30.55</v>
      </c>
      <c r="E100" s="64">
        <v>4.0599999999999996</v>
      </c>
      <c r="F100" s="64">
        <v>3.4</v>
      </c>
      <c r="G100" s="64">
        <v>83.45</v>
      </c>
      <c r="H100" s="64">
        <v>30.83</v>
      </c>
      <c r="I100" s="64">
        <v>4.33</v>
      </c>
      <c r="J100" s="64">
        <v>0.02</v>
      </c>
      <c r="K100" s="64">
        <v>15.61</v>
      </c>
      <c r="L100" s="64">
        <v>15.41</v>
      </c>
      <c r="M100" s="64">
        <v>54.58</v>
      </c>
      <c r="N100" s="64">
        <v>42.2</v>
      </c>
      <c r="O100" s="64">
        <v>0</v>
      </c>
      <c r="P100" s="64">
        <v>1.43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1780</v>
      </c>
      <c r="B101" s="64">
        <v>29.24</v>
      </c>
      <c r="C101" s="64">
        <v>14.13</v>
      </c>
      <c r="D101" s="64">
        <v>30.37</v>
      </c>
      <c r="E101" s="64">
        <v>4</v>
      </c>
      <c r="F101" s="64">
        <v>3.2</v>
      </c>
      <c r="G101" s="64">
        <v>83.45</v>
      </c>
      <c r="H101" s="64">
        <v>30.83</v>
      </c>
      <c r="I101" s="64">
        <v>4.3499999999999996</v>
      </c>
      <c r="J101" s="64">
        <v>0.1</v>
      </c>
      <c r="K101" s="64">
        <v>31.21</v>
      </c>
      <c r="L101" s="64">
        <v>15.78</v>
      </c>
      <c r="M101" s="64">
        <v>51.45</v>
      </c>
      <c r="N101" s="64">
        <v>42.2</v>
      </c>
      <c r="O101" s="64">
        <v>0</v>
      </c>
      <c r="P101" s="64">
        <v>1.39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1" t="s">
        <v>1781</v>
      </c>
      <c r="B102" s="64">
        <v>28.98</v>
      </c>
      <c r="C102" s="64">
        <v>14.11</v>
      </c>
      <c r="D102" s="64">
        <v>30.16</v>
      </c>
      <c r="E102" s="64">
        <v>3.87</v>
      </c>
      <c r="F102" s="64">
        <v>2.99</v>
      </c>
      <c r="G102" s="64">
        <v>81.91</v>
      </c>
      <c r="H102" s="64">
        <v>34.25</v>
      </c>
      <c r="I102" s="64">
        <v>4.32</v>
      </c>
      <c r="J102" s="64">
        <v>0.12</v>
      </c>
      <c r="K102" s="64">
        <v>92.25</v>
      </c>
      <c r="L102" s="64">
        <v>15.95</v>
      </c>
      <c r="M102" s="64">
        <v>49.79</v>
      </c>
      <c r="N102" s="64">
        <v>42.1</v>
      </c>
      <c r="O102" s="64">
        <v>0</v>
      </c>
      <c r="P102" s="64">
        <v>1.36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1" t="s">
        <v>1782</v>
      </c>
      <c r="B103" s="64">
        <v>28.41</v>
      </c>
      <c r="C103" s="64">
        <v>14.39</v>
      </c>
      <c r="D103" s="64">
        <v>29.84</v>
      </c>
      <c r="E103" s="64">
        <v>3.72</v>
      </c>
      <c r="F103" s="64">
        <v>3.17</v>
      </c>
      <c r="G103" s="64">
        <v>81.819999999999993</v>
      </c>
      <c r="H103" s="64">
        <v>34.25</v>
      </c>
      <c r="I103" s="64">
        <v>4.29</v>
      </c>
      <c r="J103" s="64">
        <v>0.09</v>
      </c>
      <c r="K103" s="64">
        <v>79.540000000000006</v>
      </c>
      <c r="L103" s="64">
        <v>16.16</v>
      </c>
      <c r="M103" s="64">
        <v>47.71</v>
      </c>
      <c r="N103" s="64">
        <v>42.2</v>
      </c>
      <c r="O103" s="64">
        <v>0</v>
      </c>
      <c r="P103" s="64">
        <v>1.35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1" t="s">
        <v>1783</v>
      </c>
      <c r="B104" s="64">
        <v>27.62</v>
      </c>
      <c r="C104" s="64">
        <v>14.6</v>
      </c>
      <c r="D104" s="64">
        <v>29.32</v>
      </c>
      <c r="E104" s="64">
        <v>4.99</v>
      </c>
      <c r="F104" s="64">
        <v>3.17</v>
      </c>
      <c r="G104" s="64">
        <v>81.819999999999993</v>
      </c>
      <c r="H104" s="64">
        <v>34.25</v>
      </c>
      <c r="I104" s="64">
        <v>4.28</v>
      </c>
      <c r="J104" s="64">
        <v>0.05</v>
      </c>
      <c r="K104" s="64">
        <v>117.63</v>
      </c>
      <c r="L104" s="64">
        <v>16.010000000000002</v>
      </c>
      <c r="M104" s="64">
        <v>48.7</v>
      </c>
      <c r="N104" s="64">
        <v>42.3</v>
      </c>
      <c r="O104" s="64">
        <v>0</v>
      </c>
      <c r="P104" s="64">
        <v>1.33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5.21</v>
      </c>
      <c r="C106" s="67">
        <f>MIN(C9:C104)</f>
        <v>0.24</v>
      </c>
      <c r="D106" s="67">
        <f t="shared" ref="D106:Q106" si="0">MIN(D9:D104)</f>
        <v>17.21</v>
      </c>
      <c r="E106" s="67">
        <f t="shared" si="0"/>
        <v>3.48</v>
      </c>
      <c r="F106" s="67">
        <f t="shared" si="0"/>
        <v>2.88</v>
      </c>
      <c r="G106" s="67">
        <f t="shared" si="0"/>
        <v>50.5</v>
      </c>
      <c r="H106" s="67">
        <f t="shared" si="0"/>
        <v>17.12</v>
      </c>
      <c r="I106" s="67">
        <f t="shared" si="0"/>
        <v>3.1</v>
      </c>
      <c r="J106" s="67">
        <f t="shared" si="0"/>
        <v>0.01</v>
      </c>
      <c r="K106" s="67">
        <f t="shared" si="0"/>
        <v>4.25</v>
      </c>
      <c r="L106" s="67">
        <f t="shared" si="0"/>
        <v>13.59</v>
      </c>
      <c r="M106" s="67">
        <f t="shared" si="0"/>
        <v>19.5</v>
      </c>
      <c r="N106" s="67">
        <f t="shared" si="0"/>
        <v>41.8</v>
      </c>
      <c r="O106" s="67">
        <f t="shared" si="0"/>
        <v>0</v>
      </c>
      <c r="P106" s="67">
        <f t="shared" si="0"/>
        <v>0.7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68.91</v>
      </c>
      <c r="C107" s="66">
        <f t="shared" ref="C107:Q107" si="1">MAX(C9:C104)</f>
        <v>38.619999999999997</v>
      </c>
      <c r="D107" s="66">
        <f t="shared" si="1"/>
        <v>53.34</v>
      </c>
      <c r="E107" s="66">
        <f t="shared" si="1"/>
        <v>14.5</v>
      </c>
      <c r="F107" s="66">
        <f t="shared" si="1"/>
        <v>17.420000000000002</v>
      </c>
      <c r="G107" s="66">
        <f t="shared" si="1"/>
        <v>147.75</v>
      </c>
      <c r="H107" s="66">
        <f t="shared" si="1"/>
        <v>57.29</v>
      </c>
      <c r="I107" s="66">
        <f t="shared" si="1"/>
        <v>8.3000000000000007</v>
      </c>
      <c r="J107" s="66">
        <f t="shared" si="1"/>
        <v>1.23</v>
      </c>
      <c r="K107" s="66">
        <f t="shared" si="1"/>
        <v>357.55</v>
      </c>
      <c r="L107" s="66">
        <f t="shared" si="1"/>
        <v>28.84</v>
      </c>
      <c r="M107" s="66">
        <f t="shared" si="1"/>
        <v>96.51</v>
      </c>
      <c r="N107" s="66">
        <f t="shared" si="1"/>
        <v>675.2</v>
      </c>
      <c r="O107" s="66">
        <f t="shared" si="1"/>
        <v>0</v>
      </c>
      <c r="P107" s="66">
        <f t="shared" si="1"/>
        <v>2.5299999999999998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26.04677083333333</v>
      </c>
      <c r="C108" s="67">
        <f t="shared" ref="C108:Q108" si="2">AVERAGE(C9:C104)</f>
        <v>18.739770114942527</v>
      </c>
      <c r="D108" s="67">
        <f t="shared" si="2"/>
        <v>29.158750000000008</v>
      </c>
      <c r="E108" s="67">
        <f t="shared" si="2"/>
        <v>5.4732291666666688</v>
      </c>
      <c r="F108" s="67">
        <f t="shared" si="2"/>
        <v>4.4697916666666666</v>
      </c>
      <c r="G108" s="67">
        <f t="shared" si="2"/>
        <v>89.727500000000035</v>
      </c>
      <c r="H108" s="67">
        <f t="shared" si="2"/>
        <v>35.835833333333312</v>
      </c>
      <c r="I108" s="67">
        <f t="shared" si="2"/>
        <v>5.0406250000000012</v>
      </c>
      <c r="J108" s="67">
        <f t="shared" si="2"/>
        <v>0.31427083333333344</v>
      </c>
      <c r="K108" s="67">
        <f t="shared" si="2"/>
        <v>243.67145833333328</v>
      </c>
      <c r="L108" s="67">
        <f t="shared" si="2"/>
        <v>19.798229166666669</v>
      </c>
      <c r="M108" s="67">
        <f t="shared" si="2"/>
        <v>50.308437499999997</v>
      </c>
      <c r="N108" s="67">
        <f t="shared" si="2"/>
        <v>188.17083333333335</v>
      </c>
      <c r="O108" s="67">
        <f t="shared" si="2"/>
        <v>0</v>
      </c>
      <c r="P108" s="67">
        <f t="shared" si="2"/>
        <v>1.3281249999999998</v>
      </c>
      <c r="Q108" s="67">
        <f t="shared" si="2"/>
        <v>9.577812499999995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17.322166480206302</v>
      </c>
      <c r="C109" s="67">
        <f t="shared" ref="C109:Q109" si="3">STDEV(C9:C104)</f>
        <v>8.4673967028409987</v>
      </c>
      <c r="D109" s="67">
        <f t="shared" si="3"/>
        <v>9.1296129219842825</v>
      </c>
      <c r="E109" s="67">
        <f t="shared" si="3"/>
        <v>2.1137611749733116</v>
      </c>
      <c r="F109" s="67">
        <f t="shared" si="3"/>
        <v>2.4846662294823028</v>
      </c>
      <c r="G109" s="67">
        <f t="shared" si="3"/>
        <v>29.801278672672758</v>
      </c>
      <c r="H109" s="67">
        <f t="shared" si="3"/>
        <v>13.399487788063352</v>
      </c>
      <c r="I109" s="67">
        <f t="shared" si="3"/>
        <v>1.6031769856657814</v>
      </c>
      <c r="J109" s="67">
        <f t="shared" si="3"/>
        <v>0.29918395957448402</v>
      </c>
      <c r="K109" s="67">
        <f t="shared" si="3"/>
        <v>130.39164466272729</v>
      </c>
      <c r="L109" s="67">
        <f t="shared" si="3"/>
        <v>5.0610005240885343</v>
      </c>
      <c r="M109" s="67">
        <f t="shared" si="3"/>
        <v>23.975253659955545</v>
      </c>
      <c r="N109" s="67">
        <f t="shared" si="3"/>
        <v>228.65793202334569</v>
      </c>
      <c r="O109" s="67">
        <f t="shared" si="3"/>
        <v>0</v>
      </c>
      <c r="P109" s="67">
        <f t="shared" si="3"/>
        <v>0.46832582562503328</v>
      </c>
      <c r="Q109" s="67">
        <f t="shared" si="3"/>
        <v>0.13149507195088511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COUNT(C9:C104)+9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5" sqref="D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1784</v>
      </c>
      <c r="B9" s="64">
        <v>26.55</v>
      </c>
      <c r="C9" s="64">
        <v>14.85</v>
      </c>
      <c r="D9" s="64">
        <v>28.59</v>
      </c>
      <c r="E9" s="64">
        <v>5.7</v>
      </c>
      <c r="F9" s="64">
        <v>3.1</v>
      </c>
      <c r="G9" s="64">
        <v>81.819999999999993</v>
      </c>
      <c r="H9" s="64">
        <v>34.25</v>
      </c>
      <c r="I9" s="64">
        <v>4.26</v>
      </c>
      <c r="J9" s="64">
        <v>0.11</v>
      </c>
      <c r="K9" s="64">
        <v>317.73</v>
      </c>
      <c r="L9" s="64">
        <v>15.7</v>
      </c>
      <c r="M9" s="64">
        <v>52.56</v>
      </c>
      <c r="N9" s="64">
        <v>42.2</v>
      </c>
      <c r="O9" s="64">
        <v>0</v>
      </c>
      <c r="P9" s="64">
        <v>1.31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1" t="s">
        <v>1785</v>
      </c>
      <c r="B10" s="64">
        <v>25.91</v>
      </c>
      <c r="C10" s="64">
        <v>14.88</v>
      </c>
      <c r="D10" s="64">
        <v>28.09</v>
      </c>
      <c r="E10" s="64">
        <v>5.42</v>
      </c>
      <c r="F10" s="64">
        <v>2.96</v>
      </c>
      <c r="G10" s="64">
        <v>76.7</v>
      </c>
      <c r="H10" s="64">
        <v>29.81</v>
      </c>
      <c r="I10" s="64">
        <v>4.21</v>
      </c>
      <c r="J10" s="64">
        <v>0.22</v>
      </c>
      <c r="K10" s="64">
        <v>352.22</v>
      </c>
      <c r="L10" s="64">
        <v>15.14</v>
      </c>
      <c r="M10" s="64">
        <v>61.84</v>
      </c>
      <c r="N10" s="64">
        <v>42.5</v>
      </c>
      <c r="O10" s="64">
        <v>0</v>
      </c>
      <c r="P10" s="64">
        <v>1.31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1" t="s">
        <v>1786</v>
      </c>
      <c r="B11" s="64">
        <v>25.48</v>
      </c>
      <c r="C11" s="64">
        <v>14.94</v>
      </c>
      <c r="D11" s="64">
        <v>27.78</v>
      </c>
      <c r="E11" s="64">
        <v>5.83</v>
      </c>
      <c r="F11" s="64">
        <v>3</v>
      </c>
      <c r="G11" s="64">
        <v>76.34</v>
      </c>
      <c r="H11" s="64">
        <v>29.81</v>
      </c>
      <c r="I11" s="64">
        <v>4.2</v>
      </c>
      <c r="J11" s="64">
        <v>0.11</v>
      </c>
      <c r="K11" s="64">
        <v>12.13</v>
      </c>
      <c r="L11" s="64">
        <v>15.21</v>
      </c>
      <c r="M11" s="64">
        <v>54.75</v>
      </c>
      <c r="N11" s="64">
        <v>42</v>
      </c>
      <c r="O11" s="64">
        <v>0</v>
      </c>
      <c r="P11" s="64">
        <v>1.28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1" t="s">
        <v>1787</v>
      </c>
      <c r="B12" s="64">
        <v>24.49</v>
      </c>
      <c r="C12" s="64">
        <v>15.24</v>
      </c>
      <c r="D12" s="64">
        <v>27.14</v>
      </c>
      <c r="E12" s="64">
        <v>5.76</v>
      </c>
      <c r="F12" s="64">
        <v>2.9</v>
      </c>
      <c r="G12" s="64">
        <v>76.34</v>
      </c>
      <c r="H12" s="64">
        <v>29.81</v>
      </c>
      <c r="I12" s="64">
        <v>4.18</v>
      </c>
      <c r="J12" s="64">
        <v>0.18</v>
      </c>
      <c r="K12" s="64">
        <v>2.36</v>
      </c>
      <c r="L12" s="64">
        <v>15.4</v>
      </c>
      <c r="M12" s="64">
        <v>54.81</v>
      </c>
      <c r="N12" s="64">
        <v>42</v>
      </c>
      <c r="O12" s="64">
        <v>0</v>
      </c>
      <c r="P12" s="64">
        <v>1.25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1" t="s">
        <v>1788</v>
      </c>
      <c r="B13" s="64">
        <v>23.4</v>
      </c>
      <c r="C13" s="64">
        <v>15.55</v>
      </c>
      <c r="D13" s="64">
        <v>26.43</v>
      </c>
      <c r="E13" s="64">
        <v>5.58</v>
      </c>
      <c r="F13" s="64">
        <v>2.74</v>
      </c>
      <c r="G13" s="64">
        <v>76.34</v>
      </c>
      <c r="H13" s="64">
        <v>29.81</v>
      </c>
      <c r="I13" s="64">
        <v>4.1399999999999997</v>
      </c>
      <c r="J13" s="64">
        <v>0.09</v>
      </c>
      <c r="K13" s="64">
        <v>86.18</v>
      </c>
      <c r="L13" s="64">
        <v>15.22</v>
      </c>
      <c r="M13" s="64">
        <v>55.49</v>
      </c>
      <c r="N13" s="64">
        <v>42.3</v>
      </c>
      <c r="O13" s="64">
        <v>0</v>
      </c>
      <c r="P13" s="64">
        <v>1.18</v>
      </c>
      <c r="Q13" s="64">
        <v>9.65</v>
      </c>
      <c r="R13" s="198"/>
      <c r="S13" s="198"/>
      <c r="T13" s="198"/>
      <c r="U13" s="198"/>
    </row>
    <row r="14" spans="1:21" s="12" customFormat="1" x14ac:dyDescent="0.25">
      <c r="A14" s="211" t="s">
        <v>1789</v>
      </c>
      <c r="B14" s="64">
        <v>22.57</v>
      </c>
      <c r="C14" s="64">
        <v>15.7</v>
      </c>
      <c r="D14" s="64">
        <v>25.84</v>
      </c>
      <c r="E14" s="64">
        <v>5.68</v>
      </c>
      <c r="F14" s="64">
        <v>2.64</v>
      </c>
      <c r="G14" s="64">
        <v>78.28</v>
      </c>
      <c r="H14" s="64">
        <v>30.24</v>
      </c>
      <c r="I14" s="64">
        <v>4.1100000000000003</v>
      </c>
      <c r="J14" s="64">
        <v>0.26</v>
      </c>
      <c r="K14" s="64">
        <v>332.53</v>
      </c>
      <c r="L14" s="64">
        <v>15.14</v>
      </c>
      <c r="M14" s="64">
        <v>57.57</v>
      </c>
      <c r="N14" s="64">
        <v>41.8</v>
      </c>
      <c r="O14" s="64">
        <v>0</v>
      </c>
      <c r="P14" s="64">
        <v>1.25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1" t="s">
        <v>1790</v>
      </c>
      <c r="B15" s="64">
        <v>21.43</v>
      </c>
      <c r="C15" s="64">
        <v>16.3</v>
      </c>
      <c r="D15" s="64">
        <v>25.24</v>
      </c>
      <c r="E15" s="64">
        <v>5.62</v>
      </c>
      <c r="F15" s="64">
        <v>3.28</v>
      </c>
      <c r="G15" s="64">
        <v>78.42</v>
      </c>
      <c r="H15" s="64">
        <v>30.24</v>
      </c>
      <c r="I15" s="64">
        <v>4.12</v>
      </c>
      <c r="J15" s="64">
        <v>0.54</v>
      </c>
      <c r="K15" s="64">
        <v>343.99</v>
      </c>
      <c r="L15" s="64">
        <v>15.38</v>
      </c>
      <c r="M15" s="64">
        <v>57.08</v>
      </c>
      <c r="N15" s="64">
        <v>41.6</v>
      </c>
      <c r="O15" s="64">
        <v>0</v>
      </c>
      <c r="P15" s="64">
        <v>1.26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1" t="s">
        <v>1791</v>
      </c>
      <c r="B16" s="64">
        <v>20.37</v>
      </c>
      <c r="C16" s="64">
        <v>16.760000000000002</v>
      </c>
      <c r="D16" s="64">
        <v>24.63</v>
      </c>
      <c r="E16" s="64">
        <v>5.8</v>
      </c>
      <c r="F16" s="64">
        <v>3.47</v>
      </c>
      <c r="G16" s="64">
        <v>78.42</v>
      </c>
      <c r="H16" s="64">
        <v>30.24</v>
      </c>
      <c r="I16" s="64">
        <v>4.13</v>
      </c>
      <c r="J16" s="64">
        <v>0.22</v>
      </c>
      <c r="K16" s="64">
        <v>353.98</v>
      </c>
      <c r="L16" s="64">
        <v>15.08</v>
      </c>
      <c r="M16" s="64">
        <v>60.91</v>
      </c>
      <c r="N16" s="64">
        <v>42.3</v>
      </c>
      <c r="O16" s="64">
        <v>0</v>
      </c>
      <c r="P16" s="64">
        <v>1.27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1" t="s">
        <v>1792</v>
      </c>
      <c r="B17" s="64">
        <v>19.59</v>
      </c>
      <c r="C17" s="64">
        <v>17.059999999999999</v>
      </c>
      <c r="D17" s="64">
        <v>24.16</v>
      </c>
      <c r="E17" s="64">
        <v>5.6</v>
      </c>
      <c r="F17" s="64">
        <v>3.15</v>
      </c>
      <c r="G17" s="64">
        <v>78.42</v>
      </c>
      <c r="H17" s="64">
        <v>30.24</v>
      </c>
      <c r="I17" s="64">
        <v>4.0999999999999996</v>
      </c>
      <c r="J17" s="64">
        <v>0.33</v>
      </c>
      <c r="K17" s="64">
        <v>350.29</v>
      </c>
      <c r="L17" s="64">
        <v>14.78</v>
      </c>
      <c r="M17" s="64">
        <v>64.14</v>
      </c>
      <c r="N17" s="64">
        <v>42.2</v>
      </c>
      <c r="O17" s="64">
        <v>0</v>
      </c>
      <c r="P17" s="64">
        <v>1.27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1" t="s">
        <v>1793</v>
      </c>
      <c r="B18" s="64">
        <v>18.84</v>
      </c>
      <c r="C18" s="64">
        <v>17.41</v>
      </c>
      <c r="D18" s="64">
        <v>23.74</v>
      </c>
      <c r="E18" s="64">
        <v>5.93</v>
      </c>
      <c r="F18" s="64">
        <v>3.16</v>
      </c>
      <c r="G18" s="64">
        <v>86.27</v>
      </c>
      <c r="H18" s="64">
        <v>32.46</v>
      </c>
      <c r="I18" s="64">
        <v>4.07</v>
      </c>
      <c r="J18" s="64">
        <v>0.5</v>
      </c>
      <c r="K18" s="64">
        <v>344.7</v>
      </c>
      <c r="L18" s="64">
        <v>14.77</v>
      </c>
      <c r="M18" s="64">
        <v>65.040000000000006</v>
      </c>
      <c r="N18" s="64">
        <v>41.7</v>
      </c>
      <c r="O18" s="64">
        <v>0</v>
      </c>
      <c r="P18" s="64">
        <v>1.26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1" t="s">
        <v>1794</v>
      </c>
      <c r="B19" s="64">
        <v>17.91</v>
      </c>
      <c r="C19" s="64">
        <v>17.89</v>
      </c>
      <c r="D19" s="64">
        <v>23.25</v>
      </c>
      <c r="E19" s="64">
        <v>5.74</v>
      </c>
      <c r="F19" s="64">
        <v>3.2</v>
      </c>
      <c r="G19" s="64">
        <v>86.83</v>
      </c>
      <c r="H19" s="64">
        <v>32.46</v>
      </c>
      <c r="I19" s="64">
        <v>4.05</v>
      </c>
      <c r="J19" s="64">
        <v>0.54</v>
      </c>
      <c r="K19" s="64">
        <v>349.41</v>
      </c>
      <c r="L19" s="64">
        <v>14.93</v>
      </c>
      <c r="M19" s="64">
        <v>61.19</v>
      </c>
      <c r="N19" s="64">
        <v>41.9</v>
      </c>
      <c r="O19" s="64">
        <v>0</v>
      </c>
      <c r="P19" s="64">
        <v>1.25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1" t="s">
        <v>1795</v>
      </c>
      <c r="B20" s="64">
        <v>17.04</v>
      </c>
      <c r="C20" s="64">
        <v>18.440000000000001</v>
      </c>
      <c r="D20" s="64">
        <v>22.84</v>
      </c>
      <c r="E20" s="64">
        <v>5.89</v>
      </c>
      <c r="F20" s="64">
        <v>3.42</v>
      </c>
      <c r="G20" s="64">
        <v>86.83</v>
      </c>
      <c r="H20" s="64">
        <v>32.46</v>
      </c>
      <c r="I20" s="64">
        <v>4.01</v>
      </c>
      <c r="J20" s="64">
        <v>0.42</v>
      </c>
      <c r="K20" s="64">
        <v>344.73</v>
      </c>
      <c r="L20" s="64">
        <v>14.76</v>
      </c>
      <c r="M20" s="64">
        <v>64.010000000000005</v>
      </c>
      <c r="N20" s="64">
        <v>42.2</v>
      </c>
      <c r="O20" s="64">
        <v>0</v>
      </c>
      <c r="P20" s="64">
        <v>1.22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1" t="s">
        <v>1796</v>
      </c>
      <c r="B21" s="64">
        <v>16.260000000000002</v>
      </c>
      <c r="C21" s="64">
        <v>18.690000000000001</v>
      </c>
      <c r="D21" s="64">
        <v>22.34</v>
      </c>
      <c r="E21" s="64">
        <v>6.15</v>
      </c>
      <c r="F21" s="64">
        <v>3.25</v>
      </c>
      <c r="G21" s="64">
        <v>86.83</v>
      </c>
      <c r="H21" s="64">
        <v>32.46</v>
      </c>
      <c r="I21" s="64">
        <v>3.96</v>
      </c>
      <c r="J21" s="64">
        <v>0.12</v>
      </c>
      <c r="K21" s="64">
        <v>57.74</v>
      </c>
      <c r="L21" s="64">
        <v>14.65</v>
      </c>
      <c r="M21" s="64">
        <v>63.14</v>
      </c>
      <c r="N21" s="64">
        <v>42.4</v>
      </c>
      <c r="O21" s="64">
        <v>0</v>
      </c>
      <c r="P21" s="64">
        <v>1.19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1" t="s">
        <v>1797</v>
      </c>
      <c r="B22" s="64">
        <v>15.55</v>
      </c>
      <c r="C22" s="64">
        <v>18.62</v>
      </c>
      <c r="D22" s="64">
        <v>21.74</v>
      </c>
      <c r="E22" s="64">
        <v>5.97</v>
      </c>
      <c r="F22" s="64">
        <v>3.25</v>
      </c>
      <c r="G22" s="64">
        <v>89.27</v>
      </c>
      <c r="H22" s="64">
        <v>33.36</v>
      </c>
      <c r="I22" s="64">
        <v>3.91</v>
      </c>
      <c r="J22" s="64">
        <v>0.06</v>
      </c>
      <c r="K22" s="64">
        <v>60.36</v>
      </c>
      <c r="L22" s="64">
        <v>14.39</v>
      </c>
      <c r="M22" s="64">
        <v>64.58</v>
      </c>
      <c r="N22" s="64">
        <v>42.4</v>
      </c>
      <c r="O22" s="64">
        <v>0</v>
      </c>
      <c r="P22" s="64">
        <v>1.1499999999999999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1" t="s">
        <v>1798</v>
      </c>
      <c r="B23" s="64">
        <v>14.86</v>
      </c>
      <c r="C23" s="64">
        <v>18.690000000000001</v>
      </c>
      <c r="D23" s="64">
        <v>21.22</v>
      </c>
      <c r="E23" s="64">
        <v>5.63</v>
      </c>
      <c r="F23" s="64">
        <v>3.35</v>
      </c>
      <c r="G23" s="64">
        <v>89.45</v>
      </c>
      <c r="H23" s="64">
        <v>33.36</v>
      </c>
      <c r="I23" s="64">
        <v>3.88</v>
      </c>
      <c r="J23" s="64">
        <v>0.15</v>
      </c>
      <c r="K23" s="64">
        <v>339.16</v>
      </c>
      <c r="L23" s="64">
        <v>14.13</v>
      </c>
      <c r="M23" s="64">
        <v>66.91</v>
      </c>
      <c r="N23" s="64">
        <v>42.2</v>
      </c>
      <c r="O23" s="64">
        <v>0</v>
      </c>
      <c r="P23" s="64">
        <v>1.1200000000000001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1" t="s">
        <v>1799</v>
      </c>
      <c r="B24" s="64">
        <v>14.17</v>
      </c>
      <c r="C24" s="64">
        <v>18.87</v>
      </c>
      <c r="D24" s="64">
        <v>20.76</v>
      </c>
      <c r="E24" s="64">
        <v>5.8</v>
      </c>
      <c r="F24" s="64">
        <v>3.42</v>
      </c>
      <c r="G24" s="64">
        <v>89.45</v>
      </c>
      <c r="H24" s="64">
        <v>33.36</v>
      </c>
      <c r="I24" s="64">
        <v>3.86</v>
      </c>
      <c r="J24" s="64">
        <v>0.12</v>
      </c>
      <c r="K24" s="64">
        <v>329.97</v>
      </c>
      <c r="L24" s="64">
        <v>13.98</v>
      </c>
      <c r="M24" s="64">
        <v>67.73</v>
      </c>
      <c r="N24" s="64">
        <v>42.2</v>
      </c>
      <c r="O24" s="64">
        <v>0</v>
      </c>
      <c r="P24" s="64">
        <v>1.08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1" t="s">
        <v>1800</v>
      </c>
      <c r="B25" s="64">
        <v>13.58</v>
      </c>
      <c r="C25" s="64">
        <v>19.14</v>
      </c>
      <c r="D25" s="64">
        <v>20.43</v>
      </c>
      <c r="E25" s="64">
        <v>5.76</v>
      </c>
      <c r="F25" s="64">
        <v>3.28</v>
      </c>
      <c r="G25" s="64">
        <v>89.45</v>
      </c>
      <c r="H25" s="64">
        <v>33.36</v>
      </c>
      <c r="I25" s="64">
        <v>3.86</v>
      </c>
      <c r="J25" s="64">
        <v>0.19</v>
      </c>
      <c r="K25" s="64">
        <v>332.11</v>
      </c>
      <c r="L25" s="64">
        <v>13.85</v>
      </c>
      <c r="M25" s="64">
        <v>68.36</v>
      </c>
      <c r="N25" s="64">
        <v>42.1</v>
      </c>
      <c r="O25" s="64">
        <v>0</v>
      </c>
      <c r="P25" s="64">
        <v>1.07</v>
      </c>
      <c r="Q25" s="64">
        <v>9.57</v>
      </c>
      <c r="R25" s="198"/>
      <c r="S25" s="198"/>
      <c r="T25" s="198"/>
      <c r="U25" s="198"/>
    </row>
    <row r="26" spans="1:21" s="12" customFormat="1" x14ac:dyDescent="0.25">
      <c r="A26" s="211" t="s">
        <v>1801</v>
      </c>
      <c r="B26" s="64">
        <v>13.09</v>
      </c>
      <c r="C26" s="64">
        <v>19.39</v>
      </c>
      <c r="D26" s="64">
        <v>20.170000000000002</v>
      </c>
      <c r="E26" s="64">
        <v>5.85</v>
      </c>
      <c r="F26" s="64">
        <v>2.94</v>
      </c>
      <c r="G26" s="64">
        <v>88.58</v>
      </c>
      <c r="H26" s="64">
        <v>32.729999999999997</v>
      </c>
      <c r="I26" s="64">
        <v>3.85</v>
      </c>
      <c r="J26" s="64">
        <v>0.27</v>
      </c>
      <c r="K26" s="64">
        <v>346.83</v>
      </c>
      <c r="L26" s="64">
        <v>13.83</v>
      </c>
      <c r="M26" s="64">
        <v>68.98</v>
      </c>
      <c r="N26" s="64">
        <v>42.2</v>
      </c>
      <c r="O26" s="64">
        <v>0</v>
      </c>
      <c r="P26" s="64">
        <v>1.07</v>
      </c>
      <c r="Q26" s="64">
        <v>9.56</v>
      </c>
      <c r="R26" s="198"/>
      <c r="S26" s="198"/>
      <c r="T26" s="198"/>
      <c r="U26" s="198"/>
    </row>
    <row r="27" spans="1:21" s="12" customFormat="1" x14ac:dyDescent="0.25">
      <c r="A27" s="211" t="s">
        <v>1802</v>
      </c>
      <c r="B27" s="64">
        <v>12.59</v>
      </c>
      <c r="C27" s="64">
        <v>19.649999999999999</v>
      </c>
      <c r="D27" s="64">
        <v>19.899999999999999</v>
      </c>
      <c r="E27" s="64">
        <v>5.85</v>
      </c>
      <c r="F27" s="64">
        <v>3</v>
      </c>
      <c r="G27" s="64">
        <v>88.52</v>
      </c>
      <c r="H27" s="64">
        <v>32.729999999999997</v>
      </c>
      <c r="I27" s="64">
        <v>3.81</v>
      </c>
      <c r="J27" s="64">
        <v>7.0000000000000007E-2</v>
      </c>
      <c r="K27" s="64">
        <v>358.75</v>
      </c>
      <c r="L27" s="64">
        <v>13.55</v>
      </c>
      <c r="M27" s="64">
        <v>71.900000000000006</v>
      </c>
      <c r="N27" s="64">
        <v>42.3</v>
      </c>
      <c r="O27" s="64">
        <v>0</v>
      </c>
      <c r="P27" s="64">
        <v>1.08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1" t="s">
        <v>1803</v>
      </c>
      <c r="B28" s="64">
        <v>12.35</v>
      </c>
      <c r="C28" s="64">
        <v>19.77</v>
      </c>
      <c r="D28" s="64">
        <v>19.77</v>
      </c>
      <c r="E28" s="64">
        <v>5.76</v>
      </c>
      <c r="F28" s="64">
        <v>3.06</v>
      </c>
      <c r="G28" s="64">
        <v>88.52</v>
      </c>
      <c r="H28" s="64">
        <v>32.729999999999997</v>
      </c>
      <c r="I28" s="64">
        <v>4.04</v>
      </c>
      <c r="J28" s="64">
        <v>0.11</v>
      </c>
      <c r="K28" s="64">
        <v>50.84</v>
      </c>
      <c r="L28" s="64">
        <v>13.34</v>
      </c>
      <c r="M28" s="64">
        <v>74.430000000000007</v>
      </c>
      <c r="N28" s="64">
        <v>42.3</v>
      </c>
      <c r="O28" s="64">
        <v>0</v>
      </c>
      <c r="P28" s="64">
        <v>1.08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11" t="s">
        <v>1804</v>
      </c>
      <c r="B29" s="64">
        <v>12.17</v>
      </c>
      <c r="C29" s="64">
        <v>19.760000000000002</v>
      </c>
      <c r="D29" s="64">
        <v>19.62</v>
      </c>
      <c r="E29" s="64">
        <v>5.58</v>
      </c>
      <c r="F29" s="64">
        <v>3.05</v>
      </c>
      <c r="G29" s="64">
        <v>88.52</v>
      </c>
      <c r="H29" s="64">
        <v>32.729999999999997</v>
      </c>
      <c r="I29" s="64">
        <v>4.18</v>
      </c>
      <c r="J29" s="64">
        <v>0.35</v>
      </c>
      <c r="K29" s="64">
        <v>338.14</v>
      </c>
      <c r="L29" s="64">
        <v>13.24</v>
      </c>
      <c r="M29" s="64">
        <v>76.34</v>
      </c>
      <c r="N29" s="64">
        <v>41.9</v>
      </c>
      <c r="O29" s="64">
        <v>0</v>
      </c>
      <c r="P29" s="64">
        <v>1.08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11" t="s">
        <v>1805</v>
      </c>
      <c r="B30" s="64">
        <v>12.16</v>
      </c>
      <c r="C30" s="64">
        <v>19.78</v>
      </c>
      <c r="D30" s="64">
        <v>19.63</v>
      </c>
      <c r="E30" s="64">
        <v>5.51</v>
      </c>
      <c r="F30" s="64">
        <v>2.94</v>
      </c>
      <c r="G30" s="64">
        <v>85.16</v>
      </c>
      <c r="H30" s="64">
        <v>31.95</v>
      </c>
      <c r="I30" s="64">
        <v>4.0999999999999996</v>
      </c>
      <c r="J30" s="64">
        <v>0.31</v>
      </c>
      <c r="K30" s="64">
        <v>341.11</v>
      </c>
      <c r="L30" s="64">
        <v>13.3</v>
      </c>
      <c r="M30" s="64">
        <v>76.069999999999993</v>
      </c>
      <c r="N30" s="64">
        <v>42</v>
      </c>
      <c r="O30" s="64">
        <v>0</v>
      </c>
      <c r="P30" s="64">
        <v>1.08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11" t="s">
        <v>1806</v>
      </c>
      <c r="B31" s="64">
        <v>12.02</v>
      </c>
      <c r="C31" s="64">
        <v>19.55</v>
      </c>
      <c r="D31" s="64">
        <v>19.39</v>
      </c>
      <c r="E31" s="64">
        <v>5.49</v>
      </c>
      <c r="F31" s="64">
        <v>3.07</v>
      </c>
      <c r="G31" s="64">
        <v>84.92</v>
      </c>
      <c r="H31" s="64">
        <v>31.95</v>
      </c>
      <c r="I31" s="64">
        <v>4.03</v>
      </c>
      <c r="J31" s="64">
        <v>7.0000000000000007E-2</v>
      </c>
      <c r="K31" s="64">
        <v>84.21</v>
      </c>
      <c r="L31" s="64">
        <v>13.22</v>
      </c>
      <c r="M31" s="64">
        <v>74.02</v>
      </c>
      <c r="N31" s="64">
        <v>42.2</v>
      </c>
      <c r="O31" s="64">
        <v>0</v>
      </c>
      <c r="P31" s="64">
        <v>1.08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11" t="s">
        <v>1807</v>
      </c>
      <c r="B32" s="64">
        <v>11.75</v>
      </c>
      <c r="C32" s="64">
        <v>19.84</v>
      </c>
      <c r="D32" s="64">
        <v>19.329999999999998</v>
      </c>
      <c r="E32" s="64">
        <v>5.46</v>
      </c>
      <c r="F32" s="64">
        <v>2.81</v>
      </c>
      <c r="G32" s="64">
        <v>84.92</v>
      </c>
      <c r="H32" s="64">
        <v>31.95</v>
      </c>
      <c r="I32" s="64">
        <v>3.97</v>
      </c>
      <c r="J32" s="64">
        <v>0.2</v>
      </c>
      <c r="K32" s="64">
        <v>328.61</v>
      </c>
      <c r="L32" s="64">
        <v>13.2</v>
      </c>
      <c r="M32" s="64">
        <v>73.099999999999994</v>
      </c>
      <c r="N32" s="64">
        <v>42.5</v>
      </c>
      <c r="O32" s="64">
        <v>0</v>
      </c>
      <c r="P32" s="64">
        <v>1.1000000000000001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1" t="s">
        <v>1808</v>
      </c>
      <c r="B33" s="64">
        <v>11.62</v>
      </c>
      <c r="C33" s="64">
        <v>20.14</v>
      </c>
      <c r="D33" s="64">
        <v>19.38</v>
      </c>
      <c r="E33" s="64">
        <v>5.38</v>
      </c>
      <c r="F33" s="64">
        <v>3.12</v>
      </c>
      <c r="G33" s="64">
        <v>84.92</v>
      </c>
      <c r="H33" s="64">
        <v>31.95</v>
      </c>
      <c r="I33" s="64">
        <v>3.94</v>
      </c>
      <c r="J33" s="64">
        <v>0.27</v>
      </c>
      <c r="K33" s="64">
        <v>328.35</v>
      </c>
      <c r="L33" s="64">
        <v>13.18</v>
      </c>
      <c r="M33" s="64">
        <v>73.66</v>
      </c>
      <c r="N33" s="64">
        <v>45</v>
      </c>
      <c r="O33" s="64">
        <v>0</v>
      </c>
      <c r="P33" s="64">
        <v>1.1000000000000001</v>
      </c>
      <c r="Q33" s="64">
        <v>9.56</v>
      </c>
      <c r="R33" s="198"/>
      <c r="S33" s="198"/>
      <c r="T33" s="198"/>
      <c r="U33" s="198"/>
    </row>
    <row r="34" spans="1:21" s="12" customFormat="1" x14ac:dyDescent="0.25">
      <c r="A34" s="211" t="s">
        <v>1809</v>
      </c>
      <c r="B34" s="64">
        <v>11.77</v>
      </c>
      <c r="C34" s="64">
        <v>20.2</v>
      </c>
      <c r="D34" s="64">
        <v>19.53</v>
      </c>
      <c r="E34" s="64">
        <v>5.2</v>
      </c>
      <c r="F34" s="64">
        <v>3.01</v>
      </c>
      <c r="G34" s="64">
        <v>82.85</v>
      </c>
      <c r="H34" s="64">
        <v>33.950000000000003</v>
      </c>
      <c r="I34" s="64">
        <v>3.9</v>
      </c>
      <c r="J34" s="64">
        <v>0.51</v>
      </c>
      <c r="K34" s="64">
        <v>346.72</v>
      </c>
      <c r="L34" s="64">
        <v>13.34</v>
      </c>
      <c r="M34" s="64">
        <v>72.5</v>
      </c>
      <c r="N34" s="64">
        <v>54</v>
      </c>
      <c r="O34" s="64">
        <v>0</v>
      </c>
      <c r="P34" s="64">
        <v>1.1000000000000001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11" t="s">
        <v>1810</v>
      </c>
      <c r="B35" s="64">
        <v>11.96</v>
      </c>
      <c r="C35" s="64">
        <v>20.32</v>
      </c>
      <c r="D35" s="64">
        <v>19.75</v>
      </c>
      <c r="E35" s="64">
        <v>5.61</v>
      </c>
      <c r="F35" s="64">
        <v>3.01</v>
      </c>
      <c r="G35" s="64">
        <v>82.7</v>
      </c>
      <c r="H35" s="64">
        <v>33.950000000000003</v>
      </c>
      <c r="I35" s="64">
        <v>3.86</v>
      </c>
      <c r="J35" s="64">
        <v>0.46</v>
      </c>
      <c r="K35" s="64">
        <v>346.03</v>
      </c>
      <c r="L35" s="64">
        <v>13.68</v>
      </c>
      <c r="M35" s="64">
        <v>70.42</v>
      </c>
      <c r="N35" s="64">
        <v>68.8</v>
      </c>
      <c r="O35" s="64">
        <v>0</v>
      </c>
      <c r="P35" s="64">
        <v>1.1000000000000001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1" t="s">
        <v>1811</v>
      </c>
      <c r="B36" s="64">
        <v>12.28</v>
      </c>
      <c r="C36" s="64">
        <v>20.47</v>
      </c>
      <c r="D36" s="64">
        <v>20.079999999999998</v>
      </c>
      <c r="E36" s="64">
        <v>5.67</v>
      </c>
      <c r="F36" s="64">
        <v>3.02</v>
      </c>
      <c r="G36" s="64">
        <v>82.7</v>
      </c>
      <c r="H36" s="64">
        <v>33.950000000000003</v>
      </c>
      <c r="I36" s="64">
        <v>3.83</v>
      </c>
      <c r="J36" s="64">
        <v>0.23</v>
      </c>
      <c r="K36" s="64">
        <v>329.42</v>
      </c>
      <c r="L36" s="64">
        <v>13.99</v>
      </c>
      <c r="M36" s="64">
        <v>69.72</v>
      </c>
      <c r="N36" s="64">
        <v>86.8</v>
      </c>
      <c r="O36" s="64">
        <v>0</v>
      </c>
      <c r="P36" s="64">
        <v>1.1000000000000001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1" t="s">
        <v>1812</v>
      </c>
      <c r="B37" s="64">
        <v>12.64</v>
      </c>
      <c r="C37" s="64">
        <v>20.53</v>
      </c>
      <c r="D37" s="64">
        <v>20.399999999999999</v>
      </c>
      <c r="E37" s="64">
        <v>5.66</v>
      </c>
      <c r="F37" s="64">
        <v>3.17</v>
      </c>
      <c r="G37" s="64">
        <v>82.7</v>
      </c>
      <c r="H37" s="64">
        <v>33.950000000000003</v>
      </c>
      <c r="I37" s="64">
        <v>3.84</v>
      </c>
      <c r="J37" s="64">
        <v>0.36</v>
      </c>
      <c r="K37" s="64">
        <v>335.4</v>
      </c>
      <c r="L37" s="64">
        <v>14.56</v>
      </c>
      <c r="M37" s="64">
        <v>67.819999999999993</v>
      </c>
      <c r="N37" s="64">
        <v>119.9</v>
      </c>
      <c r="O37" s="64">
        <v>0</v>
      </c>
      <c r="P37" s="64">
        <v>1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1" t="s">
        <v>1813</v>
      </c>
      <c r="B38" s="64">
        <v>13.49</v>
      </c>
      <c r="C38" s="64">
        <v>20.440000000000001</v>
      </c>
      <c r="D38" s="64">
        <v>21.03</v>
      </c>
      <c r="E38" s="64">
        <v>6.01</v>
      </c>
      <c r="F38" s="64">
        <v>3.1</v>
      </c>
      <c r="G38" s="64">
        <v>87.38</v>
      </c>
      <c r="H38" s="64">
        <v>33.299999999999997</v>
      </c>
      <c r="I38" s="64">
        <v>3.84</v>
      </c>
      <c r="J38" s="64">
        <v>0.51</v>
      </c>
      <c r="K38" s="64">
        <v>340.51</v>
      </c>
      <c r="L38" s="64">
        <v>15.76</v>
      </c>
      <c r="M38" s="64">
        <v>60.82</v>
      </c>
      <c r="N38" s="64">
        <v>188.1</v>
      </c>
      <c r="O38" s="64">
        <v>0</v>
      </c>
      <c r="P38" s="64">
        <v>1.06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1" t="s">
        <v>1814</v>
      </c>
      <c r="B39" s="64">
        <v>14.18</v>
      </c>
      <c r="C39" s="64">
        <v>20.18</v>
      </c>
      <c r="D39" s="64">
        <v>21.45</v>
      </c>
      <c r="E39" s="64">
        <v>6.01</v>
      </c>
      <c r="F39" s="64">
        <v>3.52</v>
      </c>
      <c r="G39" s="64">
        <v>87.71</v>
      </c>
      <c r="H39" s="64">
        <v>33.299999999999997</v>
      </c>
      <c r="I39" s="64">
        <v>3.83</v>
      </c>
      <c r="J39" s="64">
        <v>0.78</v>
      </c>
      <c r="K39" s="64">
        <v>341.52</v>
      </c>
      <c r="L39" s="64">
        <v>17.78</v>
      </c>
      <c r="M39" s="64">
        <v>51.07</v>
      </c>
      <c r="N39" s="64">
        <v>239</v>
      </c>
      <c r="O39" s="64">
        <v>0</v>
      </c>
      <c r="P39" s="64">
        <v>1.05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1" t="s">
        <v>1815</v>
      </c>
      <c r="B40" s="64">
        <v>14.49</v>
      </c>
      <c r="C40" s="64">
        <v>20.29</v>
      </c>
      <c r="D40" s="64">
        <v>21.76</v>
      </c>
      <c r="E40" s="64">
        <v>5.09</v>
      </c>
      <c r="F40" s="64">
        <v>3.53</v>
      </c>
      <c r="G40" s="64">
        <v>87.71</v>
      </c>
      <c r="H40" s="64">
        <v>33.299999999999997</v>
      </c>
      <c r="I40" s="64">
        <v>3.8</v>
      </c>
      <c r="J40" s="64">
        <v>0.85</v>
      </c>
      <c r="K40" s="64">
        <v>345.74</v>
      </c>
      <c r="L40" s="64">
        <v>19.48</v>
      </c>
      <c r="M40" s="64">
        <v>45.34</v>
      </c>
      <c r="N40" s="64">
        <v>287.39999999999998</v>
      </c>
      <c r="O40" s="64">
        <v>0</v>
      </c>
      <c r="P40" s="64">
        <v>1.03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1" t="s">
        <v>1816</v>
      </c>
      <c r="B41" s="64">
        <v>14.65</v>
      </c>
      <c r="C41" s="64">
        <v>20.71</v>
      </c>
      <c r="D41" s="64">
        <v>22.11</v>
      </c>
      <c r="E41" s="64">
        <v>4.6399999999999997</v>
      </c>
      <c r="F41" s="64">
        <v>3.49</v>
      </c>
      <c r="G41" s="64">
        <v>87.71</v>
      </c>
      <c r="H41" s="64">
        <v>33.299999999999997</v>
      </c>
      <c r="I41" s="64">
        <v>3.77</v>
      </c>
      <c r="J41" s="64">
        <v>0.78</v>
      </c>
      <c r="K41" s="64">
        <v>346.13</v>
      </c>
      <c r="L41" s="64">
        <v>20.79</v>
      </c>
      <c r="M41" s="64">
        <v>41.52</v>
      </c>
      <c r="N41" s="64">
        <v>336</v>
      </c>
      <c r="O41" s="64">
        <v>0</v>
      </c>
      <c r="P41" s="64">
        <v>1.01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1" t="s">
        <v>1817</v>
      </c>
      <c r="B42" s="64">
        <v>14.9</v>
      </c>
      <c r="C42" s="64">
        <v>21.02</v>
      </c>
      <c r="D42" s="64">
        <v>22.47</v>
      </c>
      <c r="E42" s="64">
        <v>4.7</v>
      </c>
      <c r="F42" s="64">
        <v>3.21</v>
      </c>
      <c r="G42" s="64">
        <v>90.09</v>
      </c>
      <c r="H42" s="64">
        <v>32.18</v>
      </c>
      <c r="I42" s="64">
        <v>3.76</v>
      </c>
      <c r="J42" s="64">
        <v>1.07</v>
      </c>
      <c r="K42" s="64">
        <v>345.46</v>
      </c>
      <c r="L42" s="64">
        <v>22.01</v>
      </c>
      <c r="M42" s="64">
        <v>38.340000000000003</v>
      </c>
      <c r="N42" s="64">
        <v>384.7</v>
      </c>
      <c r="O42" s="64">
        <v>0</v>
      </c>
      <c r="P42" s="64">
        <v>1.01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1" t="s">
        <v>1818</v>
      </c>
      <c r="B43" s="64">
        <v>15.24</v>
      </c>
      <c r="C43" s="64">
        <v>21.57</v>
      </c>
      <c r="D43" s="64">
        <v>23.03</v>
      </c>
      <c r="E43" s="64">
        <v>4.7699999999999996</v>
      </c>
      <c r="F43" s="64">
        <v>3.25</v>
      </c>
      <c r="G43" s="64">
        <v>90.26</v>
      </c>
      <c r="H43" s="64">
        <v>32.18</v>
      </c>
      <c r="I43" s="64">
        <v>3.76</v>
      </c>
      <c r="J43" s="64">
        <v>0.85</v>
      </c>
      <c r="K43" s="64">
        <v>343.54</v>
      </c>
      <c r="L43" s="64">
        <v>22.94</v>
      </c>
      <c r="M43" s="64">
        <v>35.93</v>
      </c>
      <c r="N43" s="64">
        <v>427.9</v>
      </c>
      <c r="O43" s="64">
        <v>0</v>
      </c>
      <c r="P43" s="64">
        <v>1.02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1" t="s">
        <v>1819</v>
      </c>
      <c r="B44" s="64">
        <v>15.16</v>
      </c>
      <c r="C44" s="64">
        <v>22.02</v>
      </c>
      <c r="D44" s="64">
        <v>23.2</v>
      </c>
      <c r="E44" s="64">
        <v>4.82</v>
      </c>
      <c r="F44" s="64">
        <v>3.17</v>
      </c>
      <c r="G44" s="64">
        <v>90.26</v>
      </c>
      <c r="H44" s="64">
        <v>32.18</v>
      </c>
      <c r="I44" s="64">
        <v>3.75</v>
      </c>
      <c r="J44" s="64">
        <v>0.36</v>
      </c>
      <c r="K44" s="64">
        <v>332.74</v>
      </c>
      <c r="L44" s="64">
        <v>23.67</v>
      </c>
      <c r="M44" s="64">
        <v>34.380000000000003</v>
      </c>
      <c r="N44" s="64">
        <v>469.5</v>
      </c>
      <c r="O44" s="64">
        <v>0</v>
      </c>
      <c r="P44" s="64">
        <v>1.01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1820</v>
      </c>
      <c r="B45" s="64">
        <v>15.09</v>
      </c>
      <c r="C45" s="64">
        <v>22.41</v>
      </c>
      <c r="D45" s="64">
        <v>23.35</v>
      </c>
      <c r="E45" s="64">
        <v>4.87</v>
      </c>
      <c r="F45" s="64">
        <v>3</v>
      </c>
      <c r="G45" s="64">
        <v>90.26</v>
      </c>
      <c r="H45" s="64">
        <v>32.18</v>
      </c>
      <c r="I45" s="64">
        <v>3.74</v>
      </c>
      <c r="J45" s="64">
        <v>0.15</v>
      </c>
      <c r="K45" s="64">
        <v>349.29</v>
      </c>
      <c r="L45" s="64">
        <v>23.27</v>
      </c>
      <c r="M45" s="64">
        <v>34.92</v>
      </c>
      <c r="N45" s="64">
        <v>508.4</v>
      </c>
      <c r="O45" s="64">
        <v>0</v>
      </c>
      <c r="P45" s="64">
        <v>1.01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1" t="s">
        <v>1821</v>
      </c>
      <c r="B46" s="64">
        <v>14.96</v>
      </c>
      <c r="C46" s="64">
        <v>22.53</v>
      </c>
      <c r="D46" s="64">
        <v>23.31</v>
      </c>
      <c r="E46" s="64">
        <v>4.8600000000000003</v>
      </c>
      <c r="F46" s="64">
        <v>3.13</v>
      </c>
      <c r="G46" s="64">
        <v>89.86</v>
      </c>
      <c r="H46" s="64">
        <v>34.880000000000003</v>
      </c>
      <c r="I46" s="64">
        <v>3.72</v>
      </c>
      <c r="J46" s="64">
        <v>0.33</v>
      </c>
      <c r="K46" s="64">
        <v>103.02</v>
      </c>
      <c r="L46" s="64">
        <v>23.89</v>
      </c>
      <c r="M46" s="64">
        <v>33.67</v>
      </c>
      <c r="N46" s="64">
        <v>548</v>
      </c>
      <c r="O46" s="64">
        <v>0</v>
      </c>
      <c r="P46" s="64">
        <v>1.01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1" t="s">
        <v>1822</v>
      </c>
      <c r="B47" s="64">
        <v>14.62</v>
      </c>
      <c r="C47" s="64">
        <v>22.69</v>
      </c>
      <c r="D47" s="64">
        <v>23.12</v>
      </c>
      <c r="E47" s="64">
        <v>4.5199999999999996</v>
      </c>
      <c r="F47" s="64">
        <v>3.37</v>
      </c>
      <c r="G47" s="64">
        <v>89.84</v>
      </c>
      <c r="H47" s="64">
        <v>34.880000000000003</v>
      </c>
      <c r="I47" s="64">
        <v>3.7</v>
      </c>
      <c r="J47" s="64">
        <v>0.59</v>
      </c>
      <c r="K47" s="64">
        <v>122.84</v>
      </c>
      <c r="L47" s="64">
        <v>22.43</v>
      </c>
      <c r="M47" s="64">
        <v>36.299999999999997</v>
      </c>
      <c r="N47" s="64">
        <v>577.4</v>
      </c>
      <c r="O47" s="64">
        <v>0</v>
      </c>
      <c r="P47" s="64">
        <v>0.99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1823</v>
      </c>
      <c r="B48" s="64">
        <v>14.02</v>
      </c>
      <c r="C48" s="64">
        <v>22.73</v>
      </c>
      <c r="D48" s="64">
        <v>22.65</v>
      </c>
      <c r="E48" s="64">
        <v>4.97</v>
      </c>
      <c r="F48" s="64">
        <v>3.85</v>
      </c>
      <c r="G48" s="64">
        <v>89.84</v>
      </c>
      <c r="H48" s="64">
        <v>34.880000000000003</v>
      </c>
      <c r="I48" s="64">
        <v>3.67</v>
      </c>
      <c r="J48" s="64">
        <v>0.42</v>
      </c>
      <c r="K48" s="64">
        <v>120.87</v>
      </c>
      <c r="L48" s="64">
        <v>22.84</v>
      </c>
      <c r="M48" s="64">
        <v>36.25</v>
      </c>
      <c r="N48" s="64">
        <v>599.1</v>
      </c>
      <c r="O48" s="64">
        <v>0</v>
      </c>
      <c r="P48" s="64">
        <v>0.96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1" t="s">
        <v>1824</v>
      </c>
      <c r="B49" s="64">
        <v>13.4</v>
      </c>
      <c r="C49" s="64">
        <v>22.92</v>
      </c>
      <c r="D49" s="64">
        <v>22.26</v>
      </c>
      <c r="E49" s="64">
        <v>5.59</v>
      </c>
      <c r="F49" s="64">
        <v>4.01</v>
      </c>
      <c r="G49" s="64">
        <v>89.84</v>
      </c>
      <c r="H49" s="64">
        <v>34.880000000000003</v>
      </c>
      <c r="I49" s="64">
        <v>3.62</v>
      </c>
      <c r="J49" s="64">
        <v>0.66</v>
      </c>
      <c r="K49" s="64">
        <v>127.88</v>
      </c>
      <c r="L49" s="64">
        <v>22.93</v>
      </c>
      <c r="M49" s="64">
        <v>35.21</v>
      </c>
      <c r="N49" s="64">
        <v>628.1</v>
      </c>
      <c r="O49" s="64">
        <v>0</v>
      </c>
      <c r="P49" s="64">
        <v>0.95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1" t="s">
        <v>1825</v>
      </c>
      <c r="B50" s="64">
        <v>13.17</v>
      </c>
      <c r="C50" s="64">
        <v>23.16</v>
      </c>
      <c r="D50" s="64">
        <v>22.2</v>
      </c>
      <c r="E50" s="64">
        <v>5.21</v>
      </c>
      <c r="F50" s="64">
        <v>3.33</v>
      </c>
      <c r="G50" s="64">
        <v>82.97</v>
      </c>
      <c r="H50" s="64">
        <v>32.08</v>
      </c>
      <c r="I50" s="64">
        <v>3.6</v>
      </c>
      <c r="J50" s="64">
        <v>0.49</v>
      </c>
      <c r="K50" s="64">
        <v>130.97</v>
      </c>
      <c r="L50" s="64">
        <v>23.71</v>
      </c>
      <c r="M50" s="64">
        <v>35.25</v>
      </c>
      <c r="N50" s="64">
        <v>649.29999999999995</v>
      </c>
      <c r="O50" s="64">
        <v>0</v>
      </c>
      <c r="P50" s="64">
        <v>0.99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1" t="s">
        <v>1826</v>
      </c>
      <c r="B51" s="64">
        <v>12.84</v>
      </c>
      <c r="C51" s="64">
        <v>23.11</v>
      </c>
      <c r="D51" s="64">
        <v>21.92</v>
      </c>
      <c r="E51" s="64">
        <v>5.18</v>
      </c>
      <c r="F51" s="64">
        <v>4.0199999999999996</v>
      </c>
      <c r="G51" s="64">
        <v>82.47</v>
      </c>
      <c r="H51" s="64">
        <v>32.08</v>
      </c>
      <c r="I51" s="64">
        <v>3.59</v>
      </c>
      <c r="J51" s="64">
        <v>0.69</v>
      </c>
      <c r="K51" s="64">
        <v>120.19</v>
      </c>
      <c r="L51" s="64">
        <v>24.11</v>
      </c>
      <c r="M51" s="64">
        <v>33.82</v>
      </c>
      <c r="N51" s="64">
        <v>677.9</v>
      </c>
      <c r="O51" s="64">
        <v>0</v>
      </c>
      <c r="P51" s="64">
        <v>0.99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1" t="s">
        <v>1827</v>
      </c>
      <c r="B52" s="64">
        <v>8.92</v>
      </c>
      <c r="C52" s="64">
        <v>28.83</v>
      </c>
      <c r="D52" s="64">
        <v>21.76</v>
      </c>
      <c r="E52" s="64">
        <v>6.02</v>
      </c>
      <c r="F52" s="64">
        <v>5.78</v>
      </c>
      <c r="G52" s="64">
        <v>82.47</v>
      </c>
      <c r="H52" s="64">
        <v>32.08</v>
      </c>
      <c r="I52" s="64">
        <v>3.57</v>
      </c>
      <c r="J52" s="64">
        <v>0.1</v>
      </c>
      <c r="K52" s="64">
        <v>14.21</v>
      </c>
      <c r="L52" s="64">
        <v>25.4</v>
      </c>
      <c r="M52" s="64">
        <v>32.159999999999997</v>
      </c>
      <c r="N52" s="64">
        <v>690.2</v>
      </c>
      <c r="O52" s="64">
        <v>0</v>
      </c>
      <c r="P52" s="64">
        <v>0.93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1" t="s">
        <v>1828</v>
      </c>
      <c r="B53" s="64">
        <v>6.28</v>
      </c>
      <c r="C53" s="64">
        <v>29.34</v>
      </c>
      <c r="D53" s="64">
        <v>19.91</v>
      </c>
      <c r="E53" s="64">
        <v>6.71</v>
      </c>
      <c r="F53" s="64">
        <v>9.57</v>
      </c>
      <c r="G53" s="64">
        <v>82.47</v>
      </c>
      <c r="H53" s="64">
        <v>32.08</v>
      </c>
      <c r="I53" s="64">
        <v>3.48</v>
      </c>
      <c r="J53" s="64">
        <v>0.88</v>
      </c>
      <c r="K53" s="64">
        <v>115.32</v>
      </c>
      <c r="L53" s="64">
        <v>24.92</v>
      </c>
      <c r="M53" s="64">
        <v>30.14</v>
      </c>
      <c r="N53" s="64">
        <v>707.6</v>
      </c>
      <c r="O53" s="64">
        <v>0</v>
      </c>
      <c r="P53" s="64">
        <v>0.86</v>
      </c>
      <c r="Q53" s="64">
        <v>9.59</v>
      </c>
      <c r="R53" s="198"/>
      <c r="S53" s="198"/>
      <c r="T53" s="198"/>
      <c r="U53" s="198"/>
    </row>
    <row r="54" spans="1:21" s="12" customFormat="1" x14ac:dyDescent="0.25">
      <c r="A54" s="211" t="s">
        <v>1829</v>
      </c>
      <c r="B54" s="64">
        <v>3.21</v>
      </c>
      <c r="C54" s="64">
        <v>30.8</v>
      </c>
      <c r="D54" s="64">
        <v>18.21</v>
      </c>
      <c r="E54" s="64">
        <v>8.98</v>
      </c>
      <c r="F54" s="64">
        <v>13.75</v>
      </c>
      <c r="G54" s="64">
        <v>70.97</v>
      </c>
      <c r="H54" s="64">
        <v>30.91</v>
      </c>
      <c r="I54" s="64">
        <v>3.32</v>
      </c>
      <c r="J54" s="64">
        <v>0.64</v>
      </c>
      <c r="K54" s="64">
        <v>116.59</v>
      </c>
      <c r="L54" s="64">
        <v>24.81</v>
      </c>
      <c r="M54" s="64">
        <v>28.94</v>
      </c>
      <c r="N54" s="64">
        <v>691.4</v>
      </c>
      <c r="O54" s="64">
        <v>0</v>
      </c>
      <c r="P54" s="64">
        <v>0.71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1" t="s">
        <v>1830</v>
      </c>
      <c r="B55" s="64">
        <v>2.84</v>
      </c>
      <c r="C55" s="64">
        <v>30.29</v>
      </c>
      <c r="D55" s="64">
        <v>17.64</v>
      </c>
      <c r="E55" s="64">
        <v>6.3</v>
      </c>
      <c r="F55" s="64">
        <v>7.98</v>
      </c>
      <c r="G55" s="64">
        <v>70.14</v>
      </c>
      <c r="H55" s="64">
        <v>30.91</v>
      </c>
      <c r="I55" s="64">
        <v>2.98</v>
      </c>
      <c r="J55" s="64">
        <v>0.18</v>
      </c>
      <c r="K55" s="64">
        <v>207.09</v>
      </c>
      <c r="L55" s="64">
        <v>25.81</v>
      </c>
      <c r="M55" s="64">
        <v>26.61</v>
      </c>
      <c r="N55" s="64">
        <v>680.9</v>
      </c>
      <c r="O55" s="64">
        <v>0</v>
      </c>
      <c r="P55" s="64">
        <v>0.71</v>
      </c>
      <c r="Q55" s="64">
        <v>9.49</v>
      </c>
      <c r="R55" s="198"/>
      <c r="S55" s="198"/>
      <c r="T55" s="198"/>
      <c r="U55" s="198"/>
    </row>
    <row r="56" spans="1:21" s="12" customFormat="1" x14ac:dyDescent="0.25">
      <c r="A56" s="211" t="s">
        <v>1831</v>
      </c>
      <c r="B56" s="64">
        <v>2.35</v>
      </c>
      <c r="C56" s="64">
        <v>29.08</v>
      </c>
      <c r="D56" s="64">
        <v>16.62</v>
      </c>
      <c r="E56" s="64">
        <v>5.13</v>
      </c>
      <c r="F56" s="64">
        <v>5.14</v>
      </c>
      <c r="G56" s="64">
        <v>70.14</v>
      </c>
      <c r="H56" s="64">
        <v>30.91</v>
      </c>
      <c r="I56" s="64">
        <v>2.61</v>
      </c>
      <c r="J56" s="64">
        <v>0.71</v>
      </c>
      <c r="K56" s="64">
        <v>149.19999999999999</v>
      </c>
      <c r="L56" s="64">
        <v>25.43</v>
      </c>
      <c r="M56" s="64">
        <v>26.32</v>
      </c>
      <c r="N56" s="64">
        <v>692</v>
      </c>
      <c r="O56" s="64">
        <v>0</v>
      </c>
      <c r="P56" s="64">
        <v>0.7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1" t="s">
        <v>1832</v>
      </c>
      <c r="B57" s="64">
        <v>2.44</v>
      </c>
      <c r="C57" s="64">
        <v>27.53</v>
      </c>
      <c r="D57" s="64">
        <v>15.88</v>
      </c>
      <c r="E57" s="64">
        <v>5.49</v>
      </c>
      <c r="F57" s="64">
        <v>4.83</v>
      </c>
      <c r="G57" s="64">
        <v>70.14</v>
      </c>
      <c r="H57" s="64">
        <v>30.91</v>
      </c>
      <c r="I57" s="64">
        <v>2.4900000000000002</v>
      </c>
      <c r="J57" s="64">
        <v>0.52</v>
      </c>
      <c r="K57" s="64">
        <v>124.71</v>
      </c>
      <c r="L57" s="64">
        <v>25.29</v>
      </c>
      <c r="M57" s="64">
        <v>27.57</v>
      </c>
      <c r="N57" s="64">
        <v>666.3</v>
      </c>
      <c r="O57" s="64">
        <v>0</v>
      </c>
      <c r="P57" s="64">
        <v>0.64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1" t="s">
        <v>1833</v>
      </c>
      <c r="B58" s="64">
        <v>2.68</v>
      </c>
      <c r="C58" s="64">
        <v>26.29</v>
      </c>
      <c r="D58" s="64">
        <v>15.42</v>
      </c>
      <c r="E58" s="64">
        <v>5.35</v>
      </c>
      <c r="F58" s="64">
        <v>5.19</v>
      </c>
      <c r="G58" s="64">
        <v>53.56</v>
      </c>
      <c r="H58" s="64">
        <v>24.16</v>
      </c>
      <c r="I58" s="64">
        <v>2.4700000000000002</v>
      </c>
      <c r="J58" s="64">
        <v>0.16</v>
      </c>
      <c r="K58" s="64">
        <v>83.43</v>
      </c>
      <c r="L58" s="64">
        <v>26.65</v>
      </c>
      <c r="M58" s="64">
        <v>25.31</v>
      </c>
      <c r="N58" s="64">
        <v>653.6</v>
      </c>
      <c r="O58" s="64">
        <v>0</v>
      </c>
      <c r="P58" s="64">
        <v>0.61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1" t="s">
        <v>1834</v>
      </c>
      <c r="B59" s="64">
        <v>2.91</v>
      </c>
      <c r="C59" s="64">
        <v>25.51</v>
      </c>
      <c r="D59" s="64">
        <v>15.2</v>
      </c>
      <c r="E59" s="64">
        <v>5.85</v>
      </c>
      <c r="F59" s="64">
        <v>5.65</v>
      </c>
      <c r="G59" s="64">
        <v>52.58</v>
      </c>
      <c r="H59" s="64">
        <v>24.16</v>
      </c>
      <c r="I59" s="64">
        <v>2.4500000000000002</v>
      </c>
      <c r="J59" s="64">
        <v>0.46</v>
      </c>
      <c r="K59" s="64">
        <v>103.6</v>
      </c>
      <c r="L59" s="64">
        <v>25.48</v>
      </c>
      <c r="M59" s="64">
        <v>26.27</v>
      </c>
      <c r="N59" s="64">
        <v>654.6</v>
      </c>
      <c r="O59" s="64">
        <v>0</v>
      </c>
      <c r="P59" s="64">
        <v>0.6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1" t="s">
        <v>1835</v>
      </c>
      <c r="B60" s="64">
        <v>3.12</v>
      </c>
      <c r="C60" s="64">
        <v>24.93</v>
      </c>
      <c r="D60" s="64">
        <v>15.06</v>
      </c>
      <c r="E60" s="64">
        <v>5.6</v>
      </c>
      <c r="F60" s="64">
        <v>4.87</v>
      </c>
      <c r="G60" s="64">
        <v>52.58</v>
      </c>
      <c r="H60" s="64">
        <v>24.16</v>
      </c>
      <c r="I60" s="64">
        <v>2.4500000000000002</v>
      </c>
      <c r="J60" s="64">
        <v>0.26</v>
      </c>
      <c r="K60" s="64">
        <v>28.24</v>
      </c>
      <c r="L60" s="64">
        <v>26.71</v>
      </c>
      <c r="M60" s="64">
        <v>24.64</v>
      </c>
      <c r="N60" s="64">
        <v>497</v>
      </c>
      <c r="O60" s="64">
        <v>0</v>
      </c>
      <c r="P60" s="64">
        <v>0.57999999999999996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11" t="s">
        <v>1836</v>
      </c>
      <c r="B61" s="64">
        <v>3.55</v>
      </c>
      <c r="C61" s="64">
        <v>25.5</v>
      </c>
      <c r="D61" s="64">
        <v>15.71</v>
      </c>
      <c r="E61" s="64">
        <v>6.34</v>
      </c>
      <c r="F61" s="64">
        <v>5.91</v>
      </c>
      <c r="G61" s="64">
        <v>52.58</v>
      </c>
      <c r="H61" s="64">
        <v>24.16</v>
      </c>
      <c r="I61" s="64">
        <v>2.4300000000000002</v>
      </c>
      <c r="J61" s="64">
        <v>0.27</v>
      </c>
      <c r="K61" s="64">
        <v>349.45</v>
      </c>
      <c r="L61" s="64">
        <v>27.49</v>
      </c>
      <c r="M61" s="64">
        <v>23.73</v>
      </c>
      <c r="N61" s="64">
        <v>465.5</v>
      </c>
      <c r="O61" s="64">
        <v>0</v>
      </c>
      <c r="P61" s="64">
        <v>0.67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1" t="s">
        <v>1837</v>
      </c>
      <c r="B62" s="64">
        <v>3.55</v>
      </c>
      <c r="C62" s="64">
        <v>25.91</v>
      </c>
      <c r="D62" s="64">
        <v>15.92</v>
      </c>
      <c r="E62" s="64">
        <v>4.92</v>
      </c>
      <c r="F62" s="64">
        <v>7.13</v>
      </c>
      <c r="G62" s="64">
        <v>53.3</v>
      </c>
      <c r="H62" s="64">
        <v>24.24</v>
      </c>
      <c r="I62" s="64">
        <v>2.41</v>
      </c>
      <c r="J62" s="64">
        <v>0.5</v>
      </c>
      <c r="K62" s="64">
        <v>345.97</v>
      </c>
      <c r="L62" s="64">
        <v>27.27</v>
      </c>
      <c r="M62" s="64">
        <v>24.32</v>
      </c>
      <c r="N62" s="64">
        <v>549.70000000000005</v>
      </c>
      <c r="O62" s="64">
        <v>0</v>
      </c>
      <c r="P62" s="64">
        <v>0.72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1" t="s">
        <v>1838</v>
      </c>
      <c r="B63" s="64">
        <v>3.46</v>
      </c>
      <c r="C63" s="64">
        <v>25.56</v>
      </c>
      <c r="D63" s="64">
        <v>15.67</v>
      </c>
      <c r="E63" s="64">
        <v>5.75</v>
      </c>
      <c r="F63" s="64">
        <v>5.39</v>
      </c>
      <c r="G63" s="64">
        <v>53.35</v>
      </c>
      <c r="H63" s="64">
        <v>24.24</v>
      </c>
      <c r="I63" s="64">
        <v>2.39</v>
      </c>
      <c r="J63" s="64">
        <v>0.66</v>
      </c>
      <c r="K63" s="64">
        <v>323.74</v>
      </c>
      <c r="L63" s="64">
        <v>27.68</v>
      </c>
      <c r="M63" s="64">
        <v>23.62</v>
      </c>
      <c r="N63" s="64">
        <v>516.1</v>
      </c>
      <c r="O63" s="64">
        <v>0</v>
      </c>
      <c r="P63" s="64">
        <v>0.72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11" t="s">
        <v>1839</v>
      </c>
      <c r="B64" s="64">
        <v>3.28</v>
      </c>
      <c r="C64" s="64">
        <v>24.88</v>
      </c>
      <c r="D64" s="64">
        <v>15.17</v>
      </c>
      <c r="E64" s="64">
        <v>7.62</v>
      </c>
      <c r="F64" s="64">
        <v>7.58</v>
      </c>
      <c r="G64" s="64">
        <v>53.35</v>
      </c>
      <c r="H64" s="64">
        <v>24.24</v>
      </c>
      <c r="I64" s="64">
        <v>2.38</v>
      </c>
      <c r="J64" s="64">
        <v>0.53</v>
      </c>
      <c r="K64" s="64">
        <v>353.1</v>
      </c>
      <c r="L64" s="64">
        <v>26.54</v>
      </c>
      <c r="M64" s="64">
        <v>25.7</v>
      </c>
      <c r="N64" s="64">
        <v>359.3</v>
      </c>
      <c r="O64" s="64">
        <v>0</v>
      </c>
      <c r="P64" s="64">
        <v>0.69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1" t="s">
        <v>1840</v>
      </c>
      <c r="B65" s="64">
        <v>3.33</v>
      </c>
      <c r="C65" s="64">
        <v>25.85</v>
      </c>
      <c r="D65" s="64">
        <v>15.71</v>
      </c>
      <c r="E65" s="64">
        <v>5.67</v>
      </c>
      <c r="F65" s="64">
        <v>4.58</v>
      </c>
      <c r="G65" s="64">
        <v>53.35</v>
      </c>
      <c r="H65" s="64">
        <v>24.24</v>
      </c>
      <c r="I65" s="64">
        <v>2.36</v>
      </c>
      <c r="J65" s="64">
        <v>0.73</v>
      </c>
      <c r="K65" s="64">
        <v>343.9</v>
      </c>
      <c r="L65" s="64">
        <v>26.42</v>
      </c>
      <c r="M65" s="64">
        <v>25.36</v>
      </c>
      <c r="N65" s="64">
        <v>148.30000000000001</v>
      </c>
      <c r="O65" s="64">
        <v>0</v>
      </c>
      <c r="P65" s="64">
        <v>0.72</v>
      </c>
      <c r="Q65" s="64">
        <v>9.42</v>
      </c>
      <c r="R65" s="198"/>
      <c r="S65" s="198"/>
      <c r="T65" s="198"/>
      <c r="U65" s="198"/>
    </row>
    <row r="66" spans="1:21" s="12" customFormat="1" x14ac:dyDescent="0.25">
      <c r="A66" s="211" t="s">
        <v>1841</v>
      </c>
      <c r="B66" s="64">
        <v>3.82</v>
      </c>
      <c r="C66" s="64">
        <v>26.85</v>
      </c>
      <c r="D66" s="64">
        <v>16.63</v>
      </c>
      <c r="E66" s="64">
        <v>18.12</v>
      </c>
      <c r="F66" s="64">
        <v>21.02</v>
      </c>
      <c r="G66" s="64">
        <v>51.17</v>
      </c>
      <c r="H66" s="64">
        <v>22.2</v>
      </c>
      <c r="I66" s="64">
        <v>2.34</v>
      </c>
      <c r="J66" s="64">
        <v>0.21</v>
      </c>
      <c r="K66" s="64">
        <v>87.39</v>
      </c>
      <c r="L66" s="64">
        <v>25.24</v>
      </c>
      <c r="M66" s="64">
        <v>27.22</v>
      </c>
      <c r="N66" s="64">
        <v>136.30000000000001</v>
      </c>
      <c r="O66" s="64">
        <v>0</v>
      </c>
      <c r="P66" s="64">
        <v>0.66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1" t="s">
        <v>1842</v>
      </c>
      <c r="B67" s="64">
        <v>4.42</v>
      </c>
      <c r="C67" s="64">
        <v>29.94</v>
      </c>
      <c r="D67" s="64">
        <v>18.73</v>
      </c>
      <c r="E67" s="64">
        <v>17.53</v>
      </c>
      <c r="F67" s="64">
        <v>16.05</v>
      </c>
      <c r="G67" s="64">
        <v>51.01</v>
      </c>
      <c r="H67" s="64">
        <v>22.2</v>
      </c>
      <c r="I67" s="64">
        <v>2.33</v>
      </c>
      <c r="J67" s="64">
        <v>0.35</v>
      </c>
      <c r="K67" s="64">
        <v>122.08</v>
      </c>
      <c r="L67" s="64">
        <v>24.78</v>
      </c>
      <c r="M67" s="64">
        <v>27.37</v>
      </c>
      <c r="N67" s="64">
        <v>130.30000000000001</v>
      </c>
      <c r="O67" s="64">
        <v>0</v>
      </c>
      <c r="P67" s="64">
        <v>0.73</v>
      </c>
      <c r="Q67" s="64">
        <v>9.43</v>
      </c>
      <c r="R67" s="198"/>
      <c r="S67" s="198"/>
      <c r="T67" s="198"/>
      <c r="U67" s="198"/>
    </row>
    <row r="68" spans="1:21" s="12" customFormat="1" x14ac:dyDescent="0.25">
      <c r="A68" s="211" t="s">
        <v>1843</v>
      </c>
      <c r="B68" s="64">
        <v>5.05</v>
      </c>
      <c r="C68" s="64">
        <v>30.62</v>
      </c>
      <c r="D68" s="64">
        <v>19.579999999999998</v>
      </c>
      <c r="E68" s="64">
        <v>22.59</v>
      </c>
      <c r="F68" s="64">
        <v>23.25</v>
      </c>
      <c r="G68" s="64">
        <v>51.01</v>
      </c>
      <c r="H68" s="64">
        <v>22.2</v>
      </c>
      <c r="I68" s="64">
        <v>2.35</v>
      </c>
      <c r="J68" s="64">
        <v>0.28000000000000003</v>
      </c>
      <c r="K68" s="64">
        <v>347.6</v>
      </c>
      <c r="L68" s="64">
        <v>24.65</v>
      </c>
      <c r="M68" s="64">
        <v>27.8</v>
      </c>
      <c r="N68" s="64">
        <v>114.5</v>
      </c>
      <c r="O68" s="64">
        <v>0</v>
      </c>
      <c r="P68" s="64">
        <v>0.75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1" t="s">
        <v>1844</v>
      </c>
      <c r="B69" s="64">
        <v>3.11</v>
      </c>
      <c r="C69" s="64">
        <v>25.08</v>
      </c>
      <c r="D69" s="64">
        <v>15.13</v>
      </c>
      <c r="E69" s="64">
        <v>22.07</v>
      </c>
      <c r="F69" s="64">
        <v>27.83</v>
      </c>
      <c r="G69" s="64">
        <v>51.01</v>
      </c>
      <c r="H69" s="64">
        <v>22.2</v>
      </c>
      <c r="I69" s="64">
        <v>2.37</v>
      </c>
      <c r="J69" s="64">
        <v>0.13</v>
      </c>
      <c r="K69" s="64">
        <v>8.82</v>
      </c>
      <c r="L69" s="64">
        <v>24.61</v>
      </c>
      <c r="M69" s="64">
        <v>27.24</v>
      </c>
      <c r="N69" s="64">
        <v>106</v>
      </c>
      <c r="O69" s="64">
        <v>0</v>
      </c>
      <c r="P69" s="64">
        <v>0.68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1" t="s">
        <v>1845</v>
      </c>
      <c r="B70" s="64">
        <v>4.1100000000000003</v>
      </c>
      <c r="C70" s="64">
        <v>28.32</v>
      </c>
      <c r="D70" s="64">
        <v>17.63</v>
      </c>
      <c r="E70" s="64">
        <v>23.6</v>
      </c>
      <c r="F70" s="64">
        <v>21.88</v>
      </c>
      <c r="G70" s="64">
        <v>47.69</v>
      </c>
      <c r="H70" s="64">
        <v>23.8</v>
      </c>
      <c r="I70" s="64">
        <v>2.39</v>
      </c>
      <c r="J70" s="64">
        <v>0.19</v>
      </c>
      <c r="K70" s="64">
        <v>68.5</v>
      </c>
      <c r="L70" s="64">
        <v>24.33</v>
      </c>
      <c r="M70" s="64">
        <v>27.85</v>
      </c>
      <c r="N70" s="64">
        <v>98.9</v>
      </c>
      <c r="O70" s="64">
        <v>0</v>
      </c>
      <c r="P70" s="64">
        <v>0.81</v>
      </c>
      <c r="Q70" s="64">
        <v>9.44</v>
      </c>
      <c r="R70" s="198"/>
      <c r="S70" s="198"/>
      <c r="T70" s="198"/>
      <c r="U70" s="198"/>
    </row>
    <row r="71" spans="1:21" s="12" customFormat="1" x14ac:dyDescent="0.25">
      <c r="A71" s="211" t="s">
        <v>1846</v>
      </c>
      <c r="B71" s="64">
        <v>2.81</v>
      </c>
      <c r="C71" s="64">
        <v>21.58</v>
      </c>
      <c r="D71" s="64">
        <v>13.06</v>
      </c>
      <c r="E71" s="64">
        <v>19.77</v>
      </c>
      <c r="F71" s="64">
        <v>22.53</v>
      </c>
      <c r="G71" s="64">
        <v>47.49</v>
      </c>
      <c r="H71" s="64">
        <v>23.8</v>
      </c>
      <c r="I71" s="64">
        <v>2.39</v>
      </c>
      <c r="J71" s="64">
        <v>0.71</v>
      </c>
      <c r="K71" s="64">
        <v>123.2</v>
      </c>
      <c r="L71" s="64">
        <v>23.91</v>
      </c>
      <c r="M71" s="64">
        <v>28.1</v>
      </c>
      <c r="N71" s="64">
        <v>91.7</v>
      </c>
      <c r="O71" s="64">
        <v>0</v>
      </c>
      <c r="P71" s="64">
        <v>0.69</v>
      </c>
      <c r="Q71" s="64">
        <v>9.4499999999999993</v>
      </c>
      <c r="R71" s="198"/>
      <c r="S71" s="198"/>
      <c r="T71" s="198"/>
      <c r="U71" s="198"/>
    </row>
    <row r="72" spans="1:21" s="12" customFormat="1" x14ac:dyDescent="0.25">
      <c r="A72" s="211" t="s">
        <v>1847</v>
      </c>
      <c r="B72" s="64">
        <v>2.57</v>
      </c>
      <c r="C72" s="64">
        <v>20.48</v>
      </c>
      <c r="D72" s="64">
        <v>12.3</v>
      </c>
      <c r="E72" s="64">
        <v>23.69</v>
      </c>
      <c r="F72" s="64">
        <v>27.42</v>
      </c>
      <c r="G72" s="64">
        <v>47.49</v>
      </c>
      <c r="H72" s="64">
        <v>23.8</v>
      </c>
      <c r="I72" s="64">
        <v>2.38</v>
      </c>
      <c r="J72" s="64">
        <v>0.62</v>
      </c>
      <c r="K72" s="64">
        <v>115.55</v>
      </c>
      <c r="L72" s="64">
        <v>23.71</v>
      </c>
      <c r="M72" s="64">
        <v>27.82</v>
      </c>
      <c r="N72" s="64">
        <v>85</v>
      </c>
      <c r="O72" s="64">
        <v>0</v>
      </c>
      <c r="P72" s="64">
        <v>0.65</v>
      </c>
      <c r="Q72" s="64">
        <v>9.44</v>
      </c>
      <c r="R72" s="198"/>
      <c r="S72" s="198"/>
      <c r="T72" s="198"/>
      <c r="U72" s="198"/>
    </row>
    <row r="73" spans="1:21" s="12" customFormat="1" x14ac:dyDescent="0.25">
      <c r="A73" s="211" t="s">
        <v>1848</v>
      </c>
      <c r="B73" s="64">
        <v>6.36</v>
      </c>
      <c r="C73" s="64">
        <v>28.09</v>
      </c>
      <c r="D73" s="64">
        <v>19.32</v>
      </c>
      <c r="E73" s="64">
        <v>19.239999999999998</v>
      </c>
      <c r="F73" s="64">
        <v>13.23</v>
      </c>
      <c r="G73" s="64">
        <v>47.49</v>
      </c>
      <c r="H73" s="64">
        <v>23.8</v>
      </c>
      <c r="I73" s="64">
        <v>2.38</v>
      </c>
      <c r="J73" s="64">
        <v>0.35</v>
      </c>
      <c r="K73" s="64">
        <v>106.76</v>
      </c>
      <c r="L73" s="64">
        <v>23.51</v>
      </c>
      <c r="M73" s="64">
        <v>29.93</v>
      </c>
      <c r="N73" s="64">
        <v>76.8</v>
      </c>
      <c r="O73" s="64">
        <v>0</v>
      </c>
      <c r="P73" s="64">
        <v>0.79</v>
      </c>
      <c r="Q73" s="64">
        <v>9.43</v>
      </c>
      <c r="R73" s="198"/>
      <c r="S73" s="198"/>
      <c r="T73" s="198"/>
      <c r="U73" s="198"/>
    </row>
    <row r="74" spans="1:21" s="12" customFormat="1" x14ac:dyDescent="0.25">
      <c r="A74" s="211" t="s">
        <v>1849</v>
      </c>
      <c r="B74" s="64">
        <v>3.28</v>
      </c>
      <c r="C74" s="64">
        <v>23.35</v>
      </c>
      <c r="D74" s="64">
        <v>14.37</v>
      </c>
      <c r="E74" s="64">
        <v>9.02</v>
      </c>
      <c r="F74" s="64">
        <v>9.49</v>
      </c>
      <c r="G74" s="64">
        <v>45.77</v>
      </c>
      <c r="H74" s="64">
        <v>20.18</v>
      </c>
      <c r="I74" s="64">
        <v>2.36</v>
      </c>
      <c r="J74" s="64">
        <v>0.68</v>
      </c>
      <c r="K74" s="64">
        <v>124.63</v>
      </c>
      <c r="L74" s="64">
        <v>23.31</v>
      </c>
      <c r="M74" s="64">
        <v>30.22</v>
      </c>
      <c r="N74" s="64">
        <v>69.3</v>
      </c>
      <c r="O74" s="64">
        <v>0</v>
      </c>
      <c r="P74" s="64">
        <v>0.73</v>
      </c>
      <c r="Q74" s="64">
        <v>9.41</v>
      </c>
      <c r="R74" s="198"/>
      <c r="S74" s="198"/>
      <c r="T74" s="198"/>
      <c r="U74" s="198"/>
    </row>
    <row r="75" spans="1:21" s="12" customFormat="1" x14ac:dyDescent="0.25">
      <c r="A75" s="211" t="s">
        <v>1850</v>
      </c>
      <c r="B75" s="64">
        <v>3.14</v>
      </c>
      <c r="C75" s="64">
        <v>22.27</v>
      </c>
      <c r="D75" s="64">
        <v>13.69</v>
      </c>
      <c r="E75" s="64">
        <v>14.57</v>
      </c>
      <c r="F75" s="64">
        <v>13.59</v>
      </c>
      <c r="G75" s="64">
        <v>45.65</v>
      </c>
      <c r="H75" s="64">
        <v>20.18</v>
      </c>
      <c r="I75" s="64">
        <v>2.35</v>
      </c>
      <c r="J75" s="64">
        <v>0.28999999999999998</v>
      </c>
      <c r="K75" s="64">
        <v>108.01</v>
      </c>
      <c r="L75" s="64">
        <v>23.03</v>
      </c>
      <c r="M75" s="64">
        <v>31.57</v>
      </c>
      <c r="N75" s="64">
        <v>60.9</v>
      </c>
      <c r="O75" s="64">
        <v>0</v>
      </c>
      <c r="P75" s="64">
        <v>0.64</v>
      </c>
      <c r="Q75" s="64">
        <v>9.39</v>
      </c>
      <c r="R75" s="198"/>
      <c r="S75" s="198"/>
      <c r="T75" s="198"/>
      <c r="U75" s="198"/>
    </row>
    <row r="76" spans="1:21" s="12" customFormat="1" x14ac:dyDescent="0.25">
      <c r="A76" s="211" t="s">
        <v>1851</v>
      </c>
      <c r="B76" s="64">
        <v>3.09</v>
      </c>
      <c r="C76" s="64">
        <v>24.53</v>
      </c>
      <c r="D76" s="64">
        <v>14.84</v>
      </c>
      <c r="E76" s="64">
        <v>10.94</v>
      </c>
      <c r="F76" s="64">
        <v>11.22</v>
      </c>
      <c r="G76" s="64">
        <v>45.65</v>
      </c>
      <c r="H76" s="64">
        <v>20.18</v>
      </c>
      <c r="I76" s="64">
        <v>2.33</v>
      </c>
      <c r="J76" s="64">
        <v>0.12</v>
      </c>
      <c r="K76" s="64">
        <v>356.68</v>
      </c>
      <c r="L76" s="64">
        <v>22.52</v>
      </c>
      <c r="M76" s="64">
        <v>34.03</v>
      </c>
      <c r="N76" s="64">
        <v>53</v>
      </c>
      <c r="O76" s="64">
        <v>0</v>
      </c>
      <c r="P76" s="64">
        <v>0.66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1" t="s">
        <v>1852</v>
      </c>
      <c r="B77" s="64">
        <v>7.94</v>
      </c>
      <c r="C77" s="64">
        <v>26</v>
      </c>
      <c r="D77" s="64">
        <v>19.47</v>
      </c>
      <c r="E77" s="64">
        <v>8.69</v>
      </c>
      <c r="F77" s="64">
        <v>4.0599999999999996</v>
      </c>
      <c r="G77" s="64">
        <v>45.65</v>
      </c>
      <c r="H77" s="64">
        <v>20.18</v>
      </c>
      <c r="I77" s="64">
        <v>2.31</v>
      </c>
      <c r="J77" s="64">
        <v>0.25</v>
      </c>
      <c r="K77" s="64">
        <v>341.93</v>
      </c>
      <c r="L77" s="64">
        <v>21.67</v>
      </c>
      <c r="M77" s="64">
        <v>43.41</v>
      </c>
      <c r="N77" s="64">
        <v>46.8</v>
      </c>
      <c r="O77" s="64">
        <v>0</v>
      </c>
      <c r="P77" s="64">
        <v>0.85</v>
      </c>
      <c r="Q77" s="64">
        <v>9.4</v>
      </c>
      <c r="R77" s="198"/>
      <c r="S77" s="198"/>
      <c r="T77" s="198"/>
      <c r="U77" s="198"/>
    </row>
    <row r="78" spans="1:21" s="12" customFormat="1" x14ac:dyDescent="0.25">
      <c r="A78" s="211" t="s">
        <v>1853</v>
      </c>
      <c r="B78" s="64">
        <v>9.39</v>
      </c>
      <c r="C78" s="64">
        <v>25.88</v>
      </c>
      <c r="D78" s="64">
        <v>20.59</v>
      </c>
      <c r="E78" s="64">
        <v>7.38</v>
      </c>
      <c r="F78" s="64">
        <v>3.15</v>
      </c>
      <c r="G78" s="64">
        <v>53.77</v>
      </c>
      <c r="H78" s="64">
        <v>21.8</v>
      </c>
      <c r="I78" s="64">
        <v>2.3199999999999998</v>
      </c>
      <c r="J78" s="64">
        <v>0.24</v>
      </c>
      <c r="K78" s="64">
        <v>2.73</v>
      </c>
      <c r="L78" s="64">
        <v>20.74</v>
      </c>
      <c r="M78" s="64">
        <v>49.48</v>
      </c>
      <c r="N78" s="64">
        <v>43.8</v>
      </c>
      <c r="O78" s="64">
        <v>0</v>
      </c>
      <c r="P78" s="64">
        <v>0.88</v>
      </c>
      <c r="Q78" s="64">
        <v>9.43</v>
      </c>
      <c r="R78" s="198"/>
      <c r="S78" s="198"/>
      <c r="T78" s="198"/>
      <c r="U78" s="198"/>
    </row>
    <row r="79" spans="1:21" s="12" customFormat="1" x14ac:dyDescent="0.25">
      <c r="A79" s="211" t="s">
        <v>1854</v>
      </c>
      <c r="B79" s="64">
        <v>12.58</v>
      </c>
      <c r="C79" s="64">
        <v>24.81</v>
      </c>
      <c r="D79" s="64">
        <v>22.59</v>
      </c>
      <c r="E79" s="64">
        <v>6.8</v>
      </c>
      <c r="F79" s="64">
        <v>3.11</v>
      </c>
      <c r="G79" s="64">
        <v>54.25</v>
      </c>
      <c r="H79" s="64">
        <v>21.8</v>
      </c>
      <c r="I79" s="64">
        <v>2.41</v>
      </c>
      <c r="J79" s="64">
        <v>0.26</v>
      </c>
      <c r="K79" s="64">
        <v>332.03</v>
      </c>
      <c r="L79" s="64">
        <v>20.079999999999998</v>
      </c>
      <c r="M79" s="64">
        <v>49.96</v>
      </c>
      <c r="N79" s="64">
        <v>43.1</v>
      </c>
      <c r="O79" s="64">
        <v>0</v>
      </c>
      <c r="P79" s="64">
        <v>0.89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1" t="s">
        <v>1855</v>
      </c>
      <c r="B80" s="64">
        <v>12.38</v>
      </c>
      <c r="C80" s="64">
        <v>24.21</v>
      </c>
      <c r="D80" s="64">
        <v>22.11</v>
      </c>
      <c r="E80" s="64">
        <v>6.63</v>
      </c>
      <c r="F80" s="64">
        <v>2.89</v>
      </c>
      <c r="G80" s="64">
        <v>54.25</v>
      </c>
      <c r="H80" s="64">
        <v>21.8</v>
      </c>
      <c r="I80" s="64">
        <v>2.58</v>
      </c>
      <c r="J80" s="64">
        <v>0.24</v>
      </c>
      <c r="K80" s="64">
        <v>18.53</v>
      </c>
      <c r="L80" s="64">
        <v>19.48</v>
      </c>
      <c r="M80" s="64">
        <v>53.45</v>
      </c>
      <c r="N80" s="64">
        <v>42.9</v>
      </c>
      <c r="O80" s="64">
        <v>0</v>
      </c>
      <c r="P80" s="64">
        <v>0.97</v>
      </c>
      <c r="Q80" s="64">
        <v>9.52</v>
      </c>
      <c r="R80" s="198"/>
      <c r="S80" s="198"/>
      <c r="T80" s="198"/>
      <c r="U80" s="198"/>
    </row>
    <row r="81" spans="1:26" s="12" customFormat="1" x14ac:dyDescent="0.25">
      <c r="A81" s="211" t="s">
        <v>1856</v>
      </c>
      <c r="B81" s="64">
        <v>14.43</v>
      </c>
      <c r="C81" s="64">
        <v>27.77</v>
      </c>
      <c r="D81" s="64">
        <v>25.62</v>
      </c>
      <c r="E81" s="64">
        <v>6.95</v>
      </c>
      <c r="F81" s="64">
        <v>3.66</v>
      </c>
      <c r="G81" s="64">
        <v>54.25</v>
      </c>
      <c r="H81" s="64">
        <v>21.8</v>
      </c>
      <c r="I81" s="64">
        <v>2.54</v>
      </c>
      <c r="J81" s="64">
        <v>0.18</v>
      </c>
      <c r="K81" s="64">
        <v>29.05</v>
      </c>
      <c r="L81" s="64">
        <v>19.3</v>
      </c>
      <c r="M81" s="64">
        <v>53.35</v>
      </c>
      <c r="N81" s="64">
        <v>42.6</v>
      </c>
      <c r="O81" s="64">
        <v>0</v>
      </c>
      <c r="P81" s="64">
        <v>1.1000000000000001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1" t="s">
        <v>1857</v>
      </c>
      <c r="B82" s="64">
        <v>12.69</v>
      </c>
      <c r="C82" s="64">
        <v>28.29</v>
      </c>
      <c r="D82" s="64">
        <v>24.5</v>
      </c>
      <c r="E82" s="64">
        <v>7.43</v>
      </c>
      <c r="F82" s="64">
        <v>3.34</v>
      </c>
      <c r="G82" s="64">
        <v>75.900000000000006</v>
      </c>
      <c r="H82" s="64">
        <v>29.47</v>
      </c>
      <c r="I82" s="64">
        <v>2.54</v>
      </c>
      <c r="J82" s="64">
        <v>0.2</v>
      </c>
      <c r="K82" s="64">
        <v>92.71</v>
      </c>
      <c r="L82" s="64">
        <v>19.52</v>
      </c>
      <c r="M82" s="64">
        <v>48.16</v>
      </c>
      <c r="N82" s="64">
        <v>42.3</v>
      </c>
      <c r="O82" s="64">
        <v>0</v>
      </c>
      <c r="P82" s="64">
        <v>1.08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1" t="s">
        <v>1858</v>
      </c>
      <c r="B83" s="64">
        <v>18.940000000000001</v>
      </c>
      <c r="C83" s="64">
        <v>32.72</v>
      </c>
      <c r="D83" s="64">
        <v>31.82</v>
      </c>
      <c r="E83" s="64">
        <v>8.66</v>
      </c>
      <c r="F83" s="64">
        <v>4.5</v>
      </c>
      <c r="G83" s="64">
        <v>77.45</v>
      </c>
      <c r="H83" s="64">
        <v>29.47</v>
      </c>
      <c r="I83" s="64">
        <v>2.71</v>
      </c>
      <c r="J83" s="64">
        <v>0.44</v>
      </c>
      <c r="K83" s="64">
        <v>350.09</v>
      </c>
      <c r="L83" s="64">
        <v>19.5</v>
      </c>
      <c r="M83" s="64">
        <v>50.78</v>
      </c>
      <c r="N83" s="64">
        <v>42.3</v>
      </c>
      <c r="O83" s="64">
        <v>0</v>
      </c>
      <c r="P83" s="64">
        <v>1.35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1" t="s">
        <v>1859</v>
      </c>
      <c r="B84" s="64">
        <v>22.5</v>
      </c>
      <c r="C84" s="64">
        <v>34.28</v>
      </c>
      <c r="D84" s="64">
        <v>35.49</v>
      </c>
      <c r="E84" s="64">
        <v>14.26</v>
      </c>
      <c r="F84" s="64">
        <v>5.08</v>
      </c>
      <c r="G84" s="64">
        <v>77.45</v>
      </c>
      <c r="H84" s="64">
        <v>29.47</v>
      </c>
      <c r="I84" s="64">
        <v>3.12</v>
      </c>
      <c r="J84" s="64">
        <v>0.28999999999999998</v>
      </c>
      <c r="K84" s="64">
        <v>357.07</v>
      </c>
      <c r="L84" s="64">
        <v>19.47</v>
      </c>
      <c r="M84" s="64">
        <v>49.37</v>
      </c>
      <c r="N84" s="64">
        <v>42.4</v>
      </c>
      <c r="O84" s="64">
        <v>0</v>
      </c>
      <c r="P84" s="64">
        <v>1.57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1" t="s">
        <v>1860</v>
      </c>
      <c r="B85" s="64">
        <v>18.11</v>
      </c>
      <c r="C85" s="64">
        <v>34.869999999999997</v>
      </c>
      <c r="D85" s="64">
        <v>32.28</v>
      </c>
      <c r="E85" s="64">
        <v>15.69</v>
      </c>
      <c r="F85" s="64">
        <v>5.78</v>
      </c>
      <c r="G85" s="64">
        <v>77.45</v>
      </c>
      <c r="H85" s="64">
        <v>29.47</v>
      </c>
      <c r="I85" s="64">
        <v>3.49</v>
      </c>
      <c r="J85" s="64">
        <v>0.27</v>
      </c>
      <c r="K85" s="64">
        <v>16.02</v>
      </c>
      <c r="L85" s="64">
        <v>19.47</v>
      </c>
      <c r="M85" s="64">
        <v>48.34</v>
      </c>
      <c r="N85" s="64">
        <v>42.5</v>
      </c>
      <c r="O85" s="64">
        <v>0</v>
      </c>
      <c r="P85" s="64">
        <v>1.5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1" t="s">
        <v>1861</v>
      </c>
      <c r="B86" s="64">
        <v>14.1</v>
      </c>
      <c r="C86" s="64">
        <v>35.76</v>
      </c>
      <c r="D86" s="64">
        <v>29.53</v>
      </c>
      <c r="E86" s="64">
        <v>18.059999999999999</v>
      </c>
      <c r="F86" s="64">
        <v>5.68</v>
      </c>
      <c r="G86" s="64">
        <v>96.46</v>
      </c>
      <c r="H86" s="64">
        <v>35.869999999999997</v>
      </c>
      <c r="I86" s="64">
        <v>3.67</v>
      </c>
      <c r="J86" s="64">
        <v>0.27</v>
      </c>
      <c r="K86" s="64">
        <v>83.89</v>
      </c>
      <c r="L86" s="64">
        <v>19.46</v>
      </c>
      <c r="M86" s="64">
        <v>48.23</v>
      </c>
      <c r="N86" s="64">
        <v>42.5</v>
      </c>
      <c r="O86" s="64">
        <v>0</v>
      </c>
      <c r="P86" s="64">
        <v>1.55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1" t="s">
        <v>1862</v>
      </c>
      <c r="B87" s="64">
        <v>15.39</v>
      </c>
      <c r="C87" s="64">
        <v>33.39</v>
      </c>
      <c r="D87" s="64">
        <v>29.32</v>
      </c>
      <c r="E87" s="64">
        <v>20.56</v>
      </c>
      <c r="F87" s="64">
        <v>4.5999999999999996</v>
      </c>
      <c r="G87" s="64">
        <v>97.58</v>
      </c>
      <c r="H87" s="64">
        <v>35.869999999999997</v>
      </c>
      <c r="I87" s="64">
        <v>3.57</v>
      </c>
      <c r="J87" s="64">
        <v>0.21</v>
      </c>
      <c r="K87" s="64">
        <v>93.83</v>
      </c>
      <c r="L87" s="64">
        <v>19.34</v>
      </c>
      <c r="M87" s="64">
        <v>49.17</v>
      </c>
      <c r="N87" s="64">
        <v>42.7</v>
      </c>
      <c r="O87" s="64">
        <v>0</v>
      </c>
      <c r="P87" s="64">
        <v>1.56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1" t="s">
        <v>1863</v>
      </c>
      <c r="B88" s="64">
        <v>14.9</v>
      </c>
      <c r="C88" s="64">
        <v>35.24</v>
      </c>
      <c r="D88" s="64">
        <v>29.9</v>
      </c>
      <c r="E88" s="64">
        <v>17.64</v>
      </c>
      <c r="F88" s="64">
        <v>5.91</v>
      </c>
      <c r="G88" s="64">
        <v>97.58</v>
      </c>
      <c r="H88" s="64">
        <v>35.869999999999997</v>
      </c>
      <c r="I88" s="64">
        <v>3.8</v>
      </c>
      <c r="J88" s="64">
        <v>0.12</v>
      </c>
      <c r="K88" s="64">
        <v>12.89</v>
      </c>
      <c r="L88" s="64">
        <v>19.079999999999998</v>
      </c>
      <c r="M88" s="64">
        <v>51.33</v>
      </c>
      <c r="N88" s="64">
        <v>42.7</v>
      </c>
      <c r="O88" s="64">
        <v>0</v>
      </c>
      <c r="P88" s="64">
        <v>1.67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1864</v>
      </c>
      <c r="B89" s="64">
        <v>31.35</v>
      </c>
      <c r="C89" s="64">
        <v>28.48</v>
      </c>
      <c r="D89" s="64">
        <v>39.56</v>
      </c>
      <c r="E89" s="64">
        <v>14.09</v>
      </c>
      <c r="F89" s="64">
        <v>4.51</v>
      </c>
      <c r="G89" s="64">
        <v>97.58</v>
      </c>
      <c r="H89" s="64">
        <v>35.869999999999997</v>
      </c>
      <c r="I89" s="64">
        <v>3.88</v>
      </c>
      <c r="J89" s="64">
        <v>0.23</v>
      </c>
      <c r="K89" s="64">
        <v>357.36</v>
      </c>
      <c r="L89" s="64">
        <v>18.690000000000001</v>
      </c>
      <c r="M89" s="64">
        <v>55.05</v>
      </c>
      <c r="N89" s="64">
        <v>42.8</v>
      </c>
      <c r="O89" s="64">
        <v>0</v>
      </c>
      <c r="P89" s="64">
        <v>1.87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1865</v>
      </c>
      <c r="B90" s="64">
        <v>20.13</v>
      </c>
      <c r="C90" s="64">
        <v>26.85</v>
      </c>
      <c r="D90" s="64">
        <v>29.71</v>
      </c>
      <c r="E90" s="64">
        <v>13.82</v>
      </c>
      <c r="F90" s="64">
        <v>4.47</v>
      </c>
      <c r="G90" s="64">
        <v>118.65</v>
      </c>
      <c r="H90" s="64">
        <v>45.9</v>
      </c>
      <c r="I90" s="64">
        <v>3.84</v>
      </c>
      <c r="J90" s="64">
        <v>0.18</v>
      </c>
      <c r="K90" s="64">
        <v>322.25</v>
      </c>
      <c r="L90" s="64">
        <v>18.34</v>
      </c>
      <c r="M90" s="64">
        <v>56.58</v>
      </c>
      <c r="N90" s="64">
        <v>42.6</v>
      </c>
      <c r="O90" s="64">
        <v>0</v>
      </c>
      <c r="P90" s="64">
        <v>1.65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1" t="s">
        <v>1866</v>
      </c>
      <c r="B91" s="64">
        <v>25.97</v>
      </c>
      <c r="C91" s="64">
        <v>23.68</v>
      </c>
      <c r="D91" s="64">
        <v>32.74</v>
      </c>
      <c r="E91" s="64">
        <v>9.6</v>
      </c>
      <c r="F91" s="64">
        <v>4.12</v>
      </c>
      <c r="G91" s="64">
        <v>120.15</v>
      </c>
      <c r="H91" s="64">
        <v>45.9</v>
      </c>
      <c r="I91" s="64">
        <v>3.99</v>
      </c>
      <c r="J91" s="64">
        <v>0.2</v>
      </c>
      <c r="K91" s="64">
        <v>10.55</v>
      </c>
      <c r="L91" s="64">
        <v>18.309999999999999</v>
      </c>
      <c r="M91" s="64">
        <v>55.48</v>
      </c>
      <c r="N91" s="64">
        <v>42.6</v>
      </c>
      <c r="O91" s="64">
        <v>0</v>
      </c>
      <c r="P91" s="64">
        <v>1.73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1" t="s">
        <v>1867</v>
      </c>
      <c r="B92" s="64">
        <v>22.04</v>
      </c>
      <c r="C92" s="64">
        <v>19.46</v>
      </c>
      <c r="D92" s="64">
        <v>27.38</v>
      </c>
      <c r="E92" s="64">
        <v>7.47</v>
      </c>
      <c r="F92" s="64">
        <v>3.39</v>
      </c>
      <c r="G92" s="64">
        <v>120.15</v>
      </c>
      <c r="H92" s="64">
        <v>45.9</v>
      </c>
      <c r="I92" s="64">
        <v>4.1399999999999997</v>
      </c>
      <c r="J92" s="64">
        <v>0.16</v>
      </c>
      <c r="K92" s="64">
        <v>40.32</v>
      </c>
      <c r="L92" s="64">
        <v>18.36</v>
      </c>
      <c r="M92" s="64">
        <v>53.21</v>
      </c>
      <c r="N92" s="64">
        <v>42.4</v>
      </c>
      <c r="O92" s="64">
        <v>0</v>
      </c>
      <c r="P92" s="64">
        <v>1.54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1" t="s">
        <v>1868</v>
      </c>
      <c r="B93" s="64">
        <v>22.1</v>
      </c>
      <c r="C93" s="64">
        <v>21.5</v>
      </c>
      <c r="D93" s="64">
        <v>28.49</v>
      </c>
      <c r="E93" s="64">
        <v>7.44</v>
      </c>
      <c r="F93" s="64">
        <v>3.39</v>
      </c>
      <c r="G93" s="64">
        <v>120.15</v>
      </c>
      <c r="H93" s="64">
        <v>45.9</v>
      </c>
      <c r="I93" s="64">
        <v>4.28</v>
      </c>
      <c r="J93" s="64">
        <v>0.09</v>
      </c>
      <c r="K93" s="64">
        <v>54.94</v>
      </c>
      <c r="L93" s="64">
        <v>18.46</v>
      </c>
      <c r="M93" s="64">
        <v>51.88</v>
      </c>
      <c r="N93" s="64">
        <v>42.4</v>
      </c>
      <c r="O93" s="64">
        <v>0</v>
      </c>
      <c r="P93" s="64">
        <v>1.55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1" t="s">
        <v>1869</v>
      </c>
      <c r="B94" s="64">
        <v>22.56</v>
      </c>
      <c r="C94" s="64">
        <v>20.94</v>
      </c>
      <c r="D94" s="64">
        <v>28.57</v>
      </c>
      <c r="E94" s="64">
        <v>7.3</v>
      </c>
      <c r="F94" s="64">
        <v>3.33</v>
      </c>
      <c r="G94" s="64">
        <v>114.67</v>
      </c>
      <c r="H94" s="64">
        <v>47.98</v>
      </c>
      <c r="I94" s="64">
        <v>4.3899999999999997</v>
      </c>
      <c r="J94" s="64">
        <v>7.0000000000000007E-2</v>
      </c>
      <c r="K94" s="64">
        <v>66.37</v>
      </c>
      <c r="L94" s="64">
        <v>18.32</v>
      </c>
      <c r="M94" s="64">
        <v>52.07</v>
      </c>
      <c r="N94" s="64">
        <v>42.4</v>
      </c>
      <c r="O94" s="64">
        <v>0</v>
      </c>
      <c r="P94" s="64">
        <v>1.55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1" t="s">
        <v>1870</v>
      </c>
      <c r="B95" s="64">
        <v>22.83</v>
      </c>
      <c r="C95" s="64">
        <v>20</v>
      </c>
      <c r="D95" s="64">
        <v>28.29</v>
      </c>
      <c r="E95" s="64">
        <v>6.8</v>
      </c>
      <c r="F95" s="64">
        <v>3.42</v>
      </c>
      <c r="G95" s="64">
        <v>114.28</v>
      </c>
      <c r="H95" s="64">
        <v>47.98</v>
      </c>
      <c r="I95" s="64">
        <v>4.4400000000000004</v>
      </c>
      <c r="J95" s="64">
        <v>0.18</v>
      </c>
      <c r="K95" s="64">
        <v>72.64</v>
      </c>
      <c r="L95" s="64">
        <v>18.239999999999998</v>
      </c>
      <c r="M95" s="64">
        <v>52.03</v>
      </c>
      <c r="N95" s="64">
        <v>42.4</v>
      </c>
      <c r="O95" s="64">
        <v>0</v>
      </c>
      <c r="P95" s="64">
        <v>1.55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1" t="s">
        <v>1871</v>
      </c>
      <c r="B96" s="64">
        <v>22.43</v>
      </c>
      <c r="C96" s="64">
        <v>19.989999999999998</v>
      </c>
      <c r="D96" s="64">
        <v>27.97</v>
      </c>
      <c r="E96" s="64">
        <v>6.67</v>
      </c>
      <c r="F96" s="64">
        <v>3.51</v>
      </c>
      <c r="G96" s="64">
        <v>114.28</v>
      </c>
      <c r="H96" s="64">
        <v>47.98</v>
      </c>
      <c r="I96" s="64">
        <v>4.45</v>
      </c>
      <c r="J96" s="64">
        <v>0.26</v>
      </c>
      <c r="K96" s="64">
        <v>0.56999999999999995</v>
      </c>
      <c r="L96" s="64">
        <v>18.04</v>
      </c>
      <c r="M96" s="64">
        <v>55.96</v>
      </c>
      <c r="N96" s="64">
        <v>42.7</v>
      </c>
      <c r="O96" s="64">
        <v>0</v>
      </c>
      <c r="P96" s="64">
        <v>1.54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1872</v>
      </c>
      <c r="B97" s="64">
        <v>22.47</v>
      </c>
      <c r="C97" s="64">
        <v>19.89</v>
      </c>
      <c r="D97" s="64">
        <v>27.95</v>
      </c>
      <c r="E97" s="64">
        <v>6.73</v>
      </c>
      <c r="F97" s="64">
        <v>3.29</v>
      </c>
      <c r="G97" s="64">
        <v>114.28</v>
      </c>
      <c r="H97" s="64">
        <v>47.98</v>
      </c>
      <c r="I97" s="64">
        <v>4.76</v>
      </c>
      <c r="J97" s="64">
        <v>7.0000000000000007E-2</v>
      </c>
      <c r="K97" s="64">
        <v>39.97</v>
      </c>
      <c r="L97" s="64">
        <v>17.82</v>
      </c>
      <c r="M97" s="64">
        <v>54.73</v>
      </c>
      <c r="N97" s="64">
        <v>42.4</v>
      </c>
      <c r="O97" s="64">
        <v>0</v>
      </c>
      <c r="P97" s="64">
        <v>1.55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1" t="s">
        <v>1873</v>
      </c>
      <c r="B98" s="64">
        <v>22.23</v>
      </c>
      <c r="C98" s="64">
        <v>19.93</v>
      </c>
      <c r="D98" s="64">
        <v>27.78</v>
      </c>
      <c r="E98" s="64">
        <v>6.41</v>
      </c>
      <c r="F98" s="64">
        <v>3.29</v>
      </c>
      <c r="G98" s="64">
        <v>102.81</v>
      </c>
      <c r="H98" s="64">
        <v>42.6</v>
      </c>
      <c r="I98" s="64">
        <v>4.68</v>
      </c>
      <c r="J98" s="64">
        <v>0.11</v>
      </c>
      <c r="K98" s="64">
        <v>69.22</v>
      </c>
      <c r="L98" s="64">
        <v>17.920000000000002</v>
      </c>
      <c r="M98" s="64">
        <v>52.72</v>
      </c>
      <c r="N98" s="64">
        <v>42.4</v>
      </c>
      <c r="O98" s="64">
        <v>0</v>
      </c>
      <c r="P98" s="64">
        <v>1.54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1" t="s">
        <v>1874</v>
      </c>
      <c r="B99" s="64">
        <v>21.55</v>
      </c>
      <c r="C99" s="64">
        <v>20.02</v>
      </c>
      <c r="D99" s="64">
        <v>27.28</v>
      </c>
      <c r="E99" s="64">
        <v>6.63</v>
      </c>
      <c r="F99" s="64">
        <v>3.2</v>
      </c>
      <c r="G99" s="64">
        <v>102</v>
      </c>
      <c r="H99" s="64">
        <v>42.6</v>
      </c>
      <c r="I99" s="64">
        <v>4.45</v>
      </c>
      <c r="J99" s="64">
        <v>0.16</v>
      </c>
      <c r="K99" s="64">
        <v>30.01</v>
      </c>
      <c r="L99" s="64">
        <v>17.87</v>
      </c>
      <c r="M99" s="64">
        <v>53.43</v>
      </c>
      <c r="N99" s="64">
        <v>42.4</v>
      </c>
      <c r="O99" s="64">
        <v>0</v>
      </c>
      <c r="P99" s="64">
        <v>1.52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11" t="s">
        <v>1875</v>
      </c>
      <c r="B100" s="64">
        <v>20.93</v>
      </c>
      <c r="C100" s="64">
        <v>20.79</v>
      </c>
      <c r="D100" s="64">
        <v>27.18</v>
      </c>
      <c r="E100" s="64">
        <v>6.49</v>
      </c>
      <c r="F100" s="64">
        <v>3.07</v>
      </c>
      <c r="G100" s="64">
        <v>102</v>
      </c>
      <c r="H100" s="64">
        <v>42.6</v>
      </c>
      <c r="I100" s="64">
        <v>4.42</v>
      </c>
      <c r="J100" s="64">
        <v>0.11</v>
      </c>
      <c r="K100" s="64">
        <v>27.27</v>
      </c>
      <c r="L100" s="64">
        <v>17.73</v>
      </c>
      <c r="M100" s="64">
        <v>54.66</v>
      </c>
      <c r="N100" s="64">
        <v>42.5</v>
      </c>
      <c r="O100" s="64">
        <v>0</v>
      </c>
      <c r="P100" s="64">
        <v>1.5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1876</v>
      </c>
      <c r="B101" s="64">
        <v>20.03</v>
      </c>
      <c r="C101" s="64">
        <v>21.42</v>
      </c>
      <c r="D101" s="64">
        <v>26.79</v>
      </c>
      <c r="E101" s="64">
        <v>6.57</v>
      </c>
      <c r="F101" s="64">
        <v>3.51</v>
      </c>
      <c r="G101" s="64">
        <v>102</v>
      </c>
      <c r="H101" s="64">
        <v>42.6</v>
      </c>
      <c r="I101" s="64">
        <v>4.38</v>
      </c>
      <c r="J101" s="64">
        <v>0.21</v>
      </c>
      <c r="K101" s="64">
        <v>47.8</v>
      </c>
      <c r="L101" s="64">
        <v>17.510000000000002</v>
      </c>
      <c r="M101" s="64">
        <v>56.26</v>
      </c>
      <c r="N101" s="64">
        <v>42.6</v>
      </c>
      <c r="O101" s="64">
        <v>0</v>
      </c>
      <c r="P101" s="64">
        <v>1.45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1" t="s">
        <v>1877</v>
      </c>
      <c r="B102" s="64">
        <v>17.09</v>
      </c>
      <c r="C102" s="64">
        <v>25.3</v>
      </c>
      <c r="D102" s="64">
        <v>26.46</v>
      </c>
      <c r="E102" s="64">
        <v>7.09</v>
      </c>
      <c r="F102" s="64">
        <v>4.24</v>
      </c>
      <c r="G102" s="64">
        <v>95.9</v>
      </c>
      <c r="H102" s="64">
        <v>40.6</v>
      </c>
      <c r="I102" s="64">
        <v>4.33</v>
      </c>
      <c r="J102" s="64">
        <v>0.08</v>
      </c>
      <c r="K102" s="64">
        <v>58.78</v>
      </c>
      <c r="L102" s="64">
        <v>17.23</v>
      </c>
      <c r="M102" s="64">
        <v>58.18</v>
      </c>
      <c r="N102" s="64">
        <v>42.7</v>
      </c>
      <c r="O102" s="64">
        <v>0</v>
      </c>
      <c r="P102" s="64">
        <v>1.44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1" t="s">
        <v>1878</v>
      </c>
      <c r="B103" s="64">
        <v>18.670000000000002</v>
      </c>
      <c r="C103" s="64">
        <v>23</v>
      </c>
      <c r="D103" s="64">
        <v>26.53</v>
      </c>
      <c r="E103" s="64">
        <v>6.46</v>
      </c>
      <c r="F103" s="64">
        <v>3.65</v>
      </c>
      <c r="G103" s="64">
        <v>95.46</v>
      </c>
      <c r="H103" s="64">
        <v>40.6</v>
      </c>
      <c r="I103" s="64">
        <v>4.3099999999999996</v>
      </c>
      <c r="J103" s="64">
        <v>0.12</v>
      </c>
      <c r="K103" s="64">
        <v>38.19</v>
      </c>
      <c r="L103" s="64">
        <v>16.87</v>
      </c>
      <c r="M103" s="64">
        <v>60.4</v>
      </c>
      <c r="N103" s="64">
        <v>42.6</v>
      </c>
      <c r="O103" s="64">
        <v>0</v>
      </c>
      <c r="P103" s="64">
        <v>1.51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1" t="s">
        <v>1879</v>
      </c>
      <c r="B104" s="64">
        <v>19.13</v>
      </c>
      <c r="C104" s="64">
        <v>21.38</v>
      </c>
      <c r="D104" s="64">
        <v>26.06</v>
      </c>
      <c r="E104" s="64">
        <v>5.74</v>
      </c>
      <c r="F104" s="64">
        <v>3.33</v>
      </c>
      <c r="G104" s="64">
        <v>95.46</v>
      </c>
      <c r="H104" s="64">
        <v>40.6</v>
      </c>
      <c r="I104" s="64">
        <v>4.5999999999999996</v>
      </c>
      <c r="J104" s="64">
        <v>0.2</v>
      </c>
      <c r="K104" s="64">
        <v>221.85</v>
      </c>
      <c r="L104" s="64">
        <v>16.48</v>
      </c>
      <c r="M104" s="64">
        <v>65.989999999999995</v>
      </c>
      <c r="N104" s="64">
        <v>42.7</v>
      </c>
      <c r="O104" s="64">
        <v>0</v>
      </c>
      <c r="P104" s="64">
        <v>1.52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2.35</v>
      </c>
      <c r="C106" s="67">
        <f>MIN(C9:C104)</f>
        <v>14.85</v>
      </c>
      <c r="D106" s="67">
        <f t="shared" ref="D106:Q106" si="0">MIN(D9:D104)</f>
        <v>12.3</v>
      </c>
      <c r="E106" s="67">
        <f t="shared" si="0"/>
        <v>4.5199999999999996</v>
      </c>
      <c r="F106" s="67">
        <f t="shared" si="0"/>
        <v>2.64</v>
      </c>
      <c r="G106" s="67">
        <f t="shared" si="0"/>
        <v>45.65</v>
      </c>
      <c r="H106" s="67">
        <f t="shared" si="0"/>
        <v>20.18</v>
      </c>
      <c r="I106" s="67">
        <f t="shared" si="0"/>
        <v>2.31</v>
      </c>
      <c r="J106" s="67">
        <f t="shared" si="0"/>
        <v>0.06</v>
      </c>
      <c r="K106" s="67">
        <f t="shared" si="0"/>
        <v>0.56999999999999995</v>
      </c>
      <c r="L106" s="67">
        <f t="shared" si="0"/>
        <v>13.18</v>
      </c>
      <c r="M106" s="67">
        <f t="shared" si="0"/>
        <v>23.62</v>
      </c>
      <c r="N106" s="67">
        <f t="shared" si="0"/>
        <v>41.6</v>
      </c>
      <c r="O106" s="67">
        <f t="shared" si="0"/>
        <v>0</v>
      </c>
      <c r="P106" s="67">
        <f t="shared" si="0"/>
        <v>0.57999999999999996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31.35</v>
      </c>
      <c r="C107" s="66">
        <f t="shared" ref="C107:Q107" si="1">MAX(C9:C104)</f>
        <v>35.76</v>
      </c>
      <c r="D107" s="66">
        <f t="shared" si="1"/>
        <v>39.56</v>
      </c>
      <c r="E107" s="66">
        <f t="shared" si="1"/>
        <v>23.69</v>
      </c>
      <c r="F107" s="66">
        <f t="shared" si="1"/>
        <v>27.83</v>
      </c>
      <c r="G107" s="66">
        <f t="shared" si="1"/>
        <v>120.15</v>
      </c>
      <c r="H107" s="66">
        <f t="shared" si="1"/>
        <v>47.98</v>
      </c>
      <c r="I107" s="66">
        <f t="shared" si="1"/>
        <v>4.76</v>
      </c>
      <c r="J107" s="66">
        <f t="shared" si="1"/>
        <v>1.07</v>
      </c>
      <c r="K107" s="66">
        <f t="shared" si="1"/>
        <v>358.75</v>
      </c>
      <c r="L107" s="66">
        <f t="shared" si="1"/>
        <v>27.68</v>
      </c>
      <c r="M107" s="66">
        <f t="shared" si="1"/>
        <v>76.34</v>
      </c>
      <c r="N107" s="66">
        <f t="shared" si="1"/>
        <v>707.6</v>
      </c>
      <c r="O107" s="66">
        <f t="shared" si="1"/>
        <v>0</v>
      </c>
      <c r="P107" s="66">
        <f t="shared" si="1"/>
        <v>1.87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13.574479166666665</v>
      </c>
      <c r="C108" s="67">
        <f t="shared" ref="C108:Q108" si="2">AVERAGE(C9:C104)</f>
        <v>23.036145833333332</v>
      </c>
      <c r="D108" s="67">
        <f t="shared" si="2"/>
        <v>22.459895833333334</v>
      </c>
      <c r="E108" s="67">
        <f t="shared" si="2"/>
        <v>8.1984375000000025</v>
      </c>
      <c r="F108" s="67">
        <f t="shared" si="2"/>
        <v>5.709270833333334</v>
      </c>
      <c r="G108" s="67">
        <f t="shared" si="2"/>
        <v>79.801458333333315</v>
      </c>
      <c r="H108" s="67">
        <f t="shared" si="2"/>
        <v>31.877604166666675</v>
      </c>
      <c r="I108" s="67">
        <f t="shared" si="2"/>
        <v>3.5073958333333319</v>
      </c>
      <c r="J108" s="67">
        <f t="shared" si="2"/>
        <v>0.33156250000000009</v>
      </c>
      <c r="K108" s="67">
        <f t="shared" si="2"/>
        <v>195.11802083333325</v>
      </c>
      <c r="L108" s="67">
        <f t="shared" si="2"/>
        <v>19.514062499999991</v>
      </c>
      <c r="M108" s="67">
        <f t="shared" si="2"/>
        <v>48.285312500000003</v>
      </c>
      <c r="N108" s="67">
        <f t="shared" si="2"/>
        <v>188.53229166666668</v>
      </c>
      <c r="O108" s="67">
        <f t="shared" si="2"/>
        <v>0</v>
      </c>
      <c r="P108" s="67">
        <f t="shared" si="2"/>
        <v>1.0980208333333332</v>
      </c>
      <c r="Q108" s="67">
        <f t="shared" si="2"/>
        <v>9.5763541666666558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7.2218718771581516</v>
      </c>
      <c r="C109" s="67">
        <f t="shared" ref="C109:Q109" si="3">STDEV(C9:C104)</f>
        <v>4.8900976999801307</v>
      </c>
      <c r="D109" s="67">
        <f t="shared" si="3"/>
        <v>5.2667052508718761</v>
      </c>
      <c r="E109" s="67">
        <f t="shared" si="3"/>
        <v>4.9231454062204394</v>
      </c>
      <c r="F109" s="67">
        <f t="shared" si="3"/>
        <v>5.4246620549198905</v>
      </c>
      <c r="G109" s="67">
        <f t="shared" si="3"/>
        <v>20.053069904324332</v>
      </c>
      <c r="H109" s="67">
        <f t="shared" si="3"/>
        <v>7.0871387953689524</v>
      </c>
      <c r="I109" s="67">
        <f t="shared" si="3"/>
        <v>0.75723631129282576</v>
      </c>
      <c r="J109" s="67">
        <f t="shared" si="3"/>
        <v>0.22805044744298875</v>
      </c>
      <c r="K109" s="67">
        <f t="shared" si="3"/>
        <v>138.56600848935963</v>
      </c>
      <c r="L109" s="67">
        <f t="shared" si="3"/>
        <v>4.4327659366003722</v>
      </c>
      <c r="M109" s="67">
        <f t="shared" si="3"/>
        <v>15.958545966816622</v>
      </c>
      <c r="N109" s="67">
        <f t="shared" si="3"/>
        <v>230.84527080175371</v>
      </c>
      <c r="O109" s="67">
        <f t="shared" si="3"/>
        <v>0</v>
      </c>
      <c r="P109" s="67">
        <f t="shared" si="3"/>
        <v>0.31564677057104606</v>
      </c>
      <c r="Q109" s="67">
        <f t="shared" si="3"/>
        <v>9.2453342903515978E-2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100</v>
      </c>
      <c r="H110" s="66">
        <f>COUNT(H9:H104)+4</f>
        <v>100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1880</v>
      </c>
      <c r="B9" s="64">
        <v>18.8</v>
      </c>
      <c r="C9" s="64">
        <v>20.73</v>
      </c>
      <c r="D9" s="64">
        <v>25.45</v>
      </c>
      <c r="E9" s="64">
        <v>5.38</v>
      </c>
      <c r="F9" s="64">
        <v>3.24</v>
      </c>
      <c r="G9" s="64">
        <v>95.46</v>
      </c>
      <c r="H9" s="64">
        <v>40.6</v>
      </c>
      <c r="I9" s="64">
        <v>4.49</v>
      </c>
      <c r="J9" s="64">
        <v>0.24</v>
      </c>
      <c r="K9" s="64">
        <v>236.27</v>
      </c>
      <c r="L9" s="64">
        <v>16.38</v>
      </c>
      <c r="M9" s="64">
        <v>69.95</v>
      </c>
      <c r="N9" s="64">
        <v>42.3</v>
      </c>
      <c r="O9" s="64">
        <v>0</v>
      </c>
      <c r="P9" s="64">
        <v>1.52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1" t="s">
        <v>1881</v>
      </c>
      <c r="B10" s="64">
        <v>18.16</v>
      </c>
      <c r="C10" s="64">
        <v>20.59</v>
      </c>
      <c r="D10" s="64">
        <v>24.86</v>
      </c>
      <c r="E10" s="64">
        <v>5.28</v>
      </c>
      <c r="F10" s="64">
        <v>3</v>
      </c>
      <c r="G10" s="64">
        <v>91.5</v>
      </c>
      <c r="H10" s="64">
        <v>37.86</v>
      </c>
      <c r="I10" s="64">
        <v>4.26</v>
      </c>
      <c r="J10" s="64">
        <v>0.33</v>
      </c>
      <c r="K10" s="64">
        <v>336.52</v>
      </c>
      <c r="L10" s="64">
        <v>16.04</v>
      </c>
      <c r="M10" s="64">
        <v>75.62</v>
      </c>
      <c r="N10" s="64">
        <v>42.9</v>
      </c>
      <c r="O10" s="64">
        <v>0</v>
      </c>
      <c r="P10" s="64">
        <v>1.51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1" t="s">
        <v>1882</v>
      </c>
      <c r="B11" s="64">
        <v>17.86</v>
      </c>
      <c r="C11" s="64">
        <v>20.37</v>
      </c>
      <c r="D11" s="64">
        <v>24.5</v>
      </c>
      <c r="E11" s="64">
        <v>5.38</v>
      </c>
      <c r="F11" s="64">
        <v>2.96</v>
      </c>
      <c r="G11" s="64">
        <v>91.27</v>
      </c>
      <c r="H11" s="64">
        <v>37.86</v>
      </c>
      <c r="I11" s="64">
        <v>4.25</v>
      </c>
      <c r="J11" s="64">
        <v>0.1</v>
      </c>
      <c r="K11" s="64">
        <v>294.02999999999997</v>
      </c>
      <c r="L11" s="64">
        <v>15.35</v>
      </c>
      <c r="M11" s="64">
        <v>83.54</v>
      </c>
      <c r="N11" s="64">
        <v>42.7</v>
      </c>
      <c r="O11" s="64">
        <v>0</v>
      </c>
      <c r="P11" s="64">
        <v>1.51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1" t="s">
        <v>1883</v>
      </c>
      <c r="B12" s="64">
        <v>17.309999999999999</v>
      </c>
      <c r="C12" s="64">
        <v>20.18</v>
      </c>
      <c r="D12" s="64">
        <v>23.97</v>
      </c>
      <c r="E12" s="64">
        <v>5.63</v>
      </c>
      <c r="F12" s="64">
        <v>3.1</v>
      </c>
      <c r="G12" s="64">
        <v>91.27</v>
      </c>
      <c r="H12" s="64">
        <v>37.86</v>
      </c>
      <c r="I12" s="64">
        <v>4.25</v>
      </c>
      <c r="J12" s="64">
        <v>0.15</v>
      </c>
      <c r="K12" s="64">
        <v>311.68</v>
      </c>
      <c r="L12" s="64">
        <v>15.24</v>
      </c>
      <c r="M12" s="64">
        <v>79.53</v>
      </c>
      <c r="N12" s="64">
        <v>42.4</v>
      </c>
      <c r="O12" s="64">
        <v>0</v>
      </c>
      <c r="P12" s="64">
        <v>1.49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1" t="s">
        <v>1884</v>
      </c>
      <c r="B13" s="64">
        <v>16.78</v>
      </c>
      <c r="C13" s="64">
        <v>20.079999999999998</v>
      </c>
      <c r="D13" s="64">
        <v>23.49</v>
      </c>
      <c r="E13" s="64">
        <v>5.43</v>
      </c>
      <c r="F13" s="64">
        <v>3.04</v>
      </c>
      <c r="G13" s="64">
        <v>91.27</v>
      </c>
      <c r="H13" s="64">
        <v>37.86</v>
      </c>
      <c r="I13" s="64">
        <v>4.24</v>
      </c>
      <c r="J13" s="64">
        <v>0.19</v>
      </c>
      <c r="K13" s="64">
        <v>7.39</v>
      </c>
      <c r="L13" s="64">
        <v>15.45</v>
      </c>
      <c r="M13" s="64">
        <v>75.78</v>
      </c>
      <c r="N13" s="64">
        <v>42.3</v>
      </c>
      <c r="O13" s="64">
        <v>0</v>
      </c>
      <c r="P13" s="64">
        <v>1.29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1" t="s">
        <v>1885</v>
      </c>
      <c r="B14" s="64">
        <v>16.21</v>
      </c>
      <c r="C14" s="64">
        <v>19.809999999999999</v>
      </c>
      <c r="D14" s="64">
        <v>22.88</v>
      </c>
      <c r="E14" s="64">
        <v>5.57</v>
      </c>
      <c r="F14" s="64">
        <v>3</v>
      </c>
      <c r="G14" s="64">
        <v>88.98</v>
      </c>
      <c r="H14" s="64">
        <v>35.36</v>
      </c>
      <c r="I14" s="64">
        <v>4.2300000000000004</v>
      </c>
      <c r="J14" s="64">
        <v>0.42</v>
      </c>
      <c r="K14" s="64">
        <v>318.31</v>
      </c>
      <c r="L14" s="64">
        <v>15.35</v>
      </c>
      <c r="M14" s="64">
        <v>79.98</v>
      </c>
      <c r="N14" s="64">
        <v>42.5</v>
      </c>
      <c r="O14" s="64">
        <v>0</v>
      </c>
      <c r="P14" s="64">
        <v>1.3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1" t="s">
        <v>1886</v>
      </c>
      <c r="B15" s="64">
        <v>15.51</v>
      </c>
      <c r="C15" s="64">
        <v>19.66</v>
      </c>
      <c r="D15" s="64">
        <v>22.25</v>
      </c>
      <c r="E15" s="64">
        <v>5.33</v>
      </c>
      <c r="F15" s="64">
        <v>3.08</v>
      </c>
      <c r="G15" s="64">
        <v>88.81</v>
      </c>
      <c r="H15" s="64">
        <v>35.36</v>
      </c>
      <c r="I15" s="64">
        <v>4.18</v>
      </c>
      <c r="J15" s="64">
        <v>0.2</v>
      </c>
      <c r="K15" s="64">
        <v>293</v>
      </c>
      <c r="L15" s="64">
        <v>14.95</v>
      </c>
      <c r="M15" s="64">
        <v>86.56</v>
      </c>
      <c r="N15" s="64">
        <v>42.4</v>
      </c>
      <c r="O15" s="64">
        <v>0</v>
      </c>
      <c r="P15" s="64">
        <v>1.24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1" t="s">
        <v>1887</v>
      </c>
      <c r="B16" s="64">
        <v>14.75</v>
      </c>
      <c r="C16" s="64">
        <v>19.71</v>
      </c>
      <c r="D16" s="64">
        <v>21.66</v>
      </c>
      <c r="E16" s="64">
        <v>5.21</v>
      </c>
      <c r="F16" s="64">
        <v>3.26</v>
      </c>
      <c r="G16" s="64">
        <v>88.81</v>
      </c>
      <c r="H16" s="64">
        <v>35.36</v>
      </c>
      <c r="I16" s="64">
        <v>4.1100000000000003</v>
      </c>
      <c r="J16" s="64">
        <v>7.0000000000000007E-2</v>
      </c>
      <c r="K16" s="64">
        <v>234.27</v>
      </c>
      <c r="L16" s="64">
        <v>14.92</v>
      </c>
      <c r="M16" s="64">
        <v>83.78</v>
      </c>
      <c r="N16" s="64">
        <v>42.4</v>
      </c>
      <c r="O16" s="64">
        <v>0</v>
      </c>
      <c r="P16" s="64">
        <v>1.2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1" t="s">
        <v>1888</v>
      </c>
      <c r="B17" s="64">
        <v>14.02</v>
      </c>
      <c r="C17" s="64">
        <v>19.940000000000001</v>
      </c>
      <c r="D17" s="64">
        <v>21.2</v>
      </c>
      <c r="E17" s="64">
        <v>5.05</v>
      </c>
      <c r="F17" s="64">
        <v>3.09</v>
      </c>
      <c r="G17" s="64">
        <v>88.81</v>
      </c>
      <c r="H17" s="64">
        <v>35.36</v>
      </c>
      <c r="I17" s="64">
        <v>4.05</v>
      </c>
      <c r="J17" s="64">
        <v>0.13</v>
      </c>
      <c r="K17" s="64">
        <v>274.24</v>
      </c>
      <c r="L17" s="64">
        <v>14.89</v>
      </c>
      <c r="M17" s="64">
        <v>81.84</v>
      </c>
      <c r="N17" s="64">
        <v>42.5</v>
      </c>
      <c r="O17" s="64">
        <v>0</v>
      </c>
      <c r="P17" s="64">
        <v>1.1599999999999999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1" t="s">
        <v>1889</v>
      </c>
      <c r="B18" s="64">
        <v>13.39</v>
      </c>
      <c r="C18" s="64">
        <v>20.059999999999999</v>
      </c>
      <c r="D18" s="64">
        <v>20.76</v>
      </c>
      <c r="E18" s="64">
        <v>5.17</v>
      </c>
      <c r="F18" s="64">
        <v>3</v>
      </c>
      <c r="G18" s="64">
        <v>83.16</v>
      </c>
      <c r="H18" s="64">
        <v>33.5</v>
      </c>
      <c r="I18" s="64">
        <v>3.99</v>
      </c>
      <c r="J18" s="64">
        <v>0.17</v>
      </c>
      <c r="K18" s="64">
        <v>346.42</v>
      </c>
      <c r="L18" s="64">
        <v>14.55</v>
      </c>
      <c r="M18" s="64">
        <v>82.53</v>
      </c>
      <c r="N18" s="64">
        <v>42.5</v>
      </c>
      <c r="O18" s="64">
        <v>0</v>
      </c>
      <c r="P18" s="64">
        <v>1.1299999999999999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1" t="s">
        <v>1890</v>
      </c>
      <c r="B19" s="64">
        <v>12.7</v>
      </c>
      <c r="C19" s="64">
        <v>20.29</v>
      </c>
      <c r="D19" s="64">
        <v>20.32</v>
      </c>
      <c r="E19" s="64">
        <v>5.0199999999999996</v>
      </c>
      <c r="F19" s="64">
        <v>2.94</v>
      </c>
      <c r="G19" s="64">
        <v>82.76</v>
      </c>
      <c r="H19" s="64">
        <v>33.5</v>
      </c>
      <c r="I19" s="64">
        <v>3.95</v>
      </c>
      <c r="J19" s="64">
        <v>0.1</v>
      </c>
      <c r="K19" s="64">
        <v>164.93</v>
      </c>
      <c r="L19" s="64">
        <v>14.46</v>
      </c>
      <c r="M19" s="64">
        <v>84.32</v>
      </c>
      <c r="N19" s="64">
        <v>42.4</v>
      </c>
      <c r="O19" s="64">
        <v>0</v>
      </c>
      <c r="P19" s="64">
        <v>1.1100000000000001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1" t="s">
        <v>1891</v>
      </c>
      <c r="B20" s="64">
        <v>11.99</v>
      </c>
      <c r="C20" s="64">
        <v>20.39</v>
      </c>
      <c r="D20" s="64">
        <v>19.809999999999999</v>
      </c>
      <c r="E20" s="64">
        <v>5.07</v>
      </c>
      <c r="F20" s="64">
        <v>3.2</v>
      </c>
      <c r="G20" s="64">
        <v>82.76</v>
      </c>
      <c r="H20" s="64">
        <v>33.5</v>
      </c>
      <c r="I20" s="64">
        <v>4.17</v>
      </c>
      <c r="J20" s="64">
        <v>0.12</v>
      </c>
      <c r="K20" s="64">
        <v>28.32</v>
      </c>
      <c r="L20" s="64">
        <v>14.33</v>
      </c>
      <c r="M20" s="64">
        <v>86.61</v>
      </c>
      <c r="N20" s="64">
        <v>42.5</v>
      </c>
      <c r="O20" s="64">
        <v>0</v>
      </c>
      <c r="P20" s="64">
        <v>1.06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1" t="s">
        <v>1892</v>
      </c>
      <c r="B21" s="64">
        <v>11.29</v>
      </c>
      <c r="C21" s="64">
        <v>20.48</v>
      </c>
      <c r="D21" s="64">
        <v>19.29</v>
      </c>
      <c r="E21" s="64">
        <v>4.63</v>
      </c>
      <c r="F21" s="64">
        <v>3</v>
      </c>
      <c r="G21" s="64">
        <v>82.76</v>
      </c>
      <c r="H21" s="64">
        <v>33.5</v>
      </c>
      <c r="I21" s="64">
        <v>4.3099999999999996</v>
      </c>
      <c r="J21" s="64">
        <v>0.14000000000000001</v>
      </c>
      <c r="K21" s="64">
        <v>68.349999999999994</v>
      </c>
      <c r="L21" s="64">
        <v>14.2</v>
      </c>
      <c r="M21" s="64">
        <v>85.98</v>
      </c>
      <c r="N21" s="64">
        <v>42.3</v>
      </c>
      <c r="O21" s="64">
        <v>0</v>
      </c>
      <c r="P21" s="64">
        <v>1.03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1" t="s">
        <v>1893</v>
      </c>
      <c r="B22" s="64">
        <v>10.69</v>
      </c>
      <c r="C22" s="64">
        <v>20.57</v>
      </c>
      <c r="D22" s="64">
        <v>18.86</v>
      </c>
      <c r="E22" s="64">
        <v>4.92</v>
      </c>
      <c r="F22" s="64">
        <v>3.18</v>
      </c>
      <c r="G22" s="64">
        <v>77.790000000000006</v>
      </c>
      <c r="H22" s="64">
        <v>33.92</v>
      </c>
      <c r="I22" s="64">
        <v>4.26</v>
      </c>
      <c r="J22" s="64">
        <v>0.17</v>
      </c>
      <c r="K22" s="64">
        <v>89.78</v>
      </c>
      <c r="L22" s="64">
        <v>14.44</v>
      </c>
      <c r="M22" s="64">
        <v>81.94</v>
      </c>
      <c r="N22" s="64">
        <v>42.3</v>
      </c>
      <c r="O22" s="64">
        <v>0</v>
      </c>
      <c r="P22" s="64">
        <v>1.01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1" t="s">
        <v>1894</v>
      </c>
      <c r="B23" s="64">
        <v>10.18</v>
      </c>
      <c r="C23" s="64">
        <v>20.420000000000002</v>
      </c>
      <c r="D23" s="64">
        <v>18.37</v>
      </c>
      <c r="E23" s="64">
        <v>5.0999999999999996</v>
      </c>
      <c r="F23" s="64">
        <v>3.31</v>
      </c>
      <c r="G23" s="64">
        <v>77.430000000000007</v>
      </c>
      <c r="H23" s="64">
        <v>33.92</v>
      </c>
      <c r="I23" s="64">
        <v>3.95</v>
      </c>
      <c r="J23" s="64">
        <v>0.22</v>
      </c>
      <c r="K23" s="64">
        <v>85</v>
      </c>
      <c r="L23" s="64">
        <v>14.51</v>
      </c>
      <c r="M23" s="64">
        <v>80.61</v>
      </c>
      <c r="N23" s="64">
        <v>42.2</v>
      </c>
      <c r="O23" s="64">
        <v>0</v>
      </c>
      <c r="P23" s="64">
        <v>0.99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1" t="s">
        <v>1895</v>
      </c>
      <c r="B24" s="64">
        <v>9.73</v>
      </c>
      <c r="C24" s="64">
        <v>20.86</v>
      </c>
      <c r="D24" s="64">
        <v>18.239999999999998</v>
      </c>
      <c r="E24" s="64">
        <v>4.66</v>
      </c>
      <c r="F24" s="64">
        <v>3.02</v>
      </c>
      <c r="G24" s="64">
        <v>77.430000000000007</v>
      </c>
      <c r="H24" s="64">
        <v>33.92</v>
      </c>
      <c r="I24" s="64">
        <v>3.71</v>
      </c>
      <c r="J24" s="64">
        <v>0.23</v>
      </c>
      <c r="K24" s="64">
        <v>92.48</v>
      </c>
      <c r="L24" s="64">
        <v>14.56</v>
      </c>
      <c r="M24" s="64">
        <v>79.510000000000005</v>
      </c>
      <c r="N24" s="64">
        <v>42.3</v>
      </c>
      <c r="O24" s="64">
        <v>0</v>
      </c>
      <c r="P24" s="64">
        <v>1.01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1" t="s">
        <v>1896</v>
      </c>
      <c r="B25" s="64">
        <v>9.34</v>
      </c>
      <c r="C25" s="64">
        <v>21.25</v>
      </c>
      <c r="D25" s="64">
        <v>18.13</v>
      </c>
      <c r="E25" s="64">
        <v>4.8499999999999996</v>
      </c>
      <c r="F25" s="64">
        <v>3.1</v>
      </c>
      <c r="G25" s="64">
        <v>77.430000000000007</v>
      </c>
      <c r="H25" s="64">
        <v>33.92</v>
      </c>
      <c r="I25" s="64">
        <v>3.68</v>
      </c>
      <c r="J25" s="64">
        <v>0.23</v>
      </c>
      <c r="K25" s="64">
        <v>79.510000000000005</v>
      </c>
      <c r="L25" s="64">
        <v>14.45</v>
      </c>
      <c r="M25" s="64">
        <v>80.88</v>
      </c>
      <c r="N25" s="64">
        <v>42.4</v>
      </c>
      <c r="O25" s="64">
        <v>0</v>
      </c>
      <c r="P25" s="64">
        <v>1.01</v>
      </c>
      <c r="Q25" s="64">
        <v>9.5</v>
      </c>
      <c r="R25" s="198"/>
      <c r="S25" s="198"/>
      <c r="T25" s="198"/>
      <c r="U25" s="198"/>
    </row>
    <row r="26" spans="1:21" s="12" customFormat="1" x14ac:dyDescent="0.25">
      <c r="A26" s="211" t="s">
        <v>1897</v>
      </c>
      <c r="B26" s="64">
        <v>9.06</v>
      </c>
      <c r="C26" s="64">
        <v>21.41</v>
      </c>
      <c r="D26" s="64">
        <v>17.989999999999998</v>
      </c>
      <c r="E26" s="64">
        <v>4.82</v>
      </c>
      <c r="F26" s="64">
        <v>2.88</v>
      </c>
      <c r="G26" s="64">
        <v>71.91</v>
      </c>
      <c r="H26" s="64">
        <v>30.63</v>
      </c>
      <c r="I26" s="64">
        <v>3.65</v>
      </c>
      <c r="J26" s="64">
        <v>0.16</v>
      </c>
      <c r="K26" s="64">
        <v>333.21</v>
      </c>
      <c r="L26" s="64">
        <v>14.23</v>
      </c>
      <c r="M26" s="64">
        <v>85.46</v>
      </c>
      <c r="N26" s="64">
        <v>42.5</v>
      </c>
      <c r="O26" s="64">
        <v>0</v>
      </c>
      <c r="P26" s="64">
        <v>1.02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1" t="s">
        <v>1898</v>
      </c>
      <c r="B27" s="64">
        <v>8.9600000000000009</v>
      </c>
      <c r="C27" s="64">
        <v>21.64</v>
      </c>
      <c r="D27" s="64">
        <v>18.03</v>
      </c>
      <c r="E27" s="64">
        <v>5.14</v>
      </c>
      <c r="F27" s="64">
        <v>3.03</v>
      </c>
      <c r="G27" s="64">
        <v>71.52</v>
      </c>
      <c r="H27" s="64">
        <v>30.63</v>
      </c>
      <c r="I27" s="64">
        <v>3.62</v>
      </c>
      <c r="J27" s="64">
        <v>0.19</v>
      </c>
      <c r="K27" s="64">
        <v>307.25</v>
      </c>
      <c r="L27" s="64">
        <v>14.04</v>
      </c>
      <c r="M27" s="64">
        <v>87.53</v>
      </c>
      <c r="N27" s="64">
        <v>42.4</v>
      </c>
      <c r="O27" s="64">
        <v>0</v>
      </c>
      <c r="P27" s="64">
        <v>1.04</v>
      </c>
      <c r="Q27" s="64">
        <v>9.5</v>
      </c>
      <c r="R27" s="198"/>
      <c r="S27" s="198"/>
      <c r="T27" s="198"/>
      <c r="U27" s="198"/>
    </row>
    <row r="28" spans="1:21" s="12" customFormat="1" x14ac:dyDescent="0.25">
      <c r="A28" s="211" t="s">
        <v>1899</v>
      </c>
      <c r="B28" s="64">
        <v>9.02</v>
      </c>
      <c r="C28" s="64">
        <v>21.63</v>
      </c>
      <c r="D28" s="64">
        <v>18.07</v>
      </c>
      <c r="E28" s="64">
        <v>4.93</v>
      </c>
      <c r="F28" s="64">
        <v>3.13</v>
      </c>
      <c r="G28" s="64">
        <v>71.52</v>
      </c>
      <c r="H28" s="64">
        <v>30.63</v>
      </c>
      <c r="I28" s="64">
        <v>3.61</v>
      </c>
      <c r="J28" s="64">
        <v>0.08</v>
      </c>
      <c r="K28" s="64">
        <v>80.53</v>
      </c>
      <c r="L28" s="64">
        <v>13.99</v>
      </c>
      <c r="M28" s="64">
        <v>85.67</v>
      </c>
      <c r="N28" s="64">
        <v>42.3</v>
      </c>
      <c r="O28" s="64">
        <v>0</v>
      </c>
      <c r="P28" s="64">
        <v>1.04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1" t="s">
        <v>1900</v>
      </c>
      <c r="B29" s="64">
        <v>8.83</v>
      </c>
      <c r="C29" s="64">
        <v>21.67</v>
      </c>
      <c r="D29" s="64">
        <v>17.95</v>
      </c>
      <c r="E29" s="64">
        <v>4.72</v>
      </c>
      <c r="F29" s="64">
        <v>3.2</v>
      </c>
      <c r="G29" s="64">
        <v>71.52</v>
      </c>
      <c r="H29" s="64">
        <v>30.63</v>
      </c>
      <c r="I29" s="64">
        <v>3.64</v>
      </c>
      <c r="J29" s="64">
        <v>0.21</v>
      </c>
      <c r="K29" s="64">
        <v>86.94</v>
      </c>
      <c r="L29" s="64">
        <v>13.95</v>
      </c>
      <c r="M29" s="64">
        <v>84.91</v>
      </c>
      <c r="N29" s="64">
        <v>42.4</v>
      </c>
      <c r="O29" s="64">
        <v>0</v>
      </c>
      <c r="P29" s="64">
        <v>1.04</v>
      </c>
      <c r="Q29" s="64">
        <v>9.49</v>
      </c>
      <c r="R29" s="198"/>
      <c r="S29" s="198"/>
      <c r="T29" s="198"/>
      <c r="U29" s="198"/>
    </row>
    <row r="30" spans="1:21" s="12" customFormat="1" x14ac:dyDescent="0.25">
      <c r="A30" s="211" t="s">
        <v>1901</v>
      </c>
      <c r="B30" s="64">
        <v>8.5399999999999991</v>
      </c>
      <c r="C30" s="64">
        <v>21.71</v>
      </c>
      <c r="D30" s="64">
        <v>17.73</v>
      </c>
      <c r="E30" s="64">
        <v>5.22</v>
      </c>
      <c r="F30" s="64">
        <v>3.19</v>
      </c>
      <c r="G30" s="64">
        <v>90.56</v>
      </c>
      <c r="H30" s="64">
        <v>37.08</v>
      </c>
      <c r="I30" s="64">
        <v>3.67</v>
      </c>
      <c r="J30" s="64">
        <v>0.2</v>
      </c>
      <c r="K30" s="64">
        <v>81.39</v>
      </c>
      <c r="L30" s="64">
        <v>13.85</v>
      </c>
      <c r="M30" s="64">
        <v>85.63</v>
      </c>
      <c r="N30" s="64">
        <v>42.3</v>
      </c>
      <c r="O30" s="64">
        <v>0</v>
      </c>
      <c r="P30" s="64">
        <v>1.04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11" t="s">
        <v>1902</v>
      </c>
      <c r="B31" s="64">
        <v>8.32</v>
      </c>
      <c r="C31" s="64">
        <v>21.61</v>
      </c>
      <c r="D31" s="64">
        <v>17.5</v>
      </c>
      <c r="E31" s="64">
        <v>5.26</v>
      </c>
      <c r="F31" s="64">
        <v>3.39</v>
      </c>
      <c r="G31" s="64">
        <v>91.92</v>
      </c>
      <c r="H31" s="64">
        <v>37.08</v>
      </c>
      <c r="I31" s="64">
        <v>3.68</v>
      </c>
      <c r="J31" s="64">
        <v>0.18</v>
      </c>
      <c r="K31" s="64">
        <v>77.75</v>
      </c>
      <c r="L31" s="64">
        <v>13.74</v>
      </c>
      <c r="M31" s="64">
        <v>86.68</v>
      </c>
      <c r="N31" s="64">
        <v>42.6</v>
      </c>
      <c r="O31" s="64">
        <v>0</v>
      </c>
      <c r="P31" s="64">
        <v>1.02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1" t="s">
        <v>1903</v>
      </c>
      <c r="B32" s="64">
        <v>8.08</v>
      </c>
      <c r="C32" s="64">
        <v>21.45</v>
      </c>
      <c r="D32" s="64">
        <v>17.23</v>
      </c>
      <c r="E32" s="64">
        <v>5.01</v>
      </c>
      <c r="F32" s="64">
        <v>3.38</v>
      </c>
      <c r="G32" s="64">
        <v>91.92</v>
      </c>
      <c r="H32" s="64">
        <v>37.08</v>
      </c>
      <c r="I32" s="64">
        <v>3.69</v>
      </c>
      <c r="J32" s="64">
        <v>0.21</v>
      </c>
      <c r="K32" s="64">
        <v>126.1</v>
      </c>
      <c r="L32" s="64">
        <v>13.63</v>
      </c>
      <c r="M32" s="64">
        <v>87.4</v>
      </c>
      <c r="N32" s="64">
        <v>42.9</v>
      </c>
      <c r="O32" s="64">
        <v>0</v>
      </c>
      <c r="P32" s="64">
        <v>0.97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1" t="s">
        <v>1904</v>
      </c>
      <c r="B33" s="64">
        <v>7.75</v>
      </c>
      <c r="C33" s="64">
        <v>21.37</v>
      </c>
      <c r="D33" s="64">
        <v>16.920000000000002</v>
      </c>
      <c r="E33" s="64">
        <v>5.0199999999999996</v>
      </c>
      <c r="F33" s="64">
        <v>3.43</v>
      </c>
      <c r="G33" s="64">
        <v>91.92</v>
      </c>
      <c r="H33" s="64">
        <v>37.08</v>
      </c>
      <c r="I33" s="64">
        <v>3.95</v>
      </c>
      <c r="J33" s="64">
        <v>0.13</v>
      </c>
      <c r="K33" s="64">
        <v>60.88</v>
      </c>
      <c r="L33" s="64">
        <v>13.6</v>
      </c>
      <c r="M33" s="64">
        <v>87.96</v>
      </c>
      <c r="N33" s="64">
        <v>45.1</v>
      </c>
      <c r="O33" s="64">
        <v>0</v>
      </c>
      <c r="P33" s="64">
        <v>0.93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1" t="s">
        <v>1905</v>
      </c>
      <c r="B34" s="64">
        <v>7.96</v>
      </c>
      <c r="C34" s="64">
        <v>21.49</v>
      </c>
      <c r="D34" s="64">
        <v>17.149999999999999</v>
      </c>
      <c r="E34" s="64">
        <v>4.88</v>
      </c>
      <c r="F34" s="64">
        <v>3.32</v>
      </c>
      <c r="G34" s="64">
        <v>87.27</v>
      </c>
      <c r="H34" s="64">
        <v>36.85</v>
      </c>
      <c r="I34" s="64">
        <v>4.12</v>
      </c>
      <c r="J34" s="64">
        <v>0.21</v>
      </c>
      <c r="K34" s="64">
        <v>330.3</v>
      </c>
      <c r="L34" s="64">
        <v>13.59</v>
      </c>
      <c r="M34" s="64">
        <v>89.27</v>
      </c>
      <c r="N34" s="64">
        <v>54.1</v>
      </c>
      <c r="O34" s="64">
        <v>0</v>
      </c>
      <c r="P34" s="64">
        <v>0.92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1" t="s">
        <v>1906</v>
      </c>
      <c r="B35" s="64">
        <v>8.91</v>
      </c>
      <c r="C35" s="64">
        <v>21.55</v>
      </c>
      <c r="D35" s="64">
        <v>17.95</v>
      </c>
      <c r="E35" s="64">
        <v>4.6900000000000004</v>
      </c>
      <c r="F35" s="64">
        <v>3.22</v>
      </c>
      <c r="G35" s="64">
        <v>86.94</v>
      </c>
      <c r="H35" s="64">
        <v>36.85</v>
      </c>
      <c r="I35" s="64">
        <v>4.12</v>
      </c>
      <c r="J35" s="64">
        <v>0.16</v>
      </c>
      <c r="K35" s="64">
        <v>6.96</v>
      </c>
      <c r="L35" s="64">
        <v>13.75</v>
      </c>
      <c r="M35" s="64">
        <v>89.35</v>
      </c>
      <c r="N35" s="64">
        <v>67.900000000000006</v>
      </c>
      <c r="O35" s="64">
        <v>0</v>
      </c>
      <c r="P35" s="64">
        <v>0.93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1" t="s">
        <v>1907</v>
      </c>
      <c r="B36" s="64">
        <v>11.19</v>
      </c>
      <c r="C36" s="64">
        <v>21.18</v>
      </c>
      <c r="D36" s="64">
        <v>19.579999999999998</v>
      </c>
      <c r="E36" s="64">
        <v>5.14</v>
      </c>
      <c r="F36" s="64">
        <v>3.25</v>
      </c>
      <c r="G36" s="64">
        <v>86.94</v>
      </c>
      <c r="H36" s="64">
        <v>36.85</v>
      </c>
      <c r="I36" s="64">
        <v>4.17</v>
      </c>
      <c r="J36" s="64">
        <v>0.25</v>
      </c>
      <c r="K36" s="64">
        <v>330.57</v>
      </c>
      <c r="L36" s="64">
        <v>14.15</v>
      </c>
      <c r="M36" s="64">
        <v>90.38</v>
      </c>
      <c r="N36" s="64">
        <v>83.9</v>
      </c>
      <c r="O36" s="64">
        <v>0</v>
      </c>
      <c r="P36" s="64">
        <v>0.96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1" t="s">
        <v>1908</v>
      </c>
      <c r="B37" s="64">
        <v>14.02</v>
      </c>
      <c r="C37" s="64">
        <v>20.399999999999999</v>
      </c>
      <c r="D37" s="64">
        <v>21.44</v>
      </c>
      <c r="E37" s="64">
        <v>5.36</v>
      </c>
      <c r="F37" s="64">
        <v>3.18</v>
      </c>
      <c r="G37" s="64">
        <v>86.94</v>
      </c>
      <c r="H37" s="64">
        <v>36.85</v>
      </c>
      <c r="I37" s="64">
        <v>4.28</v>
      </c>
      <c r="J37" s="64">
        <v>0.33</v>
      </c>
      <c r="K37" s="64">
        <v>117.47</v>
      </c>
      <c r="L37" s="64">
        <v>14.81</v>
      </c>
      <c r="M37" s="64">
        <v>81.66</v>
      </c>
      <c r="N37" s="64">
        <v>117.7</v>
      </c>
      <c r="O37" s="64">
        <v>0</v>
      </c>
      <c r="P37" s="64">
        <v>1.01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1" t="s">
        <v>1909</v>
      </c>
      <c r="B38" s="64">
        <v>14.68</v>
      </c>
      <c r="C38" s="64">
        <v>20.100000000000001</v>
      </c>
      <c r="D38" s="64">
        <v>21.81</v>
      </c>
      <c r="E38" s="64">
        <v>4.95</v>
      </c>
      <c r="F38" s="64">
        <v>3.34</v>
      </c>
      <c r="G38" s="64">
        <v>94.85</v>
      </c>
      <c r="H38" s="64">
        <v>42.37</v>
      </c>
      <c r="I38" s="64">
        <v>4.41</v>
      </c>
      <c r="J38" s="64">
        <v>0.12</v>
      </c>
      <c r="K38" s="64">
        <v>33.17</v>
      </c>
      <c r="L38" s="64">
        <v>16.260000000000002</v>
      </c>
      <c r="M38" s="64">
        <v>74.78</v>
      </c>
      <c r="N38" s="64">
        <v>189.8</v>
      </c>
      <c r="O38" s="64">
        <v>0</v>
      </c>
      <c r="P38" s="64">
        <v>1.07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1" t="s">
        <v>1910</v>
      </c>
      <c r="B39" s="64">
        <v>15.4</v>
      </c>
      <c r="C39" s="64">
        <v>20.010000000000002</v>
      </c>
      <c r="D39" s="64">
        <v>22.34</v>
      </c>
      <c r="E39" s="64">
        <v>5.18</v>
      </c>
      <c r="F39" s="64">
        <v>3.3</v>
      </c>
      <c r="G39" s="64">
        <v>95.42</v>
      </c>
      <c r="H39" s="64">
        <v>42.37</v>
      </c>
      <c r="I39" s="64">
        <v>4.47</v>
      </c>
      <c r="J39" s="64">
        <v>0.45</v>
      </c>
      <c r="K39" s="64">
        <v>120.43</v>
      </c>
      <c r="L39" s="64">
        <v>18.14</v>
      </c>
      <c r="M39" s="64">
        <v>64.349999999999994</v>
      </c>
      <c r="N39" s="64">
        <v>246.8</v>
      </c>
      <c r="O39" s="64">
        <v>0</v>
      </c>
      <c r="P39" s="64">
        <v>1.08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1" t="s">
        <v>1911</v>
      </c>
      <c r="B40" s="64">
        <v>15.68</v>
      </c>
      <c r="C40" s="64">
        <v>19.96</v>
      </c>
      <c r="D40" s="64">
        <v>22.54</v>
      </c>
      <c r="E40" s="64">
        <v>5.35</v>
      </c>
      <c r="F40" s="64">
        <v>3.24</v>
      </c>
      <c r="G40" s="64">
        <v>95.42</v>
      </c>
      <c r="H40" s="64">
        <v>42.37</v>
      </c>
      <c r="I40" s="64">
        <v>4.4800000000000004</v>
      </c>
      <c r="J40" s="64">
        <v>0.16</v>
      </c>
      <c r="K40" s="64">
        <v>94.35</v>
      </c>
      <c r="L40" s="64">
        <v>19.45</v>
      </c>
      <c r="M40" s="64">
        <v>59.87</v>
      </c>
      <c r="N40" s="64">
        <v>292.10000000000002</v>
      </c>
      <c r="O40" s="64">
        <v>0</v>
      </c>
      <c r="P40" s="64">
        <v>1.08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1" t="s">
        <v>1912</v>
      </c>
      <c r="B41" s="64">
        <v>15.59</v>
      </c>
      <c r="C41" s="64">
        <v>19.91</v>
      </c>
      <c r="D41" s="64">
        <v>22.44</v>
      </c>
      <c r="E41" s="64">
        <v>5.4</v>
      </c>
      <c r="F41" s="64">
        <v>3.13</v>
      </c>
      <c r="G41" s="64">
        <v>95.42</v>
      </c>
      <c r="H41" s="64">
        <v>42.37</v>
      </c>
      <c r="I41" s="64">
        <v>4.51</v>
      </c>
      <c r="J41" s="64">
        <v>0.22</v>
      </c>
      <c r="K41" s="64">
        <v>47.36</v>
      </c>
      <c r="L41" s="64">
        <v>20.41</v>
      </c>
      <c r="M41" s="64">
        <v>54.46</v>
      </c>
      <c r="N41" s="64">
        <v>340.4</v>
      </c>
      <c r="O41" s="64">
        <v>0</v>
      </c>
      <c r="P41" s="64">
        <v>1.1100000000000001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1" t="s">
        <v>1913</v>
      </c>
      <c r="B42" s="64">
        <v>15.92</v>
      </c>
      <c r="C42" s="64">
        <v>20.79</v>
      </c>
      <c r="D42" s="64">
        <v>23.17</v>
      </c>
      <c r="E42" s="64">
        <v>5.64</v>
      </c>
      <c r="F42" s="64">
        <v>3.12</v>
      </c>
      <c r="G42" s="64">
        <v>92.63</v>
      </c>
      <c r="H42" s="64">
        <v>38.07</v>
      </c>
      <c r="I42" s="64">
        <v>4.5599999999999996</v>
      </c>
      <c r="J42" s="64">
        <v>0.65</v>
      </c>
      <c r="K42" s="64">
        <v>344.32</v>
      </c>
      <c r="L42" s="64">
        <v>23.1</v>
      </c>
      <c r="M42" s="64">
        <v>43.16</v>
      </c>
      <c r="N42" s="64">
        <v>386.3</v>
      </c>
      <c r="O42" s="64">
        <v>0</v>
      </c>
      <c r="P42" s="64">
        <v>1.1599999999999999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1" t="s">
        <v>1914</v>
      </c>
      <c r="B43" s="64">
        <v>16.37</v>
      </c>
      <c r="C43" s="64">
        <v>21.48</v>
      </c>
      <c r="D43" s="64">
        <v>23.89</v>
      </c>
      <c r="E43" s="64">
        <v>5.56</v>
      </c>
      <c r="F43" s="64">
        <v>3.3</v>
      </c>
      <c r="G43" s="64">
        <v>92.44</v>
      </c>
      <c r="H43" s="64">
        <v>38.07</v>
      </c>
      <c r="I43" s="64">
        <v>4.62</v>
      </c>
      <c r="J43" s="64">
        <v>0.88</v>
      </c>
      <c r="K43" s="64">
        <v>342.83</v>
      </c>
      <c r="L43" s="64">
        <v>24.56</v>
      </c>
      <c r="M43" s="64">
        <v>38.130000000000003</v>
      </c>
      <c r="N43" s="64">
        <v>430.8</v>
      </c>
      <c r="O43" s="64">
        <v>0</v>
      </c>
      <c r="P43" s="64">
        <v>1.19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1" t="s">
        <v>1915</v>
      </c>
      <c r="B44" s="64">
        <v>15.96</v>
      </c>
      <c r="C44" s="64">
        <v>22.33</v>
      </c>
      <c r="D44" s="64">
        <v>24</v>
      </c>
      <c r="E44" s="64">
        <v>6.09</v>
      </c>
      <c r="F44" s="64">
        <v>3.28</v>
      </c>
      <c r="G44" s="64">
        <v>92.44</v>
      </c>
      <c r="H44" s="64">
        <v>38.07</v>
      </c>
      <c r="I44" s="64">
        <v>4.6399999999999997</v>
      </c>
      <c r="J44" s="64">
        <v>0.61</v>
      </c>
      <c r="K44" s="64">
        <v>337.27</v>
      </c>
      <c r="L44" s="64">
        <v>25.15</v>
      </c>
      <c r="M44" s="64">
        <v>37.42</v>
      </c>
      <c r="N44" s="64">
        <v>470.9</v>
      </c>
      <c r="O44" s="64">
        <v>0</v>
      </c>
      <c r="P44" s="64">
        <v>1.2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1" t="s">
        <v>1916</v>
      </c>
      <c r="B45" s="64">
        <v>15.35</v>
      </c>
      <c r="C45" s="64">
        <v>23.16</v>
      </c>
      <c r="D45" s="64">
        <v>23.95</v>
      </c>
      <c r="E45" s="64">
        <v>5.96</v>
      </c>
      <c r="F45" s="64">
        <v>3.93</v>
      </c>
      <c r="G45" s="64">
        <v>92.44</v>
      </c>
      <c r="H45" s="64">
        <v>38.07</v>
      </c>
      <c r="I45" s="64">
        <v>4.63</v>
      </c>
      <c r="J45" s="64">
        <v>0.73</v>
      </c>
      <c r="K45" s="64">
        <v>335.69</v>
      </c>
      <c r="L45" s="64">
        <v>25.88</v>
      </c>
      <c r="M45" s="64">
        <v>35.26</v>
      </c>
      <c r="N45" s="64">
        <v>510.3</v>
      </c>
      <c r="O45" s="64">
        <v>0</v>
      </c>
      <c r="P45" s="64">
        <v>1.2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1" t="s">
        <v>1917</v>
      </c>
      <c r="B46" s="64">
        <v>14.67</v>
      </c>
      <c r="C46" s="64">
        <v>23.91</v>
      </c>
      <c r="D46" s="64">
        <v>23.8</v>
      </c>
      <c r="E46" s="64">
        <v>6.57</v>
      </c>
      <c r="F46" s="64">
        <v>4.46</v>
      </c>
      <c r="G46" s="64">
        <v>89.24</v>
      </c>
      <c r="H46" s="64">
        <v>36.880000000000003</v>
      </c>
      <c r="I46" s="64">
        <v>4.5999999999999996</v>
      </c>
      <c r="J46" s="64">
        <v>1.06</v>
      </c>
      <c r="K46" s="64">
        <v>340.59</v>
      </c>
      <c r="L46" s="64">
        <v>26.8</v>
      </c>
      <c r="M46" s="64">
        <v>32.58</v>
      </c>
      <c r="N46" s="64">
        <v>546.79999999999995</v>
      </c>
      <c r="O46" s="64">
        <v>0</v>
      </c>
      <c r="P46" s="64">
        <v>1.21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1" t="s">
        <v>1918</v>
      </c>
      <c r="B47" s="64">
        <v>15.04</v>
      </c>
      <c r="C47" s="64">
        <v>26.79</v>
      </c>
      <c r="D47" s="64">
        <v>25.6</v>
      </c>
      <c r="E47" s="64">
        <v>7.68</v>
      </c>
      <c r="F47" s="64">
        <v>5.22</v>
      </c>
      <c r="G47" s="64">
        <v>89.01</v>
      </c>
      <c r="H47" s="64">
        <v>36.880000000000003</v>
      </c>
      <c r="I47" s="64">
        <v>4.58</v>
      </c>
      <c r="J47" s="64">
        <v>0.56999999999999995</v>
      </c>
      <c r="K47" s="64">
        <v>335.73</v>
      </c>
      <c r="L47" s="64">
        <v>27.31</v>
      </c>
      <c r="M47" s="64">
        <v>31.65</v>
      </c>
      <c r="N47" s="64">
        <v>567.70000000000005</v>
      </c>
      <c r="O47" s="64">
        <v>0</v>
      </c>
      <c r="P47" s="64">
        <v>1.2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1919</v>
      </c>
      <c r="B48" s="64">
        <v>14.29</v>
      </c>
      <c r="C48" s="64">
        <v>25.43</v>
      </c>
      <c r="D48" s="64">
        <v>24.28</v>
      </c>
      <c r="E48" s="64">
        <v>6.12</v>
      </c>
      <c r="F48" s="64">
        <v>3.45</v>
      </c>
      <c r="G48" s="64">
        <v>89.01</v>
      </c>
      <c r="H48" s="64">
        <v>36.880000000000003</v>
      </c>
      <c r="I48" s="64">
        <v>4.55</v>
      </c>
      <c r="J48" s="64">
        <v>0.18</v>
      </c>
      <c r="K48" s="64">
        <v>96.25</v>
      </c>
      <c r="L48" s="64">
        <v>27.16</v>
      </c>
      <c r="M48" s="64">
        <v>31.76</v>
      </c>
      <c r="N48" s="64">
        <v>599</v>
      </c>
      <c r="O48" s="64">
        <v>0</v>
      </c>
      <c r="P48" s="64">
        <v>1.2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1" t="s">
        <v>1920</v>
      </c>
      <c r="B49" s="64">
        <v>13.18</v>
      </c>
      <c r="C49" s="64">
        <v>25.12</v>
      </c>
      <c r="D49" s="64">
        <v>23.23</v>
      </c>
      <c r="E49" s="64">
        <v>6.46</v>
      </c>
      <c r="F49" s="64">
        <v>3.37</v>
      </c>
      <c r="G49" s="64">
        <v>89.01</v>
      </c>
      <c r="H49" s="64">
        <v>36.880000000000003</v>
      </c>
      <c r="I49" s="64">
        <v>4.5199999999999996</v>
      </c>
      <c r="J49" s="64">
        <v>0.13</v>
      </c>
      <c r="K49" s="64">
        <v>22.5</v>
      </c>
      <c r="L49" s="64">
        <v>25.37</v>
      </c>
      <c r="M49" s="64">
        <v>35.520000000000003</v>
      </c>
      <c r="N49" s="64">
        <v>617.20000000000005</v>
      </c>
      <c r="O49" s="64">
        <v>0</v>
      </c>
      <c r="P49" s="64">
        <v>1.1299999999999999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1" t="s">
        <v>1921</v>
      </c>
      <c r="B50" s="64">
        <v>11.45</v>
      </c>
      <c r="C50" s="64">
        <v>27.56</v>
      </c>
      <c r="D50" s="64">
        <v>23.12</v>
      </c>
      <c r="E50" s="64">
        <v>6.3</v>
      </c>
      <c r="F50" s="64">
        <v>3.51</v>
      </c>
      <c r="G50" s="64">
        <v>89.01</v>
      </c>
      <c r="H50" s="64">
        <v>36.880000000000003</v>
      </c>
      <c r="I50" s="64">
        <v>4.4400000000000004</v>
      </c>
      <c r="J50" s="64">
        <v>0.32</v>
      </c>
      <c r="K50" s="64">
        <v>349.03</v>
      </c>
      <c r="L50" s="64">
        <v>27.84</v>
      </c>
      <c r="M50" s="64">
        <v>30.04</v>
      </c>
      <c r="N50" s="64">
        <v>644.4</v>
      </c>
      <c r="O50" s="64">
        <v>0</v>
      </c>
      <c r="P50" s="64">
        <v>1.1200000000000001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1" t="s">
        <v>1922</v>
      </c>
      <c r="B51" s="64">
        <v>9.2100000000000009</v>
      </c>
      <c r="C51" s="64">
        <v>30.15</v>
      </c>
      <c r="D51" s="64">
        <v>22.68</v>
      </c>
      <c r="E51" s="64">
        <v>6.91</v>
      </c>
      <c r="F51" s="64">
        <v>4.12</v>
      </c>
      <c r="G51" s="64">
        <v>89.01</v>
      </c>
      <c r="H51" s="64">
        <v>36.880000000000003</v>
      </c>
      <c r="I51" s="64">
        <v>4.34</v>
      </c>
      <c r="J51" s="64">
        <v>0.25</v>
      </c>
      <c r="K51" s="64">
        <v>99.77</v>
      </c>
      <c r="L51" s="64">
        <v>26.28</v>
      </c>
      <c r="M51" s="64">
        <v>30.83</v>
      </c>
      <c r="N51" s="64">
        <v>655.5</v>
      </c>
      <c r="O51" s="64">
        <v>0</v>
      </c>
      <c r="P51" s="64">
        <v>1.0900000000000001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1" t="s">
        <v>1923</v>
      </c>
      <c r="B52" s="64">
        <v>7.59</v>
      </c>
      <c r="C52" s="64">
        <v>30.7</v>
      </c>
      <c r="D52" s="64">
        <v>21.67</v>
      </c>
      <c r="E52" s="64">
        <v>6.61</v>
      </c>
      <c r="F52" s="64">
        <v>4.54</v>
      </c>
      <c r="G52" s="64">
        <v>89.01</v>
      </c>
      <c r="H52" s="64">
        <v>36.880000000000003</v>
      </c>
      <c r="I52" s="64">
        <v>4.26</v>
      </c>
      <c r="J52" s="64">
        <v>0.57999999999999996</v>
      </c>
      <c r="K52" s="64">
        <v>117.66</v>
      </c>
      <c r="L52" s="64">
        <v>26.59</v>
      </c>
      <c r="M52" s="64">
        <v>28.68</v>
      </c>
      <c r="N52" s="64">
        <v>681.8</v>
      </c>
      <c r="O52" s="64">
        <v>0</v>
      </c>
      <c r="P52" s="64">
        <v>1.05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1" t="s">
        <v>1924</v>
      </c>
      <c r="B53" s="64">
        <v>5.76</v>
      </c>
      <c r="C53" s="64">
        <v>30.91</v>
      </c>
      <c r="D53" s="64">
        <v>20.309999999999999</v>
      </c>
      <c r="E53" s="64">
        <v>6.79</v>
      </c>
      <c r="F53" s="64">
        <v>6.25</v>
      </c>
      <c r="G53" s="26" t="s">
        <v>40</v>
      </c>
      <c r="H53" s="26" t="s">
        <v>40</v>
      </c>
      <c r="I53" s="64">
        <v>4.1399999999999997</v>
      </c>
      <c r="J53" s="64">
        <v>0.91</v>
      </c>
      <c r="K53" s="64">
        <v>126.98</v>
      </c>
      <c r="L53" s="64">
        <v>24.61</v>
      </c>
      <c r="M53" s="64">
        <v>30.18</v>
      </c>
      <c r="N53" s="64">
        <v>684.6</v>
      </c>
      <c r="O53" s="64">
        <v>0</v>
      </c>
      <c r="P53" s="64">
        <v>1</v>
      </c>
      <c r="Q53" s="64">
        <v>9.5</v>
      </c>
      <c r="R53" s="198"/>
      <c r="S53" s="198"/>
      <c r="T53" s="198"/>
      <c r="U53" s="198"/>
    </row>
    <row r="54" spans="1:21" s="12" customFormat="1" x14ac:dyDescent="0.25">
      <c r="A54" s="211" t="s">
        <v>1925</v>
      </c>
      <c r="B54" s="64">
        <v>4.0599999999999996</v>
      </c>
      <c r="C54" s="64">
        <v>30.92</v>
      </c>
      <c r="D54" s="64">
        <v>18.95</v>
      </c>
      <c r="E54" s="64">
        <v>6.33</v>
      </c>
      <c r="F54" s="64">
        <v>4.96</v>
      </c>
      <c r="G54" s="26" t="s">
        <v>40</v>
      </c>
      <c r="H54" s="26" t="s">
        <v>40</v>
      </c>
      <c r="I54" s="64">
        <v>4</v>
      </c>
      <c r="J54" s="64">
        <v>0.5</v>
      </c>
      <c r="K54" s="64">
        <v>105.09</v>
      </c>
      <c r="L54" s="64">
        <v>25.39</v>
      </c>
      <c r="M54" s="64">
        <v>29.88</v>
      </c>
      <c r="N54" s="64">
        <v>678.3</v>
      </c>
      <c r="O54" s="64">
        <v>0</v>
      </c>
      <c r="P54" s="64">
        <v>0.95</v>
      </c>
      <c r="Q54" s="64">
        <v>9.4499999999999993</v>
      </c>
      <c r="R54" s="198"/>
      <c r="S54" s="198"/>
      <c r="T54" s="198"/>
      <c r="U54" s="198"/>
    </row>
    <row r="55" spans="1:21" s="12" customFormat="1" x14ac:dyDescent="0.25">
      <c r="A55" s="211" t="s">
        <v>1926</v>
      </c>
      <c r="B55" s="64">
        <v>3.59</v>
      </c>
      <c r="C55" s="64">
        <v>30.61</v>
      </c>
      <c r="D55" s="64">
        <v>18.41</v>
      </c>
      <c r="E55" s="64">
        <v>6.05</v>
      </c>
      <c r="F55" s="64">
        <v>5.33</v>
      </c>
      <c r="G55" s="26" t="s">
        <v>40</v>
      </c>
      <c r="H55" s="26" t="s">
        <v>40</v>
      </c>
      <c r="I55" s="64">
        <v>3.8</v>
      </c>
      <c r="J55" s="64">
        <v>0.72</v>
      </c>
      <c r="K55" s="64">
        <v>120.01</v>
      </c>
      <c r="L55" s="64">
        <v>25.26</v>
      </c>
      <c r="M55" s="64">
        <v>30.76</v>
      </c>
      <c r="N55" s="64">
        <v>655.5</v>
      </c>
      <c r="O55" s="64">
        <v>0</v>
      </c>
      <c r="P55" s="64">
        <v>0.91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1" t="s">
        <v>1927</v>
      </c>
      <c r="B56" s="64">
        <v>3.39</v>
      </c>
      <c r="C56" s="64">
        <v>29.37</v>
      </c>
      <c r="D56" s="64">
        <v>17.600000000000001</v>
      </c>
      <c r="E56" s="64">
        <v>6.84</v>
      </c>
      <c r="F56" s="64">
        <v>6.61</v>
      </c>
      <c r="G56" s="26" t="s">
        <v>40</v>
      </c>
      <c r="H56" s="26" t="s">
        <v>40</v>
      </c>
      <c r="I56" s="64">
        <v>3.67</v>
      </c>
      <c r="J56" s="64">
        <v>0.47</v>
      </c>
      <c r="K56" s="64">
        <v>334.62</v>
      </c>
      <c r="L56" s="64">
        <v>27.11</v>
      </c>
      <c r="M56" s="64">
        <v>27.4</v>
      </c>
      <c r="N56" s="64">
        <v>636.29999999999995</v>
      </c>
      <c r="O56" s="64">
        <v>0</v>
      </c>
      <c r="P56" s="64">
        <v>0.85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1" t="s">
        <v>1928</v>
      </c>
      <c r="B57" s="64">
        <v>2.98</v>
      </c>
      <c r="C57" s="64">
        <v>29.03</v>
      </c>
      <c r="D57" s="64">
        <v>17.100000000000001</v>
      </c>
      <c r="E57" s="64">
        <v>7.24</v>
      </c>
      <c r="F57" s="64">
        <v>5.27</v>
      </c>
      <c r="G57" s="64">
        <v>25.16</v>
      </c>
      <c r="H57" s="64">
        <v>29.73</v>
      </c>
      <c r="I57" s="64">
        <v>3.57</v>
      </c>
      <c r="J57" s="64">
        <v>0.61</v>
      </c>
      <c r="K57" s="64">
        <v>124.95</v>
      </c>
      <c r="L57" s="64">
        <v>26.06</v>
      </c>
      <c r="M57" s="64">
        <v>28.62</v>
      </c>
      <c r="N57" s="64">
        <v>637.5</v>
      </c>
      <c r="O57" s="64">
        <v>0</v>
      </c>
      <c r="P57" s="64">
        <v>0.81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1" t="s">
        <v>1929</v>
      </c>
      <c r="B58" s="64">
        <v>2.62</v>
      </c>
      <c r="C58" s="64">
        <v>28.29</v>
      </c>
      <c r="D58" s="64">
        <v>16.420000000000002</v>
      </c>
      <c r="E58" s="64">
        <v>8.35</v>
      </c>
      <c r="F58" s="64">
        <v>10.02</v>
      </c>
      <c r="G58" s="64">
        <v>31.83</v>
      </c>
      <c r="H58" s="64">
        <v>29.73</v>
      </c>
      <c r="I58" s="64">
        <v>3.43</v>
      </c>
      <c r="J58" s="64">
        <v>0.42</v>
      </c>
      <c r="K58" s="64">
        <v>135.09</v>
      </c>
      <c r="L58" s="64">
        <v>26.05</v>
      </c>
      <c r="M58" s="64">
        <v>28.09</v>
      </c>
      <c r="N58" s="64">
        <v>631.20000000000005</v>
      </c>
      <c r="O58" s="64">
        <v>0</v>
      </c>
      <c r="P58" s="64">
        <v>0.77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1" t="s">
        <v>1930</v>
      </c>
      <c r="B59" s="64">
        <v>2.92</v>
      </c>
      <c r="C59" s="64">
        <v>26.35</v>
      </c>
      <c r="D59" s="64">
        <v>15.65</v>
      </c>
      <c r="E59" s="64">
        <v>12.49</v>
      </c>
      <c r="F59" s="64">
        <v>15.9</v>
      </c>
      <c r="G59" s="64">
        <v>31.83</v>
      </c>
      <c r="H59" s="64">
        <v>29.73</v>
      </c>
      <c r="I59" s="64">
        <v>3.3</v>
      </c>
      <c r="J59" s="64">
        <v>0.34</v>
      </c>
      <c r="K59" s="64">
        <v>49.08</v>
      </c>
      <c r="L59" s="64">
        <v>25.89</v>
      </c>
      <c r="M59" s="64">
        <v>29.46</v>
      </c>
      <c r="N59" s="64">
        <v>622.6</v>
      </c>
      <c r="O59" s="64">
        <v>0</v>
      </c>
      <c r="P59" s="64">
        <v>0.72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1" t="s">
        <v>1931</v>
      </c>
      <c r="B60" s="64">
        <v>3.9</v>
      </c>
      <c r="C60" s="64">
        <v>25.16</v>
      </c>
      <c r="D60" s="64">
        <v>15.81</v>
      </c>
      <c r="E60" s="64">
        <v>10.119999999999999</v>
      </c>
      <c r="F60" s="64">
        <v>13.1</v>
      </c>
      <c r="G60" s="64">
        <v>31.83</v>
      </c>
      <c r="H60" s="64">
        <v>29.73</v>
      </c>
      <c r="I60" s="64">
        <v>3.18</v>
      </c>
      <c r="J60" s="64">
        <v>1.28</v>
      </c>
      <c r="K60" s="64">
        <v>337.18</v>
      </c>
      <c r="L60" s="64">
        <v>27.99</v>
      </c>
      <c r="M60" s="64">
        <v>25.03</v>
      </c>
      <c r="N60" s="64">
        <v>461.6</v>
      </c>
      <c r="O60" s="64">
        <v>0</v>
      </c>
      <c r="P60" s="64">
        <v>0.74</v>
      </c>
      <c r="Q60" s="64">
        <v>9.3699999999999992</v>
      </c>
      <c r="R60" s="198"/>
      <c r="S60" s="198"/>
      <c r="T60" s="198"/>
      <c r="U60" s="198"/>
    </row>
    <row r="61" spans="1:21" s="12" customFormat="1" x14ac:dyDescent="0.25">
      <c r="A61" s="211" t="s">
        <v>1932</v>
      </c>
      <c r="B61" s="64">
        <v>2.99</v>
      </c>
      <c r="C61" s="64">
        <v>29.05</v>
      </c>
      <c r="D61" s="64">
        <v>17.12</v>
      </c>
      <c r="E61" s="64">
        <v>9.52</v>
      </c>
      <c r="F61" s="64">
        <v>7.53</v>
      </c>
      <c r="G61" s="64">
        <v>41.77</v>
      </c>
      <c r="H61" s="64">
        <v>23.31</v>
      </c>
      <c r="I61" s="64">
        <v>3.08</v>
      </c>
      <c r="J61" s="64">
        <v>1.05</v>
      </c>
      <c r="K61" s="64">
        <v>335.13</v>
      </c>
      <c r="L61" s="64">
        <v>28.48</v>
      </c>
      <c r="M61" s="64">
        <v>23.97</v>
      </c>
      <c r="N61" s="64">
        <v>475.2</v>
      </c>
      <c r="O61" s="64">
        <v>0</v>
      </c>
      <c r="P61" s="64">
        <v>0.75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1" t="s">
        <v>1933</v>
      </c>
      <c r="B62" s="64">
        <v>3.55</v>
      </c>
      <c r="C62" s="64">
        <v>29.96</v>
      </c>
      <c r="D62" s="64">
        <v>18.04</v>
      </c>
      <c r="E62" s="64">
        <v>8.82</v>
      </c>
      <c r="F62" s="64">
        <v>12.02</v>
      </c>
      <c r="G62" s="64">
        <v>44.98</v>
      </c>
      <c r="H62" s="64">
        <v>23.31</v>
      </c>
      <c r="I62" s="64">
        <v>2.99</v>
      </c>
      <c r="J62" s="64">
        <v>0.18</v>
      </c>
      <c r="K62" s="64">
        <v>336.97</v>
      </c>
      <c r="L62" s="64">
        <v>28.19</v>
      </c>
      <c r="M62" s="64">
        <v>24.57</v>
      </c>
      <c r="N62" s="64">
        <v>544.79999999999995</v>
      </c>
      <c r="O62" s="64">
        <v>0</v>
      </c>
      <c r="P62" s="64">
        <v>0.77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1" t="s">
        <v>1934</v>
      </c>
      <c r="B63" s="64">
        <v>3.31</v>
      </c>
      <c r="C63" s="64">
        <v>26.78</v>
      </c>
      <c r="D63" s="64">
        <v>16.18</v>
      </c>
      <c r="E63" s="64">
        <v>8.91</v>
      </c>
      <c r="F63" s="64">
        <v>13.39</v>
      </c>
      <c r="G63" s="64">
        <v>44.98</v>
      </c>
      <c r="H63" s="64">
        <v>23.31</v>
      </c>
      <c r="I63" s="64">
        <v>2.94</v>
      </c>
      <c r="J63" s="64">
        <v>0.65</v>
      </c>
      <c r="K63" s="64">
        <v>117</v>
      </c>
      <c r="L63" s="64">
        <v>26.33</v>
      </c>
      <c r="M63" s="64">
        <v>28.45</v>
      </c>
      <c r="N63" s="64">
        <v>506.9</v>
      </c>
      <c r="O63" s="64">
        <v>0</v>
      </c>
      <c r="P63" s="64">
        <v>0.74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1" t="s">
        <v>1935</v>
      </c>
      <c r="B64" s="64">
        <v>3.42</v>
      </c>
      <c r="C64" s="64">
        <v>26.94</v>
      </c>
      <c r="D64" s="64">
        <v>16.36</v>
      </c>
      <c r="E64" s="64">
        <v>10.81</v>
      </c>
      <c r="F64" s="64">
        <v>16.12</v>
      </c>
      <c r="G64" s="64">
        <v>44.98</v>
      </c>
      <c r="H64" s="64">
        <v>23.31</v>
      </c>
      <c r="I64" s="64">
        <v>2.93</v>
      </c>
      <c r="J64" s="64">
        <v>0.09</v>
      </c>
      <c r="K64" s="64">
        <v>61.01</v>
      </c>
      <c r="L64" s="64">
        <v>25.16</v>
      </c>
      <c r="M64" s="64">
        <v>30.88</v>
      </c>
      <c r="N64" s="64">
        <v>377.2</v>
      </c>
      <c r="O64" s="64">
        <v>0</v>
      </c>
      <c r="P64" s="64">
        <v>0.73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1" t="s">
        <v>1936</v>
      </c>
      <c r="B65" s="64">
        <v>2.94</v>
      </c>
      <c r="C65" s="64">
        <v>25.44</v>
      </c>
      <c r="D65" s="64">
        <v>15.19</v>
      </c>
      <c r="E65" s="64">
        <v>17.440000000000001</v>
      </c>
      <c r="F65" s="64">
        <v>20.85</v>
      </c>
      <c r="G65" s="64">
        <v>33.299999999999997</v>
      </c>
      <c r="H65" s="64">
        <v>22.67</v>
      </c>
      <c r="I65" s="64">
        <v>2.94</v>
      </c>
      <c r="J65" s="64">
        <v>0.25</v>
      </c>
      <c r="K65" s="64">
        <v>120.27</v>
      </c>
      <c r="L65" s="64">
        <v>25.4</v>
      </c>
      <c r="M65" s="64">
        <v>29.03</v>
      </c>
      <c r="N65" s="64">
        <v>152.6</v>
      </c>
      <c r="O65" s="64">
        <v>0</v>
      </c>
      <c r="P65" s="64">
        <v>0.69</v>
      </c>
      <c r="Q65" s="64">
        <v>9.4</v>
      </c>
      <c r="R65" s="198"/>
      <c r="S65" s="198"/>
      <c r="T65" s="198"/>
      <c r="U65" s="198"/>
    </row>
    <row r="66" spans="1:21" s="12" customFormat="1" x14ac:dyDescent="0.25">
      <c r="A66" s="211" t="s">
        <v>1937</v>
      </c>
      <c r="B66" s="64">
        <v>2.85</v>
      </c>
      <c r="C66" s="64">
        <v>25.14</v>
      </c>
      <c r="D66" s="64">
        <v>14.96</v>
      </c>
      <c r="E66" s="64">
        <v>8.76</v>
      </c>
      <c r="F66" s="64">
        <v>5.19</v>
      </c>
      <c r="G66" s="64">
        <v>32.1</v>
      </c>
      <c r="H66" s="64">
        <v>22.67</v>
      </c>
      <c r="I66" s="64">
        <v>2.92</v>
      </c>
      <c r="J66" s="64">
        <v>0.28000000000000003</v>
      </c>
      <c r="K66" s="64">
        <v>99.54</v>
      </c>
      <c r="L66" s="64">
        <v>24.8</v>
      </c>
      <c r="M66" s="64">
        <v>30.35</v>
      </c>
      <c r="N66" s="64">
        <v>142.69999999999999</v>
      </c>
      <c r="O66" s="64">
        <v>0</v>
      </c>
      <c r="P66" s="64">
        <v>0.73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11" t="s">
        <v>1938</v>
      </c>
      <c r="B67" s="64">
        <v>3.35</v>
      </c>
      <c r="C67" s="64">
        <v>28.17</v>
      </c>
      <c r="D67" s="64">
        <v>16.940000000000001</v>
      </c>
      <c r="E67" s="64">
        <v>11.37</v>
      </c>
      <c r="F67" s="64">
        <v>11.02</v>
      </c>
      <c r="G67" s="64">
        <v>32.1</v>
      </c>
      <c r="H67" s="64">
        <v>22.67</v>
      </c>
      <c r="I67" s="64">
        <v>2.92</v>
      </c>
      <c r="J67" s="64">
        <v>0.2</v>
      </c>
      <c r="K67" s="64">
        <v>359.7</v>
      </c>
      <c r="L67" s="64">
        <v>24.72</v>
      </c>
      <c r="M67" s="64">
        <v>30.67</v>
      </c>
      <c r="N67" s="64">
        <v>134.4</v>
      </c>
      <c r="O67" s="64">
        <v>0</v>
      </c>
      <c r="P67" s="64">
        <v>0.69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1" t="s">
        <v>1939</v>
      </c>
      <c r="B68" s="64">
        <v>3.48</v>
      </c>
      <c r="C68" s="64">
        <v>26.33</v>
      </c>
      <c r="D68" s="64">
        <v>16.079999999999998</v>
      </c>
      <c r="E68" s="64">
        <v>9.25</v>
      </c>
      <c r="F68" s="64">
        <v>10.58</v>
      </c>
      <c r="G68" s="64">
        <v>32.1</v>
      </c>
      <c r="H68" s="64">
        <v>22.67</v>
      </c>
      <c r="I68" s="64">
        <v>2.96</v>
      </c>
      <c r="J68" s="64">
        <v>0.84</v>
      </c>
      <c r="K68" s="64">
        <v>118.54</v>
      </c>
      <c r="L68" s="64">
        <v>24.27</v>
      </c>
      <c r="M68" s="64">
        <v>29.98</v>
      </c>
      <c r="N68" s="64">
        <v>118.9</v>
      </c>
      <c r="O68" s="64">
        <v>0</v>
      </c>
      <c r="P68" s="64">
        <v>0.66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1" t="s">
        <v>1940</v>
      </c>
      <c r="B69" s="64">
        <v>3.18</v>
      </c>
      <c r="C69" s="64">
        <v>25.38</v>
      </c>
      <c r="D69" s="64">
        <v>15.35</v>
      </c>
      <c r="E69" s="64">
        <v>8.6199999999999992</v>
      </c>
      <c r="F69" s="64">
        <v>8.25</v>
      </c>
      <c r="G69" s="64">
        <v>50.39</v>
      </c>
      <c r="H69" s="64">
        <v>20.96</v>
      </c>
      <c r="I69" s="64">
        <v>3.02</v>
      </c>
      <c r="J69" s="64">
        <v>0.8</v>
      </c>
      <c r="K69" s="64">
        <v>132.72</v>
      </c>
      <c r="L69" s="64">
        <v>24.07</v>
      </c>
      <c r="M69" s="64">
        <v>30.52</v>
      </c>
      <c r="N69" s="64">
        <v>111.2</v>
      </c>
      <c r="O69" s="64">
        <v>0</v>
      </c>
      <c r="P69" s="64">
        <v>0.67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1" t="s">
        <v>1941</v>
      </c>
      <c r="B70" s="64">
        <v>3.41</v>
      </c>
      <c r="C70" s="64">
        <v>26.15</v>
      </c>
      <c r="D70" s="64">
        <v>15.94</v>
      </c>
      <c r="E70" s="64">
        <v>10.9</v>
      </c>
      <c r="F70" s="64">
        <v>11.61</v>
      </c>
      <c r="G70" s="64">
        <v>56.31</v>
      </c>
      <c r="H70" s="64">
        <v>20.96</v>
      </c>
      <c r="I70" s="64">
        <v>3.04</v>
      </c>
      <c r="J70" s="64">
        <v>0.19</v>
      </c>
      <c r="K70" s="64">
        <v>346.65</v>
      </c>
      <c r="L70" s="64">
        <v>24.07</v>
      </c>
      <c r="M70" s="64">
        <v>32.04</v>
      </c>
      <c r="N70" s="64">
        <v>103.1</v>
      </c>
      <c r="O70" s="64">
        <v>0</v>
      </c>
      <c r="P70" s="64">
        <v>0.66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1" t="s">
        <v>1942</v>
      </c>
      <c r="B71" s="64">
        <v>4.87</v>
      </c>
      <c r="C71" s="64">
        <v>32.090000000000003</v>
      </c>
      <c r="D71" s="64">
        <v>20.21</v>
      </c>
      <c r="E71" s="64">
        <v>13.08</v>
      </c>
      <c r="F71" s="64">
        <v>10.61</v>
      </c>
      <c r="G71" s="64">
        <v>56.31</v>
      </c>
      <c r="H71" s="64">
        <v>20.96</v>
      </c>
      <c r="I71" s="64">
        <v>3.02</v>
      </c>
      <c r="J71" s="64">
        <v>0.36</v>
      </c>
      <c r="K71" s="64">
        <v>118.24</v>
      </c>
      <c r="L71" s="64">
        <v>24.11</v>
      </c>
      <c r="M71" s="64">
        <v>31.77</v>
      </c>
      <c r="N71" s="64">
        <v>95</v>
      </c>
      <c r="O71" s="64">
        <v>0</v>
      </c>
      <c r="P71" s="64">
        <v>0.72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1" t="s">
        <v>1943</v>
      </c>
      <c r="B72" s="64">
        <v>3.12</v>
      </c>
      <c r="C72" s="64">
        <v>26.81</v>
      </c>
      <c r="D72" s="64">
        <v>16.05</v>
      </c>
      <c r="E72" s="64">
        <v>15.03</v>
      </c>
      <c r="F72" s="64">
        <v>14.21</v>
      </c>
      <c r="G72" s="64">
        <v>56.31</v>
      </c>
      <c r="H72" s="64">
        <v>20.96</v>
      </c>
      <c r="I72" s="64">
        <v>3</v>
      </c>
      <c r="J72" s="64">
        <v>0.31</v>
      </c>
      <c r="K72" s="64">
        <v>109.42</v>
      </c>
      <c r="L72" s="64">
        <v>23.77</v>
      </c>
      <c r="M72" s="64">
        <v>32.090000000000003</v>
      </c>
      <c r="N72" s="64">
        <v>87.1</v>
      </c>
      <c r="O72" s="64">
        <v>0</v>
      </c>
      <c r="P72" s="64">
        <v>0.66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1" t="s">
        <v>1944</v>
      </c>
      <c r="B73" s="64">
        <v>3.31</v>
      </c>
      <c r="C73" s="64">
        <v>26.28</v>
      </c>
      <c r="D73" s="64">
        <v>15.76</v>
      </c>
      <c r="E73" s="64">
        <v>12.75</v>
      </c>
      <c r="F73" s="64">
        <v>11.91</v>
      </c>
      <c r="G73" s="64">
        <v>56.27</v>
      </c>
      <c r="H73" s="64">
        <v>18.559999999999999</v>
      </c>
      <c r="I73" s="64">
        <v>2.96</v>
      </c>
      <c r="J73" s="64">
        <v>0.48</v>
      </c>
      <c r="K73" s="64">
        <v>103.54</v>
      </c>
      <c r="L73" s="64">
        <v>23.58</v>
      </c>
      <c r="M73" s="64">
        <v>32.590000000000003</v>
      </c>
      <c r="N73" s="64">
        <v>76.900000000000006</v>
      </c>
      <c r="O73" s="64">
        <v>0</v>
      </c>
      <c r="P73" s="64">
        <v>0.63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1" t="s">
        <v>1945</v>
      </c>
      <c r="B74" s="64">
        <v>3.25</v>
      </c>
      <c r="C74" s="64">
        <v>25.91</v>
      </c>
      <c r="D74" s="64">
        <v>15.68</v>
      </c>
      <c r="E74" s="64">
        <v>9.39</v>
      </c>
      <c r="F74" s="64">
        <v>12.34</v>
      </c>
      <c r="G74" s="64">
        <v>56.27</v>
      </c>
      <c r="H74" s="64">
        <v>18.559999999999999</v>
      </c>
      <c r="I74" s="64">
        <v>2.94</v>
      </c>
      <c r="J74" s="64">
        <v>0.85</v>
      </c>
      <c r="K74" s="64">
        <v>123.18</v>
      </c>
      <c r="L74" s="64">
        <v>23.41</v>
      </c>
      <c r="M74" s="64">
        <v>32.42</v>
      </c>
      <c r="N74" s="64">
        <v>71.2</v>
      </c>
      <c r="O74" s="64">
        <v>0</v>
      </c>
      <c r="P74" s="64">
        <v>0.62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1" t="s">
        <v>1946</v>
      </c>
      <c r="B75" s="64">
        <v>3.19</v>
      </c>
      <c r="C75" s="64">
        <v>26.7</v>
      </c>
      <c r="D75" s="64">
        <v>16.05</v>
      </c>
      <c r="E75" s="64">
        <v>9.7200000000000006</v>
      </c>
      <c r="F75" s="64">
        <v>13.12</v>
      </c>
      <c r="G75" s="64">
        <v>56.27</v>
      </c>
      <c r="H75" s="64">
        <v>18.559999999999999</v>
      </c>
      <c r="I75" s="64">
        <v>2.93</v>
      </c>
      <c r="J75" s="64">
        <v>0.31</v>
      </c>
      <c r="K75" s="64">
        <v>113.88</v>
      </c>
      <c r="L75" s="64">
        <v>23.16</v>
      </c>
      <c r="M75" s="64">
        <v>33.82</v>
      </c>
      <c r="N75" s="64">
        <v>62.7</v>
      </c>
      <c r="O75" s="64">
        <v>0</v>
      </c>
      <c r="P75" s="64">
        <v>0.67</v>
      </c>
      <c r="Q75" s="64">
        <v>9.31</v>
      </c>
      <c r="R75" s="198"/>
      <c r="S75" s="198"/>
      <c r="T75" s="198"/>
      <c r="U75" s="198"/>
    </row>
    <row r="76" spans="1:21" s="12" customFormat="1" x14ac:dyDescent="0.25">
      <c r="A76" s="211" t="s">
        <v>1947</v>
      </c>
      <c r="B76" s="64">
        <v>2.73</v>
      </c>
      <c r="C76" s="64">
        <v>29.54</v>
      </c>
      <c r="D76" s="64">
        <v>17.16</v>
      </c>
      <c r="E76" s="64">
        <v>18.47</v>
      </c>
      <c r="F76" s="64">
        <v>22.86</v>
      </c>
      <c r="G76" s="64">
        <v>56.27</v>
      </c>
      <c r="H76" s="64">
        <v>18.559999999999999</v>
      </c>
      <c r="I76" s="64">
        <v>2.91</v>
      </c>
      <c r="J76" s="64">
        <v>0.17</v>
      </c>
      <c r="K76" s="64">
        <v>55.6</v>
      </c>
      <c r="L76" s="64">
        <v>22.68</v>
      </c>
      <c r="M76" s="64">
        <v>35.75</v>
      </c>
      <c r="N76" s="64">
        <v>54.7</v>
      </c>
      <c r="O76" s="64">
        <v>0</v>
      </c>
      <c r="P76" s="64">
        <v>0.63</v>
      </c>
      <c r="Q76" s="64">
        <v>9.32</v>
      </c>
      <c r="R76" s="198"/>
      <c r="S76" s="198"/>
      <c r="T76" s="198"/>
      <c r="U76" s="198"/>
    </row>
    <row r="77" spans="1:21" s="12" customFormat="1" x14ac:dyDescent="0.25">
      <c r="A77" s="211" t="s">
        <v>1948</v>
      </c>
      <c r="B77" s="64">
        <v>3.82</v>
      </c>
      <c r="C77" s="64">
        <v>33.880000000000003</v>
      </c>
      <c r="D77" s="64">
        <v>20.3</v>
      </c>
      <c r="E77" s="64">
        <v>16.53</v>
      </c>
      <c r="F77" s="64">
        <v>16.739999999999998</v>
      </c>
      <c r="G77" s="64">
        <v>56.01</v>
      </c>
      <c r="H77" s="64">
        <v>21.95</v>
      </c>
      <c r="I77" s="64">
        <v>2.89</v>
      </c>
      <c r="J77" s="64">
        <v>0.22</v>
      </c>
      <c r="K77" s="64">
        <v>357.38</v>
      </c>
      <c r="L77" s="64">
        <v>21.88</v>
      </c>
      <c r="M77" s="64">
        <v>42.28</v>
      </c>
      <c r="N77" s="64">
        <v>48.5</v>
      </c>
      <c r="O77" s="64">
        <v>0</v>
      </c>
      <c r="P77" s="64">
        <v>0.77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1" t="s">
        <v>1949</v>
      </c>
      <c r="B78" s="64">
        <v>19.88</v>
      </c>
      <c r="C78" s="64">
        <v>38.76</v>
      </c>
      <c r="D78" s="64">
        <v>35.729999999999997</v>
      </c>
      <c r="E78" s="64">
        <v>11.24</v>
      </c>
      <c r="F78" s="64">
        <v>5.57</v>
      </c>
      <c r="G78" s="64">
        <v>55.92</v>
      </c>
      <c r="H78" s="64">
        <v>21.95</v>
      </c>
      <c r="I78" s="64">
        <v>2.92</v>
      </c>
      <c r="J78" s="64">
        <v>0.26</v>
      </c>
      <c r="K78" s="64">
        <v>347.17</v>
      </c>
      <c r="L78" s="64">
        <v>20.92</v>
      </c>
      <c r="M78" s="64">
        <v>52.44</v>
      </c>
      <c r="N78" s="64">
        <v>45.8</v>
      </c>
      <c r="O78" s="64">
        <v>0</v>
      </c>
      <c r="P78" s="64">
        <v>1.27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1" t="s">
        <v>1950</v>
      </c>
      <c r="B79" s="64">
        <v>32.68</v>
      </c>
      <c r="C79" s="64">
        <v>34.68</v>
      </c>
      <c r="D79" s="64">
        <v>43.86</v>
      </c>
      <c r="E79" s="64">
        <v>9.57</v>
      </c>
      <c r="F79" s="64">
        <v>4.46</v>
      </c>
      <c r="G79" s="64">
        <v>55.92</v>
      </c>
      <c r="H79" s="64">
        <v>21.95</v>
      </c>
      <c r="I79" s="64">
        <v>3</v>
      </c>
      <c r="J79" s="64">
        <v>0.26</v>
      </c>
      <c r="K79" s="64">
        <v>349.15</v>
      </c>
      <c r="L79" s="64">
        <v>20.05</v>
      </c>
      <c r="M79" s="64">
        <v>57.82</v>
      </c>
      <c r="N79" s="64">
        <v>45</v>
      </c>
      <c r="O79" s="64">
        <v>0</v>
      </c>
      <c r="P79" s="64">
        <v>1.57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11" t="s">
        <v>1951</v>
      </c>
      <c r="B80" s="64">
        <v>34.880000000000003</v>
      </c>
      <c r="C80" s="64">
        <v>35.659999999999997</v>
      </c>
      <c r="D80" s="64">
        <v>46.14</v>
      </c>
      <c r="E80" s="64">
        <v>9.17</v>
      </c>
      <c r="F80" s="64">
        <v>4.4400000000000004</v>
      </c>
      <c r="G80" s="64">
        <v>55.92</v>
      </c>
      <c r="H80" s="64">
        <v>21.95</v>
      </c>
      <c r="I80" s="64">
        <v>3.22</v>
      </c>
      <c r="J80" s="64">
        <v>0.21</v>
      </c>
      <c r="K80" s="64">
        <v>358.67</v>
      </c>
      <c r="L80" s="64">
        <v>19.62</v>
      </c>
      <c r="M80" s="64">
        <v>59.88</v>
      </c>
      <c r="N80" s="64">
        <v>44.9</v>
      </c>
      <c r="O80" s="64">
        <v>0</v>
      </c>
      <c r="P80" s="64">
        <v>1.69</v>
      </c>
      <c r="Q80" s="64">
        <v>9.44</v>
      </c>
      <c r="R80" s="198"/>
      <c r="S80" s="198"/>
      <c r="T80" s="198"/>
      <c r="U80" s="198"/>
    </row>
    <row r="81" spans="1:26" s="12" customFormat="1" x14ac:dyDescent="0.25">
      <c r="A81" s="211" t="s">
        <v>1952</v>
      </c>
      <c r="B81" s="64">
        <v>29.12</v>
      </c>
      <c r="C81" s="64">
        <v>32.29</v>
      </c>
      <c r="D81" s="64">
        <v>39.770000000000003</v>
      </c>
      <c r="E81" s="64">
        <v>8.23</v>
      </c>
      <c r="F81" s="64">
        <v>4.8</v>
      </c>
      <c r="G81" s="64">
        <v>108.93</v>
      </c>
      <c r="H81" s="64">
        <v>32.49</v>
      </c>
      <c r="I81" s="64">
        <v>3.54</v>
      </c>
      <c r="J81" s="64">
        <v>0.24</v>
      </c>
      <c r="K81" s="64">
        <v>320.64999999999998</v>
      </c>
      <c r="L81" s="64">
        <v>19.2</v>
      </c>
      <c r="M81" s="64">
        <v>66.03</v>
      </c>
      <c r="N81" s="64">
        <v>44.7</v>
      </c>
      <c r="O81" s="64">
        <v>0</v>
      </c>
      <c r="P81" s="64">
        <v>1.66</v>
      </c>
      <c r="Q81" s="64">
        <v>9.51</v>
      </c>
      <c r="R81" s="198"/>
      <c r="S81" s="198"/>
      <c r="T81" s="198"/>
      <c r="U81" s="198"/>
    </row>
    <row r="82" spans="1:26" s="12" customFormat="1" x14ac:dyDescent="0.25">
      <c r="A82" s="211" t="s">
        <v>1953</v>
      </c>
      <c r="B82" s="64">
        <v>22.87</v>
      </c>
      <c r="C82" s="64">
        <v>25.69</v>
      </c>
      <c r="D82" s="64">
        <v>31.3</v>
      </c>
      <c r="E82" s="64">
        <v>7.92</v>
      </c>
      <c r="F82" s="64">
        <v>3.75</v>
      </c>
      <c r="G82" s="64">
        <v>126.08</v>
      </c>
      <c r="H82" s="64">
        <v>32.49</v>
      </c>
      <c r="I82" s="64">
        <v>3.54</v>
      </c>
      <c r="J82" s="64">
        <v>0.06</v>
      </c>
      <c r="K82" s="64">
        <v>104.28</v>
      </c>
      <c r="L82" s="64">
        <v>18.920000000000002</v>
      </c>
      <c r="M82" s="64">
        <v>66.010000000000005</v>
      </c>
      <c r="N82" s="64">
        <v>44.5</v>
      </c>
      <c r="O82" s="64">
        <v>0</v>
      </c>
      <c r="P82" s="64">
        <v>1.32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1" t="s">
        <v>1954</v>
      </c>
      <c r="B83" s="64">
        <v>19.41</v>
      </c>
      <c r="C83" s="64">
        <v>28.4</v>
      </c>
      <c r="D83" s="64">
        <v>29.94</v>
      </c>
      <c r="E83" s="64">
        <v>7.27</v>
      </c>
      <c r="F83" s="64">
        <v>4.07</v>
      </c>
      <c r="G83" s="64">
        <v>126.08</v>
      </c>
      <c r="H83" s="64">
        <v>32.49</v>
      </c>
      <c r="I83" s="64">
        <v>3.6</v>
      </c>
      <c r="J83" s="64">
        <v>0.17</v>
      </c>
      <c r="K83" s="64">
        <v>335.52</v>
      </c>
      <c r="L83" s="64">
        <v>18.77</v>
      </c>
      <c r="M83" s="64">
        <v>67.08</v>
      </c>
      <c r="N83" s="64">
        <v>44.5</v>
      </c>
      <c r="O83" s="64">
        <v>0</v>
      </c>
      <c r="P83" s="64">
        <v>1.39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1" t="s">
        <v>1955</v>
      </c>
      <c r="B84" s="64">
        <v>21.21</v>
      </c>
      <c r="C84" s="64">
        <v>21.84</v>
      </c>
      <c r="D84" s="64">
        <v>27.96</v>
      </c>
      <c r="E84" s="64">
        <v>6.48</v>
      </c>
      <c r="F84" s="64">
        <v>3.26</v>
      </c>
      <c r="G84" s="64">
        <v>126.08</v>
      </c>
      <c r="H84" s="64">
        <v>32.49</v>
      </c>
      <c r="I84" s="64">
        <v>3.86</v>
      </c>
      <c r="J84" s="64">
        <v>0.28000000000000003</v>
      </c>
      <c r="K84" s="64">
        <v>352.09</v>
      </c>
      <c r="L84" s="64">
        <v>18.59</v>
      </c>
      <c r="M84" s="64">
        <v>71.77</v>
      </c>
      <c r="N84" s="64">
        <v>44.5</v>
      </c>
      <c r="O84" s="64">
        <v>0</v>
      </c>
      <c r="P84" s="64">
        <v>1.29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1" t="s">
        <v>1956</v>
      </c>
      <c r="B85" s="64">
        <v>28.96</v>
      </c>
      <c r="C85" s="64">
        <v>23.11</v>
      </c>
      <c r="D85" s="64">
        <v>34.840000000000003</v>
      </c>
      <c r="E85" s="64">
        <v>7.04</v>
      </c>
      <c r="F85" s="64">
        <v>2.8</v>
      </c>
      <c r="G85" s="64">
        <v>144.47</v>
      </c>
      <c r="H85" s="64">
        <v>40.9</v>
      </c>
      <c r="I85" s="64">
        <v>4.45</v>
      </c>
      <c r="J85" s="64">
        <v>0.16</v>
      </c>
      <c r="K85" s="64">
        <v>356.07</v>
      </c>
      <c r="L85" s="64">
        <v>18.45</v>
      </c>
      <c r="M85" s="64">
        <v>66.37</v>
      </c>
      <c r="N85" s="64">
        <v>44.6</v>
      </c>
      <c r="O85" s="64">
        <v>0</v>
      </c>
      <c r="P85" s="64">
        <v>1.34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1" t="s">
        <v>1957</v>
      </c>
      <c r="B86" s="64">
        <v>29.14</v>
      </c>
      <c r="C86" s="64">
        <v>20.14</v>
      </c>
      <c r="D86" s="64">
        <v>33.43</v>
      </c>
      <c r="E86" s="64">
        <v>6.42</v>
      </c>
      <c r="F86" s="64">
        <v>3.31</v>
      </c>
      <c r="G86" s="64">
        <v>150.41999999999999</v>
      </c>
      <c r="H86" s="64">
        <v>40.9</v>
      </c>
      <c r="I86" s="64">
        <v>5.03</v>
      </c>
      <c r="J86" s="64">
        <v>0.17</v>
      </c>
      <c r="K86" s="64">
        <v>92.26</v>
      </c>
      <c r="L86" s="64">
        <v>18.41</v>
      </c>
      <c r="M86" s="64">
        <v>64.319999999999993</v>
      </c>
      <c r="N86" s="64">
        <v>44.4</v>
      </c>
      <c r="O86" s="64">
        <v>0</v>
      </c>
      <c r="P86" s="64">
        <v>1.47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1" t="s">
        <v>1958</v>
      </c>
      <c r="B87" s="64">
        <v>29.89</v>
      </c>
      <c r="C87" s="64">
        <v>20.059999999999999</v>
      </c>
      <c r="D87" s="64">
        <v>33.99</v>
      </c>
      <c r="E87" s="64">
        <v>6.56</v>
      </c>
      <c r="F87" s="64">
        <v>3.73</v>
      </c>
      <c r="G87" s="64">
        <v>150.41999999999999</v>
      </c>
      <c r="H87" s="64">
        <v>40.9</v>
      </c>
      <c r="I87" s="64">
        <v>5.39</v>
      </c>
      <c r="J87" s="64">
        <v>0.25</v>
      </c>
      <c r="K87" s="64">
        <v>64.459999999999994</v>
      </c>
      <c r="L87" s="64">
        <v>18.97</v>
      </c>
      <c r="M87" s="64">
        <v>56.67</v>
      </c>
      <c r="N87" s="64">
        <v>44.3</v>
      </c>
      <c r="O87" s="64">
        <v>0</v>
      </c>
      <c r="P87" s="64">
        <v>1.6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1" t="s">
        <v>1959</v>
      </c>
      <c r="B88" s="64">
        <v>29.53</v>
      </c>
      <c r="C88" s="64">
        <v>20.82</v>
      </c>
      <c r="D88" s="64">
        <v>34.1</v>
      </c>
      <c r="E88" s="64">
        <v>6.5</v>
      </c>
      <c r="F88" s="64">
        <v>3.62</v>
      </c>
      <c r="G88" s="64">
        <v>150.41999999999999</v>
      </c>
      <c r="H88" s="64">
        <v>40.9</v>
      </c>
      <c r="I88" s="64">
        <v>5.73</v>
      </c>
      <c r="J88" s="64">
        <v>0.22</v>
      </c>
      <c r="K88" s="64">
        <v>76.5</v>
      </c>
      <c r="L88" s="64">
        <v>19.09</v>
      </c>
      <c r="M88" s="64">
        <v>54.8</v>
      </c>
      <c r="N88" s="64">
        <v>44.5</v>
      </c>
      <c r="O88" s="64">
        <v>0</v>
      </c>
      <c r="P88" s="64">
        <v>1.65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1" t="s">
        <v>1960</v>
      </c>
      <c r="B89" s="64">
        <v>29.31</v>
      </c>
      <c r="C89" s="64">
        <v>20.82</v>
      </c>
      <c r="D89" s="64">
        <v>33.93</v>
      </c>
      <c r="E89" s="64">
        <v>6.32</v>
      </c>
      <c r="F89" s="64">
        <v>3.21</v>
      </c>
      <c r="G89" s="64">
        <v>142.86000000000001</v>
      </c>
      <c r="H89" s="64">
        <v>43.15</v>
      </c>
      <c r="I89" s="64">
        <v>5.65</v>
      </c>
      <c r="J89" s="64">
        <v>0.08</v>
      </c>
      <c r="K89" s="64">
        <v>73.760000000000005</v>
      </c>
      <c r="L89" s="64">
        <v>18.82</v>
      </c>
      <c r="M89" s="64">
        <v>54.7</v>
      </c>
      <c r="N89" s="64">
        <v>44.4</v>
      </c>
      <c r="O89" s="64">
        <v>0</v>
      </c>
      <c r="P89" s="64">
        <v>1.7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1" t="s">
        <v>1961</v>
      </c>
      <c r="B90" s="64">
        <v>28.33</v>
      </c>
      <c r="C90" s="64">
        <v>21.66</v>
      </c>
      <c r="D90" s="64">
        <v>33.58</v>
      </c>
      <c r="E90" s="64">
        <v>5.84</v>
      </c>
      <c r="F90" s="64">
        <v>3.55</v>
      </c>
      <c r="G90" s="64">
        <v>140.41</v>
      </c>
      <c r="H90" s="64">
        <v>43.15</v>
      </c>
      <c r="I90" s="64">
        <v>5.56</v>
      </c>
      <c r="J90" s="64">
        <v>0.18</v>
      </c>
      <c r="K90" s="64">
        <v>9.85</v>
      </c>
      <c r="L90" s="64">
        <v>18.760000000000002</v>
      </c>
      <c r="M90" s="64">
        <v>54.74</v>
      </c>
      <c r="N90" s="64">
        <v>44.5</v>
      </c>
      <c r="O90" s="64">
        <v>0</v>
      </c>
      <c r="P90" s="64">
        <v>1.74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1" t="s">
        <v>1962</v>
      </c>
      <c r="B91" s="64">
        <v>30.39</v>
      </c>
      <c r="C91" s="64">
        <v>19.22</v>
      </c>
      <c r="D91" s="64">
        <v>33.950000000000003</v>
      </c>
      <c r="E91" s="64">
        <v>5.78</v>
      </c>
      <c r="F91" s="64">
        <v>3.18</v>
      </c>
      <c r="G91" s="64">
        <v>140.41</v>
      </c>
      <c r="H91" s="64">
        <v>43.15</v>
      </c>
      <c r="I91" s="64">
        <v>5.64</v>
      </c>
      <c r="J91" s="64">
        <v>0.18</v>
      </c>
      <c r="K91" s="64">
        <v>332.15</v>
      </c>
      <c r="L91" s="64">
        <v>18.37</v>
      </c>
      <c r="M91" s="64">
        <v>60.65</v>
      </c>
      <c r="N91" s="64">
        <v>44.7</v>
      </c>
      <c r="O91" s="64">
        <v>0</v>
      </c>
      <c r="P91" s="64">
        <v>1.78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1" t="s">
        <v>1963</v>
      </c>
      <c r="B92" s="64">
        <v>33.119999999999997</v>
      </c>
      <c r="C92" s="64">
        <v>17.36</v>
      </c>
      <c r="D92" s="64">
        <v>35.17</v>
      </c>
      <c r="E92" s="64">
        <v>5.91</v>
      </c>
      <c r="F92" s="64">
        <v>3.05</v>
      </c>
      <c r="G92" s="64">
        <v>140.41</v>
      </c>
      <c r="H92" s="64">
        <v>43.15</v>
      </c>
      <c r="I92" s="64">
        <v>6.08</v>
      </c>
      <c r="J92" s="64">
        <v>0.19</v>
      </c>
      <c r="K92" s="64">
        <v>276.83999999999997</v>
      </c>
      <c r="L92" s="64">
        <v>17.78</v>
      </c>
      <c r="M92" s="64">
        <v>65.97</v>
      </c>
      <c r="N92" s="64">
        <v>44.9</v>
      </c>
      <c r="O92" s="64">
        <v>0</v>
      </c>
      <c r="P92" s="64">
        <v>1.84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1" t="s">
        <v>1964</v>
      </c>
      <c r="B93" s="64">
        <v>38.28</v>
      </c>
      <c r="C93" s="64">
        <v>15.93</v>
      </c>
      <c r="D93" s="64">
        <v>38.56</v>
      </c>
      <c r="E93" s="64">
        <v>5.75</v>
      </c>
      <c r="F93" s="64">
        <v>3.22</v>
      </c>
      <c r="G93" s="64">
        <v>126.71</v>
      </c>
      <c r="H93" s="64">
        <v>49.23</v>
      </c>
      <c r="I93" s="64">
        <v>6.47</v>
      </c>
      <c r="J93" s="64">
        <v>0.2</v>
      </c>
      <c r="K93" s="64">
        <v>329.05</v>
      </c>
      <c r="L93" s="64">
        <v>17.27</v>
      </c>
      <c r="M93" s="64">
        <v>72.52</v>
      </c>
      <c r="N93" s="64">
        <v>44.7</v>
      </c>
      <c r="O93" s="64">
        <v>0</v>
      </c>
      <c r="P93" s="64">
        <v>1.94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1" t="s">
        <v>1965</v>
      </c>
      <c r="B94" s="64">
        <v>46.52</v>
      </c>
      <c r="C94" s="64">
        <v>13.35</v>
      </c>
      <c r="D94" s="64">
        <v>43.82</v>
      </c>
      <c r="E94" s="64">
        <v>5.77</v>
      </c>
      <c r="F94" s="64">
        <v>3.33</v>
      </c>
      <c r="G94" s="64">
        <v>122.28</v>
      </c>
      <c r="H94" s="64">
        <v>49.23</v>
      </c>
      <c r="I94" s="64">
        <v>6.22</v>
      </c>
      <c r="J94" s="64">
        <v>0.24</v>
      </c>
      <c r="K94" s="64">
        <v>276.49</v>
      </c>
      <c r="L94" s="64">
        <v>17.48</v>
      </c>
      <c r="M94" s="64">
        <v>71.88</v>
      </c>
      <c r="N94" s="64">
        <v>44.3</v>
      </c>
      <c r="O94" s="64">
        <v>0</v>
      </c>
      <c r="P94" s="64">
        <v>2.0699999999999998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1" t="s">
        <v>1966</v>
      </c>
      <c r="B95" s="64">
        <v>49.85</v>
      </c>
      <c r="C95" s="64">
        <v>10.56</v>
      </c>
      <c r="D95" s="64">
        <v>45.03</v>
      </c>
      <c r="E95" s="64">
        <v>5.69</v>
      </c>
      <c r="F95" s="64">
        <v>3.15</v>
      </c>
      <c r="G95" s="64">
        <v>122.28</v>
      </c>
      <c r="H95" s="64">
        <v>49.23</v>
      </c>
      <c r="I95" s="64">
        <v>6.08</v>
      </c>
      <c r="J95" s="64">
        <v>0.23</v>
      </c>
      <c r="K95" s="64">
        <v>340.74</v>
      </c>
      <c r="L95" s="64">
        <v>17.100000000000001</v>
      </c>
      <c r="M95" s="64">
        <v>74.98</v>
      </c>
      <c r="N95" s="64">
        <v>44.6</v>
      </c>
      <c r="O95" s="64">
        <v>0</v>
      </c>
      <c r="P95" s="64">
        <v>2.15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1" t="s">
        <v>1967</v>
      </c>
      <c r="B96" s="64">
        <v>51.59</v>
      </c>
      <c r="C96" s="64">
        <v>11.6</v>
      </c>
      <c r="D96" s="64">
        <v>46.98</v>
      </c>
      <c r="E96" s="64">
        <v>6.07</v>
      </c>
      <c r="F96" s="64">
        <v>3.21</v>
      </c>
      <c r="G96" s="64">
        <v>122.28</v>
      </c>
      <c r="H96" s="64">
        <v>49.23</v>
      </c>
      <c r="I96" s="64">
        <v>6.61</v>
      </c>
      <c r="J96" s="64">
        <v>0.11</v>
      </c>
      <c r="K96" s="64">
        <v>306.16000000000003</v>
      </c>
      <c r="L96" s="64">
        <v>16.84</v>
      </c>
      <c r="M96" s="64">
        <v>76.66</v>
      </c>
      <c r="N96" s="64">
        <v>44.4</v>
      </c>
      <c r="O96" s="64">
        <v>0</v>
      </c>
      <c r="P96" s="64">
        <v>2.2000000000000002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1968</v>
      </c>
      <c r="B97" s="64">
        <v>52.74</v>
      </c>
      <c r="C97" s="64">
        <v>10.82</v>
      </c>
      <c r="D97" s="64">
        <v>47.49</v>
      </c>
      <c r="E97" s="64">
        <v>5.96</v>
      </c>
      <c r="F97" s="64">
        <v>3.18</v>
      </c>
      <c r="G97" s="64">
        <v>117.37</v>
      </c>
      <c r="H97" s="64">
        <v>49.18</v>
      </c>
      <c r="I97" s="64">
        <v>6.61</v>
      </c>
      <c r="J97" s="64">
        <v>0.22</v>
      </c>
      <c r="K97" s="64">
        <v>326</v>
      </c>
      <c r="L97" s="64">
        <v>16.82</v>
      </c>
      <c r="M97" s="64">
        <v>76.319999999999993</v>
      </c>
      <c r="N97" s="64">
        <v>44.4</v>
      </c>
      <c r="O97" s="64">
        <v>0</v>
      </c>
      <c r="P97" s="64">
        <v>2.2400000000000002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1" t="s">
        <v>1969</v>
      </c>
      <c r="B98" s="64">
        <v>47.03</v>
      </c>
      <c r="C98" s="64">
        <v>16.14</v>
      </c>
      <c r="D98" s="64">
        <v>45.68</v>
      </c>
      <c r="E98" s="64">
        <v>6.3</v>
      </c>
      <c r="F98" s="64">
        <v>3.95</v>
      </c>
      <c r="G98" s="64">
        <v>115.78</v>
      </c>
      <c r="H98" s="64">
        <v>49.18</v>
      </c>
      <c r="I98" s="64">
        <v>6.79</v>
      </c>
      <c r="J98" s="64">
        <v>0.23</v>
      </c>
      <c r="K98" s="64">
        <v>310.66000000000003</v>
      </c>
      <c r="L98" s="64">
        <v>16.649999999999999</v>
      </c>
      <c r="M98" s="64">
        <v>71.87</v>
      </c>
      <c r="N98" s="64">
        <v>44.2</v>
      </c>
      <c r="O98" s="64">
        <v>0</v>
      </c>
      <c r="P98" s="64">
        <v>2.1800000000000002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1" t="s">
        <v>1970</v>
      </c>
      <c r="B99" s="64">
        <v>53.34</v>
      </c>
      <c r="C99" s="64">
        <v>9.36</v>
      </c>
      <c r="D99" s="64">
        <v>47.2</v>
      </c>
      <c r="E99" s="64">
        <v>6.09</v>
      </c>
      <c r="F99" s="64">
        <v>3.59</v>
      </c>
      <c r="G99" s="64">
        <v>115.78</v>
      </c>
      <c r="H99" s="64">
        <v>49.18</v>
      </c>
      <c r="I99" s="64">
        <v>6.71</v>
      </c>
      <c r="J99" s="64">
        <v>0.21</v>
      </c>
      <c r="K99" s="64">
        <v>312.8</v>
      </c>
      <c r="L99" s="64">
        <v>16.75</v>
      </c>
      <c r="M99" s="64">
        <v>73.430000000000007</v>
      </c>
      <c r="N99" s="64">
        <v>44.4</v>
      </c>
      <c r="O99" s="64">
        <v>0</v>
      </c>
      <c r="P99" s="64">
        <v>2.2599999999999998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11" t="s">
        <v>1971</v>
      </c>
      <c r="B100" s="64">
        <v>48.41</v>
      </c>
      <c r="C100" s="64">
        <v>14.15</v>
      </c>
      <c r="D100" s="64">
        <v>45.75</v>
      </c>
      <c r="E100" s="64">
        <v>6.24</v>
      </c>
      <c r="F100" s="64">
        <v>3.67</v>
      </c>
      <c r="G100" s="64">
        <v>115.78</v>
      </c>
      <c r="H100" s="64">
        <v>49.18</v>
      </c>
      <c r="I100" s="64">
        <v>6.39</v>
      </c>
      <c r="J100" s="64">
        <v>0.1</v>
      </c>
      <c r="K100" s="64">
        <v>264.31</v>
      </c>
      <c r="L100" s="64">
        <v>16.87</v>
      </c>
      <c r="M100" s="64">
        <v>68.959999999999994</v>
      </c>
      <c r="N100" s="64">
        <v>44.3</v>
      </c>
      <c r="O100" s="64">
        <v>0</v>
      </c>
      <c r="P100" s="64">
        <v>2.1800000000000002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1972</v>
      </c>
      <c r="B101" s="64">
        <v>52.55</v>
      </c>
      <c r="C101" s="64">
        <v>7.57</v>
      </c>
      <c r="D101" s="64">
        <v>45.64</v>
      </c>
      <c r="E101" s="64">
        <v>5.88</v>
      </c>
      <c r="F101" s="64">
        <v>3.64</v>
      </c>
      <c r="G101" s="64">
        <v>97.51</v>
      </c>
      <c r="H101" s="64">
        <v>43.5</v>
      </c>
      <c r="I101" s="64">
        <v>6.79</v>
      </c>
      <c r="J101" s="64">
        <v>0.24</v>
      </c>
      <c r="K101" s="64">
        <v>281.66000000000003</v>
      </c>
      <c r="L101" s="64">
        <v>16.690000000000001</v>
      </c>
      <c r="M101" s="64">
        <v>70.83</v>
      </c>
      <c r="N101" s="64">
        <v>44.4</v>
      </c>
      <c r="O101" s="64">
        <v>0</v>
      </c>
      <c r="P101" s="64">
        <v>2.23</v>
      </c>
      <c r="Q101" s="64">
        <v>9.7200000000000006</v>
      </c>
      <c r="R101" s="198"/>
      <c r="S101" s="198"/>
      <c r="T101" s="198"/>
      <c r="U101" s="198"/>
    </row>
    <row r="102" spans="1:33" s="12" customFormat="1" x14ac:dyDescent="0.25">
      <c r="A102" s="211" t="s">
        <v>1973</v>
      </c>
      <c r="B102" s="64">
        <v>52.1</v>
      </c>
      <c r="C102" s="64">
        <v>7.45</v>
      </c>
      <c r="D102" s="64">
        <v>45.21</v>
      </c>
      <c r="E102" s="64">
        <v>6.12</v>
      </c>
      <c r="F102" s="64">
        <v>3.31</v>
      </c>
      <c r="G102" s="64">
        <v>91.6</v>
      </c>
      <c r="H102" s="64">
        <v>43.5</v>
      </c>
      <c r="I102" s="64">
        <v>6.63</v>
      </c>
      <c r="J102" s="64">
        <v>0.16</v>
      </c>
      <c r="K102" s="64">
        <v>274.75</v>
      </c>
      <c r="L102" s="64">
        <v>16.600000000000001</v>
      </c>
      <c r="M102" s="64">
        <v>70.75</v>
      </c>
      <c r="N102" s="64">
        <v>44.4</v>
      </c>
      <c r="O102" s="64">
        <v>0</v>
      </c>
      <c r="P102" s="64">
        <v>2.16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1" t="s">
        <v>1974</v>
      </c>
      <c r="B103" s="64">
        <v>50.67</v>
      </c>
      <c r="C103" s="64">
        <v>7.68</v>
      </c>
      <c r="D103" s="64">
        <v>44.19</v>
      </c>
      <c r="E103" s="64">
        <v>5.92</v>
      </c>
      <c r="F103" s="64">
        <v>3.26</v>
      </c>
      <c r="G103" s="64">
        <v>91.6</v>
      </c>
      <c r="H103" s="64">
        <v>43.5</v>
      </c>
      <c r="I103" s="64">
        <v>6.22</v>
      </c>
      <c r="J103" s="64">
        <v>0.2</v>
      </c>
      <c r="K103" s="64">
        <v>307.55</v>
      </c>
      <c r="L103" s="64">
        <v>16.39</v>
      </c>
      <c r="M103" s="64">
        <v>74.8</v>
      </c>
      <c r="N103" s="64">
        <v>44.6</v>
      </c>
      <c r="O103" s="64">
        <v>0</v>
      </c>
      <c r="P103" s="64">
        <v>2.09</v>
      </c>
      <c r="Q103" s="64">
        <v>9.6999999999999993</v>
      </c>
      <c r="R103" s="198"/>
      <c r="S103" s="198"/>
      <c r="T103" s="198"/>
      <c r="U103" s="198"/>
    </row>
    <row r="104" spans="1:33" s="12" customFormat="1" x14ac:dyDescent="0.25">
      <c r="A104" s="211" t="s">
        <v>1975</v>
      </c>
      <c r="B104" s="64">
        <v>49.85</v>
      </c>
      <c r="C104" s="64">
        <v>7.93</v>
      </c>
      <c r="D104" s="64">
        <v>43.66</v>
      </c>
      <c r="E104" s="64">
        <v>5.04</v>
      </c>
      <c r="F104" s="64">
        <v>3.17</v>
      </c>
      <c r="G104" s="64">
        <v>91.6</v>
      </c>
      <c r="H104" s="64">
        <v>43.5</v>
      </c>
      <c r="I104" s="64">
        <v>6.09</v>
      </c>
      <c r="J104" s="64">
        <v>0.15</v>
      </c>
      <c r="K104" s="64">
        <v>273.2</v>
      </c>
      <c r="L104" s="64">
        <v>16.03</v>
      </c>
      <c r="M104" s="64">
        <v>78.23</v>
      </c>
      <c r="N104" s="64">
        <v>44.7</v>
      </c>
      <c r="O104" s="64">
        <v>0</v>
      </c>
      <c r="P104" s="64">
        <v>2.04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2.62</v>
      </c>
      <c r="C106" s="67">
        <f>MIN(C9:C104)</f>
        <v>7.45</v>
      </c>
      <c r="D106" s="67">
        <f t="shared" ref="D106:Q106" si="0">MIN(D9:D104)</f>
        <v>14.96</v>
      </c>
      <c r="E106" s="67">
        <f t="shared" si="0"/>
        <v>4.63</v>
      </c>
      <c r="F106" s="67">
        <f t="shared" si="0"/>
        <v>2.8</v>
      </c>
      <c r="G106" s="67">
        <f t="shared" si="0"/>
        <v>25.16</v>
      </c>
      <c r="H106" s="67">
        <f t="shared" si="0"/>
        <v>18.559999999999999</v>
      </c>
      <c r="I106" s="67">
        <f t="shared" si="0"/>
        <v>2.89</v>
      </c>
      <c r="J106" s="67">
        <f t="shared" si="0"/>
        <v>0.06</v>
      </c>
      <c r="K106" s="67">
        <f t="shared" si="0"/>
        <v>6.96</v>
      </c>
      <c r="L106" s="67">
        <f t="shared" si="0"/>
        <v>13.59</v>
      </c>
      <c r="M106" s="67">
        <f t="shared" si="0"/>
        <v>23.97</v>
      </c>
      <c r="N106" s="67">
        <f t="shared" si="0"/>
        <v>42.2</v>
      </c>
      <c r="O106" s="67">
        <f t="shared" si="0"/>
        <v>0</v>
      </c>
      <c r="P106" s="67">
        <f t="shared" si="0"/>
        <v>0.62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53.34</v>
      </c>
      <c r="C107" s="66">
        <f t="shared" ref="C107:Q107" si="1">MAX(C9:C104)</f>
        <v>38.76</v>
      </c>
      <c r="D107" s="66">
        <f t="shared" si="1"/>
        <v>47.49</v>
      </c>
      <c r="E107" s="66">
        <f t="shared" si="1"/>
        <v>18.47</v>
      </c>
      <c r="F107" s="66">
        <f t="shared" si="1"/>
        <v>22.86</v>
      </c>
      <c r="G107" s="66">
        <f t="shared" si="1"/>
        <v>150.41999999999999</v>
      </c>
      <c r="H107" s="66">
        <f t="shared" si="1"/>
        <v>49.23</v>
      </c>
      <c r="I107" s="66">
        <f t="shared" si="1"/>
        <v>6.79</v>
      </c>
      <c r="J107" s="66">
        <f t="shared" si="1"/>
        <v>1.28</v>
      </c>
      <c r="K107" s="66">
        <f t="shared" si="1"/>
        <v>359.7</v>
      </c>
      <c r="L107" s="66">
        <f t="shared" si="1"/>
        <v>28.48</v>
      </c>
      <c r="M107" s="66">
        <f t="shared" si="1"/>
        <v>90.38</v>
      </c>
      <c r="N107" s="66">
        <f t="shared" si="1"/>
        <v>684.6</v>
      </c>
      <c r="O107" s="66">
        <f t="shared" si="1"/>
        <v>0</v>
      </c>
      <c r="P107" s="66">
        <f t="shared" si="1"/>
        <v>2.2599999999999998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17.264270833333327</v>
      </c>
      <c r="C108" s="67">
        <f t="shared" ref="C108:Q108" si="2">AVERAGE(C9:C104)</f>
        <v>22.647291666666661</v>
      </c>
      <c r="D108" s="67">
        <f t="shared" si="2"/>
        <v>25.214791666666656</v>
      </c>
      <c r="E108" s="67">
        <f t="shared" si="2"/>
        <v>7.1178124999999994</v>
      </c>
      <c r="F108" s="67">
        <f t="shared" si="2"/>
        <v>5.5177083333333323</v>
      </c>
      <c r="G108" s="67">
        <f t="shared" si="2"/>
        <v>85.930760869565276</v>
      </c>
      <c r="H108" s="67">
        <f t="shared" si="2"/>
        <v>34.606956521739122</v>
      </c>
      <c r="I108" s="67">
        <f t="shared" si="2"/>
        <v>4.2519791666666684</v>
      </c>
      <c r="J108" s="67">
        <f t="shared" si="2"/>
        <v>0.3136458333333334</v>
      </c>
      <c r="K108" s="67">
        <f t="shared" si="2"/>
        <v>204.28500000000008</v>
      </c>
      <c r="L108" s="67">
        <f t="shared" si="2"/>
        <v>19.732812499999994</v>
      </c>
      <c r="M108" s="67">
        <f t="shared" si="2"/>
        <v>58.441979166666677</v>
      </c>
      <c r="N108" s="67">
        <f t="shared" si="2"/>
        <v>186.89062500000014</v>
      </c>
      <c r="O108" s="67">
        <f t="shared" si="2"/>
        <v>0</v>
      </c>
      <c r="P108" s="67">
        <f t="shared" si="2"/>
        <v>1.2205208333333333</v>
      </c>
      <c r="Q108" s="67">
        <f t="shared" si="2"/>
        <v>9.5364583333333357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14.798693238525583</v>
      </c>
      <c r="C109" s="67">
        <f t="shared" ref="C109:Q109" si="3">STDEV(C9:C104)</f>
        <v>6.2337786933966397</v>
      </c>
      <c r="D109" s="67">
        <f t="shared" si="3"/>
        <v>9.9193008008222741</v>
      </c>
      <c r="E109" s="67">
        <f t="shared" si="3"/>
        <v>2.8552228056207531</v>
      </c>
      <c r="F109" s="67">
        <f t="shared" si="3"/>
        <v>4.286416360935819</v>
      </c>
      <c r="G109" s="67">
        <f t="shared" si="3"/>
        <v>30.914064839635788</v>
      </c>
      <c r="H109" s="67">
        <f t="shared" si="3"/>
        <v>8.517051512091939</v>
      </c>
      <c r="I109" s="67">
        <f t="shared" si="3"/>
        <v>1.1030385017774726</v>
      </c>
      <c r="J109" s="67">
        <f t="shared" si="3"/>
        <v>0.24811338575937916</v>
      </c>
      <c r="K109" s="67">
        <f t="shared" si="3"/>
        <v>121.39860328685819</v>
      </c>
      <c r="L109" s="67">
        <f t="shared" si="3"/>
        <v>4.7743921526862101</v>
      </c>
      <c r="M109" s="67">
        <f t="shared" si="3"/>
        <v>22.742688014984733</v>
      </c>
      <c r="N109" s="67">
        <f t="shared" si="3"/>
        <v>224.46591258180871</v>
      </c>
      <c r="O109" s="67">
        <f t="shared" si="3"/>
        <v>0</v>
      </c>
      <c r="P109" s="67">
        <f t="shared" si="3"/>
        <v>0.45777578927419688</v>
      </c>
      <c r="Q109" s="67">
        <f t="shared" si="3"/>
        <v>0.12876726591773954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20" sqref="F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1976</v>
      </c>
      <c r="B9" s="64">
        <v>48.93</v>
      </c>
      <c r="C9" s="64">
        <v>8.3000000000000007</v>
      </c>
      <c r="D9" s="64">
        <v>43.11</v>
      </c>
      <c r="E9" s="64">
        <v>5.39</v>
      </c>
      <c r="F9" s="64">
        <v>3.21</v>
      </c>
      <c r="G9" s="64">
        <v>83.41</v>
      </c>
      <c r="H9" s="64">
        <v>36.65</v>
      </c>
      <c r="I9" s="64">
        <v>6.02</v>
      </c>
      <c r="J9" s="64">
        <v>0.23</v>
      </c>
      <c r="K9" s="64">
        <v>285.77999999999997</v>
      </c>
      <c r="L9" s="64">
        <v>15.84</v>
      </c>
      <c r="M9" s="64">
        <v>79.39</v>
      </c>
      <c r="N9" s="64">
        <v>44.5</v>
      </c>
      <c r="O9" s="64">
        <v>0</v>
      </c>
      <c r="P9" s="64">
        <v>2.0099999999999998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1" t="s">
        <v>1977</v>
      </c>
      <c r="B10" s="64">
        <v>47.61</v>
      </c>
      <c r="C10" s="64">
        <v>8.67</v>
      </c>
      <c r="D10" s="64">
        <v>42.24</v>
      </c>
      <c r="E10" s="64">
        <v>5.26</v>
      </c>
      <c r="F10" s="64">
        <v>3.13</v>
      </c>
      <c r="G10" s="64">
        <v>80.760000000000005</v>
      </c>
      <c r="H10" s="64">
        <v>36.65</v>
      </c>
      <c r="I10" s="64">
        <v>5.98</v>
      </c>
      <c r="J10" s="64">
        <v>0.25</v>
      </c>
      <c r="K10" s="64">
        <v>282.82</v>
      </c>
      <c r="L10" s="64">
        <v>15.82</v>
      </c>
      <c r="M10" s="64">
        <v>78.17</v>
      </c>
      <c r="N10" s="64">
        <v>44.3</v>
      </c>
      <c r="O10" s="64">
        <v>0</v>
      </c>
      <c r="P10" s="64">
        <v>1.97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1" t="s">
        <v>1978</v>
      </c>
      <c r="B11" s="64">
        <v>46.01</v>
      </c>
      <c r="C11" s="64">
        <v>9.16</v>
      </c>
      <c r="D11" s="64">
        <v>41.22</v>
      </c>
      <c r="E11" s="64">
        <v>5.27</v>
      </c>
      <c r="F11" s="64">
        <v>3.33</v>
      </c>
      <c r="G11" s="64">
        <v>80.760000000000005</v>
      </c>
      <c r="H11" s="64">
        <v>36.65</v>
      </c>
      <c r="I11" s="64">
        <v>5.9</v>
      </c>
      <c r="J11" s="64">
        <v>0.12</v>
      </c>
      <c r="K11" s="64">
        <v>319.61</v>
      </c>
      <c r="L11" s="64">
        <v>15.58</v>
      </c>
      <c r="M11" s="64">
        <v>79.239999999999995</v>
      </c>
      <c r="N11" s="64">
        <v>44.7</v>
      </c>
      <c r="O11" s="64">
        <v>0</v>
      </c>
      <c r="P11" s="64">
        <v>1.92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1" t="s">
        <v>1979</v>
      </c>
      <c r="B12" s="64">
        <v>44.18</v>
      </c>
      <c r="C12" s="64">
        <v>9.7799999999999994</v>
      </c>
      <c r="D12" s="64">
        <v>40.08</v>
      </c>
      <c r="E12" s="64">
        <v>5.42</v>
      </c>
      <c r="F12" s="64">
        <v>3.02</v>
      </c>
      <c r="G12" s="64">
        <v>80.760000000000005</v>
      </c>
      <c r="H12" s="64">
        <v>36.65</v>
      </c>
      <c r="I12" s="64">
        <v>6.18</v>
      </c>
      <c r="J12" s="64">
        <v>7.0000000000000007E-2</v>
      </c>
      <c r="K12" s="64">
        <v>231.89</v>
      </c>
      <c r="L12" s="64">
        <v>15.4</v>
      </c>
      <c r="M12" s="64">
        <v>80.739999999999995</v>
      </c>
      <c r="N12" s="64">
        <v>44.4</v>
      </c>
      <c r="O12" s="64">
        <v>0</v>
      </c>
      <c r="P12" s="64">
        <v>1.87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1" t="s">
        <v>1980</v>
      </c>
      <c r="B13" s="64">
        <v>42.19</v>
      </c>
      <c r="C13" s="64">
        <v>10.4</v>
      </c>
      <c r="D13" s="64">
        <v>38.799999999999997</v>
      </c>
      <c r="E13" s="64">
        <v>5.0999999999999996</v>
      </c>
      <c r="F13" s="64">
        <v>2.97</v>
      </c>
      <c r="G13" s="64">
        <v>78.040000000000006</v>
      </c>
      <c r="H13" s="64">
        <v>36.57</v>
      </c>
      <c r="I13" s="64">
        <v>5.99</v>
      </c>
      <c r="J13" s="64">
        <v>0.19</v>
      </c>
      <c r="K13" s="64">
        <v>243.41</v>
      </c>
      <c r="L13" s="64">
        <v>15.25</v>
      </c>
      <c r="M13" s="64">
        <v>82.17</v>
      </c>
      <c r="N13" s="64">
        <v>44.6</v>
      </c>
      <c r="O13" s="64">
        <v>0</v>
      </c>
      <c r="P13" s="64">
        <v>1.76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1" t="s">
        <v>1981</v>
      </c>
      <c r="B14" s="64">
        <v>40.28</v>
      </c>
      <c r="C14" s="64">
        <v>10.97</v>
      </c>
      <c r="D14" s="64">
        <v>37.57</v>
      </c>
      <c r="E14" s="64">
        <v>4.9000000000000004</v>
      </c>
      <c r="F14" s="64">
        <v>3</v>
      </c>
      <c r="G14" s="64">
        <v>77.16</v>
      </c>
      <c r="H14" s="64">
        <v>36.57</v>
      </c>
      <c r="I14" s="64">
        <v>5.62</v>
      </c>
      <c r="J14" s="64">
        <v>0.21</v>
      </c>
      <c r="K14" s="64">
        <v>322.93</v>
      </c>
      <c r="L14" s="64">
        <v>14.88</v>
      </c>
      <c r="M14" s="64">
        <v>84.89</v>
      </c>
      <c r="N14" s="64">
        <v>44.7</v>
      </c>
      <c r="O14" s="64">
        <v>0</v>
      </c>
      <c r="P14" s="64">
        <v>1.77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1" t="s">
        <v>1982</v>
      </c>
      <c r="B15" s="64">
        <v>38.57</v>
      </c>
      <c r="C15" s="64">
        <v>11.31</v>
      </c>
      <c r="D15" s="64">
        <v>36.380000000000003</v>
      </c>
      <c r="E15" s="64">
        <v>5.0999999999999996</v>
      </c>
      <c r="F15" s="64">
        <v>3.01</v>
      </c>
      <c r="G15" s="64">
        <v>77.16</v>
      </c>
      <c r="H15" s="64">
        <v>36.57</v>
      </c>
      <c r="I15" s="64">
        <v>5.48</v>
      </c>
      <c r="J15" s="64">
        <v>0.2</v>
      </c>
      <c r="K15" s="64">
        <v>299.16000000000003</v>
      </c>
      <c r="L15" s="64">
        <v>14.63</v>
      </c>
      <c r="M15" s="64">
        <v>89.77</v>
      </c>
      <c r="N15" s="64">
        <v>44.5</v>
      </c>
      <c r="O15" s="64">
        <v>0</v>
      </c>
      <c r="P15" s="64">
        <v>1.72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1" t="s">
        <v>1983</v>
      </c>
      <c r="B16" s="64">
        <v>37.19</v>
      </c>
      <c r="C16" s="64">
        <v>11.69</v>
      </c>
      <c r="D16" s="64">
        <v>35.47</v>
      </c>
      <c r="E16" s="64">
        <v>4.57</v>
      </c>
      <c r="F16" s="64">
        <v>3.31</v>
      </c>
      <c r="G16" s="64">
        <v>77.16</v>
      </c>
      <c r="H16" s="64">
        <v>36.57</v>
      </c>
      <c r="I16" s="64">
        <v>5.36</v>
      </c>
      <c r="J16" s="64">
        <v>0.08</v>
      </c>
      <c r="K16" s="64">
        <v>194.27</v>
      </c>
      <c r="L16" s="64">
        <v>14.62</v>
      </c>
      <c r="M16" s="64">
        <v>93.5</v>
      </c>
      <c r="N16" s="64">
        <v>44.5</v>
      </c>
      <c r="O16" s="64">
        <v>0</v>
      </c>
      <c r="P16" s="64">
        <v>1.7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1" t="s">
        <v>1984</v>
      </c>
      <c r="B17" s="64">
        <v>36.049999999999997</v>
      </c>
      <c r="C17" s="64">
        <v>12.07</v>
      </c>
      <c r="D17" s="64">
        <v>34.75</v>
      </c>
      <c r="E17" s="64">
        <v>4.9400000000000004</v>
      </c>
      <c r="F17" s="64">
        <v>2.97</v>
      </c>
      <c r="G17" s="64">
        <v>86.51</v>
      </c>
      <c r="H17" s="64">
        <v>33.85</v>
      </c>
      <c r="I17" s="64">
        <v>5.64</v>
      </c>
      <c r="J17" s="64">
        <v>0.09</v>
      </c>
      <c r="K17" s="64">
        <v>241.62</v>
      </c>
      <c r="L17" s="64">
        <v>14.64</v>
      </c>
      <c r="M17" s="64">
        <v>96.5</v>
      </c>
      <c r="N17" s="64">
        <v>44.2</v>
      </c>
      <c r="O17" s="64">
        <v>0</v>
      </c>
      <c r="P17" s="64">
        <v>1.7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1" t="s">
        <v>1985</v>
      </c>
      <c r="B18" s="64">
        <v>35.299999999999997</v>
      </c>
      <c r="C18" s="64">
        <v>11.93</v>
      </c>
      <c r="D18" s="64">
        <v>34.08</v>
      </c>
      <c r="E18" s="64">
        <v>5.05</v>
      </c>
      <c r="F18" s="64">
        <v>3.11</v>
      </c>
      <c r="G18" s="64">
        <v>89.53</v>
      </c>
      <c r="H18" s="64">
        <v>33.85</v>
      </c>
      <c r="I18" s="64">
        <v>5.49</v>
      </c>
      <c r="J18" s="64">
        <v>0.15</v>
      </c>
      <c r="K18" s="64">
        <v>114.21</v>
      </c>
      <c r="L18" s="64">
        <v>14.42</v>
      </c>
      <c r="M18" s="64">
        <v>96.53</v>
      </c>
      <c r="N18" s="64">
        <v>44.4</v>
      </c>
      <c r="O18" s="64">
        <v>0</v>
      </c>
      <c r="P18" s="64">
        <v>1.69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1" t="s">
        <v>1986</v>
      </c>
      <c r="B19" s="64">
        <v>34.54</v>
      </c>
      <c r="C19" s="64">
        <v>11.63</v>
      </c>
      <c r="D19" s="64">
        <v>33.31</v>
      </c>
      <c r="E19" s="64">
        <v>4.9400000000000004</v>
      </c>
      <c r="F19" s="64">
        <v>3</v>
      </c>
      <c r="G19" s="64">
        <v>89.53</v>
      </c>
      <c r="H19" s="64">
        <v>33.85</v>
      </c>
      <c r="I19" s="64">
        <v>5.21</v>
      </c>
      <c r="J19" s="64">
        <v>0.11</v>
      </c>
      <c r="K19" s="64">
        <v>314.05</v>
      </c>
      <c r="L19" s="64">
        <v>14.25</v>
      </c>
      <c r="M19" s="64">
        <v>96.53</v>
      </c>
      <c r="N19" s="64">
        <v>44.5</v>
      </c>
      <c r="O19" s="64">
        <v>0</v>
      </c>
      <c r="P19" s="64">
        <v>1.67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1" t="s">
        <v>1987</v>
      </c>
      <c r="B20" s="64">
        <v>33.58</v>
      </c>
      <c r="C20" s="64">
        <v>11.7</v>
      </c>
      <c r="D20" s="64">
        <v>32.58</v>
      </c>
      <c r="E20" s="64">
        <v>5.33</v>
      </c>
      <c r="F20" s="64">
        <v>3</v>
      </c>
      <c r="G20" s="64">
        <v>89.53</v>
      </c>
      <c r="H20" s="64">
        <v>33.85</v>
      </c>
      <c r="I20" s="64">
        <v>5.18</v>
      </c>
      <c r="J20" s="64">
        <v>0.09</v>
      </c>
      <c r="K20" s="64">
        <v>250.2</v>
      </c>
      <c r="L20" s="64">
        <v>14.05</v>
      </c>
      <c r="M20" s="64">
        <v>96.56</v>
      </c>
      <c r="N20" s="64">
        <v>44.3</v>
      </c>
      <c r="O20" s="64">
        <v>0</v>
      </c>
      <c r="P20" s="64">
        <v>1.66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1" t="s">
        <v>1988</v>
      </c>
      <c r="B21" s="64">
        <v>32.94</v>
      </c>
      <c r="C21" s="64">
        <v>11.66</v>
      </c>
      <c r="D21" s="64">
        <v>32.049999999999997</v>
      </c>
      <c r="E21" s="64">
        <v>5.1100000000000003</v>
      </c>
      <c r="F21" s="64">
        <v>3.02</v>
      </c>
      <c r="G21" s="64">
        <v>102.01</v>
      </c>
      <c r="H21" s="64">
        <v>38.67</v>
      </c>
      <c r="I21" s="64">
        <v>5.5</v>
      </c>
      <c r="J21" s="64">
        <v>0.1</v>
      </c>
      <c r="K21" s="64">
        <v>24.48</v>
      </c>
      <c r="L21" s="64">
        <v>13.93</v>
      </c>
      <c r="M21" s="64">
        <v>96.56</v>
      </c>
      <c r="N21" s="64">
        <v>44.4</v>
      </c>
      <c r="O21" s="64">
        <v>0</v>
      </c>
      <c r="P21" s="64">
        <v>1.64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1" t="s">
        <v>1989</v>
      </c>
      <c r="B22" s="64">
        <v>32.82</v>
      </c>
      <c r="C22" s="64">
        <v>11.25</v>
      </c>
      <c r="D22" s="64">
        <v>31.74</v>
      </c>
      <c r="E22" s="64">
        <v>5.4</v>
      </c>
      <c r="F22" s="64">
        <v>3.29</v>
      </c>
      <c r="G22" s="64">
        <v>106.05</v>
      </c>
      <c r="H22" s="64">
        <v>38.67</v>
      </c>
      <c r="I22" s="64">
        <v>5.74</v>
      </c>
      <c r="J22" s="64">
        <v>0.14000000000000001</v>
      </c>
      <c r="K22" s="64">
        <v>306.95999999999998</v>
      </c>
      <c r="L22" s="64">
        <v>13.8</v>
      </c>
      <c r="M22" s="64">
        <v>96.59</v>
      </c>
      <c r="N22" s="64">
        <v>44.3</v>
      </c>
      <c r="O22" s="64">
        <v>0</v>
      </c>
      <c r="P22" s="64">
        <v>1.63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1" t="s">
        <v>1990</v>
      </c>
      <c r="B23" s="64">
        <v>33.369999999999997</v>
      </c>
      <c r="C23" s="64">
        <v>9.98</v>
      </c>
      <c r="D23" s="64">
        <v>31.51</v>
      </c>
      <c r="E23" s="64">
        <v>5.03</v>
      </c>
      <c r="F23" s="64">
        <v>3.26</v>
      </c>
      <c r="G23" s="64">
        <v>106.05</v>
      </c>
      <c r="H23" s="64">
        <v>38.67</v>
      </c>
      <c r="I23" s="64">
        <v>5.72</v>
      </c>
      <c r="J23" s="64">
        <v>0.06</v>
      </c>
      <c r="K23" s="64">
        <v>0.56999999999999995</v>
      </c>
      <c r="L23" s="64">
        <v>13.79</v>
      </c>
      <c r="M23" s="64">
        <v>96.62</v>
      </c>
      <c r="N23" s="64">
        <v>44.2</v>
      </c>
      <c r="O23" s="64">
        <v>0</v>
      </c>
      <c r="P23" s="64">
        <v>1.58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1" t="s">
        <v>1991</v>
      </c>
      <c r="B24" s="64">
        <v>34.08</v>
      </c>
      <c r="C24" s="64">
        <v>9.17</v>
      </c>
      <c r="D24" s="64">
        <v>31.66</v>
      </c>
      <c r="E24" s="64">
        <v>4.88</v>
      </c>
      <c r="F24" s="64">
        <v>3.2</v>
      </c>
      <c r="G24" s="64">
        <v>106.05</v>
      </c>
      <c r="H24" s="64">
        <v>38.67</v>
      </c>
      <c r="I24" s="64">
        <v>5.37</v>
      </c>
      <c r="J24" s="64">
        <v>0.12</v>
      </c>
      <c r="K24" s="64">
        <v>232.66</v>
      </c>
      <c r="L24" s="64">
        <v>13.84</v>
      </c>
      <c r="M24" s="64">
        <v>96.62</v>
      </c>
      <c r="N24" s="64">
        <v>44.1</v>
      </c>
      <c r="O24" s="64">
        <v>0</v>
      </c>
      <c r="P24" s="64">
        <v>1.54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1" t="s">
        <v>1992</v>
      </c>
      <c r="B25" s="64">
        <v>34.840000000000003</v>
      </c>
      <c r="C25" s="64">
        <v>8.59</v>
      </c>
      <c r="D25" s="64">
        <v>31.97</v>
      </c>
      <c r="E25" s="64">
        <v>5.0999999999999996</v>
      </c>
      <c r="F25" s="64">
        <v>3.14</v>
      </c>
      <c r="G25" s="64">
        <v>99.56</v>
      </c>
      <c r="H25" s="64">
        <v>40.08</v>
      </c>
      <c r="I25" s="64">
        <v>5.13</v>
      </c>
      <c r="J25" s="64">
        <v>0.24</v>
      </c>
      <c r="K25" s="64">
        <v>228.99</v>
      </c>
      <c r="L25" s="64">
        <v>13.77</v>
      </c>
      <c r="M25" s="64">
        <v>96.63</v>
      </c>
      <c r="N25" s="64">
        <v>44.1</v>
      </c>
      <c r="O25" s="64">
        <v>0</v>
      </c>
      <c r="P25" s="64">
        <v>1.49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1" t="s">
        <v>1993</v>
      </c>
      <c r="B26" s="64">
        <v>35.92</v>
      </c>
      <c r="C26" s="64">
        <v>8</v>
      </c>
      <c r="D26" s="64">
        <v>32.520000000000003</v>
      </c>
      <c r="E26" s="64">
        <v>5.22</v>
      </c>
      <c r="F26" s="64">
        <v>3.26</v>
      </c>
      <c r="G26" s="64">
        <v>97.45</v>
      </c>
      <c r="H26" s="64">
        <v>40.08</v>
      </c>
      <c r="I26" s="64">
        <v>5.51</v>
      </c>
      <c r="J26" s="64">
        <v>0.23</v>
      </c>
      <c r="K26" s="64">
        <v>221.75</v>
      </c>
      <c r="L26" s="64">
        <v>13.89</v>
      </c>
      <c r="M26" s="64">
        <v>96.6</v>
      </c>
      <c r="N26" s="64">
        <v>44.2</v>
      </c>
      <c r="O26" s="64">
        <v>0</v>
      </c>
      <c r="P26" s="64">
        <v>1.47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1" t="s">
        <v>1994</v>
      </c>
      <c r="B27" s="64">
        <v>36.36</v>
      </c>
      <c r="C27" s="64">
        <v>7.66</v>
      </c>
      <c r="D27" s="64">
        <v>32.700000000000003</v>
      </c>
      <c r="E27" s="64">
        <v>4.84</v>
      </c>
      <c r="F27" s="64">
        <v>3.5</v>
      </c>
      <c r="G27" s="64">
        <v>97.45</v>
      </c>
      <c r="H27" s="64">
        <v>40.08</v>
      </c>
      <c r="I27" s="64">
        <v>5.43</v>
      </c>
      <c r="J27" s="64">
        <v>0.31</v>
      </c>
      <c r="K27" s="64">
        <v>224.23</v>
      </c>
      <c r="L27" s="64">
        <v>13.53</v>
      </c>
      <c r="M27" s="64">
        <v>96.63</v>
      </c>
      <c r="N27" s="64">
        <v>44.2</v>
      </c>
      <c r="O27" s="64">
        <v>0</v>
      </c>
      <c r="P27" s="64">
        <v>1.45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1" t="s">
        <v>1995</v>
      </c>
      <c r="B28" s="64">
        <v>36.31</v>
      </c>
      <c r="C28" s="64">
        <v>7.47</v>
      </c>
      <c r="D28" s="64">
        <v>32.56</v>
      </c>
      <c r="E28" s="64">
        <v>4.72</v>
      </c>
      <c r="F28" s="64">
        <v>3.24</v>
      </c>
      <c r="G28" s="64">
        <v>97.45</v>
      </c>
      <c r="H28" s="64">
        <v>40.08</v>
      </c>
      <c r="I28" s="64">
        <v>5.16</v>
      </c>
      <c r="J28" s="64">
        <v>0.21</v>
      </c>
      <c r="K28" s="64">
        <v>204.15</v>
      </c>
      <c r="L28" s="64">
        <v>13.43</v>
      </c>
      <c r="M28" s="64">
        <v>96.63</v>
      </c>
      <c r="N28" s="64">
        <v>44.3</v>
      </c>
      <c r="O28" s="64">
        <v>0</v>
      </c>
      <c r="P28" s="64">
        <v>1.41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11" t="s">
        <v>1996</v>
      </c>
      <c r="B29" s="64">
        <v>36.35</v>
      </c>
      <c r="C29" s="64">
        <v>7.18</v>
      </c>
      <c r="D29" s="64">
        <v>32.44</v>
      </c>
      <c r="E29" s="64">
        <v>4.8</v>
      </c>
      <c r="F29" s="64">
        <v>3.01</v>
      </c>
      <c r="G29" s="64">
        <v>96.92</v>
      </c>
      <c r="H29" s="64">
        <v>38.96</v>
      </c>
      <c r="I29" s="64">
        <v>5.1100000000000003</v>
      </c>
      <c r="J29" s="64">
        <v>7.0000000000000007E-2</v>
      </c>
      <c r="K29" s="64">
        <v>222.66</v>
      </c>
      <c r="L29" s="64">
        <v>13.22</v>
      </c>
      <c r="M29" s="64">
        <v>96.63</v>
      </c>
      <c r="N29" s="64">
        <v>44.3</v>
      </c>
      <c r="O29" s="64">
        <v>0</v>
      </c>
      <c r="P29" s="64">
        <v>1.39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1" t="s">
        <v>1997</v>
      </c>
      <c r="B30" s="64">
        <v>36.6</v>
      </c>
      <c r="C30" s="64">
        <v>6.92</v>
      </c>
      <c r="D30" s="64">
        <v>32.51</v>
      </c>
      <c r="E30" s="64">
        <v>4.9400000000000004</v>
      </c>
      <c r="F30" s="64">
        <v>3.42</v>
      </c>
      <c r="G30" s="64">
        <v>96.74</v>
      </c>
      <c r="H30" s="64">
        <v>38.96</v>
      </c>
      <c r="I30" s="64">
        <v>5.0599999999999996</v>
      </c>
      <c r="J30" s="64">
        <v>0.16</v>
      </c>
      <c r="K30" s="64">
        <v>297.56</v>
      </c>
      <c r="L30" s="64">
        <v>13.06</v>
      </c>
      <c r="M30" s="64">
        <v>96.65</v>
      </c>
      <c r="N30" s="64">
        <v>44.3</v>
      </c>
      <c r="O30" s="64">
        <v>0</v>
      </c>
      <c r="P30" s="64">
        <v>1.38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1" t="s">
        <v>1998</v>
      </c>
      <c r="B31" s="64">
        <v>37.5</v>
      </c>
      <c r="C31" s="64">
        <v>6.39</v>
      </c>
      <c r="D31" s="64">
        <v>32.950000000000003</v>
      </c>
      <c r="E31" s="64">
        <v>4.8</v>
      </c>
      <c r="F31" s="64">
        <v>3.21</v>
      </c>
      <c r="G31" s="64">
        <v>96.74</v>
      </c>
      <c r="H31" s="64">
        <v>38.96</v>
      </c>
      <c r="I31" s="64">
        <v>5.0199999999999996</v>
      </c>
      <c r="J31" s="64">
        <v>0.1</v>
      </c>
      <c r="K31" s="64">
        <v>295.51</v>
      </c>
      <c r="L31" s="64">
        <v>13.09</v>
      </c>
      <c r="M31" s="64">
        <v>96.68</v>
      </c>
      <c r="N31" s="64">
        <v>44.2</v>
      </c>
      <c r="O31" s="64">
        <v>0</v>
      </c>
      <c r="P31" s="64">
        <v>1.38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1" t="s">
        <v>1999</v>
      </c>
      <c r="B32" s="64">
        <v>38.93</v>
      </c>
      <c r="C32" s="64">
        <v>5.62</v>
      </c>
      <c r="D32" s="64">
        <v>33.700000000000003</v>
      </c>
      <c r="E32" s="64">
        <v>4.91</v>
      </c>
      <c r="F32" s="64">
        <v>3.22</v>
      </c>
      <c r="G32" s="64">
        <v>96.74</v>
      </c>
      <c r="H32" s="64">
        <v>38.96</v>
      </c>
      <c r="I32" s="64">
        <v>5.33</v>
      </c>
      <c r="J32" s="64">
        <v>0.08</v>
      </c>
      <c r="K32" s="64">
        <v>234.94</v>
      </c>
      <c r="L32" s="64">
        <v>13.08</v>
      </c>
      <c r="M32" s="64">
        <v>96.67</v>
      </c>
      <c r="N32" s="64">
        <v>44.7</v>
      </c>
      <c r="O32" s="64">
        <v>0</v>
      </c>
      <c r="P32" s="64">
        <v>1.36</v>
      </c>
      <c r="Q32" s="64">
        <v>9.68</v>
      </c>
      <c r="R32" s="198"/>
      <c r="S32" s="198"/>
      <c r="T32" s="198"/>
      <c r="U32" s="198"/>
    </row>
    <row r="33" spans="1:21" s="12" customFormat="1" x14ac:dyDescent="0.25">
      <c r="A33" s="211" t="s">
        <v>2000</v>
      </c>
      <c r="B33" s="64">
        <v>40.700000000000003</v>
      </c>
      <c r="C33" s="64">
        <v>4.09</v>
      </c>
      <c r="D33" s="64">
        <v>34.31</v>
      </c>
      <c r="E33" s="64">
        <v>4.95</v>
      </c>
      <c r="F33" s="64">
        <v>3.19</v>
      </c>
      <c r="G33" s="64">
        <v>95.33</v>
      </c>
      <c r="H33" s="64">
        <v>39.770000000000003</v>
      </c>
      <c r="I33" s="64">
        <v>5.55</v>
      </c>
      <c r="J33" s="64">
        <v>0.17</v>
      </c>
      <c r="K33" s="64">
        <v>330.88</v>
      </c>
      <c r="L33" s="64">
        <v>13.03</v>
      </c>
      <c r="M33" s="64">
        <v>96.68</v>
      </c>
      <c r="N33" s="64">
        <v>46.8</v>
      </c>
      <c r="O33" s="64">
        <v>0</v>
      </c>
      <c r="P33" s="64">
        <v>1.39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1" t="s">
        <v>2001</v>
      </c>
      <c r="B34" s="64">
        <v>44.08</v>
      </c>
      <c r="C34" s="64">
        <v>3.19</v>
      </c>
      <c r="D34" s="64">
        <v>36.549999999999997</v>
      </c>
      <c r="E34" s="64">
        <v>4.95</v>
      </c>
      <c r="F34" s="64">
        <v>3.01</v>
      </c>
      <c r="G34" s="64">
        <v>94.88</v>
      </c>
      <c r="H34" s="64">
        <v>39.770000000000003</v>
      </c>
      <c r="I34" s="64">
        <v>5.59</v>
      </c>
      <c r="J34" s="64">
        <v>0.16</v>
      </c>
      <c r="K34" s="64">
        <v>60.82</v>
      </c>
      <c r="L34" s="64">
        <v>13.1</v>
      </c>
      <c r="M34" s="64">
        <v>96.67</v>
      </c>
      <c r="N34" s="64">
        <v>55</v>
      </c>
      <c r="O34" s="64">
        <v>0</v>
      </c>
      <c r="P34" s="64">
        <v>1.45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1" t="s">
        <v>2002</v>
      </c>
      <c r="B35" s="64">
        <v>46.63</v>
      </c>
      <c r="C35" s="64">
        <v>2.4500000000000002</v>
      </c>
      <c r="D35" s="64">
        <v>38.21</v>
      </c>
      <c r="E35" s="64">
        <v>5.17</v>
      </c>
      <c r="F35" s="64">
        <v>3.29</v>
      </c>
      <c r="G35" s="64">
        <v>94.88</v>
      </c>
      <c r="H35" s="64">
        <v>39.770000000000003</v>
      </c>
      <c r="I35" s="64">
        <v>5.71</v>
      </c>
      <c r="J35" s="64">
        <v>0.19</v>
      </c>
      <c r="K35" s="64">
        <v>85.93</v>
      </c>
      <c r="L35" s="64">
        <v>13.6</v>
      </c>
      <c r="M35" s="64">
        <v>96.59</v>
      </c>
      <c r="N35" s="64">
        <v>69.099999999999994</v>
      </c>
      <c r="O35" s="64">
        <v>0</v>
      </c>
      <c r="P35" s="64">
        <v>1.48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1" t="s">
        <v>2003</v>
      </c>
      <c r="B36" s="64">
        <v>46.71</v>
      </c>
      <c r="C36" s="64">
        <v>2.92</v>
      </c>
      <c r="D36" s="64">
        <v>38.520000000000003</v>
      </c>
      <c r="E36" s="64">
        <v>5.17</v>
      </c>
      <c r="F36" s="64">
        <v>3.17</v>
      </c>
      <c r="G36" s="64">
        <v>94.88</v>
      </c>
      <c r="H36" s="64">
        <v>39.770000000000003</v>
      </c>
      <c r="I36" s="64">
        <v>5.82</v>
      </c>
      <c r="J36" s="64">
        <v>0.13</v>
      </c>
      <c r="K36" s="64">
        <v>145.05000000000001</v>
      </c>
      <c r="L36" s="64">
        <v>14.2</v>
      </c>
      <c r="M36" s="64">
        <v>96.55</v>
      </c>
      <c r="N36" s="64">
        <v>84.7</v>
      </c>
      <c r="O36" s="64">
        <v>0</v>
      </c>
      <c r="P36" s="64">
        <v>1.49</v>
      </c>
      <c r="Q36" s="64">
        <v>9.6999999999999993</v>
      </c>
      <c r="R36" s="198"/>
      <c r="S36" s="198"/>
      <c r="T36" s="198"/>
      <c r="U36" s="198"/>
    </row>
    <row r="37" spans="1:21" s="12" customFormat="1" x14ac:dyDescent="0.25">
      <c r="A37" s="211" t="s">
        <v>2004</v>
      </c>
      <c r="B37" s="64">
        <v>45.94</v>
      </c>
      <c r="C37" s="64">
        <v>3.47</v>
      </c>
      <c r="D37" s="64">
        <v>38.200000000000003</v>
      </c>
      <c r="E37" s="64">
        <v>5.3</v>
      </c>
      <c r="F37" s="64">
        <v>3.22</v>
      </c>
      <c r="G37" s="64">
        <v>105.7</v>
      </c>
      <c r="H37" s="64">
        <v>42.5</v>
      </c>
      <c r="I37" s="64">
        <v>5.51</v>
      </c>
      <c r="J37" s="64">
        <v>0.28000000000000003</v>
      </c>
      <c r="K37" s="64">
        <v>139.28</v>
      </c>
      <c r="L37" s="64">
        <v>14.94</v>
      </c>
      <c r="M37" s="64">
        <v>93.13</v>
      </c>
      <c r="N37" s="64">
        <v>116.7</v>
      </c>
      <c r="O37" s="64">
        <v>0</v>
      </c>
      <c r="P37" s="64">
        <v>1.29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1" t="s">
        <v>2005</v>
      </c>
      <c r="B38" s="64">
        <v>44.97</v>
      </c>
      <c r="C38" s="64">
        <v>4.4000000000000004</v>
      </c>
      <c r="D38" s="64">
        <v>37.9</v>
      </c>
      <c r="E38" s="64">
        <v>5.0599999999999996</v>
      </c>
      <c r="F38" s="64">
        <v>3.44</v>
      </c>
      <c r="G38" s="64">
        <v>109.2</v>
      </c>
      <c r="H38" s="64">
        <v>42.5</v>
      </c>
      <c r="I38" s="64">
        <v>5.27</v>
      </c>
      <c r="J38" s="64">
        <v>0.5</v>
      </c>
      <c r="K38" s="64">
        <v>126.5</v>
      </c>
      <c r="L38" s="64">
        <v>16.239999999999998</v>
      </c>
      <c r="M38" s="64">
        <v>81.599999999999994</v>
      </c>
      <c r="N38" s="64">
        <v>182.7</v>
      </c>
      <c r="O38" s="64">
        <v>0</v>
      </c>
      <c r="P38" s="64">
        <v>1.38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1" t="s">
        <v>2006</v>
      </c>
      <c r="B39" s="64">
        <v>43.76</v>
      </c>
      <c r="C39" s="64">
        <v>5.22</v>
      </c>
      <c r="D39" s="64">
        <v>37.36</v>
      </c>
      <c r="E39" s="64">
        <v>5.7</v>
      </c>
      <c r="F39" s="64">
        <v>3.3</v>
      </c>
      <c r="G39" s="64">
        <v>109.2</v>
      </c>
      <c r="H39" s="64">
        <v>42.5</v>
      </c>
      <c r="I39" s="64">
        <v>5.65</v>
      </c>
      <c r="J39" s="64">
        <v>0.09</v>
      </c>
      <c r="K39" s="64">
        <v>59.28</v>
      </c>
      <c r="L39" s="64">
        <v>18.09</v>
      </c>
      <c r="M39" s="64">
        <v>74.83</v>
      </c>
      <c r="N39" s="64">
        <v>241.1</v>
      </c>
      <c r="O39" s="64">
        <v>0</v>
      </c>
      <c r="P39" s="64">
        <v>1.36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1" t="s">
        <v>2007</v>
      </c>
      <c r="B40" s="64">
        <v>42.82</v>
      </c>
      <c r="C40" s="64">
        <v>6.08</v>
      </c>
      <c r="D40" s="64">
        <v>37.049999999999997</v>
      </c>
      <c r="E40" s="64">
        <v>3.81</v>
      </c>
      <c r="F40" s="64">
        <v>3.35</v>
      </c>
      <c r="G40" s="64">
        <v>109.2</v>
      </c>
      <c r="H40" s="64">
        <v>42.5</v>
      </c>
      <c r="I40" s="64">
        <v>5.92</v>
      </c>
      <c r="J40" s="64">
        <v>0.12</v>
      </c>
      <c r="K40" s="64">
        <v>56.87</v>
      </c>
      <c r="L40" s="64">
        <v>20.16</v>
      </c>
      <c r="M40" s="64">
        <v>64.209999999999994</v>
      </c>
      <c r="N40" s="64">
        <v>293.60000000000002</v>
      </c>
      <c r="O40" s="64">
        <v>0</v>
      </c>
      <c r="P40" s="64">
        <v>1.36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1" t="s">
        <v>2008</v>
      </c>
      <c r="B41" s="64">
        <v>42.2</v>
      </c>
      <c r="C41" s="64">
        <v>6.7</v>
      </c>
      <c r="D41" s="64">
        <v>36.880000000000003</v>
      </c>
      <c r="E41" s="64">
        <v>4.2300000000000004</v>
      </c>
      <c r="F41" s="64">
        <v>3.38</v>
      </c>
      <c r="G41" s="64">
        <v>103.49</v>
      </c>
      <c r="H41" s="64">
        <v>47.91</v>
      </c>
      <c r="I41" s="64">
        <v>5.54</v>
      </c>
      <c r="J41" s="64">
        <v>0.54</v>
      </c>
      <c r="K41" s="64">
        <v>344.71</v>
      </c>
      <c r="L41" s="64">
        <v>22.37</v>
      </c>
      <c r="M41" s="64">
        <v>53.85</v>
      </c>
      <c r="N41" s="64">
        <v>338</v>
      </c>
      <c r="O41" s="64">
        <v>0</v>
      </c>
      <c r="P41" s="64">
        <v>1.34</v>
      </c>
      <c r="Q41" s="64">
        <v>9.69</v>
      </c>
      <c r="R41" s="198"/>
      <c r="S41" s="198"/>
      <c r="T41" s="198"/>
      <c r="U41" s="198"/>
    </row>
    <row r="42" spans="1:21" s="12" customFormat="1" x14ac:dyDescent="0.25">
      <c r="A42" s="211" t="s">
        <v>2009</v>
      </c>
      <c r="B42" s="64">
        <v>40.99</v>
      </c>
      <c r="C42" s="64">
        <v>7.48</v>
      </c>
      <c r="D42" s="64">
        <v>36.32</v>
      </c>
      <c r="E42" s="64">
        <v>4.6100000000000003</v>
      </c>
      <c r="F42" s="64">
        <v>3.27</v>
      </c>
      <c r="G42" s="64">
        <v>101.64</v>
      </c>
      <c r="H42" s="64">
        <v>47.91</v>
      </c>
      <c r="I42" s="64">
        <v>5.24</v>
      </c>
      <c r="J42" s="64">
        <v>0.38</v>
      </c>
      <c r="K42" s="64">
        <v>325.58999999999997</v>
      </c>
      <c r="L42" s="64">
        <v>23.69</v>
      </c>
      <c r="M42" s="64">
        <v>47.7</v>
      </c>
      <c r="N42" s="64">
        <v>378.3</v>
      </c>
      <c r="O42" s="64">
        <v>0</v>
      </c>
      <c r="P42" s="64">
        <v>1.29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1" t="s">
        <v>2010</v>
      </c>
      <c r="B43" s="64">
        <v>38.69</v>
      </c>
      <c r="C43" s="64">
        <v>9.2200000000000006</v>
      </c>
      <c r="D43" s="64">
        <v>35.380000000000003</v>
      </c>
      <c r="E43" s="64">
        <v>4.26</v>
      </c>
      <c r="F43" s="64">
        <v>3.31</v>
      </c>
      <c r="G43" s="64">
        <v>101.64</v>
      </c>
      <c r="H43" s="64">
        <v>47.91</v>
      </c>
      <c r="I43" s="64">
        <v>5.16</v>
      </c>
      <c r="J43" s="64">
        <v>0.53</v>
      </c>
      <c r="K43" s="64">
        <v>333.21</v>
      </c>
      <c r="L43" s="64">
        <v>24.78</v>
      </c>
      <c r="M43" s="64">
        <v>43.46</v>
      </c>
      <c r="N43" s="64">
        <v>415.4</v>
      </c>
      <c r="O43" s="64">
        <v>0</v>
      </c>
      <c r="P43" s="64">
        <v>1.24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1" t="s">
        <v>2011</v>
      </c>
      <c r="B44" s="64">
        <v>37</v>
      </c>
      <c r="C44" s="64">
        <v>10.68</v>
      </c>
      <c r="D44" s="64">
        <v>34.79</v>
      </c>
      <c r="E44" s="64">
        <v>4.1500000000000004</v>
      </c>
      <c r="F44" s="64">
        <v>3.28</v>
      </c>
      <c r="G44" s="64">
        <v>101.64</v>
      </c>
      <c r="H44" s="64">
        <v>47.91</v>
      </c>
      <c r="I44" s="64">
        <v>5.08</v>
      </c>
      <c r="J44" s="64">
        <v>0.55000000000000004</v>
      </c>
      <c r="K44" s="64">
        <v>339.5</v>
      </c>
      <c r="L44" s="64">
        <v>25.44</v>
      </c>
      <c r="M44" s="64">
        <v>42.1</v>
      </c>
      <c r="N44" s="64">
        <v>444.9</v>
      </c>
      <c r="O44" s="64">
        <v>0</v>
      </c>
      <c r="P44" s="64">
        <v>1.22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1" t="s">
        <v>2012</v>
      </c>
      <c r="B45" s="64">
        <v>35.630000000000003</v>
      </c>
      <c r="C45" s="64">
        <v>12.04</v>
      </c>
      <c r="D45" s="64">
        <v>34.4</v>
      </c>
      <c r="E45" s="64">
        <v>4.38</v>
      </c>
      <c r="F45" s="64">
        <v>3.08</v>
      </c>
      <c r="G45" s="64">
        <v>88.63</v>
      </c>
      <c r="H45" s="64">
        <v>40.67</v>
      </c>
      <c r="I45" s="64">
        <v>4.99</v>
      </c>
      <c r="J45" s="64">
        <v>0.38</v>
      </c>
      <c r="K45" s="64">
        <v>342.1</v>
      </c>
      <c r="L45" s="64">
        <v>25.86</v>
      </c>
      <c r="M45" s="64">
        <v>41.35</v>
      </c>
      <c r="N45" s="64">
        <v>475.1</v>
      </c>
      <c r="O45" s="64">
        <v>0</v>
      </c>
      <c r="P45" s="64">
        <v>1.22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1" t="s">
        <v>2013</v>
      </c>
      <c r="B46" s="64">
        <v>34.35</v>
      </c>
      <c r="C46" s="64">
        <v>13.37</v>
      </c>
      <c r="D46" s="64">
        <v>34.07</v>
      </c>
      <c r="E46" s="64">
        <v>4.26</v>
      </c>
      <c r="F46" s="64">
        <v>3.41</v>
      </c>
      <c r="G46" s="64">
        <v>84.42</v>
      </c>
      <c r="H46" s="64">
        <v>40.67</v>
      </c>
      <c r="I46" s="64">
        <v>4.93</v>
      </c>
      <c r="J46" s="64">
        <v>0.49</v>
      </c>
      <c r="K46" s="64">
        <v>330.19</v>
      </c>
      <c r="L46" s="64">
        <v>26.24</v>
      </c>
      <c r="M46" s="64">
        <v>40.29</v>
      </c>
      <c r="N46" s="64">
        <v>510.2</v>
      </c>
      <c r="O46" s="64">
        <v>0</v>
      </c>
      <c r="P46" s="64">
        <v>1.2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11" t="s">
        <v>2014</v>
      </c>
      <c r="B47" s="64">
        <v>31.69</v>
      </c>
      <c r="C47" s="64">
        <v>15.96</v>
      </c>
      <c r="D47" s="64">
        <v>33.29</v>
      </c>
      <c r="E47" s="64">
        <v>4.32</v>
      </c>
      <c r="F47" s="64">
        <v>3.58</v>
      </c>
      <c r="G47" s="64">
        <v>84.42</v>
      </c>
      <c r="H47" s="64">
        <v>40.67</v>
      </c>
      <c r="I47" s="64">
        <v>4.9000000000000004</v>
      </c>
      <c r="J47" s="64">
        <v>0.46</v>
      </c>
      <c r="K47" s="64">
        <v>319.88</v>
      </c>
      <c r="L47" s="64">
        <v>27.3</v>
      </c>
      <c r="M47" s="64">
        <v>37.36</v>
      </c>
      <c r="N47" s="64">
        <v>539.29999999999995</v>
      </c>
      <c r="O47" s="64">
        <v>0</v>
      </c>
      <c r="P47" s="64">
        <v>1.2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1" t="s">
        <v>2015</v>
      </c>
      <c r="B48" s="64">
        <v>9.01</v>
      </c>
      <c r="C48" s="64">
        <v>39.909999999999997</v>
      </c>
      <c r="D48" s="64">
        <v>27.61</v>
      </c>
      <c r="E48" s="64">
        <v>5.01</v>
      </c>
      <c r="F48" s="64">
        <v>6.8</v>
      </c>
      <c r="G48" s="64">
        <v>84.42</v>
      </c>
      <c r="H48" s="64">
        <v>40.67</v>
      </c>
      <c r="I48" s="64">
        <v>4.87</v>
      </c>
      <c r="J48" s="64">
        <v>0.44</v>
      </c>
      <c r="K48" s="64">
        <v>332.5</v>
      </c>
      <c r="L48" s="64">
        <v>26.9</v>
      </c>
      <c r="M48" s="64">
        <v>38.479999999999997</v>
      </c>
      <c r="N48" s="64">
        <v>572.29999999999995</v>
      </c>
      <c r="O48" s="64">
        <v>0</v>
      </c>
      <c r="P48" s="64">
        <v>1.06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1" t="s">
        <v>2016</v>
      </c>
      <c r="B49" s="64">
        <v>5.0599999999999996</v>
      </c>
      <c r="C49" s="64">
        <v>42.25</v>
      </c>
      <c r="D49" s="64">
        <v>25.67</v>
      </c>
      <c r="E49" s="64">
        <v>4.6399999999999997</v>
      </c>
      <c r="F49" s="64">
        <v>7.13</v>
      </c>
      <c r="G49" s="64">
        <v>66.05</v>
      </c>
      <c r="H49" s="64">
        <v>37.74</v>
      </c>
      <c r="I49" s="64">
        <v>4.66</v>
      </c>
      <c r="J49" s="64">
        <v>0.81</v>
      </c>
      <c r="K49" s="64">
        <v>332.23</v>
      </c>
      <c r="L49" s="64">
        <v>28.42</v>
      </c>
      <c r="M49" s="64">
        <v>34.54</v>
      </c>
      <c r="N49" s="64">
        <v>593.1</v>
      </c>
      <c r="O49" s="64">
        <v>0</v>
      </c>
      <c r="P49" s="64">
        <v>1.06</v>
      </c>
      <c r="Q49" s="64">
        <v>9.49</v>
      </c>
      <c r="R49" s="198"/>
      <c r="S49" s="198"/>
      <c r="T49" s="198"/>
      <c r="U49" s="198"/>
    </row>
    <row r="50" spans="1:21" s="12" customFormat="1" x14ac:dyDescent="0.25">
      <c r="A50" s="211" t="s">
        <v>2017</v>
      </c>
      <c r="B50" s="64">
        <v>3.85</v>
      </c>
      <c r="C50" s="64">
        <v>42.32</v>
      </c>
      <c r="D50" s="64">
        <v>24.74</v>
      </c>
      <c r="E50" s="64">
        <v>4.68</v>
      </c>
      <c r="F50" s="64">
        <v>5.81</v>
      </c>
      <c r="G50" s="64">
        <v>66.05</v>
      </c>
      <c r="H50" s="64">
        <v>37.74</v>
      </c>
      <c r="I50" s="64">
        <v>4.3600000000000003</v>
      </c>
      <c r="J50" s="64">
        <v>0.61</v>
      </c>
      <c r="K50" s="64">
        <v>309.97000000000003</v>
      </c>
      <c r="L50" s="64">
        <v>29.03</v>
      </c>
      <c r="M50" s="64">
        <v>32.81</v>
      </c>
      <c r="N50" s="64">
        <v>575.20000000000005</v>
      </c>
      <c r="O50" s="64">
        <v>0</v>
      </c>
      <c r="P50" s="64">
        <v>1.06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11" t="s">
        <v>2018</v>
      </c>
      <c r="B51" s="64">
        <v>3.73</v>
      </c>
      <c r="C51" s="64">
        <v>41.02</v>
      </c>
      <c r="D51" s="64">
        <v>23.96</v>
      </c>
      <c r="E51" s="64">
        <v>5.36</v>
      </c>
      <c r="F51" s="64">
        <v>6.93</v>
      </c>
      <c r="G51" s="64">
        <v>66.05</v>
      </c>
      <c r="H51" s="64">
        <v>37.74</v>
      </c>
      <c r="I51" s="64">
        <v>4.2</v>
      </c>
      <c r="J51" s="64">
        <v>0.28999999999999998</v>
      </c>
      <c r="K51" s="64">
        <v>342.89</v>
      </c>
      <c r="L51" s="64">
        <v>28.37</v>
      </c>
      <c r="M51" s="64">
        <v>33.130000000000003</v>
      </c>
      <c r="N51" s="64">
        <v>599.4</v>
      </c>
      <c r="O51" s="64">
        <v>0</v>
      </c>
      <c r="P51" s="64">
        <v>1.04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11" t="s">
        <v>2019</v>
      </c>
      <c r="B52" s="64">
        <v>3.74</v>
      </c>
      <c r="C52" s="64">
        <v>38.03</v>
      </c>
      <c r="D52" s="64">
        <v>22.41</v>
      </c>
      <c r="E52" s="64">
        <v>5.48</v>
      </c>
      <c r="F52" s="64">
        <v>6.32</v>
      </c>
      <c r="G52" s="64">
        <v>66.05</v>
      </c>
      <c r="H52" s="64">
        <v>37.74</v>
      </c>
      <c r="I52" s="64">
        <v>4.17</v>
      </c>
      <c r="J52" s="64">
        <v>0.63</v>
      </c>
      <c r="K52" s="64">
        <v>135.54</v>
      </c>
      <c r="L52" s="64">
        <v>25.89</v>
      </c>
      <c r="M52" s="64">
        <v>34.9</v>
      </c>
      <c r="N52" s="64">
        <v>644</v>
      </c>
      <c r="O52" s="64">
        <v>0</v>
      </c>
      <c r="P52" s="64">
        <v>1.03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1" t="s">
        <v>2020</v>
      </c>
      <c r="B53" s="64">
        <v>4.62</v>
      </c>
      <c r="C53" s="64">
        <v>34.18</v>
      </c>
      <c r="D53" s="64">
        <v>21.1</v>
      </c>
      <c r="E53" s="64">
        <v>8.36</v>
      </c>
      <c r="F53" s="64">
        <v>9.0299999999999994</v>
      </c>
      <c r="G53" s="64">
        <v>75.97</v>
      </c>
      <c r="H53" s="64">
        <v>35.99</v>
      </c>
      <c r="I53" s="64">
        <v>4.17</v>
      </c>
      <c r="J53" s="64">
        <v>0.39</v>
      </c>
      <c r="K53" s="64">
        <v>48.66</v>
      </c>
      <c r="L53" s="64">
        <v>26.46</v>
      </c>
      <c r="M53" s="64">
        <v>33.9</v>
      </c>
      <c r="N53" s="64">
        <v>653.1</v>
      </c>
      <c r="O53" s="64">
        <v>0</v>
      </c>
      <c r="P53" s="64">
        <v>0.97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1" t="s">
        <v>2021</v>
      </c>
      <c r="B54" s="64">
        <v>3.89</v>
      </c>
      <c r="C54" s="64">
        <v>32.83</v>
      </c>
      <c r="D54" s="64">
        <v>19.809999999999999</v>
      </c>
      <c r="E54" s="64">
        <v>6.96</v>
      </c>
      <c r="F54" s="64">
        <v>7.3</v>
      </c>
      <c r="G54" s="64">
        <v>79.180000000000007</v>
      </c>
      <c r="H54" s="64">
        <v>35.99</v>
      </c>
      <c r="I54" s="64">
        <v>4.08</v>
      </c>
      <c r="J54" s="64">
        <v>0.43</v>
      </c>
      <c r="K54" s="64">
        <v>113.17</v>
      </c>
      <c r="L54" s="64">
        <v>25.9</v>
      </c>
      <c r="M54" s="64">
        <v>35.950000000000003</v>
      </c>
      <c r="N54" s="64">
        <v>650.79999999999995</v>
      </c>
      <c r="O54" s="64">
        <v>0</v>
      </c>
      <c r="P54" s="64">
        <v>0.95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11" t="s">
        <v>2022</v>
      </c>
      <c r="B55" s="64">
        <v>4.43</v>
      </c>
      <c r="C55" s="64">
        <v>34.33</v>
      </c>
      <c r="D55" s="64">
        <v>21.03</v>
      </c>
      <c r="E55" s="64">
        <v>5.61</v>
      </c>
      <c r="F55" s="64">
        <v>5.62</v>
      </c>
      <c r="G55" s="64">
        <v>79.180000000000007</v>
      </c>
      <c r="H55" s="64">
        <v>35.99</v>
      </c>
      <c r="I55" s="64">
        <v>3.91</v>
      </c>
      <c r="J55" s="64">
        <v>0.56999999999999995</v>
      </c>
      <c r="K55" s="64">
        <v>119.54</v>
      </c>
      <c r="L55" s="64">
        <v>25.86</v>
      </c>
      <c r="M55" s="64">
        <v>37.54</v>
      </c>
      <c r="N55" s="64">
        <v>634.4</v>
      </c>
      <c r="O55" s="64">
        <v>0</v>
      </c>
      <c r="P55" s="64">
        <v>0.94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1" t="s">
        <v>2023</v>
      </c>
      <c r="B56" s="64">
        <v>3.36</v>
      </c>
      <c r="C56" s="64">
        <v>29.76</v>
      </c>
      <c r="D56" s="64">
        <v>17.78</v>
      </c>
      <c r="E56" s="64">
        <v>5.63</v>
      </c>
      <c r="F56" s="64">
        <v>7.97</v>
      </c>
      <c r="G56" s="64">
        <v>79.180000000000007</v>
      </c>
      <c r="H56" s="64">
        <v>35.99</v>
      </c>
      <c r="I56" s="64">
        <v>3.72</v>
      </c>
      <c r="J56" s="64">
        <v>0.33</v>
      </c>
      <c r="K56" s="64">
        <v>49.48</v>
      </c>
      <c r="L56" s="64">
        <v>25.84</v>
      </c>
      <c r="M56" s="64">
        <v>36.869999999999997</v>
      </c>
      <c r="N56" s="64">
        <v>620.9</v>
      </c>
      <c r="O56" s="64">
        <v>0</v>
      </c>
      <c r="P56" s="64">
        <v>0.89</v>
      </c>
      <c r="Q56" s="64">
        <v>9.4499999999999993</v>
      </c>
      <c r="R56" s="198"/>
      <c r="S56" s="198"/>
      <c r="T56" s="198"/>
      <c r="U56" s="198"/>
    </row>
    <row r="57" spans="1:21" s="12" customFormat="1" x14ac:dyDescent="0.25">
      <c r="A57" s="211" t="s">
        <v>2024</v>
      </c>
      <c r="B57" s="64">
        <v>3.87</v>
      </c>
      <c r="C57" s="64">
        <v>30.24</v>
      </c>
      <c r="D57" s="64">
        <v>18.440000000000001</v>
      </c>
      <c r="E57" s="64">
        <v>6.18</v>
      </c>
      <c r="F57" s="64">
        <v>6.83</v>
      </c>
      <c r="G57" s="64">
        <v>59.24</v>
      </c>
      <c r="H57" s="64">
        <v>31.64</v>
      </c>
      <c r="I57" s="64">
        <v>3.6</v>
      </c>
      <c r="J57" s="64">
        <v>0.81</v>
      </c>
      <c r="K57" s="64">
        <v>343.75</v>
      </c>
      <c r="L57" s="64">
        <v>27.68</v>
      </c>
      <c r="M57" s="64">
        <v>32.380000000000003</v>
      </c>
      <c r="N57" s="64">
        <v>607.4</v>
      </c>
      <c r="O57" s="64">
        <v>0</v>
      </c>
      <c r="P57" s="64">
        <v>0.88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1" t="s">
        <v>2025</v>
      </c>
      <c r="B58" s="64">
        <v>4.6500000000000004</v>
      </c>
      <c r="C58" s="64">
        <v>31.64</v>
      </c>
      <c r="D58" s="64">
        <v>19.8</v>
      </c>
      <c r="E58" s="64">
        <v>7.35</v>
      </c>
      <c r="F58" s="64">
        <v>7.59</v>
      </c>
      <c r="G58" s="64">
        <v>52.78</v>
      </c>
      <c r="H58" s="64">
        <v>31.64</v>
      </c>
      <c r="I58" s="64">
        <v>3.56</v>
      </c>
      <c r="J58" s="64">
        <v>0.95</v>
      </c>
      <c r="K58" s="64">
        <v>339.83</v>
      </c>
      <c r="L58" s="64">
        <v>27.97</v>
      </c>
      <c r="M58" s="64">
        <v>31.53</v>
      </c>
      <c r="N58" s="64">
        <v>600.1</v>
      </c>
      <c r="O58" s="64">
        <v>0</v>
      </c>
      <c r="P58" s="64">
        <v>0.85</v>
      </c>
      <c r="Q58" s="64">
        <v>9.44</v>
      </c>
      <c r="R58" s="198"/>
      <c r="S58" s="198"/>
      <c r="T58" s="198"/>
      <c r="U58" s="198"/>
    </row>
    <row r="59" spans="1:21" s="12" customFormat="1" x14ac:dyDescent="0.25">
      <c r="A59" s="211" t="s">
        <v>2026</v>
      </c>
      <c r="B59" s="64">
        <v>3.84</v>
      </c>
      <c r="C59" s="64">
        <v>30.91</v>
      </c>
      <c r="D59" s="64">
        <v>18.77</v>
      </c>
      <c r="E59" s="64">
        <v>5.53</v>
      </c>
      <c r="F59" s="64">
        <v>6.37</v>
      </c>
      <c r="G59" s="64">
        <v>52.78</v>
      </c>
      <c r="H59" s="64">
        <v>31.64</v>
      </c>
      <c r="I59" s="64">
        <v>3.47</v>
      </c>
      <c r="J59" s="64">
        <v>0.73</v>
      </c>
      <c r="K59" s="64">
        <v>128.9</v>
      </c>
      <c r="L59" s="64">
        <v>26.68</v>
      </c>
      <c r="M59" s="64">
        <v>34.33</v>
      </c>
      <c r="N59" s="64">
        <v>586.20000000000005</v>
      </c>
      <c r="O59" s="64">
        <v>0</v>
      </c>
      <c r="P59" s="64">
        <v>0.79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11" t="s">
        <v>2027</v>
      </c>
      <c r="B60" s="64">
        <v>4.09</v>
      </c>
      <c r="C60" s="64">
        <v>28.45</v>
      </c>
      <c r="D60" s="64">
        <v>17.690000000000001</v>
      </c>
      <c r="E60" s="64">
        <v>5.73</v>
      </c>
      <c r="F60" s="64">
        <v>6.3</v>
      </c>
      <c r="G60" s="64">
        <v>52.78</v>
      </c>
      <c r="H60" s="64">
        <v>31.64</v>
      </c>
      <c r="I60" s="64">
        <v>3.61</v>
      </c>
      <c r="J60" s="64">
        <v>0.36</v>
      </c>
      <c r="K60" s="64">
        <v>96.53</v>
      </c>
      <c r="L60" s="64">
        <v>25.87</v>
      </c>
      <c r="M60" s="64">
        <v>36.159999999999997</v>
      </c>
      <c r="N60" s="64">
        <v>486.2</v>
      </c>
      <c r="O60" s="64">
        <v>0</v>
      </c>
      <c r="P60" s="64">
        <v>0.75</v>
      </c>
      <c r="Q60" s="64">
        <v>9.39</v>
      </c>
      <c r="R60" s="198"/>
      <c r="S60" s="198"/>
      <c r="T60" s="198"/>
      <c r="U60" s="198"/>
    </row>
    <row r="61" spans="1:21" s="12" customFormat="1" x14ac:dyDescent="0.25">
      <c r="A61" s="211" t="s">
        <v>2028</v>
      </c>
      <c r="B61" s="64">
        <v>3.93</v>
      </c>
      <c r="C61" s="64">
        <v>28.18</v>
      </c>
      <c r="D61" s="64">
        <v>17.41</v>
      </c>
      <c r="E61" s="64">
        <v>5.95</v>
      </c>
      <c r="F61" s="64">
        <v>7.55</v>
      </c>
      <c r="G61" s="64">
        <v>52.18</v>
      </c>
      <c r="H61" s="64">
        <v>26.5</v>
      </c>
      <c r="I61" s="64">
        <v>3.73</v>
      </c>
      <c r="J61" s="64">
        <v>7.0000000000000007E-2</v>
      </c>
      <c r="K61" s="64">
        <v>63.52</v>
      </c>
      <c r="L61" s="64">
        <v>26.99</v>
      </c>
      <c r="M61" s="64">
        <v>33.97</v>
      </c>
      <c r="N61" s="64">
        <v>506.4</v>
      </c>
      <c r="O61" s="64">
        <v>0</v>
      </c>
      <c r="P61" s="64">
        <v>0.83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1" t="s">
        <v>2029</v>
      </c>
      <c r="B62" s="64">
        <v>3.09</v>
      </c>
      <c r="C62" s="64">
        <v>29.39</v>
      </c>
      <c r="D62" s="64">
        <v>17.38</v>
      </c>
      <c r="E62" s="64">
        <v>5.83</v>
      </c>
      <c r="F62" s="64">
        <v>7.63</v>
      </c>
      <c r="G62" s="64">
        <v>51.99</v>
      </c>
      <c r="H62" s="64">
        <v>26.5</v>
      </c>
      <c r="I62" s="64">
        <v>3.71</v>
      </c>
      <c r="J62" s="64">
        <v>0.8</v>
      </c>
      <c r="K62" s="64">
        <v>122.24</v>
      </c>
      <c r="L62" s="64">
        <v>25.63</v>
      </c>
      <c r="M62" s="64">
        <v>38.24</v>
      </c>
      <c r="N62" s="64">
        <v>521.9</v>
      </c>
      <c r="O62" s="64">
        <v>0</v>
      </c>
      <c r="P62" s="64">
        <v>0.83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1" t="s">
        <v>2030</v>
      </c>
      <c r="B63" s="64">
        <v>3.09</v>
      </c>
      <c r="C63" s="64">
        <v>28.18</v>
      </c>
      <c r="D63" s="64">
        <v>16.739999999999998</v>
      </c>
      <c r="E63" s="64">
        <v>5.87</v>
      </c>
      <c r="F63" s="64">
        <v>15.44</v>
      </c>
      <c r="G63" s="64">
        <v>51.99</v>
      </c>
      <c r="H63" s="64">
        <v>26.5</v>
      </c>
      <c r="I63" s="64">
        <v>3.29</v>
      </c>
      <c r="J63" s="64">
        <v>0.61</v>
      </c>
      <c r="K63" s="64">
        <v>118.73</v>
      </c>
      <c r="L63" s="64">
        <v>25.46</v>
      </c>
      <c r="M63" s="64">
        <v>37.369999999999997</v>
      </c>
      <c r="N63" s="64">
        <v>482.9</v>
      </c>
      <c r="O63" s="64">
        <v>0</v>
      </c>
      <c r="P63" s="64">
        <v>0.78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1" t="s">
        <v>2031</v>
      </c>
      <c r="B64" s="64">
        <v>2.64</v>
      </c>
      <c r="C64" s="64">
        <v>28.64</v>
      </c>
      <c r="D64" s="64">
        <v>16.62</v>
      </c>
      <c r="E64" s="64">
        <v>6.25</v>
      </c>
      <c r="F64" s="64">
        <v>8.6999999999999993</v>
      </c>
      <c r="G64" s="64">
        <v>51.99</v>
      </c>
      <c r="H64" s="64">
        <v>26.5</v>
      </c>
      <c r="I64" s="64">
        <v>3.22</v>
      </c>
      <c r="J64" s="64">
        <v>0.19</v>
      </c>
      <c r="K64" s="64">
        <v>88.59</v>
      </c>
      <c r="L64" s="64">
        <v>25.2</v>
      </c>
      <c r="M64" s="64">
        <v>37.83</v>
      </c>
      <c r="N64" s="64">
        <v>381</v>
      </c>
      <c r="O64" s="64">
        <v>0</v>
      </c>
      <c r="P64" s="64">
        <v>0.73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1" t="s">
        <v>2032</v>
      </c>
      <c r="B65" s="64">
        <v>2.52</v>
      </c>
      <c r="C65" s="64">
        <v>27.93</v>
      </c>
      <c r="D65" s="64">
        <v>16.149999999999999</v>
      </c>
      <c r="E65" s="64">
        <v>6.24</v>
      </c>
      <c r="F65" s="64">
        <v>7.35</v>
      </c>
      <c r="G65" s="64">
        <v>46.73</v>
      </c>
      <c r="H65" s="64">
        <v>20.18</v>
      </c>
      <c r="I65" s="64">
        <v>3.27</v>
      </c>
      <c r="J65" s="64">
        <v>0.7</v>
      </c>
      <c r="K65" s="64">
        <v>122.91</v>
      </c>
      <c r="L65" s="64">
        <v>24.86</v>
      </c>
      <c r="M65" s="64">
        <v>40.22</v>
      </c>
      <c r="N65" s="64">
        <v>156.30000000000001</v>
      </c>
      <c r="O65" s="64">
        <v>0</v>
      </c>
      <c r="P65" s="64">
        <v>0.72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1" t="s">
        <v>2033</v>
      </c>
      <c r="B66" s="64">
        <v>3.85</v>
      </c>
      <c r="C66" s="64">
        <v>27.44</v>
      </c>
      <c r="D66" s="64">
        <v>16.96</v>
      </c>
      <c r="E66" s="64">
        <v>7.41</v>
      </c>
      <c r="F66" s="64">
        <v>10.86</v>
      </c>
      <c r="G66" s="64">
        <v>45.03</v>
      </c>
      <c r="H66" s="64">
        <v>20.18</v>
      </c>
      <c r="I66" s="64">
        <v>3.17</v>
      </c>
      <c r="J66" s="64">
        <v>0.45</v>
      </c>
      <c r="K66" s="64">
        <v>87.06</v>
      </c>
      <c r="L66" s="64">
        <v>24.93</v>
      </c>
      <c r="M66" s="64">
        <v>37.4</v>
      </c>
      <c r="N66" s="64">
        <v>145.6</v>
      </c>
      <c r="O66" s="64">
        <v>0</v>
      </c>
      <c r="P66" s="64">
        <v>0.71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1" t="s">
        <v>2034</v>
      </c>
      <c r="B67" s="64">
        <v>3.1</v>
      </c>
      <c r="C67" s="64">
        <v>25.51</v>
      </c>
      <c r="D67" s="64">
        <v>15.36</v>
      </c>
      <c r="E67" s="64">
        <v>6.74</v>
      </c>
      <c r="F67" s="64">
        <v>9.35</v>
      </c>
      <c r="G67" s="64">
        <v>45.03</v>
      </c>
      <c r="H67" s="64">
        <v>20.18</v>
      </c>
      <c r="I67" s="64">
        <v>3.15</v>
      </c>
      <c r="J67" s="64">
        <v>0.59</v>
      </c>
      <c r="K67" s="64">
        <v>122.53</v>
      </c>
      <c r="L67" s="64">
        <v>24.71</v>
      </c>
      <c r="M67" s="64">
        <v>37.83</v>
      </c>
      <c r="N67" s="64">
        <v>137.19999999999999</v>
      </c>
      <c r="O67" s="64">
        <v>0</v>
      </c>
      <c r="P67" s="64">
        <v>0.72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1" t="s">
        <v>2035</v>
      </c>
      <c r="B68" s="64">
        <v>4.1399999999999997</v>
      </c>
      <c r="C68" s="64">
        <v>29.06</v>
      </c>
      <c r="D68" s="64">
        <v>18.05</v>
      </c>
      <c r="E68" s="64">
        <v>8.48</v>
      </c>
      <c r="F68" s="64">
        <v>13</v>
      </c>
      <c r="G68" s="64">
        <v>45.03</v>
      </c>
      <c r="H68" s="64">
        <v>20.18</v>
      </c>
      <c r="I68" s="64">
        <v>3.15</v>
      </c>
      <c r="J68" s="64">
        <v>0.57999999999999996</v>
      </c>
      <c r="K68" s="64">
        <v>125.79</v>
      </c>
      <c r="L68" s="64">
        <v>24.62</v>
      </c>
      <c r="M68" s="64">
        <v>37.54</v>
      </c>
      <c r="N68" s="64">
        <v>121.4</v>
      </c>
      <c r="O68" s="64">
        <v>0</v>
      </c>
      <c r="P68" s="64">
        <v>0.72</v>
      </c>
      <c r="Q68" s="64">
        <v>9.31</v>
      </c>
      <c r="R68" s="198"/>
      <c r="S68" s="198"/>
      <c r="T68" s="198"/>
      <c r="U68" s="198"/>
    </row>
    <row r="69" spans="1:21" s="12" customFormat="1" x14ac:dyDescent="0.25">
      <c r="A69" s="211" t="s">
        <v>2036</v>
      </c>
      <c r="B69" s="64">
        <v>3.19</v>
      </c>
      <c r="C69" s="64">
        <v>25.13</v>
      </c>
      <c r="D69" s="64">
        <v>15.23</v>
      </c>
      <c r="E69" s="64">
        <v>12.21</v>
      </c>
      <c r="F69" s="64">
        <v>22.54</v>
      </c>
      <c r="G69" s="64">
        <v>48.21</v>
      </c>
      <c r="H69" s="64">
        <v>21.13</v>
      </c>
      <c r="I69" s="64">
        <v>3.15</v>
      </c>
      <c r="J69" s="64">
        <v>0.66</v>
      </c>
      <c r="K69" s="64">
        <v>118.01</v>
      </c>
      <c r="L69" s="64">
        <v>24.42</v>
      </c>
      <c r="M69" s="64">
        <v>38.35</v>
      </c>
      <c r="N69" s="64">
        <v>112.2</v>
      </c>
      <c r="O69" s="64">
        <v>0</v>
      </c>
      <c r="P69" s="64">
        <v>0.67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1" t="s">
        <v>2037</v>
      </c>
      <c r="B70" s="64">
        <v>2.52</v>
      </c>
      <c r="C70" s="64">
        <v>24.26</v>
      </c>
      <c r="D70" s="64">
        <v>14.23</v>
      </c>
      <c r="E70" s="64">
        <v>12.03</v>
      </c>
      <c r="F70" s="64">
        <v>12.78</v>
      </c>
      <c r="G70" s="64">
        <v>49.23</v>
      </c>
      <c r="H70" s="64">
        <v>21.13</v>
      </c>
      <c r="I70" s="64">
        <v>3.2</v>
      </c>
      <c r="J70" s="64">
        <v>1.01</v>
      </c>
      <c r="K70" s="64">
        <v>122.02</v>
      </c>
      <c r="L70" s="64">
        <v>24.26</v>
      </c>
      <c r="M70" s="64">
        <v>37.74</v>
      </c>
      <c r="N70" s="64">
        <v>103.2</v>
      </c>
      <c r="O70" s="64">
        <v>0</v>
      </c>
      <c r="P70" s="64">
        <v>0.67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1" t="s">
        <v>2038</v>
      </c>
      <c r="B71" s="64">
        <v>2.64</v>
      </c>
      <c r="C71" s="64">
        <v>23.48</v>
      </c>
      <c r="D71" s="64">
        <v>13.93</v>
      </c>
      <c r="E71" s="64">
        <v>11.47</v>
      </c>
      <c r="F71" s="64">
        <v>25.08</v>
      </c>
      <c r="G71" s="64">
        <v>49.23</v>
      </c>
      <c r="H71" s="64">
        <v>21.13</v>
      </c>
      <c r="I71" s="64">
        <v>3.24</v>
      </c>
      <c r="J71" s="64">
        <v>0.73</v>
      </c>
      <c r="K71" s="64">
        <v>118.52</v>
      </c>
      <c r="L71" s="64">
        <v>24.08</v>
      </c>
      <c r="M71" s="64">
        <v>37.659999999999997</v>
      </c>
      <c r="N71" s="64">
        <v>94.2</v>
      </c>
      <c r="O71" s="64">
        <v>0</v>
      </c>
      <c r="P71" s="64">
        <v>0.62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1" t="s">
        <v>2039</v>
      </c>
      <c r="B72" s="64">
        <v>2.2200000000000002</v>
      </c>
      <c r="C72" s="64">
        <v>22.95</v>
      </c>
      <c r="D72" s="64">
        <v>13.31</v>
      </c>
      <c r="E72" s="64">
        <v>12.76</v>
      </c>
      <c r="F72" s="64">
        <v>21.77</v>
      </c>
      <c r="G72" s="64">
        <v>49.23</v>
      </c>
      <c r="H72" s="64">
        <v>21.13</v>
      </c>
      <c r="I72" s="64">
        <v>3.22</v>
      </c>
      <c r="J72" s="64">
        <v>0.82</v>
      </c>
      <c r="K72" s="64">
        <v>121.51</v>
      </c>
      <c r="L72" s="64">
        <v>24.03</v>
      </c>
      <c r="M72" s="64">
        <v>38.479999999999997</v>
      </c>
      <c r="N72" s="64">
        <v>86.1</v>
      </c>
      <c r="O72" s="64">
        <v>0</v>
      </c>
      <c r="P72" s="64">
        <v>0.62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1" t="s">
        <v>2040</v>
      </c>
      <c r="B73" s="64">
        <v>2.1800000000000002</v>
      </c>
      <c r="C73" s="64">
        <v>24.16</v>
      </c>
      <c r="D73" s="64">
        <v>13.91</v>
      </c>
      <c r="E73" s="64">
        <v>16.059999999999999</v>
      </c>
      <c r="F73" s="64">
        <v>19.11</v>
      </c>
      <c r="G73" s="64">
        <v>43.29</v>
      </c>
      <c r="H73" s="64">
        <v>21.02</v>
      </c>
      <c r="I73" s="64">
        <v>3.12</v>
      </c>
      <c r="J73" s="64">
        <v>0.78</v>
      </c>
      <c r="K73" s="64">
        <v>119.18</v>
      </c>
      <c r="L73" s="64">
        <v>23.89</v>
      </c>
      <c r="M73" s="64">
        <v>38.450000000000003</v>
      </c>
      <c r="N73" s="64">
        <v>78.099999999999994</v>
      </c>
      <c r="O73" s="64">
        <v>0</v>
      </c>
      <c r="P73" s="64">
        <v>0.62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1" t="s">
        <v>2041</v>
      </c>
      <c r="B74" s="64">
        <v>2.15</v>
      </c>
      <c r="C74" s="64">
        <v>22.93</v>
      </c>
      <c r="D74" s="64">
        <v>13.24</v>
      </c>
      <c r="E74" s="64">
        <v>16.84</v>
      </c>
      <c r="F74" s="64">
        <v>28.94</v>
      </c>
      <c r="G74" s="64">
        <v>41.36</v>
      </c>
      <c r="H74" s="64">
        <v>21.02</v>
      </c>
      <c r="I74" s="64">
        <v>3.04</v>
      </c>
      <c r="J74" s="64">
        <v>0.72</v>
      </c>
      <c r="K74" s="64">
        <v>113.56</v>
      </c>
      <c r="L74" s="64">
        <v>23.75</v>
      </c>
      <c r="M74" s="64">
        <v>38.44</v>
      </c>
      <c r="N74" s="64">
        <v>69.5</v>
      </c>
      <c r="O74" s="64">
        <v>0</v>
      </c>
      <c r="P74" s="64">
        <v>0.56999999999999995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1" t="s">
        <v>2042</v>
      </c>
      <c r="B75" s="64">
        <v>2.2400000000000002</v>
      </c>
      <c r="C75" s="64">
        <v>31.01</v>
      </c>
      <c r="D75" s="64">
        <v>17.54</v>
      </c>
      <c r="E75" s="64">
        <v>16.98</v>
      </c>
      <c r="F75" s="64">
        <v>15.71</v>
      </c>
      <c r="G75" s="64">
        <v>41.36</v>
      </c>
      <c r="H75" s="64">
        <v>21.02</v>
      </c>
      <c r="I75" s="64">
        <v>3</v>
      </c>
      <c r="J75" s="64">
        <v>0.14000000000000001</v>
      </c>
      <c r="K75" s="64">
        <v>70.260000000000005</v>
      </c>
      <c r="L75" s="64">
        <v>23.57</v>
      </c>
      <c r="M75" s="64">
        <v>40.14</v>
      </c>
      <c r="N75" s="64">
        <v>60.9</v>
      </c>
      <c r="O75" s="64">
        <v>0</v>
      </c>
      <c r="P75" s="64">
        <v>0.68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1" t="s">
        <v>2043</v>
      </c>
      <c r="B76" s="64">
        <v>2.44</v>
      </c>
      <c r="C76" s="64">
        <v>29.4</v>
      </c>
      <c r="D76" s="64">
        <v>16.32</v>
      </c>
      <c r="E76" s="64">
        <v>10.99</v>
      </c>
      <c r="F76" s="64">
        <v>11.54</v>
      </c>
      <c r="G76" s="64">
        <v>41.36</v>
      </c>
      <c r="H76" s="64">
        <v>21.02</v>
      </c>
      <c r="I76" s="64">
        <v>2.92</v>
      </c>
      <c r="J76" s="64">
        <v>0.14000000000000001</v>
      </c>
      <c r="K76" s="64">
        <v>83.16</v>
      </c>
      <c r="L76" s="64">
        <v>22.6</v>
      </c>
      <c r="M76" s="64">
        <v>44.68</v>
      </c>
      <c r="N76" s="64">
        <v>49.6</v>
      </c>
      <c r="O76" s="64">
        <v>0</v>
      </c>
      <c r="P76" s="64">
        <v>0.69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1" t="s">
        <v>2044</v>
      </c>
      <c r="B77" s="64">
        <v>2.79</v>
      </c>
      <c r="C77" s="64">
        <v>32.840000000000003</v>
      </c>
      <c r="D77" s="64">
        <v>18.93</v>
      </c>
      <c r="E77" s="64">
        <v>9.77</v>
      </c>
      <c r="F77" s="64">
        <v>10.62</v>
      </c>
      <c r="G77" s="64">
        <v>33.619999999999997</v>
      </c>
      <c r="H77" s="64">
        <v>17.54</v>
      </c>
      <c r="I77" s="64">
        <v>2.92</v>
      </c>
      <c r="J77" s="64">
        <v>0.2</v>
      </c>
      <c r="K77" s="64">
        <v>48.97</v>
      </c>
      <c r="L77" s="64">
        <v>22.44</v>
      </c>
      <c r="M77" s="64">
        <v>45.36</v>
      </c>
      <c r="N77" s="64">
        <v>46.7</v>
      </c>
      <c r="O77" s="64">
        <v>0</v>
      </c>
      <c r="P77" s="64">
        <v>0.71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11" t="s">
        <v>2045</v>
      </c>
      <c r="B78" s="64">
        <v>7.71</v>
      </c>
      <c r="C78" s="64">
        <v>38.619999999999997</v>
      </c>
      <c r="D78" s="64">
        <v>25.9</v>
      </c>
      <c r="E78" s="64">
        <v>9.09</v>
      </c>
      <c r="F78" s="64">
        <v>6.27</v>
      </c>
      <c r="G78" s="64">
        <v>31.57</v>
      </c>
      <c r="H78" s="64">
        <v>17.54</v>
      </c>
      <c r="I78" s="64">
        <v>2.94</v>
      </c>
      <c r="J78" s="64">
        <v>0.14000000000000001</v>
      </c>
      <c r="K78" s="64">
        <v>36.9</v>
      </c>
      <c r="L78" s="64">
        <v>21.99</v>
      </c>
      <c r="M78" s="64">
        <v>51.1</v>
      </c>
      <c r="N78" s="64">
        <v>44.1</v>
      </c>
      <c r="O78" s="64">
        <v>0</v>
      </c>
      <c r="P78" s="64">
        <v>1.03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11" t="s">
        <v>2046</v>
      </c>
      <c r="B79" s="64">
        <v>7.36</v>
      </c>
      <c r="C79" s="64">
        <v>39.409999999999997</v>
      </c>
      <c r="D79" s="64">
        <v>26.03</v>
      </c>
      <c r="E79" s="64">
        <v>7.95</v>
      </c>
      <c r="F79" s="64">
        <v>4.8899999999999997</v>
      </c>
      <c r="G79" s="64">
        <v>31.57</v>
      </c>
      <c r="H79" s="64">
        <v>17.54</v>
      </c>
      <c r="I79" s="64">
        <v>2.69</v>
      </c>
      <c r="J79" s="64">
        <v>0.2</v>
      </c>
      <c r="K79" s="64">
        <v>39.25</v>
      </c>
      <c r="L79" s="64">
        <v>21.36</v>
      </c>
      <c r="M79" s="64">
        <v>55.76</v>
      </c>
      <c r="N79" s="64">
        <v>43.6</v>
      </c>
      <c r="O79" s="64">
        <v>0</v>
      </c>
      <c r="P79" s="64">
        <v>1.03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1" t="s">
        <v>2047</v>
      </c>
      <c r="B80" s="64">
        <v>6.94</v>
      </c>
      <c r="C80" s="64">
        <v>36.950000000000003</v>
      </c>
      <c r="D80" s="64">
        <v>24.41</v>
      </c>
      <c r="E80" s="64">
        <v>7.68</v>
      </c>
      <c r="F80" s="64">
        <v>4.9000000000000004</v>
      </c>
      <c r="G80" s="64">
        <v>31.57</v>
      </c>
      <c r="H80" s="64">
        <v>17.54</v>
      </c>
      <c r="I80" s="64">
        <v>2.58</v>
      </c>
      <c r="J80" s="64">
        <v>0.21</v>
      </c>
      <c r="K80" s="64">
        <v>69.52</v>
      </c>
      <c r="L80" s="64">
        <v>20.94</v>
      </c>
      <c r="M80" s="64">
        <v>57.55</v>
      </c>
      <c r="N80" s="64">
        <v>43.3</v>
      </c>
      <c r="O80" s="64">
        <v>0</v>
      </c>
      <c r="P80" s="64">
        <v>1.0900000000000001</v>
      </c>
      <c r="Q80" s="64">
        <v>9.32</v>
      </c>
      <c r="R80" s="198"/>
      <c r="S80" s="198"/>
      <c r="T80" s="198"/>
      <c r="U80" s="198"/>
    </row>
    <row r="81" spans="1:26" s="12" customFormat="1" x14ac:dyDescent="0.25">
      <c r="A81" s="211" t="s">
        <v>2048</v>
      </c>
      <c r="B81" s="64">
        <v>6.35</v>
      </c>
      <c r="C81" s="64">
        <v>36.909999999999997</v>
      </c>
      <c r="D81" s="64">
        <v>23.91</v>
      </c>
      <c r="E81" s="64">
        <v>7.32</v>
      </c>
      <c r="F81" s="64">
        <v>5.12</v>
      </c>
      <c r="G81" s="64">
        <v>101.99</v>
      </c>
      <c r="H81" s="64">
        <v>29.16</v>
      </c>
      <c r="I81" s="64">
        <v>2.73</v>
      </c>
      <c r="J81" s="64">
        <v>0.12</v>
      </c>
      <c r="K81" s="64">
        <v>345</v>
      </c>
      <c r="L81" s="64">
        <v>20.82</v>
      </c>
      <c r="M81" s="64">
        <v>57.26</v>
      </c>
      <c r="N81" s="64">
        <v>43.1</v>
      </c>
      <c r="O81" s="64">
        <v>0</v>
      </c>
      <c r="P81" s="64">
        <v>0.96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1" t="s">
        <v>2049</v>
      </c>
      <c r="B82" s="64">
        <v>7.7</v>
      </c>
      <c r="C82" s="64">
        <v>34.479999999999997</v>
      </c>
      <c r="D82" s="64">
        <v>23.73</v>
      </c>
      <c r="E82" s="64">
        <v>6.37</v>
      </c>
      <c r="F82" s="64">
        <v>4.34</v>
      </c>
      <c r="G82" s="64">
        <v>124.78</v>
      </c>
      <c r="H82" s="64">
        <v>29.16</v>
      </c>
      <c r="I82" s="64">
        <v>2.9</v>
      </c>
      <c r="J82" s="64">
        <v>0.19</v>
      </c>
      <c r="K82" s="64">
        <v>12.86</v>
      </c>
      <c r="L82" s="64">
        <v>20.55</v>
      </c>
      <c r="M82" s="64">
        <v>60.94</v>
      </c>
      <c r="N82" s="64">
        <v>43.3</v>
      </c>
      <c r="O82" s="64">
        <v>0</v>
      </c>
      <c r="P82" s="64">
        <v>1.05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1" t="s">
        <v>2050</v>
      </c>
      <c r="B83" s="64">
        <v>13.65</v>
      </c>
      <c r="C83" s="64">
        <v>29.43</v>
      </c>
      <c r="D83" s="64">
        <v>25.86</v>
      </c>
      <c r="E83" s="64">
        <v>5.97</v>
      </c>
      <c r="F83" s="64">
        <v>3.45</v>
      </c>
      <c r="G83" s="64">
        <v>124.78</v>
      </c>
      <c r="H83" s="64">
        <v>29.16</v>
      </c>
      <c r="I83" s="64">
        <v>3.05</v>
      </c>
      <c r="J83" s="64">
        <v>0.16</v>
      </c>
      <c r="K83" s="64">
        <v>6.55</v>
      </c>
      <c r="L83" s="64">
        <v>19.98</v>
      </c>
      <c r="M83" s="64">
        <v>68.94</v>
      </c>
      <c r="N83" s="64">
        <v>43.5</v>
      </c>
      <c r="O83" s="64">
        <v>0</v>
      </c>
      <c r="P83" s="64">
        <v>1.1499999999999999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1" t="s">
        <v>2051</v>
      </c>
      <c r="B84" s="64">
        <v>10.96</v>
      </c>
      <c r="C84" s="64">
        <v>29.89</v>
      </c>
      <c r="D84" s="64">
        <v>23.94</v>
      </c>
      <c r="E84" s="64">
        <v>5.74</v>
      </c>
      <c r="F84" s="64">
        <v>3.1</v>
      </c>
      <c r="G84" s="64">
        <v>124.78</v>
      </c>
      <c r="H84" s="64">
        <v>29.16</v>
      </c>
      <c r="I84" s="64">
        <v>3.2</v>
      </c>
      <c r="J84" s="64">
        <v>0.15</v>
      </c>
      <c r="K84" s="64">
        <v>30.47</v>
      </c>
      <c r="L84" s="64">
        <v>19.670000000000002</v>
      </c>
      <c r="M84" s="64">
        <v>69.510000000000005</v>
      </c>
      <c r="N84" s="64">
        <v>43.2</v>
      </c>
      <c r="O84" s="64">
        <v>0</v>
      </c>
      <c r="P84" s="64">
        <v>1.1299999999999999</v>
      </c>
      <c r="Q84" s="64">
        <v>9.41</v>
      </c>
      <c r="R84" s="198"/>
      <c r="S84" s="198"/>
      <c r="T84" s="198"/>
      <c r="U84" s="198"/>
    </row>
    <row r="85" spans="1:26" s="12" customFormat="1" x14ac:dyDescent="0.25">
      <c r="A85" s="211" t="s">
        <v>2052</v>
      </c>
      <c r="B85" s="64">
        <v>28.44</v>
      </c>
      <c r="C85" s="64">
        <v>31.77</v>
      </c>
      <c r="D85" s="64">
        <v>38.94</v>
      </c>
      <c r="E85" s="64">
        <v>6.08</v>
      </c>
      <c r="F85" s="64">
        <v>3.61</v>
      </c>
      <c r="G85" s="64">
        <v>110.55</v>
      </c>
      <c r="H85" s="64">
        <v>37.19</v>
      </c>
      <c r="I85" s="64">
        <v>3.67</v>
      </c>
      <c r="J85" s="64">
        <v>0.18</v>
      </c>
      <c r="K85" s="64">
        <v>23.03</v>
      </c>
      <c r="L85" s="64">
        <v>19.559999999999999</v>
      </c>
      <c r="M85" s="64">
        <v>69.36</v>
      </c>
      <c r="N85" s="64">
        <v>43.2</v>
      </c>
      <c r="O85" s="64">
        <v>0</v>
      </c>
      <c r="P85" s="64">
        <v>1.83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1" t="s">
        <v>2053</v>
      </c>
      <c r="B86" s="64">
        <v>20.98</v>
      </c>
      <c r="C86" s="64">
        <v>34.44</v>
      </c>
      <c r="D86" s="64">
        <v>34.36</v>
      </c>
      <c r="E86" s="64">
        <v>7.62</v>
      </c>
      <c r="F86" s="64">
        <v>4.66</v>
      </c>
      <c r="G86" s="64">
        <v>105.95</v>
      </c>
      <c r="H86" s="64">
        <v>37.19</v>
      </c>
      <c r="I86" s="64">
        <v>4.12</v>
      </c>
      <c r="J86" s="64">
        <v>0.14000000000000001</v>
      </c>
      <c r="K86" s="64">
        <v>62.83</v>
      </c>
      <c r="L86" s="64">
        <v>19.47</v>
      </c>
      <c r="M86" s="64">
        <v>69.11</v>
      </c>
      <c r="N86" s="64">
        <v>43</v>
      </c>
      <c r="O86" s="64">
        <v>0</v>
      </c>
      <c r="P86" s="64">
        <v>1.76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1" t="s">
        <v>2054</v>
      </c>
      <c r="B87" s="64">
        <v>21.11</v>
      </c>
      <c r="C87" s="64">
        <v>31.09</v>
      </c>
      <c r="D87" s="64">
        <v>32.71</v>
      </c>
      <c r="E87" s="64">
        <v>8.0500000000000007</v>
      </c>
      <c r="F87" s="64">
        <v>3.86</v>
      </c>
      <c r="G87" s="64">
        <v>105.95</v>
      </c>
      <c r="H87" s="64">
        <v>37.19</v>
      </c>
      <c r="I87" s="64">
        <v>4.43</v>
      </c>
      <c r="J87" s="64">
        <v>0.13</v>
      </c>
      <c r="K87" s="64">
        <v>95.01</v>
      </c>
      <c r="L87" s="64">
        <v>19.579999999999998</v>
      </c>
      <c r="M87" s="64">
        <v>65.09</v>
      </c>
      <c r="N87" s="64">
        <v>43.1</v>
      </c>
      <c r="O87" s="64">
        <v>0</v>
      </c>
      <c r="P87" s="64">
        <v>1.7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1" t="s">
        <v>2055</v>
      </c>
      <c r="B88" s="64">
        <v>20.54</v>
      </c>
      <c r="C88" s="64">
        <v>30.27</v>
      </c>
      <c r="D88" s="64">
        <v>31.82</v>
      </c>
      <c r="E88" s="64">
        <v>8.19</v>
      </c>
      <c r="F88" s="64">
        <v>3.75</v>
      </c>
      <c r="G88" s="64">
        <v>105.95</v>
      </c>
      <c r="H88" s="64">
        <v>37.19</v>
      </c>
      <c r="I88" s="64">
        <v>4.7300000000000004</v>
      </c>
      <c r="J88" s="64">
        <v>0.12</v>
      </c>
      <c r="K88" s="64">
        <v>53.38</v>
      </c>
      <c r="L88" s="64">
        <v>19.38</v>
      </c>
      <c r="M88" s="64">
        <v>66.98</v>
      </c>
      <c r="N88" s="64">
        <v>43</v>
      </c>
      <c r="O88" s="64">
        <v>0</v>
      </c>
      <c r="P88" s="64">
        <v>1.74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1" t="s">
        <v>2056</v>
      </c>
      <c r="B89" s="64">
        <v>17.39</v>
      </c>
      <c r="C89" s="64">
        <v>36.42</v>
      </c>
      <c r="D89" s="64">
        <v>32.520000000000003</v>
      </c>
      <c r="E89" s="64">
        <v>8.31</v>
      </c>
      <c r="F89" s="64">
        <v>4.34</v>
      </c>
      <c r="G89" s="64">
        <v>98.77</v>
      </c>
      <c r="H89" s="64">
        <v>35.880000000000003</v>
      </c>
      <c r="I89" s="64">
        <v>4.96</v>
      </c>
      <c r="J89" s="64">
        <v>0.09</v>
      </c>
      <c r="K89" s="64">
        <v>148.59</v>
      </c>
      <c r="L89" s="64">
        <v>19.350000000000001</v>
      </c>
      <c r="M89" s="64">
        <v>64.94</v>
      </c>
      <c r="N89" s="64">
        <v>42.7</v>
      </c>
      <c r="O89" s="64">
        <v>0</v>
      </c>
      <c r="P89" s="64">
        <v>1.72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1" t="s">
        <v>2057</v>
      </c>
      <c r="B90" s="64">
        <v>17.87</v>
      </c>
      <c r="C90" s="64">
        <v>30.38</v>
      </c>
      <c r="D90" s="64">
        <v>29.74</v>
      </c>
      <c r="E90" s="64">
        <v>7.12</v>
      </c>
      <c r="F90" s="64">
        <v>4.5</v>
      </c>
      <c r="G90" s="64">
        <v>96.45</v>
      </c>
      <c r="H90" s="64">
        <v>35.880000000000003</v>
      </c>
      <c r="I90" s="64">
        <v>5.16</v>
      </c>
      <c r="J90" s="64">
        <v>0.18</v>
      </c>
      <c r="K90" s="64">
        <v>293.83</v>
      </c>
      <c r="L90" s="64">
        <v>19.28</v>
      </c>
      <c r="M90" s="64">
        <v>67.08</v>
      </c>
      <c r="N90" s="64">
        <v>42.9</v>
      </c>
      <c r="O90" s="64">
        <v>0</v>
      </c>
      <c r="P90" s="64">
        <v>1.58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1" t="s">
        <v>2058</v>
      </c>
      <c r="B91" s="64">
        <v>34.69</v>
      </c>
      <c r="C91" s="64">
        <v>20.25</v>
      </c>
      <c r="D91" s="64">
        <v>37.86</v>
      </c>
      <c r="E91" s="64">
        <v>7.03</v>
      </c>
      <c r="F91" s="64">
        <v>4.1500000000000004</v>
      </c>
      <c r="G91" s="64">
        <v>96.45</v>
      </c>
      <c r="H91" s="64">
        <v>35.880000000000003</v>
      </c>
      <c r="I91" s="64">
        <v>4.91</v>
      </c>
      <c r="J91" s="64">
        <v>0.13</v>
      </c>
      <c r="K91" s="64">
        <v>348.66</v>
      </c>
      <c r="L91" s="64">
        <v>18.7</v>
      </c>
      <c r="M91" s="64">
        <v>74.959999999999994</v>
      </c>
      <c r="N91" s="64">
        <v>43.3</v>
      </c>
      <c r="O91" s="64">
        <v>0</v>
      </c>
      <c r="P91" s="64">
        <v>1.85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1" t="s">
        <v>2059</v>
      </c>
      <c r="B92" s="64">
        <v>26.07</v>
      </c>
      <c r="C92" s="64">
        <v>26.13</v>
      </c>
      <c r="D92" s="64">
        <v>34.1</v>
      </c>
      <c r="E92" s="64">
        <v>6.55</v>
      </c>
      <c r="F92" s="64">
        <v>3.71</v>
      </c>
      <c r="G92" s="64">
        <v>96.45</v>
      </c>
      <c r="H92" s="64">
        <v>35.880000000000003</v>
      </c>
      <c r="I92" s="64">
        <v>5.08</v>
      </c>
      <c r="J92" s="64">
        <v>7.0000000000000007E-2</v>
      </c>
      <c r="K92" s="64">
        <v>189.2</v>
      </c>
      <c r="L92" s="64">
        <v>18.61</v>
      </c>
      <c r="M92" s="64">
        <v>74.05</v>
      </c>
      <c r="N92" s="64">
        <v>42.5</v>
      </c>
      <c r="O92" s="64">
        <v>0</v>
      </c>
      <c r="P92" s="64">
        <v>1.72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1" t="s">
        <v>2060</v>
      </c>
      <c r="B93" s="64">
        <v>24.74</v>
      </c>
      <c r="C93" s="64">
        <v>19.8</v>
      </c>
      <c r="D93" s="64">
        <v>29.72</v>
      </c>
      <c r="E93" s="64">
        <v>5.91</v>
      </c>
      <c r="F93" s="64">
        <v>3.38</v>
      </c>
      <c r="G93" s="64">
        <v>95</v>
      </c>
      <c r="H93" s="64">
        <v>40.32</v>
      </c>
      <c r="I93" s="64">
        <v>5.44</v>
      </c>
      <c r="J93" s="64">
        <v>0.12</v>
      </c>
      <c r="K93" s="64">
        <v>172.27</v>
      </c>
      <c r="L93" s="64">
        <v>18.91</v>
      </c>
      <c r="M93" s="64">
        <v>69.540000000000006</v>
      </c>
      <c r="N93" s="64">
        <v>42.4</v>
      </c>
      <c r="O93" s="64">
        <v>0</v>
      </c>
      <c r="P93" s="64">
        <v>1.63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1" t="s">
        <v>2061</v>
      </c>
      <c r="B94" s="64">
        <v>26.45</v>
      </c>
      <c r="C94" s="64">
        <v>19.53</v>
      </c>
      <c r="D94" s="64">
        <v>30.95</v>
      </c>
      <c r="E94" s="64">
        <v>5.38</v>
      </c>
      <c r="F94" s="64">
        <v>3.16</v>
      </c>
      <c r="G94" s="64">
        <v>94.53</v>
      </c>
      <c r="H94" s="64">
        <v>40.32</v>
      </c>
      <c r="I94" s="64">
        <v>5.14</v>
      </c>
      <c r="J94" s="64">
        <v>0.24</v>
      </c>
      <c r="K94" s="64">
        <v>321.76</v>
      </c>
      <c r="L94" s="64">
        <v>18.489999999999998</v>
      </c>
      <c r="M94" s="64">
        <v>75.03</v>
      </c>
      <c r="N94" s="64">
        <v>43.3</v>
      </c>
      <c r="O94" s="64">
        <v>0</v>
      </c>
      <c r="P94" s="64">
        <v>1.62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1" t="s">
        <v>2062</v>
      </c>
      <c r="B95" s="64">
        <v>28.66</v>
      </c>
      <c r="C95" s="64">
        <v>17.41</v>
      </c>
      <c r="D95" s="64">
        <v>31.62</v>
      </c>
      <c r="E95" s="64">
        <v>5.52</v>
      </c>
      <c r="F95" s="64">
        <v>3.37</v>
      </c>
      <c r="G95" s="64">
        <v>94.53</v>
      </c>
      <c r="H95" s="64">
        <v>40.32</v>
      </c>
      <c r="I95" s="64">
        <v>5.24</v>
      </c>
      <c r="J95" s="64">
        <v>0.25</v>
      </c>
      <c r="K95" s="64">
        <v>296.12</v>
      </c>
      <c r="L95" s="64">
        <v>18.09</v>
      </c>
      <c r="M95" s="64">
        <v>76.8</v>
      </c>
      <c r="N95" s="64">
        <v>43</v>
      </c>
      <c r="O95" s="64">
        <v>0</v>
      </c>
      <c r="P95" s="64">
        <v>1.63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1" t="s">
        <v>2063</v>
      </c>
      <c r="B96" s="64">
        <v>29.61</v>
      </c>
      <c r="C96" s="64">
        <v>16.66</v>
      </c>
      <c r="D96" s="64">
        <v>31.99</v>
      </c>
      <c r="E96" s="64">
        <v>5.24</v>
      </c>
      <c r="F96" s="64">
        <v>3.2</v>
      </c>
      <c r="G96" s="64">
        <v>94.53</v>
      </c>
      <c r="H96" s="64">
        <v>40.32</v>
      </c>
      <c r="I96" s="64">
        <v>5.53</v>
      </c>
      <c r="J96" s="64">
        <v>0.23</v>
      </c>
      <c r="K96" s="64">
        <v>288.58999999999997</v>
      </c>
      <c r="L96" s="64">
        <v>17.89</v>
      </c>
      <c r="M96" s="64">
        <v>77.44</v>
      </c>
      <c r="N96" s="64">
        <v>43.1</v>
      </c>
      <c r="O96" s="64">
        <v>0</v>
      </c>
      <c r="P96" s="64">
        <v>1.64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2064</v>
      </c>
      <c r="B97" s="64">
        <v>30.04</v>
      </c>
      <c r="C97" s="64">
        <v>16.27</v>
      </c>
      <c r="D97" s="64">
        <v>32.130000000000003</v>
      </c>
      <c r="E97" s="64">
        <v>5.1100000000000003</v>
      </c>
      <c r="F97" s="64">
        <v>3.1</v>
      </c>
      <c r="G97" s="64">
        <v>85.74</v>
      </c>
      <c r="H97" s="64">
        <v>37.380000000000003</v>
      </c>
      <c r="I97" s="64">
        <v>5.59</v>
      </c>
      <c r="J97" s="64">
        <v>0.19</v>
      </c>
      <c r="K97" s="64">
        <v>336.29</v>
      </c>
      <c r="L97" s="64">
        <v>17.649999999999999</v>
      </c>
      <c r="M97" s="64">
        <v>80.17</v>
      </c>
      <c r="N97" s="64">
        <v>43</v>
      </c>
      <c r="O97" s="64">
        <v>0</v>
      </c>
      <c r="P97" s="64">
        <v>1.64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1" t="s">
        <v>2065</v>
      </c>
      <c r="B98" s="64">
        <v>30.69</v>
      </c>
      <c r="C98" s="64">
        <v>15.65</v>
      </c>
      <c r="D98" s="64">
        <v>32.32</v>
      </c>
      <c r="E98" s="64">
        <v>5.14</v>
      </c>
      <c r="F98" s="64">
        <v>3.31</v>
      </c>
      <c r="G98" s="64">
        <v>82.89</v>
      </c>
      <c r="H98" s="64">
        <v>37.380000000000003</v>
      </c>
      <c r="I98" s="64">
        <v>5.23</v>
      </c>
      <c r="J98" s="64">
        <v>0.23</v>
      </c>
      <c r="K98" s="64">
        <v>298.29000000000002</v>
      </c>
      <c r="L98" s="64">
        <v>17.670000000000002</v>
      </c>
      <c r="M98" s="64">
        <v>79.12</v>
      </c>
      <c r="N98" s="64">
        <v>42.7</v>
      </c>
      <c r="O98" s="64">
        <v>0</v>
      </c>
      <c r="P98" s="64">
        <v>1.65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1" t="s">
        <v>2066</v>
      </c>
      <c r="B99" s="64">
        <v>30.76</v>
      </c>
      <c r="C99" s="64">
        <v>15.42</v>
      </c>
      <c r="D99" s="64">
        <v>32.26</v>
      </c>
      <c r="E99" s="64">
        <v>5.19</v>
      </c>
      <c r="F99" s="64">
        <v>3.17</v>
      </c>
      <c r="G99" s="64">
        <v>82.89</v>
      </c>
      <c r="H99" s="64">
        <v>37.380000000000003</v>
      </c>
      <c r="I99" s="64">
        <v>5.35</v>
      </c>
      <c r="J99" s="64">
        <v>0.17</v>
      </c>
      <c r="K99" s="64">
        <v>326.99</v>
      </c>
      <c r="L99" s="64">
        <v>17.920000000000002</v>
      </c>
      <c r="M99" s="64">
        <v>75.13</v>
      </c>
      <c r="N99" s="64">
        <v>42.7</v>
      </c>
      <c r="O99" s="64">
        <v>0</v>
      </c>
      <c r="P99" s="64">
        <v>1.65</v>
      </c>
      <c r="Q99" s="64">
        <v>9.65</v>
      </c>
      <c r="R99" s="198"/>
      <c r="S99" s="198"/>
      <c r="T99" s="198"/>
      <c r="U99" s="198"/>
    </row>
    <row r="100" spans="1:33" s="12" customFormat="1" x14ac:dyDescent="0.25">
      <c r="A100" s="211" t="s">
        <v>2067</v>
      </c>
      <c r="B100" s="64">
        <v>30.54</v>
      </c>
      <c r="C100" s="64">
        <v>15.11</v>
      </c>
      <c r="D100" s="64">
        <v>31.93</v>
      </c>
      <c r="E100" s="64">
        <v>5.45</v>
      </c>
      <c r="F100" s="64">
        <v>3.06</v>
      </c>
      <c r="G100" s="64">
        <v>82.89</v>
      </c>
      <c r="H100" s="64">
        <v>37.380000000000003</v>
      </c>
      <c r="I100" s="64">
        <v>5.61</v>
      </c>
      <c r="J100" s="64">
        <v>0.25</v>
      </c>
      <c r="K100" s="64">
        <v>317.02999999999997</v>
      </c>
      <c r="L100" s="64">
        <v>17.8</v>
      </c>
      <c r="M100" s="64">
        <v>77</v>
      </c>
      <c r="N100" s="64">
        <v>43</v>
      </c>
      <c r="O100" s="64">
        <v>0</v>
      </c>
      <c r="P100" s="64">
        <v>1.63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2068</v>
      </c>
      <c r="B101" s="64">
        <v>30.34</v>
      </c>
      <c r="C101" s="64">
        <v>14.97</v>
      </c>
      <c r="D101" s="64">
        <v>31.7</v>
      </c>
      <c r="E101" s="64">
        <v>4.8</v>
      </c>
      <c r="F101" s="64">
        <v>2.73</v>
      </c>
      <c r="G101" s="64">
        <v>69.819999999999993</v>
      </c>
      <c r="H101" s="64">
        <v>35.78</v>
      </c>
      <c r="I101" s="64">
        <v>5.56</v>
      </c>
      <c r="J101" s="64">
        <v>0.23</v>
      </c>
      <c r="K101" s="64">
        <v>322.06</v>
      </c>
      <c r="L101" s="64">
        <v>17.5</v>
      </c>
      <c r="M101" s="64">
        <v>79.48</v>
      </c>
      <c r="N101" s="64">
        <v>43.1</v>
      </c>
      <c r="O101" s="64">
        <v>0</v>
      </c>
      <c r="P101" s="64">
        <v>1.62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1" t="s">
        <v>2069</v>
      </c>
      <c r="B102" s="64">
        <v>30.4</v>
      </c>
      <c r="C102" s="64">
        <v>14.79</v>
      </c>
      <c r="D102" s="64">
        <v>31.65</v>
      </c>
      <c r="E102" s="64">
        <v>4.7699999999999996</v>
      </c>
      <c r="F102" s="64">
        <v>3.02</v>
      </c>
      <c r="G102" s="64">
        <v>65.59</v>
      </c>
      <c r="H102" s="64">
        <v>35.78</v>
      </c>
      <c r="I102" s="64">
        <v>5.52</v>
      </c>
      <c r="J102" s="64">
        <v>0.27</v>
      </c>
      <c r="K102" s="64">
        <v>274.01</v>
      </c>
      <c r="L102" s="64">
        <v>17.29</v>
      </c>
      <c r="M102" s="64">
        <v>81.650000000000006</v>
      </c>
      <c r="N102" s="64">
        <v>42.9</v>
      </c>
      <c r="O102" s="64">
        <v>0</v>
      </c>
      <c r="P102" s="64">
        <v>1.62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1" t="s">
        <v>2070</v>
      </c>
      <c r="B103" s="64">
        <v>28.02</v>
      </c>
      <c r="C103" s="64">
        <v>16.03</v>
      </c>
      <c r="D103" s="64">
        <v>30.39</v>
      </c>
      <c r="E103" s="64">
        <v>5.12</v>
      </c>
      <c r="F103" s="64">
        <v>3.34</v>
      </c>
      <c r="G103" s="64">
        <v>65.59</v>
      </c>
      <c r="H103" s="64">
        <v>35.78</v>
      </c>
      <c r="I103" s="64">
        <v>5.15</v>
      </c>
      <c r="J103" s="64">
        <v>7.0000000000000007E-2</v>
      </c>
      <c r="K103" s="64">
        <v>249.93</v>
      </c>
      <c r="L103" s="64">
        <v>17.47</v>
      </c>
      <c r="M103" s="64">
        <v>80.31</v>
      </c>
      <c r="N103" s="64">
        <v>42.5</v>
      </c>
      <c r="O103" s="64">
        <v>0</v>
      </c>
      <c r="P103" s="64">
        <v>1.59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1" t="s">
        <v>2071</v>
      </c>
      <c r="B104" s="64">
        <v>28.11</v>
      </c>
      <c r="C104" s="64">
        <v>14.98</v>
      </c>
      <c r="D104" s="64">
        <v>29.91</v>
      </c>
      <c r="E104" s="64">
        <v>4.6100000000000003</v>
      </c>
      <c r="F104" s="64">
        <v>3.5</v>
      </c>
      <c r="G104" s="64">
        <v>65.59</v>
      </c>
      <c r="H104" s="64">
        <v>35.78</v>
      </c>
      <c r="I104" s="64">
        <v>5.23</v>
      </c>
      <c r="J104" s="64">
        <v>0.12</v>
      </c>
      <c r="K104" s="64">
        <v>158.5</v>
      </c>
      <c r="L104" s="64">
        <v>17.899999999999999</v>
      </c>
      <c r="M104" s="64">
        <v>76.760000000000005</v>
      </c>
      <c r="N104" s="64">
        <v>42.5</v>
      </c>
      <c r="O104" s="64">
        <v>0</v>
      </c>
      <c r="P104" s="64">
        <v>1.56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2.15</v>
      </c>
      <c r="C106" s="67">
        <f>MIN(C9:C104)</f>
        <v>2.4500000000000002</v>
      </c>
      <c r="D106" s="67">
        <f t="shared" ref="D106:Q106" si="0">MIN(D9:D104)</f>
        <v>13.24</v>
      </c>
      <c r="E106" s="67">
        <f t="shared" si="0"/>
        <v>3.81</v>
      </c>
      <c r="F106" s="67">
        <f t="shared" si="0"/>
        <v>2.73</v>
      </c>
      <c r="G106" s="67">
        <f t="shared" si="0"/>
        <v>31.57</v>
      </c>
      <c r="H106" s="67">
        <f t="shared" si="0"/>
        <v>17.54</v>
      </c>
      <c r="I106" s="67">
        <f t="shared" si="0"/>
        <v>2.58</v>
      </c>
      <c r="J106" s="67">
        <f t="shared" si="0"/>
        <v>0.06</v>
      </c>
      <c r="K106" s="67">
        <f t="shared" si="0"/>
        <v>0.56999999999999995</v>
      </c>
      <c r="L106" s="67">
        <f t="shared" si="0"/>
        <v>13.03</v>
      </c>
      <c r="M106" s="67">
        <f t="shared" si="0"/>
        <v>31.53</v>
      </c>
      <c r="N106" s="67">
        <f t="shared" si="0"/>
        <v>42.4</v>
      </c>
      <c r="O106" s="67">
        <f t="shared" si="0"/>
        <v>0</v>
      </c>
      <c r="P106" s="67">
        <f t="shared" si="0"/>
        <v>0.56999999999999995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48.93</v>
      </c>
      <c r="C107" s="66">
        <f t="shared" ref="C107:Q107" si="1">MAX(C9:C104)</f>
        <v>42.32</v>
      </c>
      <c r="D107" s="66">
        <f t="shared" si="1"/>
        <v>43.11</v>
      </c>
      <c r="E107" s="66">
        <f t="shared" si="1"/>
        <v>16.98</v>
      </c>
      <c r="F107" s="66">
        <f t="shared" si="1"/>
        <v>28.94</v>
      </c>
      <c r="G107" s="66">
        <f t="shared" si="1"/>
        <v>124.78</v>
      </c>
      <c r="H107" s="66">
        <f t="shared" si="1"/>
        <v>47.91</v>
      </c>
      <c r="I107" s="66">
        <f t="shared" si="1"/>
        <v>6.18</v>
      </c>
      <c r="J107" s="66">
        <f t="shared" si="1"/>
        <v>1.01</v>
      </c>
      <c r="K107" s="66">
        <f t="shared" si="1"/>
        <v>348.66</v>
      </c>
      <c r="L107" s="66">
        <f t="shared" si="1"/>
        <v>29.03</v>
      </c>
      <c r="M107" s="66">
        <f t="shared" si="1"/>
        <v>96.68</v>
      </c>
      <c r="N107" s="66">
        <f t="shared" si="1"/>
        <v>653.1</v>
      </c>
      <c r="O107" s="66">
        <f t="shared" si="1"/>
        <v>0</v>
      </c>
      <c r="P107" s="66">
        <f t="shared" si="1"/>
        <v>2.0099999999999998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23.225000000000009</v>
      </c>
      <c r="C108" s="67">
        <f t="shared" ref="C108:Q108" si="2">AVERAGE(C9:C104)</f>
        <v>20.147812500000008</v>
      </c>
      <c r="D108" s="67">
        <f t="shared" si="2"/>
        <v>28.683854166666666</v>
      </c>
      <c r="E108" s="67">
        <f t="shared" si="2"/>
        <v>6.365104166666665</v>
      </c>
      <c r="F108" s="67">
        <f t="shared" si="2"/>
        <v>5.896562499999999</v>
      </c>
      <c r="G108" s="67">
        <f t="shared" si="2"/>
        <v>80.23322916666659</v>
      </c>
      <c r="H108" s="67">
        <f t="shared" si="2"/>
        <v>34.29500000000003</v>
      </c>
      <c r="I108" s="67">
        <f t="shared" si="2"/>
        <v>4.600104166666668</v>
      </c>
      <c r="J108" s="67">
        <f t="shared" si="2"/>
        <v>0.30937500000000007</v>
      </c>
      <c r="K108" s="67">
        <f t="shared" si="2"/>
        <v>192.8194791666667</v>
      </c>
      <c r="L108" s="67">
        <f t="shared" si="2"/>
        <v>20.010208333333335</v>
      </c>
      <c r="M108" s="67">
        <f t="shared" si="2"/>
        <v>64.928645833333306</v>
      </c>
      <c r="N108" s="67">
        <f t="shared" si="2"/>
        <v>181.18854166666668</v>
      </c>
      <c r="O108" s="67">
        <f t="shared" si="2"/>
        <v>0</v>
      </c>
      <c r="P108" s="67">
        <f t="shared" si="2"/>
        <v>1.2921875</v>
      </c>
      <c r="Q108" s="67">
        <f t="shared" si="2"/>
        <v>9.546979166666663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16.105499747144222</v>
      </c>
      <c r="C109" s="67">
        <f t="shared" ref="C109:Q109" si="3">STDEV(C9:C104)</f>
        <v>11.511608713141419</v>
      </c>
      <c r="D109" s="67">
        <f t="shared" si="3"/>
        <v>8.0994582495623373</v>
      </c>
      <c r="E109" s="67">
        <f t="shared" si="3"/>
        <v>2.5940316091048543</v>
      </c>
      <c r="F109" s="67">
        <f t="shared" si="3"/>
        <v>5.0635150736732069</v>
      </c>
      <c r="G109" s="67">
        <f t="shared" si="3"/>
        <v>23.83728351243499</v>
      </c>
      <c r="H109" s="67">
        <f t="shared" si="3"/>
        <v>7.6939839792972107</v>
      </c>
      <c r="I109" s="67">
        <f t="shared" si="3"/>
        <v>1.0481889090402932</v>
      </c>
      <c r="J109" s="67">
        <f t="shared" si="3"/>
        <v>0.23831342696894811</v>
      </c>
      <c r="K109" s="67">
        <f t="shared" si="3"/>
        <v>111.74103208448012</v>
      </c>
      <c r="L109" s="67">
        <f t="shared" si="3"/>
        <v>4.9209029935500732</v>
      </c>
      <c r="M109" s="67">
        <f t="shared" si="3"/>
        <v>23.784131313913083</v>
      </c>
      <c r="N109" s="67">
        <f t="shared" si="3"/>
        <v>213.62372964472968</v>
      </c>
      <c r="O109" s="67">
        <f t="shared" si="3"/>
        <v>0</v>
      </c>
      <c r="P109" s="67">
        <f t="shared" si="3"/>
        <v>0.39599628686457045</v>
      </c>
      <c r="Q109" s="67">
        <f t="shared" si="3"/>
        <v>0.15131090190428356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21" sqref="J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2072</v>
      </c>
      <c r="B9" s="64">
        <v>24.8</v>
      </c>
      <c r="C9" s="64">
        <v>15.71</v>
      </c>
      <c r="D9" s="64">
        <v>27.64</v>
      </c>
      <c r="E9" s="64">
        <v>5.0999999999999996</v>
      </c>
      <c r="F9" s="64">
        <v>4.7699999999999996</v>
      </c>
      <c r="G9" s="64">
        <v>53.66</v>
      </c>
      <c r="H9" s="64">
        <v>31.36</v>
      </c>
      <c r="I9" s="64">
        <v>5.47</v>
      </c>
      <c r="J9" s="64">
        <v>0.33</v>
      </c>
      <c r="K9" s="64">
        <v>275.60000000000002</v>
      </c>
      <c r="L9" s="64">
        <v>17.739999999999998</v>
      </c>
      <c r="M9" s="64">
        <v>78.22</v>
      </c>
      <c r="N9" s="64">
        <v>42.8</v>
      </c>
      <c r="O9" s="64">
        <v>0</v>
      </c>
      <c r="P9" s="64">
        <v>1.48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1" t="s">
        <v>2073</v>
      </c>
      <c r="B10" s="64">
        <v>25.12</v>
      </c>
      <c r="C10" s="64">
        <v>16.03</v>
      </c>
      <c r="D10" s="64">
        <v>28.06</v>
      </c>
      <c r="E10" s="64">
        <v>5.18</v>
      </c>
      <c r="F10" s="64">
        <v>4.2300000000000004</v>
      </c>
      <c r="G10" s="64">
        <v>49.79</v>
      </c>
      <c r="H10" s="64">
        <v>31.36</v>
      </c>
      <c r="I10" s="64">
        <v>5.4</v>
      </c>
      <c r="J10" s="64">
        <v>0.3</v>
      </c>
      <c r="K10" s="64">
        <v>281.74</v>
      </c>
      <c r="L10" s="64">
        <v>17.43</v>
      </c>
      <c r="M10" s="64">
        <v>79.510000000000005</v>
      </c>
      <c r="N10" s="64">
        <v>43</v>
      </c>
      <c r="O10" s="64">
        <v>0</v>
      </c>
      <c r="P10" s="64">
        <v>1.55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1" t="s">
        <v>2074</v>
      </c>
      <c r="B11" s="64">
        <v>24.54</v>
      </c>
      <c r="C11" s="64">
        <v>16.420000000000002</v>
      </c>
      <c r="D11" s="64">
        <v>27.79</v>
      </c>
      <c r="E11" s="64">
        <v>5.34</v>
      </c>
      <c r="F11" s="64">
        <v>4.04</v>
      </c>
      <c r="G11" s="64">
        <v>49.79</v>
      </c>
      <c r="H11" s="64">
        <v>31.36</v>
      </c>
      <c r="I11" s="64">
        <v>5.32</v>
      </c>
      <c r="J11" s="64">
        <v>0.13</v>
      </c>
      <c r="K11" s="64">
        <v>249.7</v>
      </c>
      <c r="L11" s="64">
        <v>17.55</v>
      </c>
      <c r="M11" s="64">
        <v>77.680000000000007</v>
      </c>
      <c r="N11" s="64">
        <v>42.6</v>
      </c>
      <c r="O11" s="64">
        <v>0</v>
      </c>
      <c r="P11" s="64">
        <v>1.53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1" t="s">
        <v>2075</v>
      </c>
      <c r="B12" s="64">
        <v>25.18</v>
      </c>
      <c r="C12" s="64">
        <v>15.71</v>
      </c>
      <c r="D12" s="64">
        <v>27.94</v>
      </c>
      <c r="E12" s="64">
        <v>5.24</v>
      </c>
      <c r="F12" s="64">
        <v>3.68</v>
      </c>
      <c r="G12" s="64">
        <v>49.79</v>
      </c>
      <c r="H12" s="64">
        <v>31.36</v>
      </c>
      <c r="I12" s="64">
        <v>5.25</v>
      </c>
      <c r="J12" s="64">
        <v>0.28000000000000003</v>
      </c>
      <c r="K12" s="64">
        <v>273.48</v>
      </c>
      <c r="L12" s="64">
        <v>17.43</v>
      </c>
      <c r="M12" s="64">
        <v>79.61</v>
      </c>
      <c r="N12" s="64">
        <v>43.2</v>
      </c>
      <c r="O12" s="64">
        <v>0</v>
      </c>
      <c r="P12" s="64">
        <v>1.5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1" t="s">
        <v>2076</v>
      </c>
      <c r="B13" s="64">
        <v>23.26</v>
      </c>
      <c r="C13" s="64">
        <v>16.89</v>
      </c>
      <c r="D13" s="64">
        <v>27.02</v>
      </c>
      <c r="E13" s="64">
        <v>5.38</v>
      </c>
      <c r="F13" s="64">
        <v>3.38</v>
      </c>
      <c r="G13" s="64">
        <v>44.13</v>
      </c>
      <c r="H13" s="64">
        <v>26.91</v>
      </c>
      <c r="I13" s="64">
        <v>5.19</v>
      </c>
      <c r="J13" s="64">
        <v>0.27</v>
      </c>
      <c r="K13" s="64">
        <v>283.31</v>
      </c>
      <c r="L13" s="64">
        <v>16.93</v>
      </c>
      <c r="M13" s="64">
        <v>85.47</v>
      </c>
      <c r="N13" s="64">
        <v>43.2</v>
      </c>
      <c r="O13" s="64">
        <v>0</v>
      </c>
      <c r="P13" s="64">
        <v>1.23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1" t="s">
        <v>2077</v>
      </c>
      <c r="B14" s="64">
        <v>24.77</v>
      </c>
      <c r="C14" s="64">
        <v>15.38</v>
      </c>
      <c r="D14" s="64">
        <v>27.44</v>
      </c>
      <c r="E14" s="64">
        <v>5.01</v>
      </c>
      <c r="F14" s="64">
        <v>3.19</v>
      </c>
      <c r="G14" s="64">
        <v>42.3</v>
      </c>
      <c r="H14" s="64">
        <v>26.91</v>
      </c>
      <c r="I14" s="64">
        <v>4.8</v>
      </c>
      <c r="J14" s="64">
        <v>0.2</v>
      </c>
      <c r="K14" s="64">
        <v>283.98</v>
      </c>
      <c r="L14" s="64">
        <v>16.329999999999998</v>
      </c>
      <c r="M14" s="64">
        <v>92.36</v>
      </c>
      <c r="N14" s="64">
        <v>43.4</v>
      </c>
      <c r="O14" s="64">
        <v>0</v>
      </c>
      <c r="P14" s="64">
        <v>1.31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1" t="s">
        <v>2078</v>
      </c>
      <c r="B15" s="64">
        <v>24.88</v>
      </c>
      <c r="C15" s="64">
        <v>15.21</v>
      </c>
      <c r="D15" s="64">
        <v>27.43</v>
      </c>
      <c r="E15" s="64">
        <v>5.19</v>
      </c>
      <c r="F15" s="64">
        <v>3.22</v>
      </c>
      <c r="G15" s="64">
        <v>42.3</v>
      </c>
      <c r="H15" s="64">
        <v>26.91</v>
      </c>
      <c r="I15" s="64">
        <v>4.8099999999999996</v>
      </c>
      <c r="J15" s="64">
        <v>0.06</v>
      </c>
      <c r="K15" s="64">
        <v>323.14</v>
      </c>
      <c r="L15" s="64">
        <v>15.78</v>
      </c>
      <c r="M15" s="64">
        <v>96.24</v>
      </c>
      <c r="N15" s="64">
        <v>43.4</v>
      </c>
      <c r="O15" s="64">
        <v>0</v>
      </c>
      <c r="P15" s="64">
        <v>1.26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1" t="s">
        <v>2079</v>
      </c>
      <c r="B16" s="64">
        <v>24.59</v>
      </c>
      <c r="C16" s="64">
        <v>14.94</v>
      </c>
      <c r="D16" s="64">
        <v>27.07</v>
      </c>
      <c r="E16" s="64">
        <v>5.16</v>
      </c>
      <c r="F16" s="64">
        <v>3.05</v>
      </c>
      <c r="G16" s="64">
        <v>42.3</v>
      </c>
      <c r="H16" s="64">
        <v>26.91</v>
      </c>
      <c r="I16" s="64">
        <v>4.96</v>
      </c>
      <c r="J16" s="64">
        <v>0.2</v>
      </c>
      <c r="K16" s="64">
        <v>334.34</v>
      </c>
      <c r="L16" s="64">
        <v>15.22</v>
      </c>
      <c r="M16" s="64">
        <v>96.59</v>
      </c>
      <c r="N16" s="64">
        <v>43.2</v>
      </c>
      <c r="O16" s="64">
        <v>0</v>
      </c>
      <c r="P16" s="64">
        <v>1.18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1" t="s">
        <v>2080</v>
      </c>
      <c r="B17" s="64">
        <v>24.31</v>
      </c>
      <c r="C17" s="64">
        <v>14.66</v>
      </c>
      <c r="D17" s="64">
        <v>26.69</v>
      </c>
      <c r="E17" s="64">
        <v>5.17</v>
      </c>
      <c r="F17" s="64">
        <v>3.08</v>
      </c>
      <c r="G17" s="64">
        <v>45.05</v>
      </c>
      <c r="H17" s="64">
        <v>26.12</v>
      </c>
      <c r="I17" s="64">
        <v>4.8600000000000003</v>
      </c>
      <c r="J17" s="64">
        <v>0.11</v>
      </c>
      <c r="K17" s="64">
        <v>280.79000000000002</v>
      </c>
      <c r="L17" s="64">
        <v>15.09</v>
      </c>
      <c r="M17" s="64">
        <v>96.58</v>
      </c>
      <c r="N17" s="64">
        <v>42.9</v>
      </c>
      <c r="O17" s="64">
        <v>0</v>
      </c>
      <c r="P17" s="64">
        <v>1.1299999999999999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1" t="s">
        <v>2081</v>
      </c>
      <c r="B18" s="64">
        <v>23.99</v>
      </c>
      <c r="C18" s="64">
        <v>14.44</v>
      </c>
      <c r="D18" s="64">
        <v>26.33</v>
      </c>
      <c r="E18" s="64">
        <v>5.15</v>
      </c>
      <c r="F18" s="64">
        <v>3.17</v>
      </c>
      <c r="G18" s="64">
        <v>45.99</v>
      </c>
      <c r="H18" s="64">
        <v>26.12</v>
      </c>
      <c r="I18" s="64">
        <v>4.78</v>
      </c>
      <c r="J18" s="64">
        <v>0.24</v>
      </c>
      <c r="K18" s="64">
        <v>242.37</v>
      </c>
      <c r="L18" s="64">
        <v>15.69</v>
      </c>
      <c r="M18" s="64">
        <v>96.38</v>
      </c>
      <c r="N18" s="64">
        <v>42.1</v>
      </c>
      <c r="O18" s="64">
        <v>0</v>
      </c>
      <c r="P18" s="64">
        <v>1.0900000000000001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1" t="s">
        <v>2082</v>
      </c>
      <c r="B19" s="64">
        <v>23.63</v>
      </c>
      <c r="C19" s="64">
        <v>14.44</v>
      </c>
      <c r="D19" s="64">
        <v>26.03</v>
      </c>
      <c r="E19" s="64">
        <v>4.7</v>
      </c>
      <c r="F19" s="64">
        <v>3.04</v>
      </c>
      <c r="G19" s="64">
        <v>45.99</v>
      </c>
      <c r="H19" s="64">
        <v>26.12</v>
      </c>
      <c r="I19" s="64">
        <v>4.41</v>
      </c>
      <c r="J19" s="64">
        <v>0.28999999999999998</v>
      </c>
      <c r="K19" s="64">
        <v>286.01</v>
      </c>
      <c r="L19" s="64">
        <v>15.61</v>
      </c>
      <c r="M19" s="64">
        <v>96.54</v>
      </c>
      <c r="N19" s="64">
        <v>43</v>
      </c>
      <c r="O19" s="64">
        <v>0</v>
      </c>
      <c r="P19" s="64">
        <v>1.06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1" t="s">
        <v>2083</v>
      </c>
      <c r="B20" s="64">
        <v>23.2</v>
      </c>
      <c r="C20" s="64">
        <v>14.47</v>
      </c>
      <c r="D20" s="64">
        <v>25.7</v>
      </c>
      <c r="E20" s="64">
        <v>4.9800000000000004</v>
      </c>
      <c r="F20" s="64">
        <v>3.18</v>
      </c>
      <c r="G20" s="64">
        <v>45.99</v>
      </c>
      <c r="H20" s="64">
        <v>26.12</v>
      </c>
      <c r="I20" s="64">
        <v>4.1100000000000003</v>
      </c>
      <c r="J20" s="64">
        <v>0.12</v>
      </c>
      <c r="K20" s="64">
        <v>252.46</v>
      </c>
      <c r="L20" s="64">
        <v>15.21</v>
      </c>
      <c r="M20" s="64">
        <v>96.58</v>
      </c>
      <c r="N20" s="64">
        <v>43</v>
      </c>
      <c r="O20" s="64">
        <v>0</v>
      </c>
      <c r="P20" s="64">
        <v>1.03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1" t="s">
        <v>2084</v>
      </c>
      <c r="B21" s="64">
        <v>22.75</v>
      </c>
      <c r="C21" s="64">
        <v>14.45</v>
      </c>
      <c r="D21" s="64">
        <v>25.33</v>
      </c>
      <c r="E21" s="64">
        <v>4.63</v>
      </c>
      <c r="F21" s="64">
        <v>2.99</v>
      </c>
      <c r="G21" s="64">
        <v>50.54</v>
      </c>
      <c r="H21" s="64">
        <v>23.95</v>
      </c>
      <c r="I21" s="64">
        <v>4.34</v>
      </c>
      <c r="J21" s="64">
        <v>0.15</v>
      </c>
      <c r="K21" s="64">
        <v>209.51</v>
      </c>
      <c r="L21" s="64">
        <v>15.05</v>
      </c>
      <c r="M21" s="64">
        <v>96.57</v>
      </c>
      <c r="N21" s="64">
        <v>42.9</v>
      </c>
      <c r="O21" s="64">
        <v>0</v>
      </c>
      <c r="P21" s="64">
        <v>1.01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1" t="s">
        <v>2085</v>
      </c>
      <c r="B22" s="64">
        <v>22.45</v>
      </c>
      <c r="C22" s="64">
        <v>14.28</v>
      </c>
      <c r="D22" s="64">
        <v>25</v>
      </c>
      <c r="E22" s="64">
        <v>4.79</v>
      </c>
      <c r="F22" s="64">
        <v>2.92</v>
      </c>
      <c r="G22" s="64">
        <v>52.01</v>
      </c>
      <c r="H22" s="64">
        <v>23.95</v>
      </c>
      <c r="I22" s="64">
        <v>4.18</v>
      </c>
      <c r="J22" s="64">
        <v>0.12</v>
      </c>
      <c r="K22" s="64">
        <v>279.08999999999997</v>
      </c>
      <c r="L22" s="64">
        <v>14.75</v>
      </c>
      <c r="M22" s="64">
        <v>96.59</v>
      </c>
      <c r="N22" s="64">
        <v>43</v>
      </c>
      <c r="O22" s="64">
        <v>0</v>
      </c>
      <c r="P22" s="64">
        <v>0.99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1" t="s">
        <v>2086</v>
      </c>
      <c r="B23" s="64">
        <v>22.18</v>
      </c>
      <c r="C23" s="64">
        <v>14.16</v>
      </c>
      <c r="D23" s="64">
        <v>24.72</v>
      </c>
      <c r="E23" s="64">
        <v>4.9800000000000004</v>
      </c>
      <c r="F23" s="64">
        <v>2.83</v>
      </c>
      <c r="G23" s="64">
        <v>52.01</v>
      </c>
      <c r="H23" s="64">
        <v>23.95</v>
      </c>
      <c r="I23" s="64">
        <v>3.89</v>
      </c>
      <c r="J23" s="64">
        <v>0.22</v>
      </c>
      <c r="K23" s="64">
        <v>251.03</v>
      </c>
      <c r="L23" s="64">
        <v>14.55</v>
      </c>
      <c r="M23" s="64">
        <v>96.6</v>
      </c>
      <c r="N23" s="64">
        <v>42.9</v>
      </c>
      <c r="O23" s="64">
        <v>0</v>
      </c>
      <c r="P23" s="64">
        <v>0.95</v>
      </c>
      <c r="Q23" s="64">
        <v>9.57</v>
      </c>
      <c r="R23" s="198"/>
      <c r="S23" s="198"/>
      <c r="T23" s="198"/>
      <c r="U23" s="198"/>
    </row>
    <row r="24" spans="1:21" s="12" customFormat="1" x14ac:dyDescent="0.25">
      <c r="A24" s="211" t="s">
        <v>2087</v>
      </c>
      <c r="B24" s="64">
        <v>22</v>
      </c>
      <c r="C24" s="64">
        <v>13.86</v>
      </c>
      <c r="D24" s="64">
        <v>24.42</v>
      </c>
      <c r="E24" s="64">
        <v>4.88</v>
      </c>
      <c r="F24" s="64">
        <v>2.88</v>
      </c>
      <c r="G24" s="64">
        <v>52.01</v>
      </c>
      <c r="H24" s="64">
        <v>23.95</v>
      </c>
      <c r="I24" s="64">
        <v>3.85</v>
      </c>
      <c r="J24" s="64">
        <v>0.17</v>
      </c>
      <c r="K24" s="64">
        <v>275.18</v>
      </c>
      <c r="L24" s="64">
        <v>14.41</v>
      </c>
      <c r="M24" s="64">
        <v>96.62</v>
      </c>
      <c r="N24" s="64">
        <v>42.9</v>
      </c>
      <c r="O24" s="64">
        <v>0</v>
      </c>
      <c r="P24" s="64">
        <v>0.93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11" t="s">
        <v>2088</v>
      </c>
      <c r="B25" s="64">
        <v>22.31</v>
      </c>
      <c r="C25" s="64">
        <v>12.65</v>
      </c>
      <c r="D25" s="64">
        <v>24.04</v>
      </c>
      <c r="E25" s="64">
        <v>4.9800000000000004</v>
      </c>
      <c r="F25" s="64">
        <v>3.06</v>
      </c>
      <c r="G25" s="64">
        <v>39.56</v>
      </c>
      <c r="H25" s="64">
        <v>21.47</v>
      </c>
      <c r="I25" s="64">
        <v>3.8</v>
      </c>
      <c r="J25" s="64">
        <v>0.23</v>
      </c>
      <c r="K25" s="64">
        <v>287.44</v>
      </c>
      <c r="L25" s="64">
        <v>14.37</v>
      </c>
      <c r="M25" s="64">
        <v>96.63</v>
      </c>
      <c r="N25" s="64">
        <v>42.8</v>
      </c>
      <c r="O25" s="64">
        <v>0</v>
      </c>
      <c r="P25" s="64">
        <v>0.92</v>
      </c>
      <c r="Q25" s="64">
        <v>9.59</v>
      </c>
      <c r="R25" s="198"/>
      <c r="S25" s="198"/>
      <c r="T25" s="198"/>
      <c r="U25" s="198"/>
    </row>
    <row r="26" spans="1:21" s="12" customFormat="1" x14ac:dyDescent="0.25">
      <c r="A26" s="211" t="s">
        <v>2089</v>
      </c>
      <c r="B26" s="64">
        <v>22.73</v>
      </c>
      <c r="C26" s="64">
        <v>12.55</v>
      </c>
      <c r="D26" s="64">
        <v>24.32</v>
      </c>
      <c r="E26" s="64">
        <v>5.24</v>
      </c>
      <c r="F26" s="64">
        <v>2.98</v>
      </c>
      <c r="G26" s="64">
        <v>35.54</v>
      </c>
      <c r="H26" s="64">
        <v>21.47</v>
      </c>
      <c r="I26" s="64">
        <v>3.78</v>
      </c>
      <c r="J26" s="64">
        <v>0.23</v>
      </c>
      <c r="K26" s="64">
        <v>282.52999999999997</v>
      </c>
      <c r="L26" s="64">
        <v>14.16</v>
      </c>
      <c r="M26" s="64">
        <v>96.65</v>
      </c>
      <c r="N26" s="64">
        <v>43</v>
      </c>
      <c r="O26" s="64">
        <v>0</v>
      </c>
      <c r="P26" s="64">
        <v>0.94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1" t="s">
        <v>2090</v>
      </c>
      <c r="B27" s="64">
        <v>23.18</v>
      </c>
      <c r="C27" s="64">
        <v>12.61</v>
      </c>
      <c r="D27" s="64">
        <v>24.71</v>
      </c>
      <c r="E27" s="64">
        <v>4.91</v>
      </c>
      <c r="F27" s="64">
        <v>3.03</v>
      </c>
      <c r="G27" s="64">
        <v>35.54</v>
      </c>
      <c r="H27" s="64">
        <v>21.47</v>
      </c>
      <c r="I27" s="64">
        <v>3.78</v>
      </c>
      <c r="J27" s="64">
        <v>0.23</v>
      </c>
      <c r="K27" s="64">
        <v>342.29</v>
      </c>
      <c r="L27" s="64">
        <v>13.98</v>
      </c>
      <c r="M27" s="64">
        <v>96.68</v>
      </c>
      <c r="N27" s="64">
        <v>42.7</v>
      </c>
      <c r="O27" s="64">
        <v>0</v>
      </c>
      <c r="P27" s="64">
        <v>0.96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1" t="s">
        <v>2091</v>
      </c>
      <c r="B28" s="64">
        <v>23.72</v>
      </c>
      <c r="C28" s="64">
        <v>12.58</v>
      </c>
      <c r="D28" s="64">
        <v>25.14</v>
      </c>
      <c r="E28" s="64">
        <v>4.7699999999999996</v>
      </c>
      <c r="F28" s="64">
        <v>2.9</v>
      </c>
      <c r="G28" s="64">
        <v>35.54</v>
      </c>
      <c r="H28" s="64">
        <v>21.47</v>
      </c>
      <c r="I28" s="64">
        <v>3.78</v>
      </c>
      <c r="J28" s="64">
        <v>0.49</v>
      </c>
      <c r="K28" s="64">
        <v>324.29000000000002</v>
      </c>
      <c r="L28" s="64">
        <v>13.96</v>
      </c>
      <c r="M28" s="64">
        <v>96.68</v>
      </c>
      <c r="N28" s="64">
        <v>42.2</v>
      </c>
      <c r="O28" s="64">
        <v>0</v>
      </c>
      <c r="P28" s="64">
        <v>0.95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1" t="s">
        <v>2092</v>
      </c>
      <c r="B29" s="64">
        <v>23.94</v>
      </c>
      <c r="C29" s="64">
        <v>12.62</v>
      </c>
      <c r="D29" s="64">
        <v>25.33</v>
      </c>
      <c r="E29" s="64">
        <v>5.0999999999999996</v>
      </c>
      <c r="F29" s="64">
        <v>3.1</v>
      </c>
      <c r="G29" s="64">
        <v>43.01</v>
      </c>
      <c r="H29" s="64">
        <v>18.940000000000001</v>
      </c>
      <c r="I29" s="64">
        <v>3.77</v>
      </c>
      <c r="J29" s="64">
        <v>0.44</v>
      </c>
      <c r="K29" s="64">
        <v>319.32</v>
      </c>
      <c r="L29" s="64">
        <v>14.02</v>
      </c>
      <c r="M29" s="64">
        <v>96.68</v>
      </c>
      <c r="N29" s="64">
        <v>42.6</v>
      </c>
      <c r="O29" s="64">
        <v>0</v>
      </c>
      <c r="P29" s="64">
        <v>0.94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1" t="s">
        <v>2093</v>
      </c>
      <c r="B30" s="64">
        <v>23.93</v>
      </c>
      <c r="C30" s="64">
        <v>12.7</v>
      </c>
      <c r="D30" s="64">
        <v>25.37</v>
      </c>
      <c r="E30" s="64">
        <v>4.93</v>
      </c>
      <c r="F30" s="64">
        <v>3.21</v>
      </c>
      <c r="G30" s="64">
        <v>45.43</v>
      </c>
      <c r="H30" s="64">
        <v>18.940000000000001</v>
      </c>
      <c r="I30" s="64">
        <v>3.74</v>
      </c>
      <c r="J30" s="64">
        <v>0.3</v>
      </c>
      <c r="K30" s="64">
        <v>320.66000000000003</v>
      </c>
      <c r="L30" s="64">
        <v>13.98</v>
      </c>
      <c r="M30" s="64">
        <v>96.66</v>
      </c>
      <c r="N30" s="64">
        <v>42.8</v>
      </c>
      <c r="O30" s="64">
        <v>0</v>
      </c>
      <c r="P30" s="64">
        <v>0.94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1" t="s">
        <v>2094</v>
      </c>
      <c r="B31" s="64">
        <v>23.83</v>
      </c>
      <c r="C31" s="64">
        <v>12.74</v>
      </c>
      <c r="D31" s="64">
        <v>25.3</v>
      </c>
      <c r="E31" s="64">
        <v>4.88</v>
      </c>
      <c r="F31" s="64">
        <v>3.09</v>
      </c>
      <c r="G31" s="64">
        <v>45.43</v>
      </c>
      <c r="H31" s="64">
        <v>18.940000000000001</v>
      </c>
      <c r="I31" s="64">
        <v>3.73</v>
      </c>
      <c r="J31" s="64">
        <v>0.18</v>
      </c>
      <c r="K31" s="64">
        <v>340.81</v>
      </c>
      <c r="L31" s="64">
        <v>14.02</v>
      </c>
      <c r="M31" s="64">
        <v>96.63</v>
      </c>
      <c r="N31" s="64">
        <v>42.8</v>
      </c>
      <c r="O31" s="64">
        <v>0</v>
      </c>
      <c r="P31" s="64">
        <v>0.95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1" t="s">
        <v>2095</v>
      </c>
      <c r="B32" s="64">
        <v>24.08</v>
      </c>
      <c r="C32" s="64">
        <v>12.95</v>
      </c>
      <c r="D32" s="64">
        <v>25.62</v>
      </c>
      <c r="E32" s="64">
        <v>4.92</v>
      </c>
      <c r="F32" s="64">
        <v>3.1</v>
      </c>
      <c r="G32" s="64">
        <v>45.43</v>
      </c>
      <c r="H32" s="64">
        <v>18.940000000000001</v>
      </c>
      <c r="I32" s="64">
        <v>3.71</v>
      </c>
      <c r="J32" s="64">
        <v>0.18</v>
      </c>
      <c r="K32" s="64">
        <v>335.14</v>
      </c>
      <c r="L32" s="64">
        <v>14.01</v>
      </c>
      <c r="M32" s="64">
        <v>96.63</v>
      </c>
      <c r="N32" s="64">
        <v>43.1</v>
      </c>
      <c r="O32" s="64">
        <v>0</v>
      </c>
      <c r="P32" s="64">
        <v>0.95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1" t="s">
        <v>2096</v>
      </c>
      <c r="B33" s="64">
        <v>24.72</v>
      </c>
      <c r="C33" s="64">
        <v>13.08</v>
      </c>
      <c r="D33" s="64">
        <v>26.2</v>
      </c>
      <c r="E33" s="64">
        <v>5.08</v>
      </c>
      <c r="F33" s="64">
        <v>3.1</v>
      </c>
      <c r="G33" s="64">
        <v>69.400000000000006</v>
      </c>
      <c r="H33" s="64">
        <v>29.76</v>
      </c>
      <c r="I33" s="64">
        <v>3.73</v>
      </c>
      <c r="J33" s="64">
        <v>0.26</v>
      </c>
      <c r="K33" s="64">
        <v>345.14</v>
      </c>
      <c r="L33" s="64">
        <v>13.98</v>
      </c>
      <c r="M33" s="64">
        <v>96.63</v>
      </c>
      <c r="N33" s="64">
        <v>44.9</v>
      </c>
      <c r="O33" s="64">
        <v>0</v>
      </c>
      <c r="P33" s="64">
        <v>0.95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1" t="s">
        <v>2097</v>
      </c>
      <c r="B34" s="64">
        <v>25.48</v>
      </c>
      <c r="C34" s="64">
        <v>12.81</v>
      </c>
      <c r="D34" s="64">
        <v>26.66</v>
      </c>
      <c r="E34" s="64">
        <v>4.67</v>
      </c>
      <c r="F34" s="64">
        <v>2.97</v>
      </c>
      <c r="G34" s="64">
        <v>77.150000000000006</v>
      </c>
      <c r="H34" s="64">
        <v>29.76</v>
      </c>
      <c r="I34" s="64">
        <v>3.76</v>
      </c>
      <c r="J34" s="64">
        <v>0.25</v>
      </c>
      <c r="K34" s="64">
        <v>336.07</v>
      </c>
      <c r="L34" s="64">
        <v>14.24</v>
      </c>
      <c r="M34" s="64">
        <v>96.62</v>
      </c>
      <c r="N34" s="64">
        <v>52.8</v>
      </c>
      <c r="O34" s="64">
        <v>0</v>
      </c>
      <c r="P34" s="64">
        <v>0.94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1" t="s">
        <v>2098</v>
      </c>
      <c r="B35" s="64">
        <v>26.52</v>
      </c>
      <c r="C35" s="64">
        <v>12.45</v>
      </c>
      <c r="D35" s="64">
        <v>27.31</v>
      </c>
      <c r="E35" s="64">
        <v>4.91</v>
      </c>
      <c r="F35" s="64">
        <v>3.31</v>
      </c>
      <c r="G35" s="64">
        <v>77.150000000000006</v>
      </c>
      <c r="H35" s="64">
        <v>29.76</v>
      </c>
      <c r="I35" s="64">
        <v>3.8</v>
      </c>
      <c r="J35" s="64">
        <v>0.55000000000000004</v>
      </c>
      <c r="K35" s="64">
        <v>348.98</v>
      </c>
      <c r="L35" s="64">
        <v>14.61</v>
      </c>
      <c r="M35" s="64">
        <v>96.6</v>
      </c>
      <c r="N35" s="64">
        <v>66.2</v>
      </c>
      <c r="O35" s="64">
        <v>0</v>
      </c>
      <c r="P35" s="64">
        <v>0.97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1" t="s">
        <v>2099</v>
      </c>
      <c r="B36" s="64">
        <v>27.87</v>
      </c>
      <c r="C36" s="64">
        <v>12.05</v>
      </c>
      <c r="D36" s="64">
        <v>28.18</v>
      </c>
      <c r="E36" s="64">
        <v>5.03</v>
      </c>
      <c r="F36" s="64">
        <v>3.3</v>
      </c>
      <c r="G36" s="64">
        <v>77.150000000000006</v>
      </c>
      <c r="H36" s="64">
        <v>29.76</v>
      </c>
      <c r="I36" s="64">
        <v>3.86</v>
      </c>
      <c r="J36" s="64">
        <v>0.02</v>
      </c>
      <c r="K36" s="64">
        <v>343.93</v>
      </c>
      <c r="L36" s="64">
        <v>15.04</v>
      </c>
      <c r="M36" s="64">
        <v>96.59</v>
      </c>
      <c r="N36" s="64">
        <v>82</v>
      </c>
      <c r="O36" s="64">
        <v>0</v>
      </c>
      <c r="P36" s="64">
        <v>1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1" t="s">
        <v>2100</v>
      </c>
      <c r="B37" s="64">
        <v>29.34</v>
      </c>
      <c r="C37" s="64">
        <v>11.46</v>
      </c>
      <c r="D37" s="64">
        <v>29.05</v>
      </c>
      <c r="E37" s="64">
        <v>5.05</v>
      </c>
      <c r="F37" s="64">
        <v>3.26</v>
      </c>
      <c r="G37" s="64">
        <v>139.05000000000001</v>
      </c>
      <c r="H37" s="64">
        <v>43.79</v>
      </c>
      <c r="I37" s="64">
        <v>3.97</v>
      </c>
      <c r="J37" s="64">
        <v>0.26</v>
      </c>
      <c r="K37" s="64">
        <v>118.1</v>
      </c>
      <c r="L37" s="64">
        <v>15.61</v>
      </c>
      <c r="M37" s="64">
        <v>96.55</v>
      </c>
      <c r="N37" s="64">
        <v>108.5</v>
      </c>
      <c r="O37" s="64">
        <v>0</v>
      </c>
      <c r="P37" s="64">
        <v>1.07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1" t="s">
        <v>2101</v>
      </c>
      <c r="B38" s="64">
        <v>30.45</v>
      </c>
      <c r="C38" s="64">
        <v>10.98</v>
      </c>
      <c r="D38" s="64">
        <v>29.69</v>
      </c>
      <c r="E38" s="64">
        <v>4.9000000000000004</v>
      </c>
      <c r="F38" s="64">
        <v>3.31</v>
      </c>
      <c r="G38" s="64">
        <v>159.08000000000001</v>
      </c>
      <c r="H38" s="64">
        <v>43.79</v>
      </c>
      <c r="I38" s="64">
        <v>4.09</v>
      </c>
      <c r="J38" s="64">
        <v>0.09</v>
      </c>
      <c r="K38" s="64">
        <v>96.04</v>
      </c>
      <c r="L38" s="64">
        <v>16.57</v>
      </c>
      <c r="M38" s="64">
        <v>95.15</v>
      </c>
      <c r="N38" s="64">
        <v>164.7</v>
      </c>
      <c r="O38" s="64">
        <v>0</v>
      </c>
      <c r="P38" s="64">
        <v>1.1599999999999999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1" t="s">
        <v>2102</v>
      </c>
      <c r="B39" s="64">
        <v>31.11</v>
      </c>
      <c r="C39" s="64">
        <v>10.95</v>
      </c>
      <c r="D39" s="64">
        <v>30.21</v>
      </c>
      <c r="E39" s="64">
        <v>4.97</v>
      </c>
      <c r="F39" s="64">
        <v>3.2</v>
      </c>
      <c r="G39" s="64">
        <v>159.08000000000001</v>
      </c>
      <c r="H39" s="64">
        <v>43.79</v>
      </c>
      <c r="I39" s="64">
        <v>4.5599999999999996</v>
      </c>
      <c r="J39" s="64">
        <v>0.46</v>
      </c>
      <c r="K39" s="64">
        <v>341.43</v>
      </c>
      <c r="L39" s="64">
        <v>18.64</v>
      </c>
      <c r="M39" s="64">
        <v>83.8</v>
      </c>
      <c r="N39" s="64">
        <v>215.7</v>
      </c>
      <c r="O39" s="64">
        <v>0</v>
      </c>
      <c r="P39" s="64">
        <v>1.21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1" t="s">
        <v>2103</v>
      </c>
      <c r="B40" s="64">
        <v>32.19</v>
      </c>
      <c r="C40" s="64">
        <v>10.9</v>
      </c>
      <c r="D40" s="64">
        <v>31.05</v>
      </c>
      <c r="E40" s="64">
        <v>5.44</v>
      </c>
      <c r="F40" s="64">
        <v>3.28</v>
      </c>
      <c r="G40" s="64">
        <v>159.08000000000001</v>
      </c>
      <c r="H40" s="64">
        <v>43.79</v>
      </c>
      <c r="I40" s="64">
        <v>4.95</v>
      </c>
      <c r="J40" s="64">
        <v>0.94</v>
      </c>
      <c r="K40" s="64">
        <v>345.1</v>
      </c>
      <c r="L40" s="64">
        <v>20.5</v>
      </c>
      <c r="M40" s="64">
        <v>71.75</v>
      </c>
      <c r="N40" s="64">
        <v>262.2</v>
      </c>
      <c r="O40" s="64">
        <v>0</v>
      </c>
      <c r="P40" s="64">
        <v>1.29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1" t="s">
        <v>2104</v>
      </c>
      <c r="B41" s="64">
        <v>32.74</v>
      </c>
      <c r="C41" s="64">
        <v>11.35</v>
      </c>
      <c r="D41" s="64">
        <v>31.72</v>
      </c>
      <c r="E41" s="64">
        <v>5.51</v>
      </c>
      <c r="F41" s="64">
        <v>3.17</v>
      </c>
      <c r="G41" s="64">
        <v>163.61000000000001</v>
      </c>
      <c r="H41" s="64">
        <v>52.64</v>
      </c>
      <c r="I41" s="64">
        <v>5.0599999999999996</v>
      </c>
      <c r="J41" s="64">
        <v>0.94</v>
      </c>
      <c r="K41" s="64">
        <v>347.6</v>
      </c>
      <c r="L41" s="64">
        <v>21.94</v>
      </c>
      <c r="M41" s="64">
        <v>64.88</v>
      </c>
      <c r="N41" s="64">
        <v>310.5</v>
      </c>
      <c r="O41" s="64">
        <v>0</v>
      </c>
      <c r="P41" s="64">
        <v>1.35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1" t="s">
        <v>2105</v>
      </c>
      <c r="B42" s="64">
        <v>32.49</v>
      </c>
      <c r="C42" s="64">
        <v>12.34</v>
      </c>
      <c r="D42" s="64">
        <v>32.04</v>
      </c>
      <c r="E42" s="64">
        <v>6.01</v>
      </c>
      <c r="F42" s="64">
        <v>3.35</v>
      </c>
      <c r="G42" s="64">
        <v>165.08</v>
      </c>
      <c r="H42" s="64">
        <v>52.64</v>
      </c>
      <c r="I42" s="64">
        <v>5.14</v>
      </c>
      <c r="J42" s="64">
        <v>0.44</v>
      </c>
      <c r="K42" s="64">
        <v>334.22</v>
      </c>
      <c r="L42" s="64">
        <v>23.16</v>
      </c>
      <c r="M42" s="64">
        <v>58.02</v>
      </c>
      <c r="N42" s="64">
        <v>357.9</v>
      </c>
      <c r="O42" s="64">
        <v>0</v>
      </c>
      <c r="P42" s="64">
        <v>1.4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1" t="s">
        <v>2106</v>
      </c>
      <c r="B43" s="64">
        <v>31.07</v>
      </c>
      <c r="C43" s="64">
        <v>14.25</v>
      </c>
      <c r="D43" s="64">
        <v>31.9</v>
      </c>
      <c r="E43" s="64">
        <v>6.75</v>
      </c>
      <c r="F43" s="64">
        <v>3.63</v>
      </c>
      <c r="G43" s="64">
        <v>165.08</v>
      </c>
      <c r="H43" s="64">
        <v>52.64</v>
      </c>
      <c r="I43" s="64">
        <v>5.19</v>
      </c>
      <c r="J43" s="64">
        <v>0.56999999999999995</v>
      </c>
      <c r="K43" s="64">
        <v>337.29</v>
      </c>
      <c r="L43" s="64">
        <v>24.23</v>
      </c>
      <c r="M43" s="64">
        <v>53.62</v>
      </c>
      <c r="N43" s="64">
        <v>405.1</v>
      </c>
      <c r="O43" s="64">
        <v>0</v>
      </c>
      <c r="P43" s="64">
        <v>1.44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1" t="s">
        <v>2107</v>
      </c>
      <c r="B44" s="64">
        <v>29.78</v>
      </c>
      <c r="C44" s="64">
        <v>16.52</v>
      </c>
      <c r="D44" s="64">
        <v>32.049999999999997</v>
      </c>
      <c r="E44" s="64">
        <v>7.52</v>
      </c>
      <c r="F44" s="64">
        <v>3.53</v>
      </c>
      <c r="G44" s="64">
        <v>165.08</v>
      </c>
      <c r="H44" s="64">
        <v>52.64</v>
      </c>
      <c r="I44" s="64">
        <v>5.22</v>
      </c>
      <c r="J44" s="64">
        <v>0.81</v>
      </c>
      <c r="K44" s="64">
        <v>337.8</v>
      </c>
      <c r="L44" s="64">
        <v>25.18</v>
      </c>
      <c r="M44" s="64">
        <v>50.21</v>
      </c>
      <c r="N44" s="64">
        <v>438.8</v>
      </c>
      <c r="O44" s="64">
        <v>0</v>
      </c>
      <c r="P44" s="64">
        <v>1.47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1" t="s">
        <v>2108</v>
      </c>
      <c r="B45" s="64">
        <v>31.23</v>
      </c>
      <c r="C45" s="64">
        <v>14.91</v>
      </c>
      <c r="D45" s="64">
        <v>32.369999999999997</v>
      </c>
      <c r="E45" s="64">
        <v>6.54</v>
      </c>
      <c r="F45" s="64">
        <v>3.07</v>
      </c>
      <c r="G45" s="64">
        <v>141.16</v>
      </c>
      <c r="H45" s="64">
        <v>53.99</v>
      </c>
      <c r="I45" s="64">
        <v>5.23</v>
      </c>
      <c r="J45" s="64">
        <v>1.07</v>
      </c>
      <c r="K45" s="64">
        <v>342.32</v>
      </c>
      <c r="L45" s="64">
        <v>26.1</v>
      </c>
      <c r="M45" s="64">
        <v>47.57</v>
      </c>
      <c r="N45" s="64">
        <v>477.8</v>
      </c>
      <c r="O45" s="64">
        <v>0</v>
      </c>
      <c r="P45" s="64">
        <v>1.51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1" t="s">
        <v>2109</v>
      </c>
      <c r="B46" s="64">
        <v>29.76</v>
      </c>
      <c r="C46" s="64">
        <v>17.14</v>
      </c>
      <c r="D46" s="64">
        <v>32.36</v>
      </c>
      <c r="E46" s="64">
        <v>11.56</v>
      </c>
      <c r="F46" s="64">
        <v>4.1399999999999997</v>
      </c>
      <c r="G46" s="64">
        <v>133.43</v>
      </c>
      <c r="H46" s="64">
        <v>53.99</v>
      </c>
      <c r="I46" s="64">
        <v>5.23</v>
      </c>
      <c r="J46" s="64">
        <v>0.86</v>
      </c>
      <c r="K46" s="64">
        <v>344.52</v>
      </c>
      <c r="L46" s="64">
        <v>27.02</v>
      </c>
      <c r="M46" s="64">
        <v>45.11</v>
      </c>
      <c r="N46" s="64">
        <v>522.79999999999995</v>
      </c>
      <c r="O46" s="64">
        <v>0</v>
      </c>
      <c r="P46" s="64">
        <v>1.57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1" t="s">
        <v>2110</v>
      </c>
      <c r="B47" s="64">
        <v>30.62</v>
      </c>
      <c r="C47" s="64">
        <v>17.7</v>
      </c>
      <c r="D47" s="64">
        <v>33.340000000000003</v>
      </c>
      <c r="E47" s="64">
        <v>11.64</v>
      </c>
      <c r="F47" s="64">
        <v>4.0599999999999996</v>
      </c>
      <c r="G47" s="64">
        <v>133.43</v>
      </c>
      <c r="H47" s="64">
        <v>53.99</v>
      </c>
      <c r="I47" s="64">
        <v>5.21</v>
      </c>
      <c r="J47" s="64">
        <v>0.69</v>
      </c>
      <c r="K47" s="64">
        <v>333.98</v>
      </c>
      <c r="L47" s="64">
        <v>28</v>
      </c>
      <c r="M47" s="64">
        <v>40.43</v>
      </c>
      <c r="N47" s="64">
        <v>541.29999999999995</v>
      </c>
      <c r="O47" s="64">
        <v>0</v>
      </c>
      <c r="P47" s="64">
        <v>1.61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2111</v>
      </c>
      <c r="B48" s="64">
        <v>28.1</v>
      </c>
      <c r="C48" s="64">
        <v>20.5</v>
      </c>
      <c r="D48" s="64">
        <v>32.79</v>
      </c>
      <c r="E48" s="64">
        <v>16.97</v>
      </c>
      <c r="F48" s="64">
        <v>4.8499999999999996</v>
      </c>
      <c r="G48" s="64">
        <v>133.43</v>
      </c>
      <c r="H48" s="64">
        <v>53.99</v>
      </c>
      <c r="I48" s="64">
        <v>5.2</v>
      </c>
      <c r="J48" s="64">
        <v>0.11</v>
      </c>
      <c r="K48" s="64">
        <v>358.83</v>
      </c>
      <c r="L48" s="64">
        <v>27.93</v>
      </c>
      <c r="M48" s="64">
        <v>40.08</v>
      </c>
      <c r="N48" s="64">
        <v>556.4</v>
      </c>
      <c r="O48" s="64">
        <v>0</v>
      </c>
      <c r="P48" s="64">
        <v>1.63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11" t="s">
        <v>2112</v>
      </c>
      <c r="B49" s="64">
        <v>27.3</v>
      </c>
      <c r="C49" s="64">
        <v>22.17</v>
      </c>
      <c r="D49" s="64">
        <v>33.020000000000003</v>
      </c>
      <c r="E49" s="64">
        <v>14.33</v>
      </c>
      <c r="F49" s="64">
        <v>5.66</v>
      </c>
      <c r="G49" s="64">
        <v>130.30000000000001</v>
      </c>
      <c r="H49" s="64">
        <v>54.42</v>
      </c>
      <c r="I49" s="64">
        <v>5.19</v>
      </c>
      <c r="J49" s="64">
        <v>0.64</v>
      </c>
      <c r="K49" s="64">
        <v>338.42</v>
      </c>
      <c r="L49" s="64">
        <v>28.35</v>
      </c>
      <c r="M49" s="64">
        <v>38.68</v>
      </c>
      <c r="N49" s="64">
        <v>550.79999999999995</v>
      </c>
      <c r="O49" s="64">
        <v>0</v>
      </c>
      <c r="P49" s="64">
        <v>1.65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1" t="s">
        <v>2113</v>
      </c>
      <c r="B50" s="64">
        <v>27.84</v>
      </c>
      <c r="C50" s="64">
        <v>18.28</v>
      </c>
      <c r="D50" s="64">
        <v>31.41</v>
      </c>
      <c r="E50" s="64">
        <v>10.14</v>
      </c>
      <c r="F50" s="64">
        <v>5.01</v>
      </c>
      <c r="G50" s="64">
        <v>129.28</v>
      </c>
      <c r="H50" s="64">
        <v>54.42</v>
      </c>
      <c r="I50" s="64">
        <v>5.18</v>
      </c>
      <c r="J50" s="64">
        <v>0.63</v>
      </c>
      <c r="K50" s="64">
        <v>113.3</v>
      </c>
      <c r="L50" s="64">
        <v>26.69</v>
      </c>
      <c r="M50" s="64">
        <v>42.49</v>
      </c>
      <c r="N50" s="64">
        <v>588.20000000000005</v>
      </c>
      <c r="O50" s="64">
        <v>0</v>
      </c>
      <c r="P50" s="64">
        <v>1.63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1" t="s">
        <v>2114</v>
      </c>
      <c r="B51" s="64">
        <v>27.59</v>
      </c>
      <c r="C51" s="64">
        <v>16.670000000000002</v>
      </c>
      <c r="D51" s="64">
        <v>30.38</v>
      </c>
      <c r="E51" s="64">
        <v>7.94</v>
      </c>
      <c r="F51" s="64">
        <v>3.27</v>
      </c>
      <c r="G51" s="64">
        <v>129.28</v>
      </c>
      <c r="H51" s="64">
        <v>54.42</v>
      </c>
      <c r="I51" s="64">
        <v>5.17</v>
      </c>
      <c r="J51" s="64">
        <v>0.84</v>
      </c>
      <c r="K51" s="64">
        <v>113.38</v>
      </c>
      <c r="L51" s="64">
        <v>25.05</v>
      </c>
      <c r="M51" s="64">
        <v>44</v>
      </c>
      <c r="N51" s="64">
        <v>627.79999999999995</v>
      </c>
      <c r="O51" s="64">
        <v>0</v>
      </c>
      <c r="P51" s="64">
        <v>1.57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1" t="s">
        <v>2115</v>
      </c>
      <c r="B52" s="64">
        <v>26.75</v>
      </c>
      <c r="C52" s="64">
        <v>17.170000000000002</v>
      </c>
      <c r="D52" s="64">
        <v>29.96</v>
      </c>
      <c r="E52" s="64">
        <v>6.8</v>
      </c>
      <c r="F52" s="64">
        <v>4</v>
      </c>
      <c r="G52" s="64">
        <v>129.28</v>
      </c>
      <c r="H52" s="64">
        <v>54.42</v>
      </c>
      <c r="I52" s="64">
        <v>5.13</v>
      </c>
      <c r="J52" s="64">
        <v>0.3</v>
      </c>
      <c r="K52" s="64">
        <v>112.86</v>
      </c>
      <c r="L52" s="64">
        <v>26.09</v>
      </c>
      <c r="M52" s="64">
        <v>40.909999999999997</v>
      </c>
      <c r="N52" s="64">
        <v>634.5</v>
      </c>
      <c r="O52" s="64">
        <v>0</v>
      </c>
      <c r="P52" s="64">
        <v>1.53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1" t="s">
        <v>2116</v>
      </c>
      <c r="B53" s="64">
        <v>25.7</v>
      </c>
      <c r="C53" s="64">
        <v>17.57</v>
      </c>
      <c r="D53" s="64">
        <v>29.33</v>
      </c>
      <c r="E53" s="64">
        <v>6.65</v>
      </c>
      <c r="F53" s="64">
        <v>3.71</v>
      </c>
      <c r="G53" s="64">
        <v>88.18</v>
      </c>
      <c r="H53" s="64">
        <v>44.41</v>
      </c>
      <c r="I53" s="64">
        <v>5.09</v>
      </c>
      <c r="J53" s="64">
        <v>0.54</v>
      </c>
      <c r="K53" s="64">
        <v>134.81</v>
      </c>
      <c r="L53" s="64">
        <v>26.76</v>
      </c>
      <c r="M53" s="64">
        <v>38.909999999999997</v>
      </c>
      <c r="N53" s="64">
        <v>620.79999999999995</v>
      </c>
      <c r="O53" s="64">
        <v>0</v>
      </c>
      <c r="P53" s="64">
        <v>1.5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1" t="s">
        <v>2117</v>
      </c>
      <c r="B54" s="64">
        <v>23.83</v>
      </c>
      <c r="C54" s="64">
        <v>18.79</v>
      </c>
      <c r="D54" s="64">
        <v>28.47</v>
      </c>
      <c r="E54" s="64">
        <v>6.57</v>
      </c>
      <c r="F54" s="64">
        <v>3.73</v>
      </c>
      <c r="G54" s="64">
        <v>74.88</v>
      </c>
      <c r="H54" s="64">
        <v>44.41</v>
      </c>
      <c r="I54" s="64">
        <v>5.05</v>
      </c>
      <c r="J54" s="64">
        <v>0.83</v>
      </c>
      <c r="K54" s="64">
        <v>122.52</v>
      </c>
      <c r="L54" s="64">
        <v>26.04</v>
      </c>
      <c r="M54" s="64">
        <v>40.68</v>
      </c>
      <c r="N54" s="64">
        <v>627.1</v>
      </c>
      <c r="O54" s="64">
        <v>0</v>
      </c>
      <c r="P54" s="64">
        <v>1.47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1" t="s">
        <v>2118</v>
      </c>
      <c r="B55" s="64">
        <v>22.38</v>
      </c>
      <c r="C55" s="64">
        <v>18.84</v>
      </c>
      <c r="D55" s="64">
        <v>27.33</v>
      </c>
      <c r="E55" s="64">
        <v>6.62</v>
      </c>
      <c r="F55" s="64">
        <v>3.82</v>
      </c>
      <c r="G55" s="64">
        <v>74.88</v>
      </c>
      <c r="H55" s="64">
        <v>44.41</v>
      </c>
      <c r="I55" s="64">
        <v>4.9800000000000004</v>
      </c>
      <c r="J55" s="64">
        <v>0.45</v>
      </c>
      <c r="K55" s="64">
        <v>340.85</v>
      </c>
      <c r="L55" s="64">
        <v>27.34</v>
      </c>
      <c r="M55" s="64">
        <v>37.39</v>
      </c>
      <c r="N55" s="64">
        <v>604.5</v>
      </c>
      <c r="O55" s="64">
        <v>0</v>
      </c>
      <c r="P55" s="64">
        <v>1.42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1" t="s">
        <v>2119</v>
      </c>
      <c r="B56" s="64">
        <v>20.14</v>
      </c>
      <c r="C56" s="64">
        <v>21.14</v>
      </c>
      <c r="D56" s="64">
        <v>26.73</v>
      </c>
      <c r="E56" s="64">
        <v>6.66</v>
      </c>
      <c r="F56" s="64">
        <v>4.3099999999999996</v>
      </c>
      <c r="G56" s="64">
        <v>74.88</v>
      </c>
      <c r="H56" s="64">
        <v>44.41</v>
      </c>
      <c r="I56" s="64">
        <v>4.9000000000000004</v>
      </c>
      <c r="J56" s="64">
        <v>0.4</v>
      </c>
      <c r="K56" s="64">
        <v>317.32</v>
      </c>
      <c r="L56" s="64">
        <v>28.68</v>
      </c>
      <c r="M56" s="64">
        <v>33.79</v>
      </c>
      <c r="N56" s="64">
        <v>599.5</v>
      </c>
      <c r="O56" s="64">
        <v>0</v>
      </c>
      <c r="P56" s="64">
        <v>1.38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1" t="s">
        <v>2120</v>
      </c>
      <c r="B57" s="64">
        <v>19.739999999999998</v>
      </c>
      <c r="C57" s="64">
        <v>21.25</v>
      </c>
      <c r="D57" s="64">
        <v>26.48</v>
      </c>
      <c r="E57" s="64">
        <v>6.02</v>
      </c>
      <c r="F57" s="64">
        <v>3.91</v>
      </c>
      <c r="G57" s="64">
        <v>56.97</v>
      </c>
      <c r="H57" s="64">
        <v>31.03</v>
      </c>
      <c r="I57" s="64">
        <v>4.8099999999999996</v>
      </c>
      <c r="J57" s="64">
        <v>0.13</v>
      </c>
      <c r="K57" s="64">
        <v>283.04000000000002</v>
      </c>
      <c r="L57" s="64">
        <v>28.74</v>
      </c>
      <c r="M57" s="64">
        <v>32.53</v>
      </c>
      <c r="N57" s="64">
        <v>617.29999999999995</v>
      </c>
      <c r="O57" s="64">
        <v>0</v>
      </c>
      <c r="P57" s="64">
        <v>1.36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1" t="s">
        <v>2121</v>
      </c>
      <c r="B58" s="64">
        <v>17.93</v>
      </c>
      <c r="C58" s="64">
        <v>21.84</v>
      </c>
      <c r="D58" s="64">
        <v>25.33</v>
      </c>
      <c r="E58" s="64">
        <v>6.6</v>
      </c>
      <c r="F58" s="64">
        <v>4.71</v>
      </c>
      <c r="G58" s="64">
        <v>51.18</v>
      </c>
      <c r="H58" s="64">
        <v>31.03</v>
      </c>
      <c r="I58" s="64">
        <v>4.74</v>
      </c>
      <c r="J58" s="64">
        <v>0.8</v>
      </c>
      <c r="K58" s="64">
        <v>332.02</v>
      </c>
      <c r="L58" s="64">
        <v>29.76</v>
      </c>
      <c r="M58" s="64">
        <v>30.08</v>
      </c>
      <c r="N58" s="64">
        <v>598.20000000000005</v>
      </c>
      <c r="O58" s="64">
        <v>0</v>
      </c>
      <c r="P58" s="64">
        <v>1.3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11" t="s">
        <v>2122</v>
      </c>
      <c r="B59" s="64">
        <v>15.41</v>
      </c>
      <c r="C59" s="64">
        <v>24.94</v>
      </c>
      <c r="D59" s="64">
        <v>24.92</v>
      </c>
      <c r="E59" s="64">
        <v>7.14</v>
      </c>
      <c r="F59" s="64">
        <v>6.89</v>
      </c>
      <c r="G59" s="64">
        <v>51.18</v>
      </c>
      <c r="H59" s="64">
        <v>31.03</v>
      </c>
      <c r="I59" s="64">
        <v>4.66</v>
      </c>
      <c r="J59" s="64">
        <v>0.84</v>
      </c>
      <c r="K59" s="64">
        <v>335.17</v>
      </c>
      <c r="L59" s="64">
        <v>30.26</v>
      </c>
      <c r="M59" s="64">
        <v>29.06</v>
      </c>
      <c r="N59" s="64">
        <v>583.5</v>
      </c>
      <c r="O59" s="64">
        <v>0</v>
      </c>
      <c r="P59" s="64">
        <v>1.26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1" t="s">
        <v>2123</v>
      </c>
      <c r="B60" s="64">
        <v>14.14</v>
      </c>
      <c r="C60" s="64">
        <v>24.9</v>
      </c>
      <c r="D60" s="64">
        <v>23.89</v>
      </c>
      <c r="E60" s="64">
        <v>7.7</v>
      </c>
      <c r="F60" s="64">
        <v>9.08</v>
      </c>
      <c r="G60" s="64">
        <v>51.18</v>
      </c>
      <c r="H60" s="64">
        <v>31.03</v>
      </c>
      <c r="I60" s="64">
        <v>4.55</v>
      </c>
      <c r="J60" s="64">
        <v>0.9</v>
      </c>
      <c r="K60" s="64">
        <v>334.42</v>
      </c>
      <c r="L60" s="64">
        <v>29.96</v>
      </c>
      <c r="M60" s="64">
        <v>30.23</v>
      </c>
      <c r="N60" s="64">
        <v>430.2</v>
      </c>
      <c r="O60" s="64">
        <v>0</v>
      </c>
      <c r="P60" s="64">
        <v>1.21</v>
      </c>
      <c r="Q60" s="64">
        <v>9.51</v>
      </c>
      <c r="R60" s="198"/>
      <c r="S60" s="198"/>
      <c r="T60" s="198"/>
      <c r="U60" s="198"/>
    </row>
    <row r="61" spans="1:21" s="12" customFormat="1" x14ac:dyDescent="0.25">
      <c r="A61" s="211" t="s">
        <v>2124</v>
      </c>
      <c r="B61" s="64">
        <v>13.43</v>
      </c>
      <c r="C61" s="64">
        <v>26.38</v>
      </c>
      <c r="D61" s="64">
        <v>24.09</v>
      </c>
      <c r="E61" s="64">
        <v>8.0500000000000007</v>
      </c>
      <c r="F61" s="64">
        <v>7.66</v>
      </c>
      <c r="G61" s="64">
        <v>49.91</v>
      </c>
      <c r="H61" s="64">
        <v>28.28</v>
      </c>
      <c r="I61" s="64">
        <v>4.47</v>
      </c>
      <c r="J61" s="64">
        <v>1</v>
      </c>
      <c r="K61" s="64">
        <v>338.9</v>
      </c>
      <c r="L61" s="64">
        <v>29.71</v>
      </c>
      <c r="M61" s="64">
        <v>30.14</v>
      </c>
      <c r="N61" s="64">
        <v>412.2</v>
      </c>
      <c r="O61" s="64">
        <v>0</v>
      </c>
      <c r="P61" s="64">
        <v>1.19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1" t="s">
        <v>2125</v>
      </c>
      <c r="B62" s="64">
        <v>13.61</v>
      </c>
      <c r="C62" s="64">
        <v>26.27</v>
      </c>
      <c r="D62" s="64">
        <v>24.18</v>
      </c>
      <c r="E62" s="64">
        <v>7.44</v>
      </c>
      <c r="F62" s="64">
        <v>8.65</v>
      </c>
      <c r="G62" s="64">
        <v>49.5</v>
      </c>
      <c r="H62" s="64">
        <v>28.28</v>
      </c>
      <c r="I62" s="64">
        <v>4.4400000000000004</v>
      </c>
      <c r="J62" s="64">
        <v>0.77</v>
      </c>
      <c r="K62" s="64">
        <v>335.69</v>
      </c>
      <c r="L62" s="64">
        <v>29.33</v>
      </c>
      <c r="M62" s="64">
        <v>30.47</v>
      </c>
      <c r="N62" s="64">
        <v>503.6</v>
      </c>
      <c r="O62" s="64">
        <v>0</v>
      </c>
      <c r="P62" s="64">
        <v>1.23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1" t="s">
        <v>2126</v>
      </c>
      <c r="B63" s="64">
        <v>10.69</v>
      </c>
      <c r="C63" s="64">
        <v>27.08</v>
      </c>
      <c r="D63" s="64">
        <v>22.26</v>
      </c>
      <c r="E63" s="64">
        <v>9.4</v>
      </c>
      <c r="F63" s="64">
        <v>17.170000000000002</v>
      </c>
      <c r="G63" s="64">
        <v>49.5</v>
      </c>
      <c r="H63" s="64">
        <v>28.28</v>
      </c>
      <c r="I63" s="64">
        <v>4.4000000000000004</v>
      </c>
      <c r="J63" s="64">
        <v>0.4</v>
      </c>
      <c r="K63" s="64">
        <v>340.44</v>
      </c>
      <c r="L63" s="64">
        <v>28.82</v>
      </c>
      <c r="M63" s="64">
        <v>31.61</v>
      </c>
      <c r="N63" s="64">
        <v>481.2</v>
      </c>
      <c r="O63" s="64">
        <v>0</v>
      </c>
      <c r="P63" s="64">
        <v>1.0900000000000001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1" t="s">
        <v>2127</v>
      </c>
      <c r="B64" s="64">
        <v>8.42</v>
      </c>
      <c r="C64" s="64">
        <v>24.79</v>
      </c>
      <c r="D64" s="64">
        <v>19.239999999999998</v>
      </c>
      <c r="E64" s="64">
        <v>10.44</v>
      </c>
      <c r="F64" s="64">
        <v>9.2899999999999991</v>
      </c>
      <c r="G64" s="64">
        <v>49.5</v>
      </c>
      <c r="H64" s="64">
        <v>28.28</v>
      </c>
      <c r="I64" s="64">
        <v>4.33</v>
      </c>
      <c r="J64" s="64">
        <v>0.35</v>
      </c>
      <c r="K64" s="64">
        <v>291.43</v>
      </c>
      <c r="L64" s="64">
        <v>26.82</v>
      </c>
      <c r="M64" s="64">
        <v>33.979999999999997</v>
      </c>
      <c r="N64" s="64">
        <v>343</v>
      </c>
      <c r="O64" s="64">
        <v>0</v>
      </c>
      <c r="P64" s="64">
        <v>1.19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1" t="s">
        <v>2128</v>
      </c>
      <c r="B65" s="64">
        <v>7.72</v>
      </c>
      <c r="C65" s="64">
        <v>26.11</v>
      </c>
      <c r="D65" s="64">
        <v>19.37</v>
      </c>
      <c r="E65" s="64">
        <v>12.42</v>
      </c>
      <c r="F65" s="64">
        <v>18.690000000000001</v>
      </c>
      <c r="G65" s="64">
        <v>49.07</v>
      </c>
      <c r="H65" s="64">
        <v>24.32</v>
      </c>
      <c r="I65" s="64">
        <v>4.2699999999999996</v>
      </c>
      <c r="J65" s="64">
        <v>0.43</v>
      </c>
      <c r="K65" s="64">
        <v>313.01</v>
      </c>
      <c r="L65" s="64">
        <v>27.08</v>
      </c>
      <c r="M65" s="64">
        <v>30.2</v>
      </c>
      <c r="N65" s="64">
        <v>143.30000000000001</v>
      </c>
      <c r="O65" s="64">
        <v>0</v>
      </c>
      <c r="P65" s="64">
        <v>1.07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1" t="s">
        <v>2129</v>
      </c>
      <c r="B66" s="64">
        <v>7.59</v>
      </c>
      <c r="C66" s="64">
        <v>29.2</v>
      </c>
      <c r="D66" s="64">
        <v>20.89</v>
      </c>
      <c r="E66" s="64">
        <v>16.100000000000001</v>
      </c>
      <c r="F66" s="64">
        <v>20.86</v>
      </c>
      <c r="G66" s="64">
        <v>48.94</v>
      </c>
      <c r="H66" s="64">
        <v>24.32</v>
      </c>
      <c r="I66" s="64">
        <v>4.22</v>
      </c>
      <c r="J66" s="64">
        <v>0.15</v>
      </c>
      <c r="K66" s="64">
        <v>269.89</v>
      </c>
      <c r="L66" s="64">
        <v>26.7</v>
      </c>
      <c r="M66" s="64">
        <v>29.08</v>
      </c>
      <c r="N66" s="64">
        <v>136.80000000000001</v>
      </c>
      <c r="O66" s="64">
        <v>0</v>
      </c>
      <c r="P66" s="64">
        <v>1.06</v>
      </c>
      <c r="Q66" s="64">
        <v>9.42</v>
      </c>
      <c r="R66" s="198"/>
      <c r="S66" s="198"/>
      <c r="T66" s="198"/>
      <c r="U66" s="198"/>
    </row>
    <row r="67" spans="1:21" s="12" customFormat="1" x14ac:dyDescent="0.25">
      <c r="A67" s="211" t="s">
        <v>2130</v>
      </c>
      <c r="B67" s="64">
        <v>7.24</v>
      </c>
      <c r="C67" s="64">
        <v>30.72</v>
      </c>
      <c r="D67" s="64">
        <v>21.4</v>
      </c>
      <c r="E67" s="64">
        <v>11.16</v>
      </c>
      <c r="F67" s="64">
        <v>9.33</v>
      </c>
      <c r="G67" s="64">
        <v>48.94</v>
      </c>
      <c r="H67" s="64">
        <v>24.32</v>
      </c>
      <c r="I67" s="64">
        <v>4.18</v>
      </c>
      <c r="J67" s="64">
        <v>0.54</v>
      </c>
      <c r="K67" s="64">
        <v>317.38</v>
      </c>
      <c r="L67" s="64">
        <v>26.63</v>
      </c>
      <c r="M67" s="64">
        <v>30.73</v>
      </c>
      <c r="N67" s="64">
        <v>125.3</v>
      </c>
      <c r="O67" s="64">
        <v>0</v>
      </c>
      <c r="P67" s="64">
        <v>1.17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1" t="s">
        <v>2131</v>
      </c>
      <c r="B68" s="64">
        <v>8.6300000000000008</v>
      </c>
      <c r="C68" s="64">
        <v>29.07</v>
      </c>
      <c r="D68" s="64">
        <v>21.65</v>
      </c>
      <c r="E68" s="64">
        <v>7.71</v>
      </c>
      <c r="F68" s="64">
        <v>7.16</v>
      </c>
      <c r="G68" s="64">
        <v>48.94</v>
      </c>
      <c r="H68" s="64">
        <v>24.32</v>
      </c>
      <c r="I68" s="64">
        <v>4.12</v>
      </c>
      <c r="J68" s="64">
        <v>0.5</v>
      </c>
      <c r="K68" s="64">
        <v>324.43</v>
      </c>
      <c r="L68" s="64">
        <v>26.53</v>
      </c>
      <c r="M68" s="64">
        <v>30.84</v>
      </c>
      <c r="N68" s="64">
        <v>110.9</v>
      </c>
      <c r="O68" s="64">
        <v>0</v>
      </c>
      <c r="P68" s="64">
        <v>1.1399999999999999</v>
      </c>
      <c r="Q68" s="64">
        <v>9.39</v>
      </c>
      <c r="R68" s="198"/>
      <c r="S68" s="198"/>
      <c r="T68" s="198"/>
      <c r="U68" s="198"/>
    </row>
    <row r="69" spans="1:21" s="12" customFormat="1" x14ac:dyDescent="0.25">
      <c r="A69" s="211" t="s">
        <v>2132</v>
      </c>
      <c r="B69" s="64">
        <v>7.73</v>
      </c>
      <c r="C69" s="64">
        <v>29.67</v>
      </c>
      <c r="D69" s="64">
        <v>21.24</v>
      </c>
      <c r="E69" s="64">
        <v>14.76</v>
      </c>
      <c r="F69" s="64">
        <v>17.760000000000002</v>
      </c>
      <c r="G69" s="64">
        <v>44.76</v>
      </c>
      <c r="H69" s="64">
        <v>23.02</v>
      </c>
      <c r="I69" s="64">
        <v>4.07</v>
      </c>
      <c r="J69" s="64">
        <v>0.46</v>
      </c>
      <c r="K69" s="64">
        <v>117.13</v>
      </c>
      <c r="L69" s="64">
        <v>25.68</v>
      </c>
      <c r="M69" s="64">
        <v>32.31</v>
      </c>
      <c r="N69" s="64">
        <v>104.3</v>
      </c>
      <c r="O69" s="64">
        <v>0</v>
      </c>
      <c r="P69" s="64">
        <v>0.97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1" t="s">
        <v>2133</v>
      </c>
      <c r="B70" s="64">
        <v>7.2</v>
      </c>
      <c r="C70" s="64">
        <v>36.61</v>
      </c>
      <c r="D70" s="64">
        <v>24.44</v>
      </c>
      <c r="E70" s="64">
        <v>15.68</v>
      </c>
      <c r="F70" s="64">
        <v>15.85</v>
      </c>
      <c r="G70" s="64">
        <v>43.4</v>
      </c>
      <c r="H70" s="64">
        <v>23.02</v>
      </c>
      <c r="I70" s="64">
        <v>4.0199999999999996</v>
      </c>
      <c r="J70" s="64">
        <v>0.55000000000000004</v>
      </c>
      <c r="K70" s="64">
        <v>117.43</v>
      </c>
      <c r="L70" s="64">
        <v>25.38</v>
      </c>
      <c r="M70" s="64">
        <v>33.26</v>
      </c>
      <c r="N70" s="64">
        <v>97.9</v>
      </c>
      <c r="O70" s="64">
        <v>0</v>
      </c>
      <c r="P70" s="64">
        <v>1.02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1" t="s">
        <v>2134</v>
      </c>
      <c r="B71" s="64">
        <v>6.45</v>
      </c>
      <c r="C71" s="64">
        <v>25.87</v>
      </c>
      <c r="D71" s="64">
        <v>18.23</v>
      </c>
      <c r="E71" s="64">
        <v>15.59</v>
      </c>
      <c r="F71" s="64">
        <v>15.08</v>
      </c>
      <c r="G71" s="64">
        <v>43.4</v>
      </c>
      <c r="H71" s="64">
        <v>23.02</v>
      </c>
      <c r="I71" s="64">
        <v>3.98</v>
      </c>
      <c r="J71" s="64">
        <v>0.47</v>
      </c>
      <c r="K71" s="64">
        <v>126.38</v>
      </c>
      <c r="L71" s="64">
        <v>25.15</v>
      </c>
      <c r="M71" s="64">
        <v>34.200000000000003</v>
      </c>
      <c r="N71" s="64">
        <v>90</v>
      </c>
      <c r="O71" s="64">
        <v>0</v>
      </c>
      <c r="P71" s="64">
        <v>0.9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1" t="s">
        <v>2135</v>
      </c>
      <c r="B72" s="64">
        <v>5.84</v>
      </c>
      <c r="C72" s="64">
        <v>25.15</v>
      </c>
      <c r="D72" s="64">
        <v>17.36</v>
      </c>
      <c r="E72" s="64">
        <v>13.04</v>
      </c>
      <c r="F72" s="64">
        <v>14.43</v>
      </c>
      <c r="G72" s="64">
        <v>43.4</v>
      </c>
      <c r="H72" s="64">
        <v>23.02</v>
      </c>
      <c r="I72" s="64">
        <v>3.92</v>
      </c>
      <c r="J72" s="64">
        <v>0.77</v>
      </c>
      <c r="K72" s="64">
        <v>120.29</v>
      </c>
      <c r="L72" s="64">
        <v>25</v>
      </c>
      <c r="M72" s="64">
        <v>35.200000000000003</v>
      </c>
      <c r="N72" s="64">
        <v>82</v>
      </c>
      <c r="O72" s="64">
        <v>0</v>
      </c>
      <c r="P72" s="64">
        <v>0.89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1" t="s">
        <v>2136</v>
      </c>
      <c r="B73" s="64">
        <v>5.0599999999999996</v>
      </c>
      <c r="C73" s="64">
        <v>24.33</v>
      </c>
      <c r="D73" s="64">
        <v>16.309999999999999</v>
      </c>
      <c r="E73" s="64">
        <v>14.69</v>
      </c>
      <c r="F73" s="64">
        <v>13.76</v>
      </c>
      <c r="G73" s="64">
        <v>44.98</v>
      </c>
      <c r="H73" s="64">
        <v>22.84</v>
      </c>
      <c r="I73" s="64">
        <v>3.85</v>
      </c>
      <c r="J73" s="64">
        <v>0.72</v>
      </c>
      <c r="K73" s="64">
        <v>117.64</v>
      </c>
      <c r="L73" s="64">
        <v>24.83</v>
      </c>
      <c r="M73" s="64">
        <v>33.31</v>
      </c>
      <c r="N73" s="64">
        <v>73.5</v>
      </c>
      <c r="O73" s="64">
        <v>0</v>
      </c>
      <c r="P73" s="64">
        <v>0.9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1" t="s">
        <v>2137</v>
      </c>
      <c r="B74" s="64">
        <v>5.08</v>
      </c>
      <c r="C74" s="64">
        <v>27.09</v>
      </c>
      <c r="D74" s="64">
        <v>17.77</v>
      </c>
      <c r="E74" s="64">
        <v>10.84</v>
      </c>
      <c r="F74" s="64">
        <v>14.02</v>
      </c>
      <c r="G74" s="64">
        <v>45.5</v>
      </c>
      <c r="H74" s="64">
        <v>22.84</v>
      </c>
      <c r="I74" s="64">
        <v>3.79</v>
      </c>
      <c r="J74" s="64">
        <v>0.38</v>
      </c>
      <c r="K74" s="64">
        <v>99.23</v>
      </c>
      <c r="L74" s="64">
        <v>24.67</v>
      </c>
      <c r="M74" s="64">
        <v>34.36</v>
      </c>
      <c r="N74" s="64">
        <v>65.8</v>
      </c>
      <c r="O74" s="64">
        <v>0</v>
      </c>
      <c r="P74" s="64">
        <v>0.83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1" t="s">
        <v>2138</v>
      </c>
      <c r="B75" s="64">
        <v>4.26</v>
      </c>
      <c r="C75" s="64">
        <v>29.76</v>
      </c>
      <c r="D75" s="64">
        <v>18.5</v>
      </c>
      <c r="E75" s="64">
        <v>11.99</v>
      </c>
      <c r="F75" s="64">
        <v>16.78</v>
      </c>
      <c r="G75" s="64">
        <v>45.5</v>
      </c>
      <c r="H75" s="64">
        <v>22.84</v>
      </c>
      <c r="I75" s="64">
        <v>3.73</v>
      </c>
      <c r="J75" s="64">
        <v>0.28000000000000003</v>
      </c>
      <c r="K75" s="64">
        <v>108.06</v>
      </c>
      <c r="L75" s="64">
        <v>24.36</v>
      </c>
      <c r="M75" s="64">
        <v>35.68</v>
      </c>
      <c r="N75" s="64">
        <v>57.9</v>
      </c>
      <c r="O75" s="64">
        <v>0</v>
      </c>
      <c r="P75" s="64">
        <v>0.73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11" t="s">
        <v>2139</v>
      </c>
      <c r="B76" s="64">
        <v>9.1300000000000008</v>
      </c>
      <c r="C76" s="64">
        <v>33.130000000000003</v>
      </c>
      <c r="D76" s="64">
        <v>24.1</v>
      </c>
      <c r="E76" s="64">
        <v>10.5</v>
      </c>
      <c r="F76" s="64">
        <v>6.27</v>
      </c>
      <c r="G76" s="64">
        <v>45.5</v>
      </c>
      <c r="H76" s="64">
        <v>22.84</v>
      </c>
      <c r="I76" s="64">
        <v>3.67</v>
      </c>
      <c r="J76" s="64">
        <v>0.23</v>
      </c>
      <c r="K76" s="64">
        <v>352.82</v>
      </c>
      <c r="L76" s="64">
        <v>23.54</v>
      </c>
      <c r="M76" s="64">
        <v>43.97</v>
      </c>
      <c r="N76" s="64">
        <v>50.9</v>
      </c>
      <c r="O76" s="64">
        <v>0</v>
      </c>
      <c r="P76" s="64">
        <v>0.93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1" t="s">
        <v>2140</v>
      </c>
      <c r="B77" s="64">
        <v>17.559999999999999</v>
      </c>
      <c r="C77" s="64">
        <v>29.65</v>
      </c>
      <c r="D77" s="64">
        <v>29.11</v>
      </c>
      <c r="E77" s="64">
        <v>7.96</v>
      </c>
      <c r="F77" s="64">
        <v>5.0199999999999996</v>
      </c>
      <c r="G77" s="64">
        <v>42.37</v>
      </c>
      <c r="H77" s="64">
        <v>19.38</v>
      </c>
      <c r="I77" s="64">
        <v>3.61</v>
      </c>
      <c r="J77" s="64">
        <v>0.18</v>
      </c>
      <c r="K77" s="64">
        <v>351.07</v>
      </c>
      <c r="L77" s="64">
        <v>22.58</v>
      </c>
      <c r="M77" s="64">
        <v>55.75</v>
      </c>
      <c r="N77" s="64">
        <v>45.4</v>
      </c>
      <c r="O77" s="64">
        <v>0</v>
      </c>
      <c r="P77" s="64">
        <v>1.26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1" t="s">
        <v>2141</v>
      </c>
      <c r="B78" s="64">
        <v>17.32</v>
      </c>
      <c r="C78" s="64">
        <v>36.75</v>
      </c>
      <c r="D78" s="64">
        <v>32.630000000000003</v>
      </c>
      <c r="E78" s="64">
        <v>9.23</v>
      </c>
      <c r="F78" s="64">
        <v>5.93</v>
      </c>
      <c r="G78" s="64">
        <v>41.36</v>
      </c>
      <c r="H78" s="64">
        <v>19.38</v>
      </c>
      <c r="I78" s="64">
        <v>3.61</v>
      </c>
      <c r="J78" s="64">
        <v>0.2</v>
      </c>
      <c r="K78" s="64">
        <v>338.02</v>
      </c>
      <c r="L78" s="64">
        <v>21.79</v>
      </c>
      <c r="M78" s="64">
        <v>58.23</v>
      </c>
      <c r="N78" s="64">
        <v>42.2</v>
      </c>
      <c r="O78" s="64">
        <v>0</v>
      </c>
      <c r="P78" s="64">
        <v>1.31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1" t="s">
        <v>2142</v>
      </c>
      <c r="B79" s="64">
        <v>15</v>
      </c>
      <c r="C79" s="64">
        <v>43.39</v>
      </c>
      <c r="D79" s="64">
        <v>34.24</v>
      </c>
      <c r="E79" s="64">
        <v>10.61</v>
      </c>
      <c r="F79" s="64">
        <v>5.84</v>
      </c>
      <c r="G79" s="64">
        <v>41.36</v>
      </c>
      <c r="H79" s="64">
        <v>19.38</v>
      </c>
      <c r="I79" s="64">
        <v>3.65</v>
      </c>
      <c r="J79" s="64">
        <v>0.16</v>
      </c>
      <c r="K79" s="64">
        <v>349.22</v>
      </c>
      <c r="L79" s="64">
        <v>21.47</v>
      </c>
      <c r="M79" s="64">
        <v>55.32</v>
      </c>
      <c r="N79" s="64">
        <v>41.6</v>
      </c>
      <c r="O79" s="64">
        <v>0</v>
      </c>
      <c r="P79" s="64">
        <v>1.43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1" t="s">
        <v>2143</v>
      </c>
      <c r="B80" s="64">
        <v>26.73</v>
      </c>
      <c r="C80" s="64">
        <v>37.21</v>
      </c>
      <c r="D80" s="64">
        <v>40.409999999999997</v>
      </c>
      <c r="E80" s="64">
        <v>10.57</v>
      </c>
      <c r="F80" s="64">
        <v>4.68</v>
      </c>
      <c r="G80" s="64">
        <v>41.36</v>
      </c>
      <c r="H80" s="64">
        <v>19.38</v>
      </c>
      <c r="I80" s="64">
        <v>3.72</v>
      </c>
      <c r="J80" s="64">
        <v>0.23</v>
      </c>
      <c r="K80" s="64">
        <v>352.27</v>
      </c>
      <c r="L80" s="64">
        <v>21.09</v>
      </c>
      <c r="M80" s="64">
        <v>60.19</v>
      </c>
      <c r="N80" s="64">
        <v>41.5</v>
      </c>
      <c r="O80" s="64">
        <v>0</v>
      </c>
      <c r="P80" s="64">
        <v>1.82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1" t="s">
        <v>2144</v>
      </c>
      <c r="B81" s="64">
        <v>26.71</v>
      </c>
      <c r="C81" s="64">
        <v>35.85</v>
      </c>
      <c r="D81" s="64">
        <v>39.69</v>
      </c>
      <c r="E81" s="64">
        <v>10.73</v>
      </c>
      <c r="F81" s="64">
        <v>5.0599999999999996</v>
      </c>
      <c r="G81" s="64">
        <v>77.67</v>
      </c>
      <c r="H81" s="64">
        <v>28.08</v>
      </c>
      <c r="I81" s="64">
        <v>3.81</v>
      </c>
      <c r="J81" s="64">
        <v>0.16</v>
      </c>
      <c r="K81" s="64">
        <v>303.72000000000003</v>
      </c>
      <c r="L81" s="64">
        <v>20.89</v>
      </c>
      <c r="M81" s="64">
        <v>59.17</v>
      </c>
      <c r="N81" s="64">
        <v>41.4</v>
      </c>
      <c r="O81" s="64">
        <v>0</v>
      </c>
      <c r="P81" s="64">
        <v>1.61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1" t="s">
        <v>2145</v>
      </c>
      <c r="B82" s="64">
        <v>26.25</v>
      </c>
      <c r="C82" s="64">
        <v>34.049999999999997</v>
      </c>
      <c r="D82" s="64">
        <v>38.380000000000003</v>
      </c>
      <c r="E82" s="64">
        <v>9.84</v>
      </c>
      <c r="F82" s="64">
        <v>4.25</v>
      </c>
      <c r="G82" s="64">
        <v>89.42</v>
      </c>
      <c r="H82" s="64">
        <v>28.08</v>
      </c>
      <c r="I82" s="64">
        <v>3.94</v>
      </c>
      <c r="J82" s="64">
        <v>0.19</v>
      </c>
      <c r="K82" s="64">
        <v>306.01</v>
      </c>
      <c r="L82" s="64">
        <v>20.61</v>
      </c>
      <c r="M82" s="64">
        <v>61.69</v>
      </c>
      <c r="N82" s="64">
        <v>41.5</v>
      </c>
      <c r="O82" s="64">
        <v>0</v>
      </c>
      <c r="P82" s="64">
        <v>1.67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1" t="s">
        <v>2146</v>
      </c>
      <c r="B83" s="64">
        <v>43.38</v>
      </c>
      <c r="C83" s="64">
        <v>31.17</v>
      </c>
      <c r="D83" s="64">
        <v>50.61</v>
      </c>
      <c r="E83" s="64">
        <v>10.06</v>
      </c>
      <c r="F83" s="64">
        <v>4.63</v>
      </c>
      <c r="G83" s="64">
        <v>89.42</v>
      </c>
      <c r="H83" s="64">
        <v>28.08</v>
      </c>
      <c r="I83" s="64">
        <v>3.75</v>
      </c>
      <c r="J83" s="64">
        <v>0.18</v>
      </c>
      <c r="K83" s="64">
        <v>16.71</v>
      </c>
      <c r="L83" s="64">
        <v>20.43</v>
      </c>
      <c r="M83" s="64">
        <v>63.69</v>
      </c>
      <c r="N83" s="64">
        <v>41.2</v>
      </c>
      <c r="O83" s="64">
        <v>0</v>
      </c>
      <c r="P83" s="64">
        <v>2.2200000000000002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1" t="s">
        <v>2147</v>
      </c>
      <c r="B84" s="64">
        <v>20.47</v>
      </c>
      <c r="C84" s="64">
        <v>38.03</v>
      </c>
      <c r="D84" s="64">
        <v>35.82</v>
      </c>
      <c r="E84" s="64">
        <v>12.26</v>
      </c>
      <c r="F84" s="64">
        <v>4.6500000000000004</v>
      </c>
      <c r="G84" s="64">
        <v>89.42</v>
      </c>
      <c r="H84" s="64">
        <v>28.08</v>
      </c>
      <c r="I84" s="64">
        <v>3.66</v>
      </c>
      <c r="J84" s="64">
        <v>0.21</v>
      </c>
      <c r="K84" s="64">
        <v>99.18</v>
      </c>
      <c r="L84" s="64">
        <v>20.68</v>
      </c>
      <c r="M84" s="64">
        <v>58.15</v>
      </c>
      <c r="N84" s="64">
        <v>41.3</v>
      </c>
      <c r="O84" s="64">
        <v>0</v>
      </c>
      <c r="P84" s="64">
        <v>1.9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1" t="s">
        <v>2148</v>
      </c>
      <c r="B85" s="64">
        <v>19.809999999999999</v>
      </c>
      <c r="C85" s="64">
        <v>25.17</v>
      </c>
      <c r="D85" s="64">
        <v>28.58</v>
      </c>
      <c r="E85" s="64">
        <v>10.33</v>
      </c>
      <c r="F85" s="64">
        <v>3.29</v>
      </c>
      <c r="G85" s="64">
        <v>105.14</v>
      </c>
      <c r="H85" s="64">
        <v>32.729999999999997</v>
      </c>
      <c r="I85" s="64">
        <v>3.83</v>
      </c>
      <c r="J85" s="64">
        <v>0.17</v>
      </c>
      <c r="K85" s="64">
        <v>111.28</v>
      </c>
      <c r="L85" s="64">
        <v>20.29</v>
      </c>
      <c r="M85" s="64">
        <v>63.87</v>
      </c>
      <c r="N85" s="64">
        <v>41.5</v>
      </c>
      <c r="O85" s="64">
        <v>0</v>
      </c>
      <c r="P85" s="64">
        <v>1.39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1" t="s">
        <v>2149</v>
      </c>
      <c r="B86" s="64">
        <v>23.51</v>
      </c>
      <c r="C86" s="64">
        <v>19.98</v>
      </c>
      <c r="D86" s="64">
        <v>28.83</v>
      </c>
      <c r="E86" s="64">
        <v>7.51</v>
      </c>
      <c r="F86" s="64">
        <v>3.15</v>
      </c>
      <c r="G86" s="64">
        <v>110.22</v>
      </c>
      <c r="H86" s="64">
        <v>32.729999999999997</v>
      </c>
      <c r="I86" s="64">
        <v>3.96</v>
      </c>
      <c r="J86" s="64">
        <v>0.15</v>
      </c>
      <c r="K86" s="64">
        <v>165.23</v>
      </c>
      <c r="L86" s="64">
        <v>19.809999999999999</v>
      </c>
      <c r="M86" s="64">
        <v>66.680000000000007</v>
      </c>
      <c r="N86" s="64">
        <v>41.3</v>
      </c>
      <c r="O86" s="64">
        <v>0</v>
      </c>
      <c r="P86" s="64">
        <v>1.34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1" t="s">
        <v>2150</v>
      </c>
      <c r="B87" s="64">
        <v>26.84</v>
      </c>
      <c r="C87" s="64">
        <v>17.73</v>
      </c>
      <c r="D87" s="64">
        <v>30.32</v>
      </c>
      <c r="E87" s="64">
        <v>6.62</v>
      </c>
      <c r="F87" s="64">
        <v>3.3</v>
      </c>
      <c r="G87" s="64">
        <v>110.22</v>
      </c>
      <c r="H87" s="64">
        <v>32.729999999999997</v>
      </c>
      <c r="I87" s="64">
        <v>4.3899999999999997</v>
      </c>
      <c r="J87" s="64">
        <v>0.18</v>
      </c>
      <c r="K87" s="64">
        <v>316.38</v>
      </c>
      <c r="L87" s="64">
        <v>19.5</v>
      </c>
      <c r="M87" s="64">
        <v>73.88</v>
      </c>
      <c r="N87" s="64">
        <v>41.4</v>
      </c>
      <c r="O87" s="64">
        <v>0</v>
      </c>
      <c r="P87" s="64">
        <v>1.37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1" t="s">
        <v>2151</v>
      </c>
      <c r="B88" s="64">
        <v>32.31</v>
      </c>
      <c r="C88" s="64">
        <v>16.29</v>
      </c>
      <c r="D88" s="64">
        <v>33.96</v>
      </c>
      <c r="E88" s="64">
        <v>6.61</v>
      </c>
      <c r="F88" s="64">
        <v>3.04</v>
      </c>
      <c r="G88" s="64">
        <v>110.22</v>
      </c>
      <c r="H88" s="64">
        <v>32.729999999999997</v>
      </c>
      <c r="I88" s="64">
        <v>4.8099999999999996</v>
      </c>
      <c r="J88" s="64">
        <v>0.19</v>
      </c>
      <c r="K88" s="64">
        <v>312.10000000000002</v>
      </c>
      <c r="L88" s="64">
        <v>19.11</v>
      </c>
      <c r="M88" s="64">
        <v>77.41</v>
      </c>
      <c r="N88" s="64">
        <v>41.3</v>
      </c>
      <c r="O88" s="64">
        <v>0</v>
      </c>
      <c r="P88" s="64">
        <v>1.5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2152</v>
      </c>
      <c r="B89" s="64">
        <v>35.22</v>
      </c>
      <c r="C89" s="64">
        <v>13.05</v>
      </c>
      <c r="D89" s="64">
        <v>34.6</v>
      </c>
      <c r="E89" s="64">
        <v>6.27</v>
      </c>
      <c r="F89" s="64">
        <v>3.24</v>
      </c>
      <c r="G89" s="64">
        <v>127.33</v>
      </c>
      <c r="H89" s="64">
        <v>42.69</v>
      </c>
      <c r="I89" s="64">
        <v>5.0599999999999996</v>
      </c>
      <c r="J89" s="64">
        <v>0.21</v>
      </c>
      <c r="K89" s="64">
        <v>6.86</v>
      </c>
      <c r="L89" s="64">
        <v>18.72</v>
      </c>
      <c r="M89" s="64">
        <v>83.26</v>
      </c>
      <c r="N89" s="64">
        <v>41.4</v>
      </c>
      <c r="O89" s="64">
        <v>0</v>
      </c>
      <c r="P89" s="64">
        <v>1.58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1" t="s">
        <v>2153</v>
      </c>
      <c r="B90" s="64">
        <v>41.65</v>
      </c>
      <c r="C90" s="64">
        <v>11.22</v>
      </c>
      <c r="D90" s="64">
        <v>38.799999999999997</v>
      </c>
      <c r="E90" s="64">
        <v>6.01</v>
      </c>
      <c r="F90" s="64">
        <v>3.29</v>
      </c>
      <c r="G90" s="64">
        <v>132.86000000000001</v>
      </c>
      <c r="H90" s="64">
        <v>43.71</v>
      </c>
      <c r="I90" s="64">
        <v>4.9800000000000004</v>
      </c>
      <c r="J90" s="64">
        <v>0.16</v>
      </c>
      <c r="K90" s="64">
        <v>325.31</v>
      </c>
      <c r="L90" s="64">
        <v>18.53</v>
      </c>
      <c r="M90" s="64">
        <v>81.430000000000007</v>
      </c>
      <c r="N90" s="64">
        <v>41.4</v>
      </c>
      <c r="O90" s="64">
        <v>0</v>
      </c>
      <c r="P90" s="64">
        <v>1.73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1" t="s">
        <v>2154</v>
      </c>
      <c r="B91" s="64">
        <v>45.45</v>
      </c>
      <c r="C91" s="64">
        <v>10.41</v>
      </c>
      <c r="D91" s="64">
        <v>41.43</v>
      </c>
      <c r="E91" s="64">
        <v>6.03</v>
      </c>
      <c r="F91" s="64">
        <v>3.17</v>
      </c>
      <c r="G91" s="64">
        <v>132.86000000000001</v>
      </c>
      <c r="H91" s="64">
        <v>43.71</v>
      </c>
      <c r="I91" s="64">
        <v>5.36</v>
      </c>
      <c r="J91" s="64">
        <v>0.13</v>
      </c>
      <c r="K91" s="64">
        <v>311.32</v>
      </c>
      <c r="L91" s="64">
        <v>18.45</v>
      </c>
      <c r="M91" s="64">
        <v>80.56</v>
      </c>
      <c r="N91" s="64">
        <v>41.1</v>
      </c>
      <c r="O91" s="64">
        <v>0</v>
      </c>
      <c r="P91" s="64">
        <v>1.81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1" t="s">
        <v>2155</v>
      </c>
      <c r="B92" s="64">
        <v>47.75</v>
      </c>
      <c r="C92" s="64">
        <v>8.94</v>
      </c>
      <c r="D92" s="64">
        <v>42.5</v>
      </c>
      <c r="E92" s="64">
        <v>5.86</v>
      </c>
      <c r="F92" s="64">
        <v>3.12</v>
      </c>
      <c r="G92" s="64">
        <v>132.86000000000001</v>
      </c>
      <c r="H92" s="64">
        <v>43.71</v>
      </c>
      <c r="I92" s="64">
        <v>5.88</v>
      </c>
      <c r="J92" s="64">
        <v>0.13</v>
      </c>
      <c r="K92" s="64">
        <v>278.74</v>
      </c>
      <c r="L92" s="64">
        <v>18.489999999999998</v>
      </c>
      <c r="M92" s="64">
        <v>80.680000000000007</v>
      </c>
      <c r="N92" s="64">
        <v>41.1</v>
      </c>
      <c r="O92" s="64">
        <v>0</v>
      </c>
      <c r="P92" s="64">
        <v>1.86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1" t="s">
        <v>2156</v>
      </c>
      <c r="B93" s="64">
        <v>55.31</v>
      </c>
      <c r="C93" s="64">
        <v>5.0999999999999996</v>
      </c>
      <c r="D93" s="64">
        <v>46.3</v>
      </c>
      <c r="E93" s="64">
        <v>5.87</v>
      </c>
      <c r="F93" s="64">
        <v>3.15</v>
      </c>
      <c r="G93" s="64">
        <v>132.72</v>
      </c>
      <c r="H93" s="64">
        <v>47.37</v>
      </c>
      <c r="I93" s="64">
        <v>6.07</v>
      </c>
      <c r="J93" s="64">
        <v>0.18</v>
      </c>
      <c r="K93" s="64">
        <v>285.39</v>
      </c>
      <c r="L93" s="64">
        <v>18.36</v>
      </c>
      <c r="M93" s="64">
        <v>83.87</v>
      </c>
      <c r="N93" s="64">
        <v>41.2</v>
      </c>
      <c r="O93" s="64">
        <v>0</v>
      </c>
      <c r="P93" s="64">
        <v>1.97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1" t="s">
        <v>2157</v>
      </c>
      <c r="B94" s="64">
        <v>59.07</v>
      </c>
      <c r="C94" s="64">
        <v>2.76</v>
      </c>
      <c r="D94" s="64">
        <v>48.35</v>
      </c>
      <c r="E94" s="64">
        <v>6.01</v>
      </c>
      <c r="F94" s="64">
        <v>3.11</v>
      </c>
      <c r="G94" s="64">
        <v>132.68</v>
      </c>
      <c r="H94" s="64">
        <v>47.37</v>
      </c>
      <c r="I94" s="64">
        <v>5.84</v>
      </c>
      <c r="J94" s="64">
        <v>0.28999999999999998</v>
      </c>
      <c r="K94" s="64">
        <v>344.56</v>
      </c>
      <c r="L94" s="64">
        <v>18.12</v>
      </c>
      <c r="M94" s="64">
        <v>86.45</v>
      </c>
      <c r="N94" s="64">
        <v>41.3</v>
      </c>
      <c r="O94" s="64">
        <v>0</v>
      </c>
      <c r="P94" s="64">
        <v>2.04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1" t="s">
        <v>2158</v>
      </c>
      <c r="B95" s="64">
        <v>67.75</v>
      </c>
      <c r="C95" s="64">
        <v>1.1100000000000001</v>
      </c>
      <c r="D95" s="64">
        <v>53.79</v>
      </c>
      <c r="E95" s="64">
        <v>6.01</v>
      </c>
      <c r="F95" s="64">
        <v>3.1</v>
      </c>
      <c r="G95" s="64">
        <v>132.68</v>
      </c>
      <c r="H95" s="64">
        <v>47.37</v>
      </c>
      <c r="I95" s="64">
        <v>5.71</v>
      </c>
      <c r="J95" s="64">
        <v>0.14000000000000001</v>
      </c>
      <c r="K95" s="64">
        <v>358.58</v>
      </c>
      <c r="L95" s="64">
        <v>17.809999999999999</v>
      </c>
      <c r="M95" s="64">
        <v>90.15</v>
      </c>
      <c r="N95" s="64">
        <v>41.3</v>
      </c>
      <c r="O95" s="64">
        <v>0</v>
      </c>
      <c r="P95" s="64">
        <v>2.19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1" t="s">
        <v>2159</v>
      </c>
      <c r="B96" s="64">
        <v>74.28</v>
      </c>
      <c r="C96" s="64">
        <v>1.98</v>
      </c>
      <c r="D96" s="64">
        <v>58.49</v>
      </c>
      <c r="E96" s="64">
        <v>6.1</v>
      </c>
      <c r="F96" s="64">
        <v>3.57</v>
      </c>
      <c r="G96" s="64">
        <v>132.68</v>
      </c>
      <c r="H96" s="64">
        <v>47.37</v>
      </c>
      <c r="I96" s="64">
        <v>5.86</v>
      </c>
      <c r="J96" s="64">
        <v>0.2</v>
      </c>
      <c r="K96" s="64">
        <v>315.55</v>
      </c>
      <c r="L96" s="64">
        <v>17.68</v>
      </c>
      <c r="M96" s="64">
        <v>89.51</v>
      </c>
      <c r="N96" s="64">
        <v>41.2</v>
      </c>
      <c r="O96" s="64">
        <v>0</v>
      </c>
      <c r="P96" s="64">
        <v>2.35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2160</v>
      </c>
      <c r="B97" s="64">
        <v>70.099999999999994</v>
      </c>
      <c r="C97" s="64">
        <v>4.59</v>
      </c>
      <c r="D97" s="64">
        <v>56.97</v>
      </c>
      <c r="E97" s="64">
        <v>6.29</v>
      </c>
      <c r="F97" s="64">
        <v>3.13</v>
      </c>
      <c r="G97" s="64">
        <v>131.66999999999999</v>
      </c>
      <c r="H97" s="64">
        <v>46.76</v>
      </c>
      <c r="I97" s="64">
        <v>6</v>
      </c>
      <c r="J97" s="64">
        <v>0.21</v>
      </c>
      <c r="K97" s="64">
        <v>276.04000000000002</v>
      </c>
      <c r="L97" s="64">
        <v>17.579999999999998</v>
      </c>
      <c r="M97" s="64">
        <v>88.95</v>
      </c>
      <c r="N97" s="64">
        <v>41.3</v>
      </c>
      <c r="O97" s="64">
        <v>0</v>
      </c>
      <c r="P97" s="64">
        <v>2.39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1" t="s">
        <v>2161</v>
      </c>
      <c r="B98" s="64">
        <v>78.77</v>
      </c>
      <c r="C98" s="64">
        <v>0.91</v>
      </c>
      <c r="D98" s="64">
        <v>60.39</v>
      </c>
      <c r="E98" s="64">
        <v>6.31</v>
      </c>
      <c r="F98" s="64">
        <v>3.42</v>
      </c>
      <c r="G98" s="64">
        <v>131.35</v>
      </c>
      <c r="H98" s="64">
        <v>46.76</v>
      </c>
      <c r="I98" s="64">
        <v>6.55</v>
      </c>
      <c r="J98" s="64">
        <v>0.23</v>
      </c>
      <c r="K98" s="64">
        <v>309.23</v>
      </c>
      <c r="L98" s="64">
        <v>17.32</v>
      </c>
      <c r="M98" s="64">
        <v>90.97</v>
      </c>
      <c r="N98" s="64">
        <v>41.2</v>
      </c>
      <c r="O98" s="64">
        <v>0</v>
      </c>
      <c r="P98" s="64">
        <v>2.4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1" t="s">
        <v>2162</v>
      </c>
      <c r="B99" s="64">
        <v>79.650000000000006</v>
      </c>
      <c r="C99" s="64">
        <v>1.01</v>
      </c>
      <c r="D99" s="64">
        <v>60.94</v>
      </c>
      <c r="E99" s="64">
        <v>6.28</v>
      </c>
      <c r="F99" s="64">
        <v>3.31</v>
      </c>
      <c r="G99" s="64">
        <v>131.35</v>
      </c>
      <c r="H99" s="64">
        <v>46.76</v>
      </c>
      <c r="I99" s="64">
        <v>6.51</v>
      </c>
      <c r="J99" s="64">
        <v>0.23</v>
      </c>
      <c r="K99" s="64">
        <v>319.79000000000002</v>
      </c>
      <c r="L99" s="64">
        <v>17.05</v>
      </c>
      <c r="M99" s="64">
        <v>93.74</v>
      </c>
      <c r="N99" s="64">
        <v>41.3</v>
      </c>
      <c r="O99" s="64">
        <v>0</v>
      </c>
      <c r="P99" s="64">
        <v>2.44</v>
      </c>
      <c r="Q99" s="64">
        <v>9.74</v>
      </c>
      <c r="R99" s="198"/>
      <c r="S99" s="198"/>
      <c r="T99" s="198"/>
      <c r="U99" s="198"/>
    </row>
    <row r="100" spans="1:33" s="12" customFormat="1" x14ac:dyDescent="0.25">
      <c r="A100" s="211" t="s">
        <v>2163</v>
      </c>
      <c r="B100" s="64">
        <v>77.17</v>
      </c>
      <c r="C100" s="64">
        <v>1.6</v>
      </c>
      <c r="D100" s="64">
        <v>61.39</v>
      </c>
      <c r="E100" s="64">
        <v>6.51</v>
      </c>
      <c r="F100" s="64">
        <v>3.28</v>
      </c>
      <c r="G100" s="64">
        <v>131.35</v>
      </c>
      <c r="H100" s="64">
        <v>46.76</v>
      </c>
      <c r="I100" s="64">
        <v>6.26</v>
      </c>
      <c r="J100" s="64">
        <v>0.19</v>
      </c>
      <c r="K100" s="64">
        <v>307.08</v>
      </c>
      <c r="L100" s="64">
        <v>16.940000000000001</v>
      </c>
      <c r="M100" s="64">
        <v>91.82</v>
      </c>
      <c r="N100" s="64">
        <v>41.1</v>
      </c>
      <c r="O100" s="64">
        <v>0</v>
      </c>
      <c r="P100" s="64">
        <v>2.44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2164</v>
      </c>
      <c r="B101" s="64">
        <v>80.61</v>
      </c>
      <c r="C101" s="64">
        <v>0</v>
      </c>
      <c r="D101" s="64">
        <v>61.53</v>
      </c>
      <c r="E101" s="64">
        <v>6.36</v>
      </c>
      <c r="F101" s="64">
        <v>2.96</v>
      </c>
      <c r="G101" s="64">
        <v>116.58</v>
      </c>
      <c r="H101" s="64">
        <v>45.45</v>
      </c>
      <c r="I101" s="64">
        <v>6.35</v>
      </c>
      <c r="J101" s="64">
        <v>0.16</v>
      </c>
      <c r="K101" s="64">
        <v>301.64</v>
      </c>
      <c r="L101" s="64">
        <v>16.91</v>
      </c>
      <c r="M101" s="64">
        <v>92.3</v>
      </c>
      <c r="N101" s="64">
        <v>41.2</v>
      </c>
      <c r="O101" s="64">
        <v>0</v>
      </c>
      <c r="P101" s="64">
        <v>2.4300000000000002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1" t="s">
        <v>2165</v>
      </c>
      <c r="B102" s="64">
        <v>80.489999999999995</v>
      </c>
      <c r="C102" s="64">
        <v>0.05</v>
      </c>
      <c r="D102" s="64">
        <v>61.75</v>
      </c>
      <c r="E102" s="64">
        <v>6.24</v>
      </c>
      <c r="F102" s="64">
        <v>3.21</v>
      </c>
      <c r="G102" s="64">
        <v>111.81</v>
      </c>
      <c r="H102" s="64">
        <v>45.45</v>
      </c>
      <c r="I102" s="64">
        <v>6.39</v>
      </c>
      <c r="J102" s="64">
        <v>0.19</v>
      </c>
      <c r="K102" s="64">
        <v>220.05</v>
      </c>
      <c r="L102" s="64">
        <v>16.68</v>
      </c>
      <c r="M102" s="64">
        <v>91.52</v>
      </c>
      <c r="N102" s="64">
        <v>41.2</v>
      </c>
      <c r="O102" s="64">
        <v>0</v>
      </c>
      <c r="P102" s="64">
        <v>2.44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1" t="s">
        <v>2166</v>
      </c>
      <c r="B103" s="64">
        <v>80.260000000000005</v>
      </c>
      <c r="C103" s="64">
        <v>0</v>
      </c>
      <c r="D103" s="64">
        <v>60.5</v>
      </c>
      <c r="E103" s="64">
        <v>6.03</v>
      </c>
      <c r="F103" s="64">
        <v>3.4</v>
      </c>
      <c r="G103" s="64">
        <v>111.81</v>
      </c>
      <c r="H103" s="64">
        <v>45.45</v>
      </c>
      <c r="I103" s="64">
        <v>6.41</v>
      </c>
      <c r="J103" s="64">
        <v>0.17</v>
      </c>
      <c r="K103" s="64">
        <v>221.75</v>
      </c>
      <c r="L103" s="64">
        <v>16.489999999999998</v>
      </c>
      <c r="M103" s="64">
        <v>91.28</v>
      </c>
      <c r="N103" s="64">
        <v>41.3</v>
      </c>
      <c r="O103" s="64">
        <v>0</v>
      </c>
      <c r="P103" s="64">
        <v>2.4300000000000002</v>
      </c>
      <c r="Q103" s="64">
        <v>9.75</v>
      </c>
      <c r="R103" s="198"/>
      <c r="S103" s="198"/>
      <c r="T103" s="198"/>
      <c r="U103" s="198"/>
    </row>
    <row r="104" spans="1:33" s="12" customFormat="1" x14ac:dyDescent="0.25">
      <c r="A104" s="211" t="s">
        <v>2167</v>
      </c>
      <c r="B104" s="64">
        <v>79.62</v>
      </c>
      <c r="C104" s="64">
        <v>0</v>
      </c>
      <c r="D104" s="64">
        <v>59.73</v>
      </c>
      <c r="E104" s="64">
        <v>5.69</v>
      </c>
      <c r="F104" s="64">
        <v>3.25</v>
      </c>
      <c r="G104" s="64">
        <v>111.81</v>
      </c>
      <c r="H104" s="64">
        <v>45.45</v>
      </c>
      <c r="I104" s="64">
        <v>6.4</v>
      </c>
      <c r="J104" s="64">
        <v>0.14000000000000001</v>
      </c>
      <c r="K104" s="64">
        <v>329.28</v>
      </c>
      <c r="L104" s="64">
        <v>16.27</v>
      </c>
      <c r="M104" s="64">
        <v>95.98</v>
      </c>
      <c r="N104" s="64">
        <v>41.2</v>
      </c>
      <c r="O104" s="64">
        <v>0</v>
      </c>
      <c r="P104" s="64">
        <v>2.36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4.26</v>
      </c>
      <c r="C106" s="67">
        <f>MIN(C9:C104)</f>
        <v>0</v>
      </c>
      <c r="D106" s="67">
        <f t="shared" ref="D106:Q106" si="0">MIN(D9:D104)</f>
        <v>16.309999999999999</v>
      </c>
      <c r="E106" s="67">
        <f t="shared" si="0"/>
        <v>4.63</v>
      </c>
      <c r="F106" s="67">
        <f t="shared" si="0"/>
        <v>2.83</v>
      </c>
      <c r="G106" s="67">
        <f t="shared" si="0"/>
        <v>35.54</v>
      </c>
      <c r="H106" s="67">
        <f t="shared" si="0"/>
        <v>18.940000000000001</v>
      </c>
      <c r="I106" s="67">
        <f t="shared" si="0"/>
        <v>3.61</v>
      </c>
      <c r="J106" s="67">
        <f t="shared" si="0"/>
        <v>0.02</v>
      </c>
      <c r="K106" s="67">
        <f t="shared" si="0"/>
        <v>6.86</v>
      </c>
      <c r="L106" s="67">
        <f t="shared" si="0"/>
        <v>13.96</v>
      </c>
      <c r="M106" s="67">
        <f t="shared" si="0"/>
        <v>29.06</v>
      </c>
      <c r="N106" s="67">
        <f t="shared" si="0"/>
        <v>41.1</v>
      </c>
      <c r="O106" s="67">
        <f t="shared" si="0"/>
        <v>0</v>
      </c>
      <c r="P106" s="67">
        <f t="shared" si="0"/>
        <v>0.73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80.61</v>
      </c>
      <c r="C107" s="66">
        <f t="shared" ref="C107:Q107" si="1">MAX(C9:C104)</f>
        <v>43.39</v>
      </c>
      <c r="D107" s="66">
        <f t="shared" si="1"/>
        <v>61.75</v>
      </c>
      <c r="E107" s="66">
        <f t="shared" si="1"/>
        <v>16.97</v>
      </c>
      <c r="F107" s="66">
        <f t="shared" si="1"/>
        <v>20.86</v>
      </c>
      <c r="G107" s="66">
        <f t="shared" si="1"/>
        <v>165.08</v>
      </c>
      <c r="H107" s="66">
        <f t="shared" si="1"/>
        <v>54.42</v>
      </c>
      <c r="I107" s="66">
        <f t="shared" si="1"/>
        <v>6.55</v>
      </c>
      <c r="J107" s="66">
        <f t="shared" si="1"/>
        <v>1.07</v>
      </c>
      <c r="K107" s="66">
        <f t="shared" si="1"/>
        <v>358.83</v>
      </c>
      <c r="L107" s="66">
        <f t="shared" si="1"/>
        <v>30.26</v>
      </c>
      <c r="M107" s="66">
        <f t="shared" si="1"/>
        <v>96.68</v>
      </c>
      <c r="N107" s="66">
        <f t="shared" si="1"/>
        <v>634.5</v>
      </c>
      <c r="O107" s="66">
        <f t="shared" si="1"/>
        <v>0</v>
      </c>
      <c r="P107" s="66">
        <f t="shared" si="1"/>
        <v>2.44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29.049062500000005</v>
      </c>
      <c r="C108" s="67">
        <f t="shared" ref="C108:Q108" si="2">AVERAGE(C9:C104)</f>
        <v>17.548229166666665</v>
      </c>
      <c r="D108" s="67">
        <f t="shared" si="2"/>
        <v>31.767499999999998</v>
      </c>
      <c r="E108" s="67">
        <f t="shared" si="2"/>
        <v>7.5660416666666661</v>
      </c>
      <c r="F108" s="67">
        <f t="shared" si="2"/>
        <v>5.3027083333333316</v>
      </c>
      <c r="G108" s="67">
        <f t="shared" si="2"/>
        <v>83.139166666666668</v>
      </c>
      <c r="H108" s="67">
        <f t="shared" si="2"/>
        <v>34.186458333333341</v>
      </c>
      <c r="I108" s="67">
        <f t="shared" si="2"/>
        <v>4.6582291666666675</v>
      </c>
      <c r="J108" s="67">
        <f t="shared" si="2"/>
        <v>0.3567708333333332</v>
      </c>
      <c r="K108" s="67">
        <f t="shared" si="2"/>
        <v>271.3143750000001</v>
      </c>
      <c r="L108" s="67">
        <f t="shared" si="2"/>
        <v>20.662708333333331</v>
      </c>
      <c r="M108" s="67">
        <f t="shared" si="2"/>
        <v>67.703958333333318</v>
      </c>
      <c r="N108" s="67">
        <f t="shared" si="2"/>
        <v>174.57812499999997</v>
      </c>
      <c r="O108" s="67">
        <f t="shared" si="2"/>
        <v>0</v>
      </c>
      <c r="P108" s="67">
        <f t="shared" si="2"/>
        <v>1.4022916666666674</v>
      </c>
      <c r="Q108" s="67">
        <f t="shared" si="2"/>
        <v>9.5817708333333318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19.235056541753998</v>
      </c>
      <c r="C109" s="67">
        <f t="shared" ref="C109:Q109" si="3">STDEV(C9:C104)</f>
        <v>9.7011311326150551</v>
      </c>
      <c r="D109" s="67">
        <f t="shared" si="3"/>
        <v>11.41361615283302</v>
      </c>
      <c r="E109" s="67">
        <f t="shared" si="3"/>
        <v>3.1276062745767672</v>
      </c>
      <c r="F109" s="67">
        <f t="shared" si="3"/>
        <v>4.1373954378052789</v>
      </c>
      <c r="G109" s="67">
        <f t="shared" si="3"/>
        <v>42.136249918484424</v>
      </c>
      <c r="H109" s="67">
        <f t="shared" si="3"/>
        <v>11.575911648006645</v>
      </c>
      <c r="I109" s="67">
        <f t="shared" si="3"/>
        <v>0.82512008030942008</v>
      </c>
      <c r="J109" s="67">
        <f t="shared" si="3"/>
        <v>0.25432053869774074</v>
      </c>
      <c r="K109" s="67">
        <f t="shared" si="3"/>
        <v>89.653007872897632</v>
      </c>
      <c r="L109" s="67">
        <f t="shared" si="3"/>
        <v>5.1443030276560249</v>
      </c>
      <c r="M109" s="67">
        <f t="shared" si="3"/>
        <v>25.936022601339548</v>
      </c>
      <c r="N109" s="67">
        <f t="shared" si="3"/>
        <v>208.42468850787645</v>
      </c>
      <c r="O109" s="67">
        <f t="shared" si="3"/>
        <v>0</v>
      </c>
      <c r="P109" s="67">
        <f t="shared" si="3"/>
        <v>0.45082726104156939</v>
      </c>
      <c r="Q109" s="67">
        <f t="shared" si="3"/>
        <v>0.12260329515333669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2168</v>
      </c>
      <c r="B9" s="64">
        <v>79.53</v>
      </c>
      <c r="C9" s="6" t="s">
        <v>42</v>
      </c>
      <c r="D9" s="64">
        <v>59.36</v>
      </c>
      <c r="E9" s="64">
        <v>6.61</v>
      </c>
      <c r="F9" s="64">
        <v>3.49</v>
      </c>
      <c r="G9" s="64">
        <v>99.28</v>
      </c>
      <c r="H9" s="64">
        <v>41.36</v>
      </c>
      <c r="I9" s="64">
        <v>6.32</v>
      </c>
      <c r="J9" s="64">
        <v>0.19</v>
      </c>
      <c r="K9" s="64">
        <v>139.41</v>
      </c>
      <c r="L9" s="64">
        <v>16.18</v>
      </c>
      <c r="M9" s="64">
        <v>96.54</v>
      </c>
      <c r="N9" s="64">
        <v>41.1</v>
      </c>
      <c r="O9" s="64">
        <v>0</v>
      </c>
      <c r="P9" s="64">
        <v>2.33</v>
      </c>
      <c r="Q9" s="64">
        <v>9.75</v>
      </c>
      <c r="R9" s="198"/>
      <c r="S9" s="198"/>
      <c r="T9" s="198"/>
      <c r="U9" s="198"/>
    </row>
    <row r="10" spans="1:21" s="12" customFormat="1" x14ac:dyDescent="0.25">
      <c r="A10" s="211" t="s">
        <v>2169</v>
      </c>
      <c r="B10" s="64">
        <v>79.17</v>
      </c>
      <c r="C10" s="6" t="s">
        <v>42</v>
      </c>
      <c r="D10" s="64">
        <v>59.02</v>
      </c>
      <c r="E10" s="64">
        <v>6.29</v>
      </c>
      <c r="F10" s="64">
        <v>3.46</v>
      </c>
      <c r="G10" s="64">
        <v>95.23</v>
      </c>
      <c r="H10" s="64">
        <v>41.36</v>
      </c>
      <c r="I10" s="64">
        <v>6.3</v>
      </c>
      <c r="J10" s="64">
        <v>0.17</v>
      </c>
      <c r="K10" s="64">
        <v>167.16</v>
      </c>
      <c r="L10" s="64">
        <v>16.13</v>
      </c>
      <c r="M10" s="64">
        <v>96.55</v>
      </c>
      <c r="N10" s="64">
        <v>41.1</v>
      </c>
      <c r="O10" s="64">
        <v>0</v>
      </c>
      <c r="P10" s="64">
        <v>2.31</v>
      </c>
      <c r="Q10" s="64">
        <v>9.75</v>
      </c>
      <c r="R10" s="198"/>
      <c r="S10" s="198"/>
      <c r="T10" s="198"/>
      <c r="U10" s="198"/>
    </row>
    <row r="11" spans="1:21" s="12" customFormat="1" x14ac:dyDescent="0.25">
      <c r="A11" s="211" t="s">
        <v>2170</v>
      </c>
      <c r="B11" s="64">
        <v>78.069999999999993</v>
      </c>
      <c r="C11" s="6" t="s">
        <v>42</v>
      </c>
      <c r="D11" s="64">
        <v>58.18</v>
      </c>
      <c r="E11" s="64">
        <v>6.46</v>
      </c>
      <c r="F11" s="64">
        <v>3.27</v>
      </c>
      <c r="G11" s="64">
        <v>95.23</v>
      </c>
      <c r="H11" s="64">
        <v>41.36</v>
      </c>
      <c r="I11" s="64">
        <v>6.76</v>
      </c>
      <c r="J11" s="64">
        <v>0.09</v>
      </c>
      <c r="K11" s="64">
        <v>40.71</v>
      </c>
      <c r="L11" s="64">
        <v>16.09</v>
      </c>
      <c r="M11" s="64">
        <v>96.57</v>
      </c>
      <c r="N11" s="64">
        <v>41.1</v>
      </c>
      <c r="O11" s="64">
        <v>0</v>
      </c>
      <c r="P11" s="64">
        <v>2.29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1" t="s">
        <v>2171</v>
      </c>
      <c r="B12" s="64">
        <v>76.95</v>
      </c>
      <c r="C12" s="6" t="s">
        <v>42</v>
      </c>
      <c r="D12" s="64">
        <v>57.43</v>
      </c>
      <c r="E12" s="64">
        <v>6.36</v>
      </c>
      <c r="F12" s="64">
        <v>3.29</v>
      </c>
      <c r="G12" s="64">
        <v>95.23</v>
      </c>
      <c r="H12" s="64">
        <v>41.36</v>
      </c>
      <c r="I12" s="64">
        <v>7.07</v>
      </c>
      <c r="J12" s="64">
        <v>0.22</v>
      </c>
      <c r="K12" s="64">
        <v>334.86</v>
      </c>
      <c r="L12" s="64">
        <v>15.89</v>
      </c>
      <c r="M12" s="64">
        <v>96.57</v>
      </c>
      <c r="N12" s="64">
        <v>41.2</v>
      </c>
      <c r="O12" s="64">
        <v>0</v>
      </c>
      <c r="P12" s="64">
        <v>2.27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1" t="s">
        <v>2172</v>
      </c>
      <c r="B13" s="64">
        <v>75.849999999999994</v>
      </c>
      <c r="C13" s="6" t="s">
        <v>42</v>
      </c>
      <c r="D13" s="64">
        <v>56.72</v>
      </c>
      <c r="E13" s="64">
        <v>6.43</v>
      </c>
      <c r="F13" s="64">
        <v>3.02</v>
      </c>
      <c r="G13" s="64">
        <v>96.63</v>
      </c>
      <c r="H13" s="64">
        <v>42.72</v>
      </c>
      <c r="I13" s="64">
        <v>6.65</v>
      </c>
      <c r="J13" s="64">
        <v>7.0000000000000007E-2</v>
      </c>
      <c r="K13" s="64">
        <v>248.61</v>
      </c>
      <c r="L13" s="64">
        <v>15.86</v>
      </c>
      <c r="M13" s="64">
        <v>96.58</v>
      </c>
      <c r="N13" s="64">
        <v>41</v>
      </c>
      <c r="O13" s="64">
        <v>0</v>
      </c>
      <c r="P13" s="64">
        <v>2.0299999999999998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11" t="s">
        <v>2173</v>
      </c>
      <c r="B14" s="64">
        <v>74.319999999999993</v>
      </c>
      <c r="C14" s="6" t="s">
        <v>42</v>
      </c>
      <c r="D14" s="64">
        <v>55.7</v>
      </c>
      <c r="E14" s="64">
        <v>6.15</v>
      </c>
      <c r="F14" s="64">
        <v>3.28</v>
      </c>
      <c r="G14" s="64">
        <v>97.08</v>
      </c>
      <c r="H14" s="64">
        <v>42.72</v>
      </c>
      <c r="I14" s="64">
        <v>6.84</v>
      </c>
      <c r="J14" s="64">
        <v>0.17</v>
      </c>
      <c r="K14" s="64">
        <v>321.62</v>
      </c>
      <c r="L14" s="64">
        <v>15.82</v>
      </c>
      <c r="M14" s="64">
        <v>96.58</v>
      </c>
      <c r="N14" s="64">
        <v>41.2</v>
      </c>
      <c r="O14" s="64">
        <v>0</v>
      </c>
      <c r="P14" s="64">
        <v>2.11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1" t="s">
        <v>2174</v>
      </c>
      <c r="B15" s="64">
        <v>72.650000000000006</v>
      </c>
      <c r="C15" s="6" t="s">
        <v>42</v>
      </c>
      <c r="D15" s="64">
        <v>54.53</v>
      </c>
      <c r="E15" s="64">
        <v>6</v>
      </c>
      <c r="F15" s="64">
        <v>3.16</v>
      </c>
      <c r="G15" s="64">
        <v>97.08</v>
      </c>
      <c r="H15" s="64">
        <v>42.72</v>
      </c>
      <c r="I15" s="64">
        <v>6.75</v>
      </c>
      <c r="J15" s="64">
        <v>0.1</v>
      </c>
      <c r="K15" s="64">
        <v>345.16</v>
      </c>
      <c r="L15" s="64">
        <v>15.7</v>
      </c>
      <c r="M15" s="64">
        <v>96.6</v>
      </c>
      <c r="N15" s="64">
        <v>41</v>
      </c>
      <c r="O15" s="64">
        <v>0</v>
      </c>
      <c r="P15" s="64">
        <v>2.0699999999999998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1" t="s">
        <v>2175</v>
      </c>
      <c r="B16" s="64">
        <v>70.66</v>
      </c>
      <c r="C16" s="6" t="s">
        <v>42</v>
      </c>
      <c r="D16" s="64">
        <v>53.27</v>
      </c>
      <c r="E16" s="64">
        <v>6.43</v>
      </c>
      <c r="F16" s="64">
        <v>3.29</v>
      </c>
      <c r="G16" s="64">
        <v>97.08</v>
      </c>
      <c r="H16" s="64">
        <v>42.72</v>
      </c>
      <c r="I16" s="64">
        <v>6.47</v>
      </c>
      <c r="J16" s="64">
        <v>0.06</v>
      </c>
      <c r="K16" s="64">
        <v>139.27000000000001</v>
      </c>
      <c r="L16" s="64">
        <v>16.14</v>
      </c>
      <c r="M16" s="64">
        <v>96.58</v>
      </c>
      <c r="N16" s="64">
        <v>41</v>
      </c>
      <c r="O16" s="64">
        <v>0</v>
      </c>
      <c r="P16" s="64">
        <v>2.0499999999999998</v>
      </c>
      <c r="Q16" s="64">
        <v>9.75</v>
      </c>
      <c r="R16" s="198"/>
      <c r="S16" s="198"/>
      <c r="T16" s="198"/>
      <c r="U16" s="198"/>
    </row>
    <row r="17" spans="1:21" s="12" customFormat="1" x14ac:dyDescent="0.25">
      <c r="A17" s="211" t="s">
        <v>2176</v>
      </c>
      <c r="B17" s="64">
        <v>66.09</v>
      </c>
      <c r="C17" s="6" t="s">
        <v>42</v>
      </c>
      <c r="D17" s="64">
        <v>50.46</v>
      </c>
      <c r="E17" s="64">
        <v>5.96</v>
      </c>
      <c r="F17" s="64">
        <v>3.32</v>
      </c>
      <c r="G17" s="64">
        <v>89.23</v>
      </c>
      <c r="H17" s="64">
        <v>42.14</v>
      </c>
      <c r="I17" s="64">
        <v>6.54</v>
      </c>
      <c r="J17" s="64">
        <v>0.1</v>
      </c>
      <c r="K17" s="64">
        <v>310.98</v>
      </c>
      <c r="L17" s="64">
        <v>16.12</v>
      </c>
      <c r="M17" s="64">
        <v>96.58</v>
      </c>
      <c r="N17" s="64">
        <v>41</v>
      </c>
      <c r="O17" s="64">
        <v>0</v>
      </c>
      <c r="P17" s="64">
        <v>2.0299999999999998</v>
      </c>
      <c r="Q17" s="64">
        <v>9.73</v>
      </c>
      <c r="R17" s="198"/>
      <c r="S17" s="198"/>
      <c r="T17" s="198"/>
      <c r="U17" s="198"/>
    </row>
    <row r="18" spans="1:21" s="12" customFormat="1" x14ac:dyDescent="0.25">
      <c r="A18" s="211" t="s">
        <v>2177</v>
      </c>
      <c r="B18" s="64">
        <v>66.23</v>
      </c>
      <c r="C18" s="6" t="s">
        <v>42</v>
      </c>
      <c r="D18" s="64">
        <v>50.05</v>
      </c>
      <c r="E18" s="64">
        <v>5.95</v>
      </c>
      <c r="F18" s="64">
        <v>3.37</v>
      </c>
      <c r="G18" s="64">
        <v>86.69</v>
      </c>
      <c r="H18" s="64">
        <v>42.14</v>
      </c>
      <c r="I18" s="64">
        <v>7.02</v>
      </c>
      <c r="J18" s="64">
        <v>0.04</v>
      </c>
      <c r="K18" s="64">
        <v>172.61</v>
      </c>
      <c r="L18" s="64">
        <v>15.74</v>
      </c>
      <c r="M18" s="64">
        <v>96.59</v>
      </c>
      <c r="N18" s="64">
        <v>41.1</v>
      </c>
      <c r="O18" s="64">
        <v>0</v>
      </c>
      <c r="P18" s="64">
        <v>2.04</v>
      </c>
      <c r="Q18" s="64">
        <v>9.7200000000000006</v>
      </c>
      <c r="R18" s="198"/>
      <c r="S18" s="198"/>
      <c r="T18" s="198"/>
      <c r="U18" s="198"/>
    </row>
    <row r="19" spans="1:21" s="12" customFormat="1" x14ac:dyDescent="0.25">
      <c r="A19" s="211" t="s">
        <v>2178</v>
      </c>
      <c r="B19" s="64">
        <v>64.64</v>
      </c>
      <c r="C19" s="6" t="s">
        <v>42</v>
      </c>
      <c r="D19" s="64">
        <v>49.27</v>
      </c>
      <c r="E19" s="64">
        <v>5.99</v>
      </c>
      <c r="F19" s="64">
        <v>3.36</v>
      </c>
      <c r="G19" s="64">
        <v>86.69</v>
      </c>
      <c r="H19" s="64">
        <v>42.14</v>
      </c>
      <c r="I19" s="64">
        <v>6.98</v>
      </c>
      <c r="J19" s="64">
        <v>0.17</v>
      </c>
      <c r="K19" s="64">
        <v>256.2</v>
      </c>
      <c r="L19" s="64">
        <v>15.6</v>
      </c>
      <c r="M19" s="64">
        <v>96.6</v>
      </c>
      <c r="N19" s="64">
        <v>41.2</v>
      </c>
      <c r="O19" s="64">
        <v>0</v>
      </c>
      <c r="P19" s="64">
        <v>2.06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1" t="s">
        <v>2179</v>
      </c>
      <c r="B20" s="64">
        <v>62.92</v>
      </c>
      <c r="C20" s="6" t="s">
        <v>42</v>
      </c>
      <c r="D20" s="64">
        <v>48.33</v>
      </c>
      <c r="E20" s="64">
        <v>5.91</v>
      </c>
      <c r="F20" s="64">
        <v>3.14</v>
      </c>
      <c r="G20" s="64">
        <v>86.69</v>
      </c>
      <c r="H20" s="64">
        <v>42.14</v>
      </c>
      <c r="I20" s="64">
        <v>7.21</v>
      </c>
      <c r="J20" s="64">
        <v>0.06</v>
      </c>
      <c r="K20" s="64">
        <v>232.18</v>
      </c>
      <c r="L20" s="64">
        <v>15.48</v>
      </c>
      <c r="M20" s="64">
        <v>96.61</v>
      </c>
      <c r="N20" s="64">
        <v>41.1</v>
      </c>
      <c r="O20" s="64">
        <v>0</v>
      </c>
      <c r="P20" s="64">
        <v>2.0499999999999998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1" t="s">
        <v>2180</v>
      </c>
      <c r="B21" s="64">
        <v>61.47</v>
      </c>
      <c r="C21" s="6" t="s">
        <v>42</v>
      </c>
      <c r="D21" s="64">
        <v>47.5</v>
      </c>
      <c r="E21" s="64">
        <v>6.16</v>
      </c>
      <c r="F21" s="64">
        <v>3.39</v>
      </c>
      <c r="G21" s="64">
        <v>78.150000000000006</v>
      </c>
      <c r="H21" s="64">
        <v>37.79</v>
      </c>
      <c r="I21" s="64">
        <v>7.61</v>
      </c>
      <c r="J21" s="64">
        <v>0.13</v>
      </c>
      <c r="K21" s="64">
        <v>254.44</v>
      </c>
      <c r="L21" s="64">
        <v>15.26</v>
      </c>
      <c r="M21" s="64">
        <v>96.63</v>
      </c>
      <c r="N21" s="64">
        <v>41.2</v>
      </c>
      <c r="O21" s="64">
        <v>0</v>
      </c>
      <c r="P21" s="64">
        <v>2.04</v>
      </c>
      <c r="Q21" s="64">
        <v>9.6999999999999993</v>
      </c>
      <c r="R21" s="198"/>
      <c r="S21" s="198"/>
      <c r="T21" s="198"/>
      <c r="U21" s="198"/>
    </row>
    <row r="22" spans="1:21" s="12" customFormat="1" x14ac:dyDescent="0.25">
      <c r="A22" s="211" t="s">
        <v>2181</v>
      </c>
      <c r="B22" s="64">
        <v>60.44</v>
      </c>
      <c r="C22" s="6" t="s">
        <v>42</v>
      </c>
      <c r="D22" s="64">
        <v>46.89</v>
      </c>
      <c r="E22" s="64">
        <v>6.43</v>
      </c>
      <c r="F22" s="64">
        <v>3.29</v>
      </c>
      <c r="G22" s="64">
        <v>75.39</v>
      </c>
      <c r="H22" s="64">
        <v>37.79</v>
      </c>
      <c r="I22" s="64">
        <v>7.63</v>
      </c>
      <c r="J22" s="64">
        <v>7.0000000000000007E-2</v>
      </c>
      <c r="K22" s="64">
        <v>143.47</v>
      </c>
      <c r="L22" s="64">
        <v>15.05</v>
      </c>
      <c r="M22" s="64">
        <v>96.65</v>
      </c>
      <c r="N22" s="64">
        <v>41.1</v>
      </c>
      <c r="O22" s="64">
        <v>0</v>
      </c>
      <c r="P22" s="64">
        <v>2.02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1" t="s">
        <v>2182</v>
      </c>
      <c r="B23" s="64">
        <v>59.62</v>
      </c>
      <c r="C23" s="6" t="s">
        <v>42</v>
      </c>
      <c r="D23" s="64">
        <v>46.2</v>
      </c>
      <c r="E23" s="64">
        <v>6.17</v>
      </c>
      <c r="F23" s="64">
        <v>3.2</v>
      </c>
      <c r="G23" s="64">
        <v>75.39</v>
      </c>
      <c r="H23" s="64">
        <v>37.79</v>
      </c>
      <c r="I23" s="64">
        <v>7.62</v>
      </c>
      <c r="J23" s="64">
        <v>0.12</v>
      </c>
      <c r="K23" s="64">
        <v>270.14</v>
      </c>
      <c r="L23" s="64">
        <v>15.03</v>
      </c>
      <c r="M23" s="64">
        <v>96.68</v>
      </c>
      <c r="N23" s="64">
        <v>41.1</v>
      </c>
      <c r="O23" s="64">
        <v>0</v>
      </c>
      <c r="P23" s="64">
        <v>2</v>
      </c>
      <c r="Q23" s="64">
        <v>9.73</v>
      </c>
      <c r="R23" s="198"/>
      <c r="S23" s="198"/>
      <c r="T23" s="198"/>
      <c r="U23" s="198"/>
    </row>
    <row r="24" spans="1:21" s="12" customFormat="1" x14ac:dyDescent="0.25">
      <c r="A24" s="211" t="s">
        <v>2183</v>
      </c>
      <c r="B24" s="64">
        <v>59.33</v>
      </c>
      <c r="C24" s="6" t="s">
        <v>42</v>
      </c>
      <c r="D24" s="64">
        <v>45.91</v>
      </c>
      <c r="E24" s="64">
        <v>6.37</v>
      </c>
      <c r="F24" s="64">
        <v>3.5</v>
      </c>
      <c r="G24" s="64">
        <v>75.39</v>
      </c>
      <c r="H24" s="64">
        <v>37.79</v>
      </c>
      <c r="I24" s="64">
        <v>7.13</v>
      </c>
      <c r="J24" s="64">
        <v>0.23</v>
      </c>
      <c r="K24" s="64">
        <v>340.56</v>
      </c>
      <c r="L24" s="64">
        <v>14.92</v>
      </c>
      <c r="M24" s="64">
        <v>96.68</v>
      </c>
      <c r="N24" s="64">
        <v>41.2</v>
      </c>
      <c r="O24" s="64">
        <v>0</v>
      </c>
      <c r="P24" s="64">
        <v>1.97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1" t="s">
        <v>2184</v>
      </c>
      <c r="B25" s="64">
        <v>59.59</v>
      </c>
      <c r="C25" s="6" t="s">
        <v>42</v>
      </c>
      <c r="D25" s="64">
        <v>46.1</v>
      </c>
      <c r="E25" s="64">
        <v>6.35</v>
      </c>
      <c r="F25" s="64">
        <v>3.57</v>
      </c>
      <c r="G25" s="64">
        <v>85.55</v>
      </c>
      <c r="H25" s="64">
        <v>38.01</v>
      </c>
      <c r="I25" s="64">
        <v>6.77</v>
      </c>
      <c r="J25" s="64">
        <v>0.22</v>
      </c>
      <c r="K25" s="64">
        <v>347.82</v>
      </c>
      <c r="L25" s="64">
        <v>14.7</v>
      </c>
      <c r="M25" s="64">
        <v>96.68</v>
      </c>
      <c r="N25" s="64">
        <v>41.1</v>
      </c>
      <c r="O25" s="64">
        <v>0</v>
      </c>
      <c r="P25" s="64">
        <v>1.93</v>
      </c>
      <c r="Q25" s="64">
        <v>9.6999999999999993</v>
      </c>
      <c r="R25" s="198"/>
      <c r="S25" s="198"/>
      <c r="T25" s="198"/>
      <c r="U25" s="198"/>
    </row>
    <row r="26" spans="1:21" s="12" customFormat="1" x14ac:dyDescent="0.25">
      <c r="A26" s="211" t="s">
        <v>2185</v>
      </c>
      <c r="B26" s="64">
        <v>60.09</v>
      </c>
      <c r="C26" s="6" t="s">
        <v>42</v>
      </c>
      <c r="D26" s="64">
        <v>46.07</v>
      </c>
      <c r="E26" s="64">
        <v>6.64</v>
      </c>
      <c r="F26" s="64">
        <v>3.44</v>
      </c>
      <c r="G26" s="64">
        <v>88.84</v>
      </c>
      <c r="H26" s="64">
        <v>38.01</v>
      </c>
      <c r="I26" s="64">
        <v>6.73</v>
      </c>
      <c r="J26" s="64">
        <v>0.11</v>
      </c>
      <c r="K26" s="64">
        <v>331.94</v>
      </c>
      <c r="L26" s="64">
        <v>14.62</v>
      </c>
      <c r="M26" s="64">
        <v>96.7</v>
      </c>
      <c r="N26" s="64">
        <v>41.1</v>
      </c>
      <c r="O26" s="64">
        <v>0</v>
      </c>
      <c r="P26" s="64">
        <v>1.87</v>
      </c>
      <c r="Q26" s="64">
        <v>9.6999999999999993</v>
      </c>
      <c r="R26" s="198"/>
      <c r="S26" s="198"/>
      <c r="T26" s="198"/>
      <c r="U26" s="198"/>
    </row>
    <row r="27" spans="1:21" s="12" customFormat="1" x14ac:dyDescent="0.25">
      <c r="A27" s="211" t="s">
        <v>2186</v>
      </c>
      <c r="B27" s="64">
        <v>60.75</v>
      </c>
      <c r="C27" s="6" t="s">
        <v>42</v>
      </c>
      <c r="D27" s="64">
        <v>46.11</v>
      </c>
      <c r="E27" s="64">
        <v>6.18</v>
      </c>
      <c r="F27" s="64">
        <v>3.41</v>
      </c>
      <c r="G27" s="64">
        <v>88.84</v>
      </c>
      <c r="H27" s="64">
        <v>38.01</v>
      </c>
      <c r="I27" s="64">
        <v>6.68</v>
      </c>
      <c r="J27" s="64">
        <v>0.04</v>
      </c>
      <c r="K27" s="64">
        <v>355.27</v>
      </c>
      <c r="L27" s="64">
        <v>14.56</v>
      </c>
      <c r="M27" s="64">
        <v>96.69</v>
      </c>
      <c r="N27" s="64">
        <v>41.1</v>
      </c>
      <c r="O27" s="64">
        <v>0</v>
      </c>
      <c r="P27" s="64">
        <v>1.84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1" t="s">
        <v>2187</v>
      </c>
      <c r="B28" s="64">
        <v>61.08</v>
      </c>
      <c r="C28" s="6" t="s">
        <v>42</v>
      </c>
      <c r="D28" s="64">
        <v>46.18</v>
      </c>
      <c r="E28" s="64">
        <v>5.92</v>
      </c>
      <c r="F28" s="64">
        <v>3.17</v>
      </c>
      <c r="G28" s="64">
        <v>88.84</v>
      </c>
      <c r="H28" s="64">
        <v>38.01</v>
      </c>
      <c r="I28" s="64">
        <v>7.12</v>
      </c>
      <c r="J28" s="64">
        <v>7.0000000000000007E-2</v>
      </c>
      <c r="K28" s="64">
        <v>246.01</v>
      </c>
      <c r="L28" s="64">
        <v>14.62</v>
      </c>
      <c r="M28" s="64">
        <v>96.68</v>
      </c>
      <c r="N28" s="64">
        <v>41.1</v>
      </c>
      <c r="O28" s="64">
        <v>0</v>
      </c>
      <c r="P28" s="64">
        <v>1.82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1" t="s">
        <v>2188</v>
      </c>
      <c r="B29" s="64">
        <v>61.16</v>
      </c>
      <c r="C29" s="6" t="s">
        <v>42</v>
      </c>
      <c r="D29" s="64">
        <v>46.24</v>
      </c>
      <c r="E29" s="64">
        <v>6.01</v>
      </c>
      <c r="F29" s="64">
        <v>3.08</v>
      </c>
      <c r="G29" s="64">
        <v>111.85</v>
      </c>
      <c r="H29" s="64">
        <v>44.17</v>
      </c>
      <c r="I29" s="64">
        <v>7.01</v>
      </c>
      <c r="J29" s="64">
        <v>0.16</v>
      </c>
      <c r="K29" s="64">
        <v>346.21</v>
      </c>
      <c r="L29" s="64">
        <v>14.51</v>
      </c>
      <c r="M29" s="64">
        <v>96.68</v>
      </c>
      <c r="N29" s="64">
        <v>41.1</v>
      </c>
      <c r="O29" s="64">
        <v>0</v>
      </c>
      <c r="P29" s="64">
        <v>1.81</v>
      </c>
      <c r="Q29" s="64">
        <v>9.7100000000000009</v>
      </c>
      <c r="R29" s="198"/>
      <c r="S29" s="198"/>
      <c r="T29" s="198"/>
      <c r="U29" s="198"/>
    </row>
    <row r="30" spans="1:21" s="12" customFormat="1" x14ac:dyDescent="0.25">
      <c r="A30" s="211" t="s">
        <v>2189</v>
      </c>
      <c r="B30" s="64">
        <v>61.5</v>
      </c>
      <c r="C30" s="6" t="s">
        <v>42</v>
      </c>
      <c r="D30" s="64">
        <v>46.48</v>
      </c>
      <c r="E30" s="64">
        <v>6.21</v>
      </c>
      <c r="F30" s="64">
        <v>3.06</v>
      </c>
      <c r="G30" s="64">
        <v>119.3</v>
      </c>
      <c r="H30" s="64">
        <v>44.17</v>
      </c>
      <c r="I30" s="64">
        <v>6.69</v>
      </c>
      <c r="J30" s="64">
        <v>0.22</v>
      </c>
      <c r="K30" s="64">
        <v>8.6999999999999993</v>
      </c>
      <c r="L30" s="64">
        <v>14.34</v>
      </c>
      <c r="M30" s="64">
        <v>96.68</v>
      </c>
      <c r="N30" s="64">
        <v>41.1</v>
      </c>
      <c r="O30" s="64">
        <v>0</v>
      </c>
      <c r="P30" s="64">
        <v>1.79</v>
      </c>
      <c r="Q30" s="64">
        <v>9.7100000000000009</v>
      </c>
      <c r="R30" s="198"/>
      <c r="S30" s="198"/>
      <c r="T30" s="198"/>
      <c r="U30" s="198"/>
    </row>
    <row r="31" spans="1:21" s="12" customFormat="1" x14ac:dyDescent="0.25">
      <c r="A31" s="211" t="s">
        <v>2190</v>
      </c>
      <c r="B31" s="64">
        <v>61.29</v>
      </c>
      <c r="C31" s="6" t="s">
        <v>42</v>
      </c>
      <c r="D31" s="64">
        <v>46.36</v>
      </c>
      <c r="E31" s="64">
        <v>6</v>
      </c>
      <c r="F31" s="64">
        <v>3.21</v>
      </c>
      <c r="G31" s="64">
        <v>119.3</v>
      </c>
      <c r="H31" s="64">
        <v>44.17</v>
      </c>
      <c r="I31" s="64">
        <v>6.69</v>
      </c>
      <c r="J31" s="64">
        <v>0.42</v>
      </c>
      <c r="K31" s="64">
        <v>354.45</v>
      </c>
      <c r="L31" s="64">
        <v>14.71</v>
      </c>
      <c r="M31" s="64">
        <v>96.63</v>
      </c>
      <c r="N31" s="64">
        <v>40.9</v>
      </c>
      <c r="O31" s="64">
        <v>0</v>
      </c>
      <c r="P31" s="64">
        <v>1.78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1" t="s">
        <v>2191</v>
      </c>
      <c r="B32" s="64">
        <v>61.35</v>
      </c>
      <c r="C32" s="6" t="s">
        <v>42</v>
      </c>
      <c r="D32" s="64">
        <v>46.49</v>
      </c>
      <c r="E32" s="64">
        <v>6.04</v>
      </c>
      <c r="F32" s="64">
        <v>3.23</v>
      </c>
      <c r="G32" s="64">
        <v>119.3</v>
      </c>
      <c r="H32" s="64">
        <v>44.17</v>
      </c>
      <c r="I32" s="64">
        <v>7.14</v>
      </c>
      <c r="J32" s="64">
        <v>0.2</v>
      </c>
      <c r="K32" s="64">
        <v>31.19</v>
      </c>
      <c r="L32" s="64">
        <v>14.98</v>
      </c>
      <c r="M32" s="64">
        <v>96.58</v>
      </c>
      <c r="N32" s="64">
        <v>41.5</v>
      </c>
      <c r="O32" s="64">
        <v>0</v>
      </c>
      <c r="P32" s="64">
        <v>1.78</v>
      </c>
      <c r="Q32" s="64">
        <v>9.7100000000000009</v>
      </c>
      <c r="R32" s="198"/>
      <c r="S32" s="198"/>
      <c r="T32" s="198"/>
      <c r="U32" s="198"/>
    </row>
    <row r="33" spans="1:21" s="12" customFormat="1" x14ac:dyDescent="0.25">
      <c r="A33" s="211" t="s">
        <v>2192</v>
      </c>
      <c r="B33" s="64">
        <v>61.11</v>
      </c>
      <c r="C33" s="6" t="s">
        <v>42</v>
      </c>
      <c r="D33" s="64">
        <v>46.45</v>
      </c>
      <c r="E33" s="64">
        <v>6.22</v>
      </c>
      <c r="F33" s="64">
        <v>3.28</v>
      </c>
      <c r="G33" s="64">
        <v>140.26</v>
      </c>
      <c r="H33" s="64">
        <v>53.63</v>
      </c>
      <c r="I33" s="64">
        <v>7.03</v>
      </c>
      <c r="J33" s="64">
        <v>0.23</v>
      </c>
      <c r="K33" s="64">
        <v>85.74</v>
      </c>
      <c r="L33" s="64">
        <v>15.03</v>
      </c>
      <c r="M33" s="64">
        <v>96.58</v>
      </c>
      <c r="N33" s="64">
        <v>43.5</v>
      </c>
      <c r="O33" s="64">
        <v>0</v>
      </c>
      <c r="P33" s="64">
        <v>1.79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1" t="s">
        <v>2193</v>
      </c>
      <c r="B34" s="64">
        <v>60.71</v>
      </c>
      <c r="C34" s="6" t="s">
        <v>42</v>
      </c>
      <c r="D34" s="64">
        <v>46.13</v>
      </c>
      <c r="E34" s="64">
        <v>6.22</v>
      </c>
      <c r="F34" s="64">
        <v>3.07</v>
      </c>
      <c r="G34" s="64">
        <v>147.04</v>
      </c>
      <c r="H34" s="64">
        <v>53.63</v>
      </c>
      <c r="I34" s="64">
        <v>7.17</v>
      </c>
      <c r="J34" s="64">
        <v>0.31</v>
      </c>
      <c r="K34" s="64">
        <v>78.92</v>
      </c>
      <c r="L34" s="64">
        <v>15.12</v>
      </c>
      <c r="M34" s="64">
        <v>96.58</v>
      </c>
      <c r="N34" s="64">
        <v>50.9</v>
      </c>
      <c r="O34" s="64">
        <v>0</v>
      </c>
      <c r="P34" s="64">
        <v>1.8</v>
      </c>
      <c r="Q34" s="64">
        <v>9.7100000000000009</v>
      </c>
      <c r="R34" s="198"/>
      <c r="S34" s="198"/>
      <c r="T34" s="198"/>
      <c r="U34" s="198"/>
    </row>
    <row r="35" spans="1:21" s="12" customFormat="1" x14ac:dyDescent="0.25">
      <c r="A35" s="211" t="s">
        <v>2194</v>
      </c>
      <c r="B35" s="64">
        <v>60.16</v>
      </c>
      <c r="C35" s="6" t="s">
        <v>42</v>
      </c>
      <c r="D35" s="64">
        <v>45.11</v>
      </c>
      <c r="E35" s="64">
        <v>6.39</v>
      </c>
      <c r="F35" s="64">
        <v>3.46</v>
      </c>
      <c r="G35" s="64">
        <v>147.04</v>
      </c>
      <c r="H35" s="64">
        <v>53.63</v>
      </c>
      <c r="I35" s="64">
        <v>7.53</v>
      </c>
      <c r="J35" s="64">
        <v>0.21</v>
      </c>
      <c r="K35" s="64">
        <v>88.46</v>
      </c>
      <c r="L35" s="64">
        <v>15.34</v>
      </c>
      <c r="M35" s="64">
        <v>96.58</v>
      </c>
      <c r="N35" s="64">
        <v>63.8</v>
      </c>
      <c r="O35" s="64">
        <v>0</v>
      </c>
      <c r="P35" s="64">
        <v>1.83</v>
      </c>
      <c r="Q35" s="64">
        <v>9.7100000000000009</v>
      </c>
      <c r="R35" s="198"/>
      <c r="S35" s="198"/>
      <c r="T35" s="198"/>
      <c r="U35" s="198"/>
    </row>
    <row r="36" spans="1:21" s="12" customFormat="1" x14ac:dyDescent="0.25">
      <c r="A36" s="211" t="s">
        <v>2195</v>
      </c>
      <c r="B36" s="64">
        <v>59.39</v>
      </c>
      <c r="C36" s="6" t="s">
        <v>42</v>
      </c>
      <c r="D36" s="64">
        <v>44.86</v>
      </c>
      <c r="E36" s="64">
        <v>5.84</v>
      </c>
      <c r="F36" s="64">
        <v>3.43</v>
      </c>
      <c r="G36" s="64">
        <v>147.04</v>
      </c>
      <c r="H36" s="64">
        <v>53.63</v>
      </c>
      <c r="I36" s="64">
        <v>7.59</v>
      </c>
      <c r="J36" s="64">
        <v>0.21</v>
      </c>
      <c r="K36" s="64">
        <v>12.62</v>
      </c>
      <c r="L36" s="64">
        <v>15.83</v>
      </c>
      <c r="M36" s="64">
        <v>96.44</v>
      </c>
      <c r="N36" s="64">
        <v>77.5</v>
      </c>
      <c r="O36" s="64">
        <v>0</v>
      </c>
      <c r="P36" s="64">
        <v>1.88</v>
      </c>
      <c r="Q36" s="64">
        <v>9.7200000000000006</v>
      </c>
      <c r="R36" s="198"/>
      <c r="S36" s="198"/>
      <c r="T36" s="198"/>
      <c r="U36" s="198"/>
    </row>
    <row r="37" spans="1:21" s="12" customFormat="1" x14ac:dyDescent="0.25">
      <c r="A37" s="211" t="s">
        <v>2196</v>
      </c>
      <c r="B37" s="64">
        <v>57.73</v>
      </c>
      <c r="C37" s="64">
        <v>0.13</v>
      </c>
      <c r="D37" s="64">
        <v>44.79</v>
      </c>
      <c r="E37" s="64">
        <v>6.17</v>
      </c>
      <c r="F37" s="64">
        <v>3.52</v>
      </c>
      <c r="G37" s="64">
        <v>179.33</v>
      </c>
      <c r="H37" s="64">
        <v>68.36</v>
      </c>
      <c r="I37" s="64">
        <v>7.24</v>
      </c>
      <c r="J37" s="64">
        <v>0.47</v>
      </c>
      <c r="K37" s="64">
        <v>340.67</v>
      </c>
      <c r="L37" s="64">
        <v>16.61</v>
      </c>
      <c r="M37" s="64">
        <v>93.37</v>
      </c>
      <c r="N37" s="64">
        <v>103.4</v>
      </c>
      <c r="O37" s="64">
        <v>0</v>
      </c>
      <c r="P37" s="64">
        <v>1.85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11" t="s">
        <v>2197</v>
      </c>
      <c r="B38" s="64">
        <v>57.98</v>
      </c>
      <c r="C38" s="64">
        <v>0.13</v>
      </c>
      <c r="D38" s="64">
        <v>45.29</v>
      </c>
      <c r="E38" s="64">
        <v>6.57</v>
      </c>
      <c r="F38" s="64">
        <v>3.8</v>
      </c>
      <c r="G38" s="64">
        <v>190.41</v>
      </c>
      <c r="H38" s="64">
        <v>68.36</v>
      </c>
      <c r="I38" s="64">
        <v>6.96</v>
      </c>
      <c r="J38" s="64">
        <v>0.19</v>
      </c>
      <c r="K38" s="64">
        <v>145.69</v>
      </c>
      <c r="L38" s="64">
        <v>17.77</v>
      </c>
      <c r="M38" s="64">
        <v>85.32</v>
      </c>
      <c r="N38" s="64">
        <v>179.9</v>
      </c>
      <c r="O38" s="64">
        <v>0</v>
      </c>
      <c r="P38" s="64">
        <v>1.92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1" t="s">
        <v>2198</v>
      </c>
      <c r="B39" s="64">
        <v>56.82</v>
      </c>
      <c r="C39" s="64">
        <v>0.13</v>
      </c>
      <c r="D39" s="64">
        <v>44.44</v>
      </c>
      <c r="E39" s="64">
        <v>6.14</v>
      </c>
      <c r="F39" s="64">
        <v>3.46</v>
      </c>
      <c r="G39" s="64">
        <v>190.41</v>
      </c>
      <c r="H39" s="64">
        <v>68.36</v>
      </c>
      <c r="I39" s="64">
        <v>6.94</v>
      </c>
      <c r="J39" s="64">
        <v>0.55000000000000004</v>
      </c>
      <c r="K39" s="64">
        <v>138.88</v>
      </c>
      <c r="L39" s="64">
        <v>19.760000000000002</v>
      </c>
      <c r="M39" s="64">
        <v>72.05</v>
      </c>
      <c r="N39" s="64">
        <v>245.3</v>
      </c>
      <c r="O39" s="64">
        <v>0</v>
      </c>
      <c r="P39" s="64">
        <v>1.91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1" t="s">
        <v>2199</v>
      </c>
      <c r="B40" s="64">
        <v>54.88</v>
      </c>
      <c r="C40" s="64">
        <v>0.31</v>
      </c>
      <c r="D40" s="64">
        <v>43.54</v>
      </c>
      <c r="E40" s="64">
        <v>5.23</v>
      </c>
      <c r="F40" s="64">
        <v>3.24</v>
      </c>
      <c r="G40" s="64">
        <v>190.41</v>
      </c>
      <c r="H40" s="64">
        <v>68.36</v>
      </c>
      <c r="I40" s="64">
        <v>6.87</v>
      </c>
      <c r="J40" s="64">
        <v>0.69</v>
      </c>
      <c r="K40" s="64">
        <v>130.22</v>
      </c>
      <c r="L40" s="64">
        <v>20.48</v>
      </c>
      <c r="M40" s="64">
        <v>68.91</v>
      </c>
      <c r="N40" s="64">
        <v>292.2</v>
      </c>
      <c r="O40" s="64">
        <v>0</v>
      </c>
      <c r="P40" s="64">
        <v>1.88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11" t="s">
        <v>2200</v>
      </c>
      <c r="B41" s="64">
        <v>52.72</v>
      </c>
      <c r="C41" s="64">
        <v>1.08</v>
      </c>
      <c r="D41" s="64">
        <v>42.31</v>
      </c>
      <c r="E41" s="64">
        <v>6.18</v>
      </c>
      <c r="F41" s="64">
        <v>3.46</v>
      </c>
      <c r="G41" s="64">
        <v>154.41</v>
      </c>
      <c r="H41" s="64">
        <v>58.23</v>
      </c>
      <c r="I41" s="64">
        <v>7.25</v>
      </c>
      <c r="J41" s="64">
        <v>0.06</v>
      </c>
      <c r="K41" s="64">
        <v>128.72</v>
      </c>
      <c r="L41" s="64">
        <v>21.63</v>
      </c>
      <c r="M41" s="64">
        <v>68.459999999999994</v>
      </c>
      <c r="N41" s="64">
        <v>336.4</v>
      </c>
      <c r="O41" s="64">
        <v>0</v>
      </c>
      <c r="P41" s="64">
        <v>1.85</v>
      </c>
      <c r="Q41" s="64">
        <v>9.69</v>
      </c>
      <c r="R41" s="198"/>
      <c r="S41" s="198"/>
      <c r="T41" s="198"/>
      <c r="U41" s="198"/>
    </row>
    <row r="42" spans="1:21" s="12" customFormat="1" x14ac:dyDescent="0.25">
      <c r="A42" s="211" t="s">
        <v>2201</v>
      </c>
      <c r="B42" s="64">
        <v>52.39</v>
      </c>
      <c r="C42" s="64">
        <v>1.1000000000000001</v>
      </c>
      <c r="D42" s="64">
        <v>42.11</v>
      </c>
      <c r="E42" s="64">
        <v>6.11</v>
      </c>
      <c r="F42" s="64">
        <v>3.72</v>
      </c>
      <c r="G42" s="64">
        <v>142.77000000000001</v>
      </c>
      <c r="H42" s="64">
        <v>58.23</v>
      </c>
      <c r="I42" s="64">
        <v>7.06</v>
      </c>
      <c r="J42" s="64">
        <v>1.3</v>
      </c>
      <c r="K42" s="64">
        <v>122.86</v>
      </c>
      <c r="L42" s="64">
        <v>21.74</v>
      </c>
      <c r="M42" s="64">
        <v>63.54</v>
      </c>
      <c r="N42" s="64">
        <v>393.1</v>
      </c>
      <c r="O42" s="64">
        <v>0</v>
      </c>
      <c r="P42" s="64">
        <v>1.83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1" t="s">
        <v>2202</v>
      </c>
      <c r="B43" s="64">
        <v>50.88</v>
      </c>
      <c r="C43" s="64">
        <v>2.02</v>
      </c>
      <c r="D43" s="64">
        <v>41.4</v>
      </c>
      <c r="E43" s="64">
        <v>6.3</v>
      </c>
      <c r="F43" s="64">
        <v>3.49</v>
      </c>
      <c r="G43" s="64">
        <v>142.77000000000001</v>
      </c>
      <c r="H43" s="64">
        <v>58.23</v>
      </c>
      <c r="I43" s="64">
        <v>6.66</v>
      </c>
      <c r="J43" s="64">
        <v>0.35</v>
      </c>
      <c r="K43" s="64">
        <v>114.95</v>
      </c>
      <c r="L43" s="64">
        <v>22.53</v>
      </c>
      <c r="M43" s="64">
        <v>62.3</v>
      </c>
      <c r="N43" s="64">
        <v>432.6</v>
      </c>
      <c r="O43" s="64">
        <v>0</v>
      </c>
      <c r="P43" s="64">
        <v>1.75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1" t="s">
        <v>2203</v>
      </c>
      <c r="B44" s="64">
        <v>48.51</v>
      </c>
      <c r="C44" s="64">
        <v>3.32</v>
      </c>
      <c r="D44" s="64">
        <v>40.18</v>
      </c>
      <c r="E44" s="64">
        <v>6.22</v>
      </c>
      <c r="F44" s="64">
        <v>3.37</v>
      </c>
      <c r="G44" s="64">
        <v>142.77000000000001</v>
      </c>
      <c r="H44" s="64">
        <v>58.23</v>
      </c>
      <c r="I44" s="64">
        <v>6.54</v>
      </c>
      <c r="J44" s="64">
        <v>0.83</v>
      </c>
      <c r="K44" s="64">
        <v>119.63</v>
      </c>
      <c r="L44" s="64">
        <v>23.8</v>
      </c>
      <c r="M44" s="64">
        <v>56.58</v>
      </c>
      <c r="N44" s="64">
        <v>470.3</v>
      </c>
      <c r="O44" s="64">
        <v>0</v>
      </c>
      <c r="P44" s="64">
        <v>1.69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11" t="s">
        <v>2204</v>
      </c>
      <c r="B45" s="64">
        <v>47</v>
      </c>
      <c r="C45" s="64">
        <v>2.89</v>
      </c>
      <c r="D45" s="64">
        <v>38.729999999999997</v>
      </c>
      <c r="E45" s="64">
        <v>6.38</v>
      </c>
      <c r="F45" s="64">
        <v>3.5</v>
      </c>
      <c r="G45" s="64">
        <v>113.3</v>
      </c>
      <c r="H45" s="64">
        <v>47.01</v>
      </c>
      <c r="I45" s="64">
        <v>6.41</v>
      </c>
      <c r="J45" s="64">
        <v>0.66</v>
      </c>
      <c r="K45" s="64">
        <v>126.91</v>
      </c>
      <c r="L45" s="64">
        <v>24.18</v>
      </c>
      <c r="M45" s="64">
        <v>56.39</v>
      </c>
      <c r="N45" s="64">
        <v>499.3</v>
      </c>
      <c r="O45" s="64">
        <v>0</v>
      </c>
      <c r="P45" s="64">
        <v>1.64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1" t="s">
        <v>2205</v>
      </c>
      <c r="B46" s="64">
        <v>45.85</v>
      </c>
      <c r="C46" s="64">
        <v>4.45</v>
      </c>
      <c r="D46" s="64">
        <v>38.630000000000003</v>
      </c>
      <c r="E46" s="64">
        <v>6.16</v>
      </c>
      <c r="F46" s="64">
        <v>3.63</v>
      </c>
      <c r="G46" s="64">
        <v>103.76</v>
      </c>
      <c r="H46" s="64">
        <v>47.01</v>
      </c>
      <c r="I46" s="64">
        <v>6.31</v>
      </c>
      <c r="J46" s="64">
        <v>1.1200000000000001</v>
      </c>
      <c r="K46" s="64">
        <v>121.58</v>
      </c>
      <c r="L46" s="64">
        <v>23.83</v>
      </c>
      <c r="M46" s="64">
        <v>58.66</v>
      </c>
      <c r="N46" s="64">
        <v>534.9</v>
      </c>
      <c r="O46" s="64">
        <v>0</v>
      </c>
      <c r="P46" s="64">
        <v>1.61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1" t="s">
        <v>2206</v>
      </c>
      <c r="B47" s="64">
        <v>41.26</v>
      </c>
      <c r="C47" s="64">
        <v>7.83</v>
      </c>
      <c r="D47" s="64">
        <v>36.72</v>
      </c>
      <c r="E47" s="64">
        <v>6.28</v>
      </c>
      <c r="F47" s="64">
        <v>3.94</v>
      </c>
      <c r="G47" s="64">
        <v>103.76</v>
      </c>
      <c r="H47" s="64">
        <v>47.01</v>
      </c>
      <c r="I47" s="64">
        <v>6.22</v>
      </c>
      <c r="J47" s="64">
        <v>0.64</v>
      </c>
      <c r="K47" s="64">
        <v>132.13</v>
      </c>
      <c r="L47" s="64">
        <v>24.37</v>
      </c>
      <c r="M47" s="64">
        <v>57.15</v>
      </c>
      <c r="N47" s="64">
        <v>561.9</v>
      </c>
      <c r="O47" s="64">
        <v>0</v>
      </c>
      <c r="P47" s="64">
        <v>1.55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1" t="s">
        <v>2207</v>
      </c>
      <c r="B48" s="64">
        <v>41.13</v>
      </c>
      <c r="C48" s="64">
        <v>7.43</v>
      </c>
      <c r="D48" s="64">
        <v>36.4</v>
      </c>
      <c r="E48" s="64">
        <v>6.2</v>
      </c>
      <c r="F48" s="64">
        <v>3.2</v>
      </c>
      <c r="G48" s="64">
        <v>103.76</v>
      </c>
      <c r="H48" s="64">
        <v>47.01</v>
      </c>
      <c r="I48" s="64">
        <v>6.11</v>
      </c>
      <c r="J48" s="64">
        <v>0.67</v>
      </c>
      <c r="K48" s="64">
        <v>124</v>
      </c>
      <c r="L48" s="64">
        <v>25.47</v>
      </c>
      <c r="M48" s="64">
        <v>52.87</v>
      </c>
      <c r="N48" s="64">
        <v>590.70000000000005</v>
      </c>
      <c r="O48" s="64">
        <v>0</v>
      </c>
      <c r="P48" s="64">
        <v>1.51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11" t="s">
        <v>2208</v>
      </c>
      <c r="B49" s="64">
        <v>37.909999999999997</v>
      </c>
      <c r="C49" s="64">
        <v>9.76</v>
      </c>
      <c r="D49" s="64">
        <v>35.04</v>
      </c>
      <c r="E49" s="64">
        <v>6.26</v>
      </c>
      <c r="F49" s="64">
        <v>3.35</v>
      </c>
      <c r="G49" s="64">
        <v>87.13</v>
      </c>
      <c r="H49" s="64">
        <v>39.950000000000003</v>
      </c>
      <c r="I49" s="64">
        <v>5.99</v>
      </c>
      <c r="J49" s="64">
        <v>0.83</v>
      </c>
      <c r="K49" s="64">
        <v>133.94</v>
      </c>
      <c r="L49" s="64">
        <v>25.83</v>
      </c>
      <c r="M49" s="64">
        <v>51.24</v>
      </c>
      <c r="N49" s="64">
        <v>610</v>
      </c>
      <c r="O49" s="64">
        <v>0</v>
      </c>
      <c r="P49" s="64">
        <v>1.47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1" t="s">
        <v>2209</v>
      </c>
      <c r="B50" s="64">
        <v>36.270000000000003</v>
      </c>
      <c r="C50" s="64">
        <v>10.220000000000001</v>
      </c>
      <c r="D50" s="64">
        <v>33.96</v>
      </c>
      <c r="E50" s="64">
        <v>6.02</v>
      </c>
      <c r="F50" s="64">
        <v>3.8</v>
      </c>
      <c r="G50" s="64">
        <v>81.75</v>
      </c>
      <c r="H50" s="64">
        <v>39.950000000000003</v>
      </c>
      <c r="I50" s="64">
        <v>5.89</v>
      </c>
      <c r="J50" s="64">
        <v>0.15</v>
      </c>
      <c r="K50" s="64">
        <v>111.1</v>
      </c>
      <c r="L50" s="64">
        <v>27.46</v>
      </c>
      <c r="M50" s="64">
        <v>46.22</v>
      </c>
      <c r="N50" s="64">
        <v>619</v>
      </c>
      <c r="O50" s="64">
        <v>0</v>
      </c>
      <c r="P50" s="64">
        <v>1.44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1" t="s">
        <v>2210</v>
      </c>
      <c r="B51" s="64">
        <v>35.29</v>
      </c>
      <c r="C51" s="64">
        <v>10.84</v>
      </c>
      <c r="D51" s="64">
        <v>33.5</v>
      </c>
      <c r="E51" s="64">
        <v>5.61</v>
      </c>
      <c r="F51" s="64">
        <v>3.41</v>
      </c>
      <c r="G51" s="64">
        <v>81.75</v>
      </c>
      <c r="H51" s="64">
        <v>39.950000000000003</v>
      </c>
      <c r="I51" s="64">
        <v>5.79</v>
      </c>
      <c r="J51" s="64">
        <v>0.42</v>
      </c>
      <c r="K51" s="64">
        <v>127.6</v>
      </c>
      <c r="L51" s="64">
        <v>27.46</v>
      </c>
      <c r="M51" s="64">
        <v>43.15</v>
      </c>
      <c r="N51" s="64">
        <v>639.29999999999995</v>
      </c>
      <c r="O51" s="64">
        <v>0</v>
      </c>
      <c r="P51" s="64">
        <v>1.41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1" t="s">
        <v>2211</v>
      </c>
      <c r="B52" s="64">
        <v>31.47</v>
      </c>
      <c r="C52" s="64">
        <v>12.69</v>
      </c>
      <c r="D52" s="64">
        <v>31.41</v>
      </c>
      <c r="E52" s="64">
        <v>6.33</v>
      </c>
      <c r="F52" s="64">
        <v>4.37</v>
      </c>
      <c r="G52" s="64">
        <v>81.75</v>
      </c>
      <c r="H52" s="64">
        <v>39.950000000000003</v>
      </c>
      <c r="I52" s="64">
        <v>5.69</v>
      </c>
      <c r="J52" s="64">
        <v>0.22</v>
      </c>
      <c r="K52" s="64">
        <v>125.08</v>
      </c>
      <c r="L52" s="64">
        <v>28.69</v>
      </c>
      <c r="M52" s="64">
        <v>37.880000000000003</v>
      </c>
      <c r="N52" s="64">
        <v>648.1</v>
      </c>
      <c r="O52" s="64">
        <v>0</v>
      </c>
      <c r="P52" s="64">
        <v>1.32</v>
      </c>
      <c r="Q52" s="64">
        <v>9.66</v>
      </c>
      <c r="R52" s="198"/>
      <c r="S52" s="198"/>
      <c r="T52" s="198"/>
      <c r="U52" s="198"/>
    </row>
    <row r="53" spans="1:21" s="12" customFormat="1" x14ac:dyDescent="0.25">
      <c r="A53" s="211" t="s">
        <v>2212</v>
      </c>
      <c r="B53" s="64">
        <v>29.57</v>
      </c>
      <c r="C53" s="64">
        <v>11.92</v>
      </c>
      <c r="D53" s="64">
        <v>29.48</v>
      </c>
      <c r="E53" s="64">
        <v>7.03</v>
      </c>
      <c r="F53" s="64">
        <v>5.52</v>
      </c>
      <c r="G53" s="64">
        <v>58.35</v>
      </c>
      <c r="H53" s="64">
        <v>29.3</v>
      </c>
      <c r="I53" s="64">
        <v>5.57</v>
      </c>
      <c r="J53" s="64">
        <v>0.23</v>
      </c>
      <c r="K53" s="64">
        <v>14.68</v>
      </c>
      <c r="L53" s="64">
        <v>28.65</v>
      </c>
      <c r="M53" s="64">
        <v>38.159999999999997</v>
      </c>
      <c r="N53" s="64">
        <v>673.4</v>
      </c>
      <c r="O53" s="64">
        <v>0</v>
      </c>
      <c r="P53" s="64">
        <v>1.24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11" t="s">
        <v>2213</v>
      </c>
      <c r="B54" s="64">
        <v>26.9</v>
      </c>
      <c r="C54" s="64">
        <v>13.48</v>
      </c>
      <c r="D54" s="64">
        <v>27.59</v>
      </c>
      <c r="E54" s="64">
        <v>6.55</v>
      </c>
      <c r="F54" s="64">
        <v>6.09</v>
      </c>
      <c r="G54" s="64">
        <v>50.78</v>
      </c>
      <c r="H54" s="64">
        <v>29.3</v>
      </c>
      <c r="I54" s="64">
        <v>5.46</v>
      </c>
      <c r="J54" s="64">
        <v>0.57999999999999996</v>
      </c>
      <c r="K54" s="64">
        <v>328.93</v>
      </c>
      <c r="L54" s="64">
        <v>30.47</v>
      </c>
      <c r="M54" s="64">
        <v>32.880000000000003</v>
      </c>
      <c r="N54" s="64">
        <v>653.5</v>
      </c>
      <c r="O54" s="64">
        <v>0</v>
      </c>
      <c r="P54" s="64">
        <v>1.23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1" t="s">
        <v>2214</v>
      </c>
      <c r="B55" s="64">
        <v>24.74</v>
      </c>
      <c r="C55" s="64">
        <v>15.79</v>
      </c>
      <c r="D55" s="64">
        <v>27.63</v>
      </c>
      <c r="E55" s="64">
        <v>7.69</v>
      </c>
      <c r="F55" s="64">
        <v>8.9600000000000009</v>
      </c>
      <c r="G55" s="64">
        <v>50.78</v>
      </c>
      <c r="H55" s="64">
        <v>29.3</v>
      </c>
      <c r="I55" s="64">
        <v>5.41</v>
      </c>
      <c r="J55" s="64">
        <v>0.23</v>
      </c>
      <c r="K55" s="64">
        <v>14.95</v>
      </c>
      <c r="L55" s="64">
        <v>30.27</v>
      </c>
      <c r="M55" s="64">
        <v>34.44</v>
      </c>
      <c r="N55" s="64">
        <v>656.7</v>
      </c>
      <c r="O55" s="64">
        <v>0</v>
      </c>
      <c r="P55" s="64">
        <v>1.1100000000000001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1" t="s">
        <v>2215</v>
      </c>
      <c r="B56" s="64">
        <v>24.49</v>
      </c>
      <c r="C56" s="64">
        <v>15.51</v>
      </c>
      <c r="D56" s="64">
        <v>27.28</v>
      </c>
      <c r="E56" s="64">
        <v>7.43</v>
      </c>
      <c r="F56" s="64">
        <v>6.23</v>
      </c>
      <c r="G56" s="64">
        <v>50.78</v>
      </c>
      <c r="H56" s="64">
        <v>29.3</v>
      </c>
      <c r="I56" s="64">
        <v>5.29</v>
      </c>
      <c r="J56" s="64">
        <v>0.49</v>
      </c>
      <c r="K56" s="64">
        <v>315.26</v>
      </c>
      <c r="L56" s="64">
        <v>30.29</v>
      </c>
      <c r="M56" s="64">
        <v>34.06</v>
      </c>
      <c r="N56" s="64">
        <v>657.1</v>
      </c>
      <c r="O56" s="64">
        <v>0</v>
      </c>
      <c r="P56" s="64">
        <v>1.1299999999999999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1" t="s">
        <v>2216</v>
      </c>
      <c r="B57" s="64">
        <v>19.739999999999998</v>
      </c>
      <c r="C57" s="64">
        <v>18.739999999999998</v>
      </c>
      <c r="D57" s="64">
        <v>25.16</v>
      </c>
      <c r="E57" s="64">
        <v>8.2200000000000006</v>
      </c>
      <c r="F57" s="64">
        <v>13.93</v>
      </c>
      <c r="G57" s="64">
        <v>35.24</v>
      </c>
      <c r="H57" s="64">
        <v>13.25</v>
      </c>
      <c r="I57" s="64">
        <v>5.16</v>
      </c>
      <c r="J57" s="64">
        <v>0.55000000000000004</v>
      </c>
      <c r="K57" s="64">
        <v>344.16</v>
      </c>
      <c r="L57" s="64">
        <v>30.97</v>
      </c>
      <c r="M57" s="64">
        <v>32.450000000000003</v>
      </c>
      <c r="N57" s="64">
        <v>631.29999999999995</v>
      </c>
      <c r="O57" s="64">
        <v>0</v>
      </c>
      <c r="P57" s="64">
        <v>0.99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1" t="s">
        <v>2217</v>
      </c>
      <c r="B58" s="64">
        <v>19.25</v>
      </c>
      <c r="C58" s="64">
        <v>16.72</v>
      </c>
      <c r="D58" s="64">
        <v>23.71</v>
      </c>
      <c r="E58" s="64">
        <v>8.6199999999999992</v>
      </c>
      <c r="F58" s="64">
        <v>12.08</v>
      </c>
      <c r="G58" s="64">
        <v>30.22</v>
      </c>
      <c r="H58" s="64">
        <v>13.25</v>
      </c>
      <c r="I58" s="64">
        <v>5.04</v>
      </c>
      <c r="J58" s="64">
        <v>0.09</v>
      </c>
      <c r="K58" s="64">
        <v>184.15</v>
      </c>
      <c r="L58" s="64">
        <v>29.3</v>
      </c>
      <c r="M58" s="64">
        <v>36.799999999999997</v>
      </c>
      <c r="N58" s="64">
        <v>616.70000000000005</v>
      </c>
      <c r="O58" s="64">
        <v>0</v>
      </c>
      <c r="P58" s="64">
        <v>1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1" t="s">
        <v>2218</v>
      </c>
      <c r="B59" s="64">
        <v>20.63</v>
      </c>
      <c r="C59" s="64">
        <v>17.600000000000001</v>
      </c>
      <c r="D59" s="64">
        <v>25.27</v>
      </c>
      <c r="E59" s="64">
        <v>7.33</v>
      </c>
      <c r="F59" s="64">
        <v>6.85</v>
      </c>
      <c r="G59" s="64">
        <v>30.22</v>
      </c>
      <c r="H59" s="64">
        <v>13.25</v>
      </c>
      <c r="I59" s="64">
        <v>4.93</v>
      </c>
      <c r="J59" s="64">
        <v>0.55000000000000004</v>
      </c>
      <c r="K59" s="64">
        <v>321.17</v>
      </c>
      <c r="L59" s="64">
        <v>30.62</v>
      </c>
      <c r="M59" s="64">
        <v>33.31</v>
      </c>
      <c r="N59" s="64">
        <v>609.70000000000005</v>
      </c>
      <c r="O59" s="64">
        <v>0</v>
      </c>
      <c r="P59" s="64">
        <v>1.1000000000000001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1" t="s">
        <v>2219</v>
      </c>
      <c r="B60" s="64">
        <v>17.440000000000001</v>
      </c>
      <c r="C60" s="64">
        <v>19.22</v>
      </c>
      <c r="D60" s="64">
        <v>23.57</v>
      </c>
      <c r="E60" s="64">
        <v>6.96</v>
      </c>
      <c r="F60" s="64">
        <v>8.3699999999999992</v>
      </c>
      <c r="G60" s="64">
        <v>30.22</v>
      </c>
      <c r="H60" s="64">
        <v>13.25</v>
      </c>
      <c r="I60" s="64">
        <v>4.8099999999999996</v>
      </c>
      <c r="J60" s="64">
        <v>0.52</v>
      </c>
      <c r="K60" s="64">
        <v>135.15</v>
      </c>
      <c r="L60" s="64">
        <v>28.06</v>
      </c>
      <c r="M60" s="64">
        <v>39.24</v>
      </c>
      <c r="N60" s="64">
        <v>402.6</v>
      </c>
      <c r="O60" s="64">
        <v>0</v>
      </c>
      <c r="P60" s="64">
        <v>0.93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1" t="s">
        <v>2220</v>
      </c>
      <c r="B61" s="64">
        <v>16.420000000000002</v>
      </c>
      <c r="C61" s="64">
        <v>22</v>
      </c>
      <c r="D61" s="64">
        <v>24.2</v>
      </c>
      <c r="E61" s="64">
        <v>6.99</v>
      </c>
      <c r="F61" s="64">
        <v>6.17</v>
      </c>
      <c r="G61" s="64">
        <v>33.1</v>
      </c>
      <c r="H61" s="64">
        <v>12.51</v>
      </c>
      <c r="I61" s="64">
        <v>4.6900000000000004</v>
      </c>
      <c r="J61" s="64">
        <v>0.28000000000000003</v>
      </c>
      <c r="K61" s="64">
        <v>293.25</v>
      </c>
      <c r="L61" s="64">
        <v>29.23</v>
      </c>
      <c r="M61" s="64">
        <v>34.770000000000003</v>
      </c>
      <c r="N61" s="64">
        <v>515.5</v>
      </c>
      <c r="O61" s="64">
        <v>0</v>
      </c>
      <c r="P61" s="64">
        <v>1.0900000000000001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1" t="s">
        <v>2221</v>
      </c>
      <c r="B62" s="64">
        <v>15.58</v>
      </c>
      <c r="C62" s="64">
        <v>21.31</v>
      </c>
      <c r="D62" s="64">
        <v>23.16</v>
      </c>
      <c r="E62" s="64">
        <v>6.42</v>
      </c>
      <c r="F62" s="64">
        <v>7.85</v>
      </c>
      <c r="G62" s="64">
        <v>34.03</v>
      </c>
      <c r="H62" s="64">
        <v>12.51</v>
      </c>
      <c r="I62" s="64">
        <v>4.58</v>
      </c>
      <c r="J62" s="64">
        <v>1.1299999999999999</v>
      </c>
      <c r="K62" s="64">
        <v>139.47999999999999</v>
      </c>
      <c r="L62" s="64">
        <v>27.44</v>
      </c>
      <c r="M62" s="64">
        <v>38.74</v>
      </c>
      <c r="N62" s="64">
        <v>498</v>
      </c>
      <c r="O62" s="64">
        <v>0</v>
      </c>
      <c r="P62" s="64">
        <v>1.0900000000000001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1" t="s">
        <v>2222</v>
      </c>
      <c r="B63" s="64">
        <v>10.69</v>
      </c>
      <c r="C63" s="64">
        <v>21.82</v>
      </c>
      <c r="D63" s="64">
        <v>19.510000000000002</v>
      </c>
      <c r="E63" s="64">
        <v>15.65</v>
      </c>
      <c r="F63" s="64">
        <v>17.61</v>
      </c>
      <c r="G63" s="64">
        <v>34.03</v>
      </c>
      <c r="H63" s="64">
        <v>12.51</v>
      </c>
      <c r="I63" s="64">
        <v>4.4800000000000004</v>
      </c>
      <c r="J63" s="64">
        <v>0.24</v>
      </c>
      <c r="K63" s="64">
        <v>22.56</v>
      </c>
      <c r="L63" s="64">
        <v>27.98</v>
      </c>
      <c r="M63" s="64">
        <v>37.19</v>
      </c>
      <c r="N63" s="64">
        <v>435.4</v>
      </c>
      <c r="O63" s="64">
        <v>0</v>
      </c>
      <c r="P63" s="64">
        <v>0.87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11" t="s">
        <v>2223</v>
      </c>
      <c r="B64" s="64">
        <v>11.98</v>
      </c>
      <c r="C64" s="64">
        <v>22.89</v>
      </c>
      <c r="D64" s="64">
        <v>21.1</v>
      </c>
      <c r="E64" s="64">
        <v>13.1</v>
      </c>
      <c r="F64" s="64">
        <v>13.63</v>
      </c>
      <c r="G64" s="64">
        <v>34.03</v>
      </c>
      <c r="H64" s="64">
        <v>12.51</v>
      </c>
      <c r="I64" s="64">
        <v>4.37</v>
      </c>
      <c r="J64" s="64">
        <v>0.55000000000000004</v>
      </c>
      <c r="K64" s="64">
        <v>341.94</v>
      </c>
      <c r="L64" s="64">
        <v>27.78</v>
      </c>
      <c r="M64" s="64">
        <v>38.07</v>
      </c>
      <c r="N64" s="64">
        <v>286.8</v>
      </c>
      <c r="O64" s="64">
        <v>0</v>
      </c>
      <c r="P64" s="64">
        <v>1.03</v>
      </c>
      <c r="Q64" s="64">
        <v>9.5</v>
      </c>
      <c r="R64" s="198"/>
      <c r="S64" s="198"/>
      <c r="T64" s="198"/>
      <c r="U64" s="198"/>
    </row>
    <row r="65" spans="1:21" s="12" customFormat="1" x14ac:dyDescent="0.25">
      <c r="A65" s="211" t="s">
        <v>2224</v>
      </c>
      <c r="B65" s="64">
        <v>10.11</v>
      </c>
      <c r="C65" s="64">
        <v>27.09</v>
      </c>
      <c r="D65" s="64">
        <v>21.8</v>
      </c>
      <c r="E65" s="64">
        <v>17.059999999999999</v>
      </c>
      <c r="F65" s="64">
        <v>16.440000000000001</v>
      </c>
      <c r="G65" s="64">
        <v>42.4</v>
      </c>
      <c r="H65" s="64">
        <v>11.44</v>
      </c>
      <c r="I65" s="64">
        <v>4.63</v>
      </c>
      <c r="J65" s="64">
        <v>0.25</v>
      </c>
      <c r="K65" s="64">
        <v>293.88</v>
      </c>
      <c r="L65" s="64">
        <v>28.11</v>
      </c>
      <c r="M65" s="64">
        <v>37.49</v>
      </c>
      <c r="N65" s="64">
        <v>156.6</v>
      </c>
      <c r="O65" s="64">
        <v>0</v>
      </c>
      <c r="P65" s="64">
        <v>1.04</v>
      </c>
      <c r="Q65" s="64">
        <v>9.48</v>
      </c>
      <c r="R65" s="198"/>
      <c r="S65" s="198"/>
      <c r="T65" s="198"/>
      <c r="U65" s="198"/>
    </row>
    <row r="66" spans="1:21" s="12" customFormat="1" x14ac:dyDescent="0.25">
      <c r="A66" s="211" t="s">
        <v>2225</v>
      </c>
      <c r="B66" s="64">
        <v>10.34</v>
      </c>
      <c r="C66" s="64">
        <v>27.81</v>
      </c>
      <c r="D66" s="64">
        <v>22.36</v>
      </c>
      <c r="E66" s="64">
        <v>20.93</v>
      </c>
      <c r="F66" s="64">
        <v>13.92</v>
      </c>
      <c r="G66" s="64">
        <v>45.11</v>
      </c>
      <c r="H66" s="64">
        <v>11.44</v>
      </c>
      <c r="I66" s="64">
        <v>4.84</v>
      </c>
      <c r="J66" s="64">
        <v>0.24</v>
      </c>
      <c r="K66" s="64">
        <v>297.5</v>
      </c>
      <c r="L66" s="64">
        <v>28.01</v>
      </c>
      <c r="M66" s="64">
        <v>37.1</v>
      </c>
      <c r="N66" s="64">
        <v>153.19999999999999</v>
      </c>
      <c r="O66" s="64">
        <v>0</v>
      </c>
      <c r="P66" s="64">
        <v>1.06</v>
      </c>
      <c r="Q66" s="64">
        <v>9.4499999999999993</v>
      </c>
      <c r="R66" s="198"/>
      <c r="S66" s="198"/>
      <c r="T66" s="198"/>
      <c r="U66" s="198"/>
    </row>
    <row r="67" spans="1:21" s="12" customFormat="1" x14ac:dyDescent="0.25">
      <c r="A67" s="211" t="s">
        <v>2226</v>
      </c>
      <c r="B67" s="64">
        <v>10.63</v>
      </c>
      <c r="C67" s="64">
        <v>30.28</v>
      </c>
      <c r="D67" s="64">
        <v>23.88</v>
      </c>
      <c r="E67" s="64">
        <v>11.67</v>
      </c>
      <c r="F67" s="64">
        <v>8.41</v>
      </c>
      <c r="G67" s="64">
        <v>45.11</v>
      </c>
      <c r="H67" s="64">
        <v>11.44</v>
      </c>
      <c r="I67" s="64">
        <v>4.83</v>
      </c>
      <c r="J67" s="64">
        <v>0.5</v>
      </c>
      <c r="K67" s="64">
        <v>308.8</v>
      </c>
      <c r="L67" s="64">
        <v>27.85</v>
      </c>
      <c r="M67" s="64">
        <v>38.15</v>
      </c>
      <c r="N67" s="64">
        <v>136.4</v>
      </c>
      <c r="O67" s="64">
        <v>0</v>
      </c>
      <c r="P67" s="64">
        <v>1.07</v>
      </c>
      <c r="Q67" s="64">
        <v>9.44</v>
      </c>
      <c r="R67" s="198"/>
      <c r="S67" s="198"/>
      <c r="T67" s="198"/>
      <c r="U67" s="198"/>
    </row>
    <row r="68" spans="1:21" s="12" customFormat="1" x14ac:dyDescent="0.25">
      <c r="A68" s="211" t="s">
        <v>2227</v>
      </c>
      <c r="B68" s="64">
        <v>11</v>
      </c>
      <c r="C68" s="64">
        <v>27.91</v>
      </c>
      <c r="D68" s="64">
        <v>22.94</v>
      </c>
      <c r="E68" s="64">
        <v>12</v>
      </c>
      <c r="F68" s="64">
        <v>9.61</v>
      </c>
      <c r="G68" s="64">
        <v>45.11</v>
      </c>
      <c r="H68" s="64">
        <v>11.44</v>
      </c>
      <c r="I68" s="64">
        <v>4.82</v>
      </c>
      <c r="J68" s="64">
        <v>0.57999999999999996</v>
      </c>
      <c r="K68" s="64">
        <v>310.39999999999998</v>
      </c>
      <c r="L68" s="64">
        <v>27.66</v>
      </c>
      <c r="M68" s="64">
        <v>39.31</v>
      </c>
      <c r="N68" s="64">
        <v>118.5</v>
      </c>
      <c r="O68" s="64">
        <v>0</v>
      </c>
      <c r="P68" s="64">
        <v>1.0900000000000001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1" t="s">
        <v>2228</v>
      </c>
      <c r="B69" s="64">
        <v>11.48</v>
      </c>
      <c r="C69" s="64">
        <v>28.63</v>
      </c>
      <c r="D69" s="64">
        <v>23.7</v>
      </c>
      <c r="E69" s="64">
        <v>15.16</v>
      </c>
      <c r="F69" s="64">
        <v>7.61</v>
      </c>
      <c r="G69" s="64">
        <v>51.2</v>
      </c>
      <c r="H69" s="64">
        <v>18.57</v>
      </c>
      <c r="I69" s="64">
        <v>4.84</v>
      </c>
      <c r="J69" s="64">
        <v>0.93</v>
      </c>
      <c r="K69" s="64">
        <v>335.51</v>
      </c>
      <c r="L69" s="64">
        <v>27.45</v>
      </c>
      <c r="M69" s="64">
        <v>39.67</v>
      </c>
      <c r="N69" s="64">
        <v>109.4</v>
      </c>
      <c r="O69" s="64">
        <v>0</v>
      </c>
      <c r="P69" s="64">
        <v>1.1299999999999999</v>
      </c>
      <c r="Q69" s="64">
        <v>9.4</v>
      </c>
      <c r="R69" s="198"/>
      <c r="S69" s="198"/>
      <c r="T69" s="198"/>
      <c r="U69" s="198"/>
    </row>
    <row r="70" spans="1:21" s="12" customFormat="1" x14ac:dyDescent="0.25">
      <c r="A70" s="211" t="s">
        <v>2229</v>
      </c>
      <c r="B70" s="64">
        <v>10.87</v>
      </c>
      <c r="C70" s="64">
        <v>27.03</v>
      </c>
      <c r="D70" s="64">
        <v>22.38</v>
      </c>
      <c r="E70" s="64">
        <v>13.04</v>
      </c>
      <c r="F70" s="64">
        <v>12.78</v>
      </c>
      <c r="G70" s="64">
        <v>53.17</v>
      </c>
      <c r="H70" s="64">
        <v>18.57</v>
      </c>
      <c r="I70" s="64">
        <v>4.9000000000000004</v>
      </c>
      <c r="J70" s="64">
        <v>1.1599999999999999</v>
      </c>
      <c r="K70" s="64">
        <v>341.82</v>
      </c>
      <c r="L70" s="64">
        <v>27.19</v>
      </c>
      <c r="M70" s="64">
        <v>39.840000000000003</v>
      </c>
      <c r="N70" s="64">
        <v>100.4</v>
      </c>
      <c r="O70" s="64">
        <v>0</v>
      </c>
      <c r="P70" s="64">
        <v>1.07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1" t="s">
        <v>2230</v>
      </c>
      <c r="B71" s="64">
        <v>8.82</v>
      </c>
      <c r="C71" s="64">
        <v>30.27</v>
      </c>
      <c r="D71" s="64">
        <v>22.43</v>
      </c>
      <c r="E71" s="64">
        <v>15.93</v>
      </c>
      <c r="F71" s="64">
        <v>18.79</v>
      </c>
      <c r="G71" s="64">
        <v>53.17</v>
      </c>
      <c r="H71" s="64">
        <v>18.57</v>
      </c>
      <c r="I71" s="64">
        <v>4.95</v>
      </c>
      <c r="J71" s="64">
        <v>0.64</v>
      </c>
      <c r="K71" s="64">
        <v>335.36</v>
      </c>
      <c r="L71" s="64">
        <v>26.93</v>
      </c>
      <c r="M71" s="64">
        <v>40.590000000000003</v>
      </c>
      <c r="N71" s="64">
        <v>90</v>
      </c>
      <c r="O71" s="64">
        <v>0</v>
      </c>
      <c r="P71" s="64">
        <v>1.04</v>
      </c>
      <c r="Q71" s="64">
        <v>9.4</v>
      </c>
      <c r="R71" s="198"/>
      <c r="S71" s="198"/>
      <c r="T71" s="198"/>
      <c r="U71" s="198"/>
    </row>
    <row r="72" spans="1:21" s="12" customFormat="1" x14ac:dyDescent="0.25">
      <c r="A72" s="211" t="s">
        <v>2231</v>
      </c>
      <c r="B72" s="64">
        <v>9.93</v>
      </c>
      <c r="C72" s="64">
        <v>30.91</v>
      </c>
      <c r="D72" s="64">
        <v>23.65</v>
      </c>
      <c r="E72" s="64">
        <v>17.25</v>
      </c>
      <c r="F72" s="64">
        <v>15.42</v>
      </c>
      <c r="G72" s="64">
        <v>53.17</v>
      </c>
      <c r="H72" s="64">
        <v>18.57</v>
      </c>
      <c r="I72" s="64">
        <v>4.99</v>
      </c>
      <c r="J72" s="64">
        <v>0.72</v>
      </c>
      <c r="K72" s="64">
        <v>331.23</v>
      </c>
      <c r="L72" s="64">
        <v>26.75</v>
      </c>
      <c r="M72" s="64">
        <v>40.82</v>
      </c>
      <c r="N72" s="64">
        <v>82.2</v>
      </c>
      <c r="O72" s="64">
        <v>0</v>
      </c>
      <c r="P72" s="64">
        <v>1.08</v>
      </c>
      <c r="Q72" s="64">
        <v>9.4</v>
      </c>
      <c r="R72" s="198"/>
      <c r="S72" s="198"/>
      <c r="T72" s="198"/>
      <c r="U72" s="198"/>
    </row>
    <row r="73" spans="1:21" s="12" customFormat="1" x14ac:dyDescent="0.25">
      <c r="A73" s="211" t="s">
        <v>2232</v>
      </c>
      <c r="B73" s="64">
        <v>13.6</v>
      </c>
      <c r="C73" s="64">
        <v>33.15</v>
      </c>
      <c r="D73" s="64">
        <v>27.77</v>
      </c>
      <c r="E73" s="64">
        <v>18.02</v>
      </c>
      <c r="F73" s="64">
        <v>17.13</v>
      </c>
      <c r="G73" s="64">
        <v>51.21</v>
      </c>
      <c r="H73" s="64">
        <v>22.75</v>
      </c>
      <c r="I73" s="64">
        <v>4.99</v>
      </c>
      <c r="J73" s="64">
        <v>0.57999999999999996</v>
      </c>
      <c r="K73" s="64">
        <v>328.53</v>
      </c>
      <c r="L73" s="64">
        <v>26.43</v>
      </c>
      <c r="M73" s="64">
        <v>41.79</v>
      </c>
      <c r="N73" s="64">
        <v>74.599999999999994</v>
      </c>
      <c r="O73" s="64">
        <v>0</v>
      </c>
      <c r="P73" s="64">
        <v>1.06</v>
      </c>
      <c r="Q73" s="64">
        <v>9.42</v>
      </c>
      <c r="R73" s="198"/>
      <c r="S73" s="198"/>
      <c r="T73" s="198"/>
      <c r="U73" s="198"/>
    </row>
    <row r="74" spans="1:21" s="12" customFormat="1" x14ac:dyDescent="0.25">
      <c r="A74" s="211" t="s">
        <v>2233</v>
      </c>
      <c r="B74" s="64">
        <v>12.64</v>
      </c>
      <c r="C74" s="64">
        <v>33.92</v>
      </c>
      <c r="D74" s="64">
        <v>27.39</v>
      </c>
      <c r="E74" s="64">
        <v>18.96</v>
      </c>
      <c r="F74" s="64">
        <v>15.53</v>
      </c>
      <c r="G74" s="64">
        <v>50.58</v>
      </c>
      <c r="H74" s="64">
        <v>22.75</v>
      </c>
      <c r="I74" s="64">
        <v>4.97</v>
      </c>
      <c r="J74" s="64">
        <v>0.5</v>
      </c>
      <c r="K74" s="64">
        <v>329.42</v>
      </c>
      <c r="L74" s="64">
        <v>25.85</v>
      </c>
      <c r="M74" s="64">
        <v>44.58</v>
      </c>
      <c r="N74" s="64">
        <v>66.099999999999994</v>
      </c>
      <c r="O74" s="64">
        <v>0</v>
      </c>
      <c r="P74" s="64">
        <v>1.1100000000000001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11" t="s">
        <v>2234</v>
      </c>
      <c r="B75" s="64">
        <v>12.82</v>
      </c>
      <c r="C75" s="64">
        <v>30.48</v>
      </c>
      <c r="D75" s="64">
        <v>25.75</v>
      </c>
      <c r="E75" s="64">
        <v>13.99</v>
      </c>
      <c r="F75" s="64">
        <v>11.92</v>
      </c>
      <c r="G75" s="64">
        <v>50.58</v>
      </c>
      <c r="H75" s="64">
        <v>22.75</v>
      </c>
      <c r="I75" s="64">
        <v>4.95</v>
      </c>
      <c r="J75" s="64">
        <v>0.49</v>
      </c>
      <c r="K75" s="64">
        <v>325.79000000000002</v>
      </c>
      <c r="L75" s="64">
        <v>25.43</v>
      </c>
      <c r="M75" s="64">
        <v>44.01</v>
      </c>
      <c r="N75" s="64">
        <v>57.9</v>
      </c>
      <c r="O75" s="64">
        <v>0</v>
      </c>
      <c r="P75" s="64">
        <v>1.05</v>
      </c>
      <c r="Q75" s="64">
        <v>9.44</v>
      </c>
      <c r="R75" s="198"/>
      <c r="S75" s="198"/>
      <c r="T75" s="198"/>
      <c r="U75" s="198"/>
    </row>
    <row r="76" spans="1:21" s="12" customFormat="1" x14ac:dyDescent="0.25">
      <c r="A76" s="211" t="s">
        <v>2235</v>
      </c>
      <c r="B76" s="64">
        <v>14.87</v>
      </c>
      <c r="C76" s="64">
        <v>36.36</v>
      </c>
      <c r="D76" s="64">
        <v>30.46</v>
      </c>
      <c r="E76" s="64">
        <v>12.85</v>
      </c>
      <c r="F76" s="64">
        <v>12.41</v>
      </c>
      <c r="G76" s="64">
        <v>50.58</v>
      </c>
      <c r="H76" s="64">
        <v>22.75</v>
      </c>
      <c r="I76" s="64">
        <v>4.91</v>
      </c>
      <c r="J76" s="64">
        <v>0.5</v>
      </c>
      <c r="K76" s="64">
        <v>339.68</v>
      </c>
      <c r="L76" s="64">
        <v>24.89</v>
      </c>
      <c r="M76" s="64">
        <v>48.39</v>
      </c>
      <c r="N76" s="64">
        <v>50</v>
      </c>
      <c r="O76" s="64">
        <v>0</v>
      </c>
      <c r="P76" s="64">
        <v>1.0900000000000001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1" t="s">
        <v>2236</v>
      </c>
      <c r="B77" s="64">
        <v>26.36</v>
      </c>
      <c r="C77" s="64">
        <v>35.4</v>
      </c>
      <c r="D77" s="64">
        <v>39.17</v>
      </c>
      <c r="E77" s="64">
        <v>12.01</v>
      </c>
      <c r="F77" s="64">
        <v>6.47</v>
      </c>
      <c r="G77" s="64">
        <v>52.34</v>
      </c>
      <c r="H77" s="64">
        <v>20.77</v>
      </c>
      <c r="I77" s="64">
        <v>4.87</v>
      </c>
      <c r="J77" s="64">
        <v>0.48</v>
      </c>
      <c r="K77" s="64">
        <v>349.64</v>
      </c>
      <c r="L77" s="64">
        <v>24.19</v>
      </c>
      <c r="M77" s="64">
        <v>50.75</v>
      </c>
      <c r="N77" s="64">
        <v>44</v>
      </c>
      <c r="O77" s="64">
        <v>0</v>
      </c>
      <c r="P77" s="64">
        <v>1.42</v>
      </c>
      <c r="Q77" s="64">
        <v>9.4600000000000009</v>
      </c>
      <c r="R77" s="198"/>
      <c r="S77" s="198"/>
      <c r="T77" s="198"/>
      <c r="U77" s="198"/>
    </row>
    <row r="78" spans="1:21" s="12" customFormat="1" x14ac:dyDescent="0.25">
      <c r="A78" s="211" t="s">
        <v>2237</v>
      </c>
      <c r="B78" s="64">
        <v>25.22</v>
      </c>
      <c r="C78" s="64">
        <v>30.45</v>
      </c>
      <c r="D78" s="64">
        <v>35.68</v>
      </c>
      <c r="E78" s="64">
        <v>8.85</v>
      </c>
      <c r="F78" s="64">
        <v>5.67</v>
      </c>
      <c r="G78" s="64">
        <v>52.91</v>
      </c>
      <c r="H78" s="64">
        <v>20.77</v>
      </c>
      <c r="I78" s="64">
        <v>4.84</v>
      </c>
      <c r="J78" s="64">
        <v>0.51</v>
      </c>
      <c r="K78" s="64">
        <v>346.97</v>
      </c>
      <c r="L78" s="64">
        <v>23.62</v>
      </c>
      <c r="M78" s="64">
        <v>52.67</v>
      </c>
      <c r="N78" s="64">
        <v>41.2</v>
      </c>
      <c r="O78" s="64">
        <v>0</v>
      </c>
      <c r="P78" s="64">
        <v>1.29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1" t="s">
        <v>2238</v>
      </c>
      <c r="B79" s="64">
        <v>28.35</v>
      </c>
      <c r="C79" s="64">
        <v>30.14</v>
      </c>
      <c r="D79" s="64">
        <v>38.020000000000003</v>
      </c>
      <c r="E79" s="64">
        <v>9.1</v>
      </c>
      <c r="F79" s="64">
        <v>6.07</v>
      </c>
      <c r="G79" s="64">
        <v>52.91</v>
      </c>
      <c r="H79" s="64">
        <v>20.77</v>
      </c>
      <c r="I79" s="64">
        <v>4.83</v>
      </c>
      <c r="J79" s="64">
        <v>0.47</v>
      </c>
      <c r="K79" s="64">
        <v>346.63</v>
      </c>
      <c r="L79" s="64">
        <v>23.28</v>
      </c>
      <c r="M79" s="64">
        <v>52.86</v>
      </c>
      <c r="N79" s="64">
        <v>40.6</v>
      </c>
      <c r="O79" s="64">
        <v>0</v>
      </c>
      <c r="P79" s="64">
        <v>1.54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1" t="s">
        <v>2239</v>
      </c>
      <c r="B80" s="64">
        <v>22.01</v>
      </c>
      <c r="C80" s="64">
        <v>26.22</v>
      </c>
      <c r="D80" s="64">
        <v>30.88</v>
      </c>
      <c r="E80" s="64">
        <v>10.83</v>
      </c>
      <c r="F80" s="64">
        <v>5.52</v>
      </c>
      <c r="G80" s="64">
        <v>52.91</v>
      </c>
      <c r="H80" s="64">
        <v>20.77</v>
      </c>
      <c r="I80" s="64">
        <v>4.8600000000000003</v>
      </c>
      <c r="J80" s="64">
        <v>0.33</v>
      </c>
      <c r="K80" s="64">
        <v>342.39</v>
      </c>
      <c r="L80" s="64">
        <v>22.8</v>
      </c>
      <c r="M80" s="64">
        <v>53.86</v>
      </c>
      <c r="N80" s="64">
        <v>40.6</v>
      </c>
      <c r="O80" s="64">
        <v>0</v>
      </c>
      <c r="P80" s="64">
        <v>1.39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1" t="s">
        <v>2240</v>
      </c>
      <c r="B81" s="64">
        <v>29.99</v>
      </c>
      <c r="C81" s="64">
        <v>26.04</v>
      </c>
      <c r="D81" s="64">
        <v>37.19</v>
      </c>
      <c r="E81" s="64">
        <v>8.64</v>
      </c>
      <c r="F81" s="64">
        <v>5.13</v>
      </c>
      <c r="G81" s="64">
        <v>55.59</v>
      </c>
      <c r="H81" s="64">
        <v>20.56</v>
      </c>
      <c r="I81" s="64">
        <v>4.93</v>
      </c>
      <c r="J81" s="64">
        <v>0.21</v>
      </c>
      <c r="K81" s="64">
        <v>352.09</v>
      </c>
      <c r="L81" s="64">
        <v>22.46</v>
      </c>
      <c r="M81" s="64">
        <v>55.48</v>
      </c>
      <c r="N81" s="64">
        <v>40.700000000000003</v>
      </c>
      <c r="O81" s="64">
        <v>0</v>
      </c>
      <c r="P81" s="64">
        <v>1.46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1" t="s">
        <v>2241</v>
      </c>
      <c r="B82" s="64">
        <v>25.83</v>
      </c>
      <c r="C82" s="64">
        <v>26.85</v>
      </c>
      <c r="D82" s="64">
        <v>34.29</v>
      </c>
      <c r="E82" s="64">
        <v>9.33</v>
      </c>
      <c r="F82" s="64">
        <v>4.58</v>
      </c>
      <c r="G82" s="64">
        <v>56.45</v>
      </c>
      <c r="H82" s="64">
        <v>20.56</v>
      </c>
      <c r="I82" s="64">
        <v>4.62</v>
      </c>
      <c r="J82" s="64">
        <v>0.17</v>
      </c>
      <c r="K82" s="64">
        <v>19.760000000000002</v>
      </c>
      <c r="L82" s="64">
        <v>22.04</v>
      </c>
      <c r="M82" s="64">
        <v>57.78</v>
      </c>
      <c r="N82" s="64">
        <v>40.700000000000003</v>
      </c>
      <c r="O82" s="64">
        <v>0</v>
      </c>
      <c r="P82" s="64">
        <v>1.65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1" t="s">
        <v>2242</v>
      </c>
      <c r="B83" s="64">
        <v>29.59</v>
      </c>
      <c r="C83" s="64">
        <v>24.7</v>
      </c>
      <c r="D83" s="64">
        <v>36.17</v>
      </c>
      <c r="E83" s="64">
        <v>9.09</v>
      </c>
      <c r="F83" s="64">
        <v>3.97</v>
      </c>
      <c r="G83" s="64">
        <v>56.45</v>
      </c>
      <c r="H83" s="64">
        <v>20.56</v>
      </c>
      <c r="I83" s="64">
        <v>4.42</v>
      </c>
      <c r="J83" s="64">
        <v>0.16</v>
      </c>
      <c r="K83" s="64">
        <v>72.239999999999995</v>
      </c>
      <c r="L83" s="64">
        <v>21.89</v>
      </c>
      <c r="M83" s="64">
        <v>59.28</v>
      </c>
      <c r="N83" s="64">
        <v>40.5</v>
      </c>
      <c r="O83" s="64">
        <v>0</v>
      </c>
      <c r="P83" s="64">
        <v>1.74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1" t="s">
        <v>2243</v>
      </c>
      <c r="B84" s="64">
        <v>29.13</v>
      </c>
      <c r="C84" s="64">
        <v>23.23</v>
      </c>
      <c r="D84" s="64">
        <v>35.04</v>
      </c>
      <c r="E84" s="64">
        <v>9.1300000000000008</v>
      </c>
      <c r="F84" s="64">
        <v>3.61</v>
      </c>
      <c r="G84" s="64">
        <v>56.45</v>
      </c>
      <c r="H84" s="64">
        <v>20.56</v>
      </c>
      <c r="I84" s="64">
        <v>4.5</v>
      </c>
      <c r="J84" s="64">
        <v>0.24</v>
      </c>
      <c r="K84" s="64">
        <v>89.32</v>
      </c>
      <c r="L84" s="64">
        <v>21.75</v>
      </c>
      <c r="M84" s="64">
        <v>59.69</v>
      </c>
      <c r="N84" s="64">
        <v>40.200000000000003</v>
      </c>
      <c r="O84" s="64">
        <v>0</v>
      </c>
      <c r="P84" s="64">
        <v>1.67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1" t="s">
        <v>2244</v>
      </c>
      <c r="B85" s="64">
        <v>34.58</v>
      </c>
      <c r="C85" s="64">
        <v>26.14</v>
      </c>
      <c r="D85" s="64">
        <v>40.92</v>
      </c>
      <c r="E85" s="64">
        <v>8.42</v>
      </c>
      <c r="F85" s="64">
        <v>4.67</v>
      </c>
      <c r="G85" s="64">
        <v>111.29</v>
      </c>
      <c r="H85" s="64">
        <v>32.130000000000003</v>
      </c>
      <c r="I85" s="64">
        <v>4.63</v>
      </c>
      <c r="J85" s="64">
        <v>0.16</v>
      </c>
      <c r="K85" s="64">
        <v>8.17</v>
      </c>
      <c r="L85" s="64">
        <v>21.68</v>
      </c>
      <c r="M85" s="64">
        <v>60.31</v>
      </c>
      <c r="N85" s="64">
        <v>40.4</v>
      </c>
      <c r="O85" s="64">
        <v>0</v>
      </c>
      <c r="P85" s="64">
        <v>1.77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1" t="s">
        <v>2245</v>
      </c>
      <c r="B86" s="64">
        <v>31.81</v>
      </c>
      <c r="C86" s="64">
        <v>22.7</v>
      </c>
      <c r="D86" s="64">
        <v>36.909999999999997</v>
      </c>
      <c r="E86" s="64">
        <v>8.98</v>
      </c>
      <c r="F86" s="64">
        <v>4.2300000000000004</v>
      </c>
      <c r="G86" s="64">
        <v>129.03</v>
      </c>
      <c r="H86" s="64">
        <v>32.130000000000003</v>
      </c>
      <c r="I86" s="64">
        <v>4.79</v>
      </c>
      <c r="J86" s="64">
        <v>0.21</v>
      </c>
      <c r="K86" s="64">
        <v>342.83</v>
      </c>
      <c r="L86" s="64">
        <v>21.44</v>
      </c>
      <c r="M86" s="64">
        <v>60.11</v>
      </c>
      <c r="N86" s="64">
        <v>40.4</v>
      </c>
      <c r="O86" s="64">
        <v>0</v>
      </c>
      <c r="P86" s="64">
        <v>1.91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1" t="s">
        <v>2246</v>
      </c>
      <c r="B87" s="64">
        <v>46.45</v>
      </c>
      <c r="C87" s="64">
        <v>19.96</v>
      </c>
      <c r="D87" s="64">
        <v>47.22</v>
      </c>
      <c r="E87" s="64">
        <v>8.41</v>
      </c>
      <c r="F87" s="64">
        <v>4.68</v>
      </c>
      <c r="G87" s="64">
        <v>129.03</v>
      </c>
      <c r="H87" s="64">
        <v>32.130000000000003</v>
      </c>
      <c r="I87" s="64">
        <v>4.95</v>
      </c>
      <c r="J87" s="64">
        <v>0.22</v>
      </c>
      <c r="K87" s="64">
        <v>356.57</v>
      </c>
      <c r="L87" s="64">
        <v>21.11</v>
      </c>
      <c r="M87" s="64">
        <v>63.95</v>
      </c>
      <c r="N87" s="64">
        <v>40.5</v>
      </c>
      <c r="O87" s="64">
        <v>0</v>
      </c>
      <c r="P87" s="64">
        <v>2.2400000000000002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1" t="s">
        <v>2247</v>
      </c>
      <c r="B88" s="64">
        <v>40.93</v>
      </c>
      <c r="C88" s="64">
        <v>25.07</v>
      </c>
      <c r="D88" s="64">
        <v>45.46</v>
      </c>
      <c r="E88" s="64">
        <v>10.86</v>
      </c>
      <c r="F88" s="64">
        <v>4.82</v>
      </c>
      <c r="G88" s="64">
        <v>129.03</v>
      </c>
      <c r="H88" s="64">
        <v>32.130000000000003</v>
      </c>
      <c r="I88" s="64">
        <v>5.47</v>
      </c>
      <c r="J88" s="64">
        <v>0.23</v>
      </c>
      <c r="K88" s="64">
        <v>356.64</v>
      </c>
      <c r="L88" s="64">
        <v>20.88</v>
      </c>
      <c r="M88" s="64">
        <v>65.36</v>
      </c>
      <c r="N88" s="64">
        <v>40.299999999999997</v>
      </c>
      <c r="O88" s="64">
        <v>0</v>
      </c>
      <c r="P88" s="64">
        <v>2.2999999999999998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2248</v>
      </c>
      <c r="B89" s="64">
        <v>48.36</v>
      </c>
      <c r="C89" s="64">
        <v>25.26</v>
      </c>
      <c r="D89" s="64">
        <v>51.52</v>
      </c>
      <c r="E89" s="64">
        <v>11.27</v>
      </c>
      <c r="F89" s="64">
        <v>4.8</v>
      </c>
      <c r="G89" s="64">
        <v>126.75</v>
      </c>
      <c r="H89" s="64">
        <v>37.32</v>
      </c>
      <c r="I89" s="64">
        <v>5.54</v>
      </c>
      <c r="J89" s="64">
        <v>0.23</v>
      </c>
      <c r="K89" s="64">
        <v>104.7</v>
      </c>
      <c r="L89" s="64">
        <v>21.02</v>
      </c>
      <c r="M89" s="64">
        <v>62.37</v>
      </c>
      <c r="N89" s="64">
        <v>40.200000000000003</v>
      </c>
      <c r="O89" s="64">
        <v>0</v>
      </c>
      <c r="P89" s="64">
        <v>2.39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2249</v>
      </c>
      <c r="B90" s="64">
        <v>38.869999999999997</v>
      </c>
      <c r="C90" s="64">
        <v>22.66</v>
      </c>
      <c r="D90" s="64">
        <v>42.55</v>
      </c>
      <c r="E90" s="64">
        <v>14.66</v>
      </c>
      <c r="F90" s="64">
        <v>4.47</v>
      </c>
      <c r="G90" s="64">
        <v>126.01</v>
      </c>
      <c r="H90" s="64">
        <v>37.32</v>
      </c>
      <c r="I90" s="64">
        <v>5.44</v>
      </c>
      <c r="J90" s="64">
        <v>0.26</v>
      </c>
      <c r="K90" s="64">
        <v>81.94</v>
      </c>
      <c r="L90" s="64">
        <v>21.05</v>
      </c>
      <c r="M90" s="64">
        <v>63.44</v>
      </c>
      <c r="N90" s="64">
        <v>40.299999999999997</v>
      </c>
      <c r="O90" s="64">
        <v>0</v>
      </c>
      <c r="P90" s="64">
        <v>2.2000000000000002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1" t="s">
        <v>2250</v>
      </c>
      <c r="B91" s="64">
        <v>39.56</v>
      </c>
      <c r="C91" s="64">
        <v>23.88</v>
      </c>
      <c r="D91" s="64">
        <v>43.74</v>
      </c>
      <c r="E91" s="64">
        <v>15.26</v>
      </c>
      <c r="F91" s="64">
        <v>4.4000000000000004</v>
      </c>
      <c r="G91" s="64">
        <v>126.01</v>
      </c>
      <c r="H91" s="64">
        <v>37.32</v>
      </c>
      <c r="I91" s="64">
        <v>5.61</v>
      </c>
      <c r="J91" s="64">
        <v>0.18</v>
      </c>
      <c r="K91" s="64">
        <v>94.85</v>
      </c>
      <c r="L91" s="64">
        <v>20.83</v>
      </c>
      <c r="M91" s="64">
        <v>64.37</v>
      </c>
      <c r="N91" s="64">
        <v>40.200000000000003</v>
      </c>
      <c r="O91" s="64">
        <v>0</v>
      </c>
      <c r="P91" s="64">
        <v>2.2200000000000002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1" t="s">
        <v>2251</v>
      </c>
      <c r="B92" s="64">
        <v>55.87</v>
      </c>
      <c r="C92" s="64">
        <v>16</v>
      </c>
      <c r="D92" s="64">
        <v>52.7</v>
      </c>
      <c r="E92" s="64">
        <v>13.33</v>
      </c>
      <c r="F92" s="64">
        <v>4.95</v>
      </c>
      <c r="G92" s="64">
        <v>126.01</v>
      </c>
      <c r="H92" s="64">
        <v>37.32</v>
      </c>
      <c r="I92" s="64">
        <v>6.2</v>
      </c>
      <c r="J92" s="64">
        <v>0.16</v>
      </c>
      <c r="K92" s="64">
        <v>261.14999999999998</v>
      </c>
      <c r="L92" s="64">
        <v>20.38</v>
      </c>
      <c r="M92" s="64">
        <v>72.349999999999994</v>
      </c>
      <c r="N92" s="64">
        <v>40.700000000000003</v>
      </c>
      <c r="O92" s="64">
        <v>0</v>
      </c>
      <c r="P92" s="64">
        <v>2.36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1" t="s">
        <v>2252</v>
      </c>
      <c r="B93" s="64">
        <v>81.760000000000005</v>
      </c>
      <c r="C93" s="64">
        <v>6.47</v>
      </c>
      <c r="D93" s="64">
        <v>67.81</v>
      </c>
      <c r="E93" s="64">
        <v>9.89</v>
      </c>
      <c r="F93" s="64">
        <v>4.01</v>
      </c>
      <c r="G93" s="64">
        <v>138.52000000000001</v>
      </c>
      <c r="H93" s="64">
        <v>47.46</v>
      </c>
      <c r="I93" s="64">
        <v>6.23</v>
      </c>
      <c r="J93" s="64">
        <v>0.1</v>
      </c>
      <c r="K93" s="64">
        <v>99.41</v>
      </c>
      <c r="L93" s="64">
        <v>19.7</v>
      </c>
      <c r="M93" s="64">
        <v>76.58</v>
      </c>
      <c r="N93" s="64">
        <v>40.6</v>
      </c>
      <c r="O93" s="64">
        <v>0</v>
      </c>
      <c r="P93" s="64">
        <v>2.78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1" t="s">
        <v>2253</v>
      </c>
      <c r="B94" s="64">
        <v>60.16</v>
      </c>
      <c r="C94" s="64">
        <v>8.3699999999999992</v>
      </c>
      <c r="D94" s="64">
        <v>52.15</v>
      </c>
      <c r="E94" s="64">
        <v>8.64</v>
      </c>
      <c r="F94" s="64">
        <v>4.0999999999999996</v>
      </c>
      <c r="G94" s="64">
        <v>142.57</v>
      </c>
      <c r="H94" s="64">
        <v>47.46</v>
      </c>
      <c r="I94" s="64">
        <v>6.5</v>
      </c>
      <c r="J94" s="64">
        <v>0.02</v>
      </c>
      <c r="K94" s="64">
        <v>8.07</v>
      </c>
      <c r="L94" s="64">
        <v>19.37</v>
      </c>
      <c r="M94" s="64">
        <v>78.599999999999994</v>
      </c>
      <c r="N94" s="64">
        <v>40.5</v>
      </c>
      <c r="O94" s="64">
        <v>0</v>
      </c>
      <c r="P94" s="64">
        <v>2.41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1" t="s">
        <v>2254</v>
      </c>
      <c r="B95" s="64">
        <v>54.25</v>
      </c>
      <c r="C95" s="64">
        <v>5.14</v>
      </c>
      <c r="D95" s="64">
        <v>44.72</v>
      </c>
      <c r="E95" s="64">
        <v>7.27</v>
      </c>
      <c r="F95" s="64">
        <v>3.44</v>
      </c>
      <c r="G95" s="64">
        <v>142.57</v>
      </c>
      <c r="H95" s="64">
        <v>47.46</v>
      </c>
      <c r="I95" s="64">
        <v>6.97</v>
      </c>
      <c r="J95" s="64">
        <v>0.03</v>
      </c>
      <c r="K95" s="64">
        <v>0.59</v>
      </c>
      <c r="L95" s="64">
        <v>19.07</v>
      </c>
      <c r="M95" s="64">
        <v>82.39</v>
      </c>
      <c r="N95" s="64">
        <v>40.4</v>
      </c>
      <c r="O95" s="64">
        <v>0</v>
      </c>
      <c r="P95" s="64">
        <v>2.2200000000000002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1" t="s">
        <v>2255</v>
      </c>
      <c r="B96" s="64">
        <v>54.85</v>
      </c>
      <c r="C96" s="64">
        <v>3.86</v>
      </c>
      <c r="D96" s="64">
        <v>45.44</v>
      </c>
      <c r="E96" s="64">
        <v>6.91</v>
      </c>
      <c r="F96" s="64">
        <v>2.99</v>
      </c>
      <c r="G96" s="64">
        <v>142.57</v>
      </c>
      <c r="H96" s="64">
        <v>47.46</v>
      </c>
      <c r="I96" s="64">
        <v>6.68</v>
      </c>
      <c r="J96" s="64">
        <v>0.28000000000000003</v>
      </c>
      <c r="K96" s="64">
        <v>343.73</v>
      </c>
      <c r="L96" s="64">
        <v>18.89</v>
      </c>
      <c r="M96" s="64">
        <v>85.6</v>
      </c>
      <c r="N96" s="64">
        <v>40.4</v>
      </c>
      <c r="O96" s="64">
        <v>0</v>
      </c>
      <c r="P96" s="64">
        <v>2.2000000000000002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2256</v>
      </c>
      <c r="B97" s="64">
        <v>58.36</v>
      </c>
      <c r="C97" s="64">
        <v>1.82</v>
      </c>
      <c r="D97" s="64">
        <v>47.29</v>
      </c>
      <c r="E97" s="64">
        <v>6.57</v>
      </c>
      <c r="F97" s="64">
        <v>3.32</v>
      </c>
      <c r="G97" s="64">
        <v>151.94999999999999</v>
      </c>
      <c r="H97" s="64">
        <v>51.44</v>
      </c>
      <c r="I97" s="64">
        <v>6.47</v>
      </c>
      <c r="J97" s="64">
        <v>0.23</v>
      </c>
      <c r="K97" s="64">
        <v>330.02</v>
      </c>
      <c r="L97" s="64">
        <v>18.8</v>
      </c>
      <c r="M97" s="64">
        <v>86.23</v>
      </c>
      <c r="N97" s="64">
        <v>40.1</v>
      </c>
      <c r="O97" s="64">
        <v>0</v>
      </c>
      <c r="P97" s="64">
        <v>2.27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1" t="s">
        <v>2257</v>
      </c>
      <c r="B98" s="64">
        <v>60.35</v>
      </c>
      <c r="C98" s="64">
        <v>0.84</v>
      </c>
      <c r="D98" s="64">
        <v>48.37</v>
      </c>
      <c r="E98" s="64">
        <v>6.14</v>
      </c>
      <c r="F98" s="64">
        <v>3.09</v>
      </c>
      <c r="G98" s="64">
        <v>154.99</v>
      </c>
      <c r="H98" s="64">
        <v>51.44</v>
      </c>
      <c r="I98" s="64">
        <v>6.63</v>
      </c>
      <c r="J98" s="64">
        <v>0.11</v>
      </c>
      <c r="K98" s="64">
        <v>302.01</v>
      </c>
      <c r="L98" s="64">
        <v>18.62</v>
      </c>
      <c r="M98" s="64">
        <v>88.36</v>
      </c>
      <c r="N98" s="64">
        <v>40.299999999999997</v>
      </c>
      <c r="O98" s="64">
        <v>0</v>
      </c>
      <c r="P98" s="64">
        <v>2.3199999999999998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1" t="s">
        <v>2258</v>
      </c>
      <c r="B99" s="64">
        <v>63.07</v>
      </c>
      <c r="C99" s="64">
        <v>0.19</v>
      </c>
      <c r="D99" s="64">
        <v>49.97</v>
      </c>
      <c r="E99" s="64">
        <v>6.13</v>
      </c>
      <c r="F99" s="64">
        <v>3.12</v>
      </c>
      <c r="G99" s="64">
        <v>154.99</v>
      </c>
      <c r="H99" s="64">
        <v>51.44</v>
      </c>
      <c r="I99" s="64">
        <v>6.8</v>
      </c>
      <c r="J99" s="64">
        <v>0.18</v>
      </c>
      <c r="K99" s="64">
        <v>276.49</v>
      </c>
      <c r="L99" s="64">
        <v>18.59</v>
      </c>
      <c r="M99" s="64">
        <v>87.37</v>
      </c>
      <c r="N99" s="64">
        <v>40.1</v>
      </c>
      <c r="O99" s="64">
        <v>0</v>
      </c>
      <c r="P99" s="64">
        <v>2.37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1" t="s">
        <v>2259</v>
      </c>
      <c r="B100" s="64">
        <v>64.69</v>
      </c>
      <c r="C100" s="64">
        <v>0.19</v>
      </c>
      <c r="D100" s="64">
        <v>50.34</v>
      </c>
      <c r="E100" s="64">
        <v>6.14</v>
      </c>
      <c r="F100" s="64">
        <v>3.42</v>
      </c>
      <c r="G100" s="64">
        <v>154.99</v>
      </c>
      <c r="H100" s="64">
        <v>51.44</v>
      </c>
      <c r="I100" s="64">
        <v>6.93</v>
      </c>
      <c r="J100" s="64">
        <v>0.14000000000000001</v>
      </c>
      <c r="K100" s="64">
        <v>260.7</v>
      </c>
      <c r="L100" s="64">
        <v>18.54</v>
      </c>
      <c r="M100" s="64">
        <v>87.23</v>
      </c>
      <c r="N100" s="64">
        <v>40.299999999999997</v>
      </c>
      <c r="O100" s="64">
        <v>0</v>
      </c>
      <c r="P100" s="64">
        <v>2.4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2260</v>
      </c>
      <c r="B101" s="64">
        <v>65.87</v>
      </c>
      <c r="C101" s="64">
        <v>0.19</v>
      </c>
      <c r="D101" s="64">
        <v>50.9</v>
      </c>
      <c r="E101" s="64">
        <v>5.79</v>
      </c>
      <c r="F101" s="64">
        <v>3.11</v>
      </c>
      <c r="G101" s="64">
        <v>137.28</v>
      </c>
      <c r="H101" s="64">
        <v>51.59</v>
      </c>
      <c r="I101" s="64">
        <v>7.07</v>
      </c>
      <c r="J101" s="64">
        <v>0.02</v>
      </c>
      <c r="K101" s="64">
        <v>333.12</v>
      </c>
      <c r="L101" s="64">
        <v>18.13</v>
      </c>
      <c r="M101" s="64">
        <v>91.26</v>
      </c>
      <c r="N101" s="64">
        <v>40.5</v>
      </c>
      <c r="O101" s="64">
        <v>0</v>
      </c>
      <c r="P101" s="64">
        <v>2.4300000000000002</v>
      </c>
      <c r="Q101" s="64">
        <v>9.7200000000000006</v>
      </c>
      <c r="R101" s="198"/>
      <c r="S101" s="198"/>
      <c r="T101" s="198"/>
      <c r="U101" s="198"/>
    </row>
    <row r="102" spans="1:33" s="12" customFormat="1" x14ac:dyDescent="0.25">
      <c r="A102" s="211" t="s">
        <v>2261</v>
      </c>
      <c r="B102" s="64">
        <v>66.849999999999994</v>
      </c>
      <c r="C102" s="64">
        <v>0.19</v>
      </c>
      <c r="D102" s="64">
        <v>51.46</v>
      </c>
      <c r="E102" s="64">
        <v>5.78</v>
      </c>
      <c r="F102" s="64">
        <v>3.01</v>
      </c>
      <c r="G102" s="64">
        <v>131.56</v>
      </c>
      <c r="H102" s="64">
        <v>51.59</v>
      </c>
      <c r="I102" s="64">
        <v>7.66</v>
      </c>
      <c r="J102" s="64">
        <v>0.09</v>
      </c>
      <c r="K102" s="64">
        <v>299.98</v>
      </c>
      <c r="L102" s="64">
        <v>17.86</v>
      </c>
      <c r="M102" s="64">
        <v>92.11</v>
      </c>
      <c r="N102" s="64">
        <v>40.299999999999997</v>
      </c>
      <c r="O102" s="64">
        <v>0</v>
      </c>
      <c r="P102" s="64">
        <v>2.44</v>
      </c>
      <c r="Q102" s="64">
        <v>9.73</v>
      </c>
      <c r="R102" s="198"/>
      <c r="S102" s="198"/>
      <c r="T102" s="198"/>
      <c r="U102" s="198"/>
    </row>
    <row r="103" spans="1:33" s="12" customFormat="1" x14ac:dyDescent="0.25">
      <c r="A103" s="211" t="s">
        <v>2262</v>
      </c>
      <c r="B103" s="64">
        <v>67.73</v>
      </c>
      <c r="C103" s="64">
        <v>0.19</v>
      </c>
      <c r="D103" s="64">
        <v>51.86</v>
      </c>
      <c r="E103" s="64">
        <v>5.82</v>
      </c>
      <c r="F103" s="64">
        <v>2.95</v>
      </c>
      <c r="G103" s="64">
        <v>131.56</v>
      </c>
      <c r="H103" s="64">
        <v>51.59</v>
      </c>
      <c r="I103" s="64">
        <v>7.57</v>
      </c>
      <c r="J103" s="64">
        <v>0.06</v>
      </c>
      <c r="K103" s="64">
        <v>257.37</v>
      </c>
      <c r="L103" s="64">
        <v>17.71</v>
      </c>
      <c r="M103" s="64">
        <v>91.72</v>
      </c>
      <c r="N103" s="64">
        <v>40.299999999999997</v>
      </c>
      <c r="O103" s="64">
        <v>0</v>
      </c>
      <c r="P103" s="64">
        <v>2.44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1" t="s">
        <v>2263</v>
      </c>
      <c r="B104" s="64">
        <v>67.44</v>
      </c>
      <c r="C104" s="64">
        <v>0.19</v>
      </c>
      <c r="D104" s="64">
        <v>51.61</v>
      </c>
      <c r="E104" s="64">
        <v>5</v>
      </c>
      <c r="F104" s="64">
        <v>3.27</v>
      </c>
      <c r="G104" s="64">
        <v>131.56</v>
      </c>
      <c r="H104" s="64">
        <v>51.59</v>
      </c>
      <c r="I104" s="64">
        <v>7.21</v>
      </c>
      <c r="J104" s="64">
        <v>0.16</v>
      </c>
      <c r="K104" s="64">
        <v>261.72000000000003</v>
      </c>
      <c r="L104" s="64">
        <v>17.579999999999998</v>
      </c>
      <c r="M104" s="64">
        <v>94.77</v>
      </c>
      <c r="N104" s="64">
        <v>40.4</v>
      </c>
      <c r="O104" s="64">
        <v>0</v>
      </c>
      <c r="P104" s="64">
        <v>2.4300000000000002</v>
      </c>
      <c r="Q104" s="64">
        <v>9.7200000000000006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8.82</v>
      </c>
      <c r="C106" s="67">
        <f>MIN(C9:C104)</f>
        <v>0.13</v>
      </c>
      <c r="D106" s="67">
        <f t="shared" ref="D106:Q106" si="0">MIN(D9:D104)</f>
        <v>19.510000000000002</v>
      </c>
      <c r="E106" s="67">
        <f t="shared" si="0"/>
        <v>5</v>
      </c>
      <c r="F106" s="67">
        <f t="shared" si="0"/>
        <v>2.95</v>
      </c>
      <c r="G106" s="67">
        <f t="shared" si="0"/>
        <v>30.22</v>
      </c>
      <c r="H106" s="67">
        <f t="shared" si="0"/>
        <v>11.44</v>
      </c>
      <c r="I106" s="67">
        <f t="shared" si="0"/>
        <v>4.37</v>
      </c>
      <c r="J106" s="67">
        <f t="shared" si="0"/>
        <v>0.02</v>
      </c>
      <c r="K106" s="67">
        <f t="shared" si="0"/>
        <v>0.59</v>
      </c>
      <c r="L106" s="67">
        <f t="shared" si="0"/>
        <v>14.34</v>
      </c>
      <c r="M106" s="67">
        <f t="shared" si="0"/>
        <v>32.450000000000003</v>
      </c>
      <c r="N106" s="67">
        <f t="shared" si="0"/>
        <v>40.1</v>
      </c>
      <c r="O106" s="67">
        <f t="shared" si="0"/>
        <v>0</v>
      </c>
      <c r="P106" s="67">
        <f t="shared" si="0"/>
        <v>0.87</v>
      </c>
      <c r="Q106" s="67">
        <f t="shared" si="0"/>
        <v>9.4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81.760000000000005</v>
      </c>
      <c r="C107" s="66">
        <f t="shared" ref="C107:Q107" si="1">MAX(C9:C104)</f>
        <v>36.36</v>
      </c>
      <c r="D107" s="66">
        <f t="shared" si="1"/>
        <v>67.81</v>
      </c>
      <c r="E107" s="66">
        <f t="shared" si="1"/>
        <v>20.93</v>
      </c>
      <c r="F107" s="66">
        <f t="shared" si="1"/>
        <v>18.79</v>
      </c>
      <c r="G107" s="66">
        <f t="shared" si="1"/>
        <v>190.41</v>
      </c>
      <c r="H107" s="66">
        <f t="shared" si="1"/>
        <v>68.36</v>
      </c>
      <c r="I107" s="66">
        <f t="shared" si="1"/>
        <v>7.66</v>
      </c>
      <c r="J107" s="66">
        <f t="shared" si="1"/>
        <v>1.3</v>
      </c>
      <c r="K107" s="66">
        <f t="shared" si="1"/>
        <v>356.64</v>
      </c>
      <c r="L107" s="66">
        <f t="shared" si="1"/>
        <v>30.97</v>
      </c>
      <c r="M107" s="66">
        <f t="shared" si="1"/>
        <v>96.7</v>
      </c>
      <c r="N107" s="66">
        <f t="shared" si="1"/>
        <v>673.4</v>
      </c>
      <c r="O107" s="66">
        <f t="shared" si="1"/>
        <v>0</v>
      </c>
      <c r="P107" s="66">
        <f t="shared" si="1"/>
        <v>2.78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44.552499999999981</v>
      </c>
      <c r="C108" s="67">
        <f t="shared" ref="C108:Q108" si="2">AVERAGE(C9:C104)</f>
        <v>15.992794117647062</v>
      </c>
      <c r="D108" s="67">
        <f t="shared" si="2"/>
        <v>40.327083333333334</v>
      </c>
      <c r="E108" s="67">
        <f t="shared" si="2"/>
        <v>8.4265625000000011</v>
      </c>
      <c r="F108" s="67">
        <f t="shared" si="2"/>
        <v>5.631562500000002</v>
      </c>
      <c r="G108" s="67">
        <f t="shared" si="2"/>
        <v>95.180729166666637</v>
      </c>
      <c r="H108" s="67">
        <f t="shared" si="2"/>
        <v>36.769166666666706</v>
      </c>
      <c r="I108" s="67">
        <f t="shared" si="2"/>
        <v>6.048020833333335</v>
      </c>
      <c r="J108" s="67">
        <f t="shared" si="2"/>
        <v>0.33031249999999995</v>
      </c>
      <c r="K108" s="67">
        <f t="shared" si="2"/>
        <v>217.51427083333328</v>
      </c>
      <c r="L108" s="67">
        <f t="shared" si="2"/>
        <v>21.331979166666667</v>
      </c>
      <c r="M108" s="67">
        <f t="shared" si="2"/>
        <v>68.727916666666644</v>
      </c>
      <c r="N108" s="67">
        <f t="shared" si="2"/>
        <v>180.69270833333337</v>
      </c>
      <c r="O108" s="67">
        <f t="shared" si="2"/>
        <v>0</v>
      </c>
      <c r="P108" s="67">
        <f t="shared" si="2"/>
        <v>1.7310416666666664</v>
      </c>
      <c r="Q108" s="67">
        <f t="shared" si="2"/>
        <v>9.6417708333333341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21.485421985493758</v>
      </c>
      <c r="C109" s="67">
        <f t="shared" ref="C109:Q109" si="3">STDEV(C9:C104)</f>
        <v>11.667940365586819</v>
      </c>
      <c r="D109" s="67">
        <f t="shared" si="3"/>
        <v>11.139992243847493</v>
      </c>
      <c r="E109" s="67">
        <f t="shared" si="3"/>
        <v>3.5933634231440372</v>
      </c>
      <c r="F109" s="67">
        <f t="shared" si="3"/>
        <v>3.9710914125185921</v>
      </c>
      <c r="G109" s="67">
        <f t="shared" si="3"/>
        <v>42.671442521095415</v>
      </c>
      <c r="H109" s="67">
        <f t="shared" si="3"/>
        <v>15.158109288198856</v>
      </c>
      <c r="I109" s="67">
        <f t="shared" si="3"/>
        <v>1.0123049465573855</v>
      </c>
      <c r="J109" s="67">
        <f t="shared" si="3"/>
        <v>0.27569797786708566</v>
      </c>
      <c r="K109" s="67">
        <f t="shared" si="3"/>
        <v>118.82995168900018</v>
      </c>
      <c r="L109" s="67">
        <f t="shared" si="3"/>
        <v>5.1544814675737856</v>
      </c>
      <c r="M109" s="67">
        <f t="shared" si="3"/>
        <v>23.932159729081061</v>
      </c>
      <c r="N109" s="67">
        <f t="shared" si="3"/>
        <v>219.82454977348195</v>
      </c>
      <c r="O109" s="67">
        <f t="shared" si="3"/>
        <v>0</v>
      </c>
      <c r="P109" s="67">
        <f t="shared" si="3"/>
        <v>0.47875601778087779</v>
      </c>
      <c r="Q109" s="67">
        <f t="shared" si="3"/>
        <v>0.10114080640027674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COUNT(C9:C104)+28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4" sqref="I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2264</v>
      </c>
      <c r="B9" s="64">
        <v>66.790000000000006</v>
      </c>
      <c r="C9" s="6" t="s">
        <v>42</v>
      </c>
      <c r="D9" s="64">
        <v>51.17</v>
      </c>
      <c r="E9" s="64">
        <v>5.57</v>
      </c>
      <c r="F9" s="64">
        <v>3.2</v>
      </c>
      <c r="G9" s="64">
        <v>105.14</v>
      </c>
      <c r="H9" s="64">
        <v>45.71</v>
      </c>
      <c r="I9" s="64">
        <v>7.19</v>
      </c>
      <c r="J9" s="64">
        <v>0.2</v>
      </c>
      <c r="K9" s="64">
        <v>302.58</v>
      </c>
      <c r="L9" s="64">
        <v>17.38</v>
      </c>
      <c r="M9" s="64">
        <v>96.87</v>
      </c>
      <c r="N9" s="64">
        <v>40.299999999999997</v>
      </c>
      <c r="O9" s="64">
        <v>0</v>
      </c>
      <c r="P9" s="64">
        <v>2.39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1" t="s">
        <v>2265</v>
      </c>
      <c r="B10" s="64">
        <v>67.180000000000007</v>
      </c>
      <c r="C10" s="6" t="s">
        <v>42</v>
      </c>
      <c r="D10" s="64">
        <v>51.07</v>
      </c>
      <c r="E10" s="64">
        <v>5.07</v>
      </c>
      <c r="F10" s="64">
        <v>3.19</v>
      </c>
      <c r="G10" s="64">
        <v>96.6</v>
      </c>
      <c r="H10" s="64">
        <v>45.71</v>
      </c>
      <c r="I10" s="64">
        <v>7.15</v>
      </c>
      <c r="J10" s="64">
        <v>0.1</v>
      </c>
      <c r="K10" s="64">
        <v>130.28</v>
      </c>
      <c r="L10" s="64">
        <v>17.100000000000001</v>
      </c>
      <c r="M10" s="64">
        <v>96.88</v>
      </c>
      <c r="N10" s="64">
        <v>40.299999999999997</v>
      </c>
      <c r="O10" s="64">
        <v>0</v>
      </c>
      <c r="P10" s="64">
        <v>2.41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1" t="s">
        <v>2266</v>
      </c>
      <c r="B11" s="64">
        <v>67.53</v>
      </c>
      <c r="C11" s="6" t="s">
        <v>42</v>
      </c>
      <c r="D11" s="64">
        <v>51.48</v>
      </c>
      <c r="E11" s="64">
        <v>5.24</v>
      </c>
      <c r="F11" s="64">
        <v>2.92</v>
      </c>
      <c r="G11" s="64">
        <v>96.6</v>
      </c>
      <c r="H11" s="64">
        <v>45.71</v>
      </c>
      <c r="I11" s="64">
        <v>7.14</v>
      </c>
      <c r="J11" s="64">
        <v>0.2</v>
      </c>
      <c r="K11" s="64">
        <v>284.66000000000003</v>
      </c>
      <c r="L11" s="64">
        <v>17</v>
      </c>
      <c r="M11" s="64">
        <v>96.88</v>
      </c>
      <c r="N11" s="64">
        <v>40.200000000000003</v>
      </c>
      <c r="O11" s="64">
        <v>0</v>
      </c>
      <c r="P11" s="64">
        <v>2.4300000000000002</v>
      </c>
      <c r="Q11" s="64">
        <v>9.7200000000000006</v>
      </c>
      <c r="R11" s="198"/>
      <c r="S11" s="198"/>
      <c r="T11" s="198"/>
      <c r="U11" s="198"/>
    </row>
    <row r="12" spans="1:21" s="12" customFormat="1" x14ac:dyDescent="0.25">
      <c r="A12" s="211" t="s">
        <v>2267</v>
      </c>
      <c r="B12" s="64">
        <v>67.94</v>
      </c>
      <c r="C12" s="6" t="s">
        <v>42</v>
      </c>
      <c r="D12" s="64">
        <v>51.67</v>
      </c>
      <c r="E12" s="64">
        <v>5.13</v>
      </c>
      <c r="F12" s="64">
        <v>3.13</v>
      </c>
      <c r="G12" s="64">
        <v>96.6</v>
      </c>
      <c r="H12" s="64">
        <v>45.71</v>
      </c>
      <c r="I12" s="64">
        <v>7.64</v>
      </c>
      <c r="J12" s="64">
        <v>0.3</v>
      </c>
      <c r="K12" s="64">
        <v>317.52</v>
      </c>
      <c r="L12" s="64">
        <v>16.93</v>
      </c>
      <c r="M12" s="64">
        <v>96.89</v>
      </c>
      <c r="N12" s="64">
        <v>40.1</v>
      </c>
      <c r="O12" s="64">
        <v>0</v>
      </c>
      <c r="P12" s="64">
        <v>2.4300000000000002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11" t="s">
        <v>2268</v>
      </c>
      <c r="B13" s="64">
        <v>67.150000000000006</v>
      </c>
      <c r="C13" s="64">
        <v>0.06</v>
      </c>
      <c r="D13" s="64">
        <v>51.11</v>
      </c>
      <c r="E13" s="64">
        <v>5.53</v>
      </c>
      <c r="F13" s="64">
        <v>3.06</v>
      </c>
      <c r="G13" s="64">
        <v>110.31</v>
      </c>
      <c r="H13" s="64">
        <v>46.33</v>
      </c>
      <c r="I13" s="64">
        <v>7.49</v>
      </c>
      <c r="J13" s="64">
        <v>0.1</v>
      </c>
      <c r="K13" s="64">
        <v>320.72000000000003</v>
      </c>
      <c r="L13" s="64">
        <v>16.8</v>
      </c>
      <c r="M13" s="64">
        <v>96.9</v>
      </c>
      <c r="N13" s="64">
        <v>40.1</v>
      </c>
      <c r="O13" s="64">
        <v>0</v>
      </c>
      <c r="P13" s="64">
        <v>2.02</v>
      </c>
      <c r="Q13" s="64">
        <v>9.7100000000000009</v>
      </c>
      <c r="R13" s="198"/>
      <c r="S13" s="198"/>
      <c r="T13" s="198"/>
      <c r="U13" s="198"/>
    </row>
    <row r="14" spans="1:21" s="12" customFormat="1" x14ac:dyDescent="0.25">
      <c r="A14" s="211" t="s">
        <v>2269</v>
      </c>
      <c r="B14" s="64">
        <v>65.97</v>
      </c>
      <c r="C14" s="64">
        <v>7.0000000000000007E-2</v>
      </c>
      <c r="D14" s="64">
        <v>50.34</v>
      </c>
      <c r="E14" s="64">
        <v>5.15</v>
      </c>
      <c r="F14" s="64">
        <v>3.17</v>
      </c>
      <c r="G14" s="64">
        <v>114.75</v>
      </c>
      <c r="H14" s="64">
        <v>46.33</v>
      </c>
      <c r="I14" s="64">
        <v>7.11</v>
      </c>
      <c r="J14" s="64">
        <v>0.02</v>
      </c>
      <c r="K14" s="64">
        <v>313.52</v>
      </c>
      <c r="L14" s="64">
        <v>16.73</v>
      </c>
      <c r="M14" s="64">
        <v>96.9</v>
      </c>
      <c r="N14" s="64">
        <v>39.9</v>
      </c>
      <c r="O14" s="64">
        <v>0</v>
      </c>
      <c r="P14" s="64">
        <v>2.11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1" t="s">
        <v>2270</v>
      </c>
      <c r="B15" s="64">
        <v>65.12</v>
      </c>
      <c r="C15" s="6" t="s">
        <v>42</v>
      </c>
      <c r="D15" s="64">
        <v>49.84</v>
      </c>
      <c r="E15" s="64">
        <v>5.07</v>
      </c>
      <c r="F15" s="64">
        <v>3.23</v>
      </c>
      <c r="G15" s="64">
        <v>114.75</v>
      </c>
      <c r="H15" s="64">
        <v>46.33</v>
      </c>
      <c r="I15" s="64">
        <v>7.54</v>
      </c>
      <c r="J15" s="64">
        <v>0.33</v>
      </c>
      <c r="K15" s="64">
        <v>334.75</v>
      </c>
      <c r="L15" s="64">
        <v>16.72</v>
      </c>
      <c r="M15" s="64">
        <v>96.9</v>
      </c>
      <c r="N15" s="64">
        <v>40</v>
      </c>
      <c r="O15" s="64">
        <v>0</v>
      </c>
      <c r="P15" s="64">
        <v>2.09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1" t="s">
        <v>2271</v>
      </c>
      <c r="B16" s="64">
        <v>63.6</v>
      </c>
      <c r="C16" s="6" t="s">
        <v>42</v>
      </c>
      <c r="D16" s="64">
        <v>49.05</v>
      </c>
      <c r="E16" s="64">
        <v>5.0599999999999996</v>
      </c>
      <c r="F16" s="64">
        <v>3.12</v>
      </c>
      <c r="G16" s="64">
        <v>114.75</v>
      </c>
      <c r="H16" s="64">
        <v>46.33</v>
      </c>
      <c r="I16" s="64">
        <v>7.36</v>
      </c>
      <c r="J16" s="64">
        <v>0.13</v>
      </c>
      <c r="K16" s="64">
        <v>28.02</v>
      </c>
      <c r="L16" s="64">
        <v>16.63</v>
      </c>
      <c r="M16" s="64">
        <v>96.88</v>
      </c>
      <c r="N16" s="64">
        <v>40.200000000000003</v>
      </c>
      <c r="O16" s="64">
        <v>0</v>
      </c>
      <c r="P16" s="64">
        <v>2.06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1" t="s">
        <v>2272</v>
      </c>
      <c r="B17" s="64">
        <v>63.38</v>
      </c>
      <c r="C17" s="6" t="s">
        <v>42</v>
      </c>
      <c r="D17" s="64">
        <v>48.74</v>
      </c>
      <c r="E17" s="64">
        <v>5.22</v>
      </c>
      <c r="F17" s="64">
        <v>3.4</v>
      </c>
      <c r="G17" s="64">
        <v>103.94</v>
      </c>
      <c r="H17" s="64">
        <v>44.82</v>
      </c>
      <c r="I17" s="64">
        <v>6.96</v>
      </c>
      <c r="J17" s="64">
        <v>0.15</v>
      </c>
      <c r="K17" s="64">
        <v>229.96</v>
      </c>
      <c r="L17" s="64">
        <v>16.66</v>
      </c>
      <c r="M17" s="64">
        <v>96.81</v>
      </c>
      <c r="N17" s="64">
        <v>40.1</v>
      </c>
      <c r="O17" s="64">
        <v>0</v>
      </c>
      <c r="P17" s="64">
        <v>2.02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1" t="s">
        <v>2273</v>
      </c>
      <c r="B18" s="64">
        <v>62.15</v>
      </c>
      <c r="C18" s="6" t="s">
        <v>42</v>
      </c>
      <c r="D18" s="64">
        <v>47.97</v>
      </c>
      <c r="E18" s="64">
        <v>5.32</v>
      </c>
      <c r="F18" s="64">
        <v>3.38</v>
      </c>
      <c r="G18" s="64">
        <v>100.45</v>
      </c>
      <c r="H18" s="64">
        <v>44.82</v>
      </c>
      <c r="I18" s="64">
        <v>6.9</v>
      </c>
      <c r="J18" s="64">
        <v>0.14000000000000001</v>
      </c>
      <c r="K18" s="64">
        <v>338.58</v>
      </c>
      <c r="L18" s="64">
        <v>16.46</v>
      </c>
      <c r="M18" s="64">
        <v>96.88</v>
      </c>
      <c r="N18" s="64">
        <v>40.299999999999997</v>
      </c>
      <c r="O18" s="64">
        <v>0</v>
      </c>
      <c r="P18" s="64">
        <v>1.95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1" t="s">
        <v>2274</v>
      </c>
      <c r="B19" s="64">
        <v>60.91</v>
      </c>
      <c r="C19" s="6" t="s">
        <v>42</v>
      </c>
      <c r="D19" s="64">
        <v>47.05</v>
      </c>
      <c r="E19" s="64">
        <v>5.1100000000000003</v>
      </c>
      <c r="F19" s="64">
        <v>3.35</v>
      </c>
      <c r="G19" s="64">
        <v>100.45</v>
      </c>
      <c r="H19" s="64">
        <v>44.82</v>
      </c>
      <c r="I19" s="64">
        <v>6.8</v>
      </c>
      <c r="J19" s="64">
        <v>0.09</v>
      </c>
      <c r="K19" s="64">
        <v>116.19</v>
      </c>
      <c r="L19" s="64">
        <v>16.399999999999999</v>
      </c>
      <c r="M19" s="64">
        <v>96.87</v>
      </c>
      <c r="N19" s="64">
        <v>40.1</v>
      </c>
      <c r="O19" s="64">
        <v>0</v>
      </c>
      <c r="P19" s="64">
        <v>1.89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1" t="s">
        <v>2275</v>
      </c>
      <c r="B20" s="64">
        <v>59.22</v>
      </c>
      <c r="C20" s="6" t="s">
        <v>42</v>
      </c>
      <c r="D20" s="64">
        <v>45.97</v>
      </c>
      <c r="E20" s="64">
        <v>5</v>
      </c>
      <c r="F20" s="64">
        <v>3.42</v>
      </c>
      <c r="G20" s="64">
        <v>100.45</v>
      </c>
      <c r="H20" s="64">
        <v>44.82</v>
      </c>
      <c r="I20" s="64">
        <v>6.7</v>
      </c>
      <c r="J20" s="64">
        <v>0.05</v>
      </c>
      <c r="K20" s="64">
        <v>181.63</v>
      </c>
      <c r="L20" s="64">
        <v>16.309999999999999</v>
      </c>
      <c r="M20" s="64">
        <v>96.88</v>
      </c>
      <c r="N20" s="64">
        <v>40.1</v>
      </c>
      <c r="O20" s="64">
        <v>0</v>
      </c>
      <c r="P20" s="64">
        <v>1.84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1" t="s">
        <v>2276</v>
      </c>
      <c r="B21" s="64">
        <v>57.44</v>
      </c>
      <c r="C21" s="6" t="s">
        <v>42</v>
      </c>
      <c r="D21" s="64">
        <v>44.88</v>
      </c>
      <c r="E21" s="64">
        <v>4.9000000000000004</v>
      </c>
      <c r="F21" s="64">
        <v>3.11</v>
      </c>
      <c r="G21" s="64">
        <v>106.49</v>
      </c>
      <c r="H21" s="64">
        <v>44.39</v>
      </c>
      <c r="I21" s="64">
        <v>6.64</v>
      </c>
      <c r="J21" s="64">
        <v>0.02</v>
      </c>
      <c r="K21" s="64">
        <v>98.46</v>
      </c>
      <c r="L21" s="64">
        <v>16.14</v>
      </c>
      <c r="M21" s="64">
        <v>96.9</v>
      </c>
      <c r="N21" s="64">
        <v>40.200000000000003</v>
      </c>
      <c r="O21" s="64">
        <v>0</v>
      </c>
      <c r="P21" s="64">
        <v>1.8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1" t="s">
        <v>2277</v>
      </c>
      <c r="B22" s="64">
        <v>55.87</v>
      </c>
      <c r="C22" s="6" t="s">
        <v>42</v>
      </c>
      <c r="D22" s="64">
        <v>43.94</v>
      </c>
      <c r="E22" s="64">
        <v>4.74</v>
      </c>
      <c r="F22" s="64">
        <v>3.21</v>
      </c>
      <c r="G22" s="64">
        <v>108.45</v>
      </c>
      <c r="H22" s="64">
        <v>44.39</v>
      </c>
      <c r="I22" s="64">
        <v>6.58</v>
      </c>
      <c r="J22" s="64">
        <v>0.09</v>
      </c>
      <c r="K22" s="64">
        <v>161.61000000000001</v>
      </c>
      <c r="L22" s="64">
        <v>15.86</v>
      </c>
      <c r="M22" s="64">
        <v>96.91</v>
      </c>
      <c r="N22" s="64">
        <v>40.299999999999997</v>
      </c>
      <c r="O22" s="64">
        <v>0</v>
      </c>
      <c r="P22" s="64">
        <v>1.76</v>
      </c>
      <c r="Q22" s="64">
        <v>9.7100000000000009</v>
      </c>
      <c r="R22" s="198"/>
      <c r="S22" s="198"/>
      <c r="T22" s="198"/>
      <c r="U22" s="198"/>
    </row>
    <row r="23" spans="1:21" s="12" customFormat="1" x14ac:dyDescent="0.25">
      <c r="A23" s="211" t="s">
        <v>2278</v>
      </c>
      <c r="B23" s="64">
        <v>54.24</v>
      </c>
      <c r="C23" s="64">
        <v>0.01</v>
      </c>
      <c r="D23" s="64">
        <v>42.97</v>
      </c>
      <c r="E23" s="64">
        <v>4.7300000000000004</v>
      </c>
      <c r="F23" s="64">
        <v>3.21</v>
      </c>
      <c r="G23" s="64">
        <v>108.45</v>
      </c>
      <c r="H23" s="64">
        <v>44.39</v>
      </c>
      <c r="I23" s="64">
        <v>6.52</v>
      </c>
      <c r="J23" s="64">
        <v>0.1</v>
      </c>
      <c r="K23" s="64">
        <v>66.87</v>
      </c>
      <c r="L23" s="64">
        <v>15.53</v>
      </c>
      <c r="M23" s="64">
        <v>96.94</v>
      </c>
      <c r="N23" s="64">
        <v>40.1</v>
      </c>
      <c r="O23" s="64">
        <v>0</v>
      </c>
      <c r="P23" s="64">
        <v>1.73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1" t="s">
        <v>2279</v>
      </c>
      <c r="B24" s="64">
        <v>52.86</v>
      </c>
      <c r="C24" s="64">
        <v>0.33</v>
      </c>
      <c r="D24" s="64">
        <v>42.1</v>
      </c>
      <c r="E24" s="64">
        <v>4.58</v>
      </c>
      <c r="F24" s="64">
        <v>3.33</v>
      </c>
      <c r="G24" s="64">
        <v>108.45</v>
      </c>
      <c r="H24" s="64">
        <v>44.39</v>
      </c>
      <c r="I24" s="64">
        <v>6.44</v>
      </c>
      <c r="J24" s="64">
        <v>0.22</v>
      </c>
      <c r="K24" s="64">
        <v>87.15</v>
      </c>
      <c r="L24" s="64">
        <v>15.85</v>
      </c>
      <c r="M24" s="64">
        <v>96.91</v>
      </c>
      <c r="N24" s="64">
        <v>40.1</v>
      </c>
      <c r="O24" s="64">
        <v>0</v>
      </c>
      <c r="P24" s="64">
        <v>1.7</v>
      </c>
      <c r="Q24" s="64">
        <v>9.7100000000000009</v>
      </c>
      <c r="R24" s="198"/>
      <c r="S24" s="198"/>
      <c r="T24" s="198"/>
      <c r="U24" s="198"/>
    </row>
    <row r="25" spans="1:21" s="12" customFormat="1" x14ac:dyDescent="0.25">
      <c r="A25" s="211" t="s">
        <v>2280</v>
      </c>
      <c r="B25" s="64">
        <v>51.73</v>
      </c>
      <c r="C25" s="64">
        <v>0.82</v>
      </c>
      <c r="D25" s="64">
        <v>41.45</v>
      </c>
      <c r="E25" s="64">
        <v>4.43</v>
      </c>
      <c r="F25" s="64">
        <v>3.32</v>
      </c>
      <c r="G25" s="64">
        <v>137.19999999999999</v>
      </c>
      <c r="H25" s="64">
        <v>54.01</v>
      </c>
      <c r="I25" s="64">
        <v>6.38</v>
      </c>
      <c r="J25" s="64">
        <v>0.19</v>
      </c>
      <c r="K25" s="64">
        <v>81.63</v>
      </c>
      <c r="L25" s="64">
        <v>15.92</v>
      </c>
      <c r="M25" s="64">
        <v>96.86</v>
      </c>
      <c r="N25" s="64">
        <v>40.200000000000003</v>
      </c>
      <c r="O25" s="64">
        <v>0</v>
      </c>
      <c r="P25" s="64">
        <v>1.69</v>
      </c>
      <c r="Q25" s="64">
        <v>9.69</v>
      </c>
      <c r="R25" s="198"/>
      <c r="S25" s="198"/>
      <c r="T25" s="198"/>
      <c r="U25" s="198"/>
    </row>
    <row r="26" spans="1:21" s="12" customFormat="1" x14ac:dyDescent="0.25">
      <c r="A26" s="211" t="s">
        <v>2281</v>
      </c>
      <c r="B26" s="64">
        <v>50.69</v>
      </c>
      <c r="C26" s="64">
        <v>1.34</v>
      </c>
      <c r="D26" s="64">
        <v>40.89</v>
      </c>
      <c r="E26" s="64">
        <v>4.67</v>
      </c>
      <c r="F26" s="64">
        <v>3.17</v>
      </c>
      <c r="G26" s="64">
        <v>146.5</v>
      </c>
      <c r="H26" s="64">
        <v>54.01</v>
      </c>
      <c r="I26" s="64">
        <v>6.36</v>
      </c>
      <c r="J26" s="64">
        <v>0.03</v>
      </c>
      <c r="K26" s="64">
        <v>332.83</v>
      </c>
      <c r="L26" s="64">
        <v>15.86</v>
      </c>
      <c r="M26" s="64">
        <v>96.9</v>
      </c>
      <c r="N26" s="64">
        <v>40.200000000000003</v>
      </c>
      <c r="O26" s="64">
        <v>0</v>
      </c>
      <c r="P26" s="64">
        <v>1.66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1" t="s">
        <v>2282</v>
      </c>
      <c r="B27" s="64">
        <v>50</v>
      </c>
      <c r="C27" s="64">
        <v>0.72</v>
      </c>
      <c r="D27" s="64">
        <v>40.01</v>
      </c>
      <c r="E27" s="64">
        <v>4.62</v>
      </c>
      <c r="F27" s="64">
        <v>3.18</v>
      </c>
      <c r="G27" s="64">
        <v>146.5</v>
      </c>
      <c r="H27" s="64">
        <v>54.01</v>
      </c>
      <c r="I27" s="64">
        <v>6.34</v>
      </c>
      <c r="J27" s="64">
        <v>0.2</v>
      </c>
      <c r="K27" s="64">
        <v>249.25</v>
      </c>
      <c r="L27" s="64">
        <v>15.81</v>
      </c>
      <c r="M27" s="64">
        <v>96.9</v>
      </c>
      <c r="N27" s="64">
        <v>40.1</v>
      </c>
      <c r="O27" s="64">
        <v>0</v>
      </c>
      <c r="P27" s="64">
        <v>1.63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1" t="s">
        <v>2283</v>
      </c>
      <c r="B28" s="64">
        <v>50.68</v>
      </c>
      <c r="C28" s="64">
        <v>0.71</v>
      </c>
      <c r="D28" s="64">
        <v>40.549999999999997</v>
      </c>
      <c r="E28" s="64">
        <v>4.7300000000000004</v>
      </c>
      <c r="F28" s="64">
        <v>3.07</v>
      </c>
      <c r="G28" s="64">
        <v>146.5</v>
      </c>
      <c r="H28" s="64">
        <v>54.01</v>
      </c>
      <c r="I28" s="64">
        <v>6.32</v>
      </c>
      <c r="J28" s="64">
        <v>0.13</v>
      </c>
      <c r="K28" s="64">
        <v>292.22000000000003</v>
      </c>
      <c r="L28" s="64">
        <v>15.55</v>
      </c>
      <c r="M28" s="64">
        <v>96.9</v>
      </c>
      <c r="N28" s="64">
        <v>40.4</v>
      </c>
      <c r="O28" s="64">
        <v>0</v>
      </c>
      <c r="P28" s="64">
        <v>1.64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1" t="s">
        <v>2284</v>
      </c>
      <c r="B29" s="64">
        <v>51.81</v>
      </c>
      <c r="C29" s="64">
        <v>0.82</v>
      </c>
      <c r="D29" s="64">
        <v>41.52</v>
      </c>
      <c r="E29" s="64">
        <v>4.7699999999999996</v>
      </c>
      <c r="F29" s="64">
        <v>3.23</v>
      </c>
      <c r="G29" s="64">
        <v>135.97</v>
      </c>
      <c r="H29" s="64">
        <v>53.67</v>
      </c>
      <c r="I29" s="64">
        <v>6.34</v>
      </c>
      <c r="J29" s="64">
        <v>0.18</v>
      </c>
      <c r="K29" s="64">
        <v>350</v>
      </c>
      <c r="L29" s="64">
        <v>15.3</v>
      </c>
      <c r="M29" s="64">
        <v>96.91</v>
      </c>
      <c r="N29" s="64">
        <v>40.4</v>
      </c>
      <c r="O29" s="64">
        <v>0</v>
      </c>
      <c r="P29" s="64">
        <v>1.65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1" t="s">
        <v>2285</v>
      </c>
      <c r="B30" s="64">
        <v>52.59</v>
      </c>
      <c r="C30" s="64">
        <v>0.74</v>
      </c>
      <c r="D30" s="64">
        <v>42.1</v>
      </c>
      <c r="E30" s="64">
        <v>4.7699999999999996</v>
      </c>
      <c r="F30" s="64">
        <v>3.46</v>
      </c>
      <c r="G30" s="64">
        <v>132.56</v>
      </c>
      <c r="H30" s="64">
        <v>53.67</v>
      </c>
      <c r="I30" s="64">
        <v>6.37</v>
      </c>
      <c r="J30" s="64">
        <v>0.14000000000000001</v>
      </c>
      <c r="K30" s="64">
        <v>325.45999999999998</v>
      </c>
      <c r="L30" s="64">
        <v>15.22</v>
      </c>
      <c r="M30" s="64">
        <v>96.93</v>
      </c>
      <c r="N30" s="64">
        <v>40.299999999999997</v>
      </c>
      <c r="O30" s="64">
        <v>0</v>
      </c>
      <c r="P30" s="64">
        <v>1.65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1" t="s">
        <v>2286</v>
      </c>
      <c r="B31" s="64">
        <v>53.7</v>
      </c>
      <c r="C31" s="64">
        <v>0.27</v>
      </c>
      <c r="D31" s="64">
        <v>42.74</v>
      </c>
      <c r="E31" s="64">
        <v>4.8600000000000003</v>
      </c>
      <c r="F31" s="64">
        <v>3.36</v>
      </c>
      <c r="G31" s="64">
        <v>132.56</v>
      </c>
      <c r="H31" s="64">
        <v>53.67</v>
      </c>
      <c r="I31" s="64">
        <v>6.37</v>
      </c>
      <c r="J31" s="64">
        <v>0.16</v>
      </c>
      <c r="K31" s="64">
        <v>340.29</v>
      </c>
      <c r="L31" s="64">
        <v>15.08</v>
      </c>
      <c r="M31" s="64">
        <v>96.93</v>
      </c>
      <c r="N31" s="64">
        <v>40.299999999999997</v>
      </c>
      <c r="O31" s="64">
        <v>0</v>
      </c>
      <c r="P31" s="64">
        <v>1.66</v>
      </c>
      <c r="Q31" s="64">
        <v>9.69</v>
      </c>
      <c r="R31" s="198"/>
      <c r="S31" s="198"/>
      <c r="T31" s="198"/>
      <c r="U31" s="198"/>
    </row>
    <row r="32" spans="1:21" s="12" customFormat="1" x14ac:dyDescent="0.25">
      <c r="A32" s="211" t="s">
        <v>2287</v>
      </c>
      <c r="B32" s="64">
        <v>55.87</v>
      </c>
      <c r="C32" s="6" t="s">
        <v>42</v>
      </c>
      <c r="D32" s="64">
        <v>43.95</v>
      </c>
      <c r="E32" s="64">
        <v>4.9000000000000004</v>
      </c>
      <c r="F32" s="64">
        <v>3.25</v>
      </c>
      <c r="G32" s="64">
        <v>132.56</v>
      </c>
      <c r="H32" s="64">
        <v>53.67</v>
      </c>
      <c r="I32" s="64">
        <v>6.8</v>
      </c>
      <c r="J32" s="64">
        <v>0.01</v>
      </c>
      <c r="K32" s="64">
        <v>283.83999999999997</v>
      </c>
      <c r="L32" s="64">
        <v>15.02</v>
      </c>
      <c r="M32" s="64">
        <v>96.93</v>
      </c>
      <c r="N32" s="64">
        <v>40.5</v>
      </c>
      <c r="O32" s="64">
        <v>0</v>
      </c>
      <c r="P32" s="64">
        <v>1.67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1" t="s">
        <v>2288</v>
      </c>
      <c r="B33" s="64">
        <v>56.45</v>
      </c>
      <c r="C33" s="6" t="s">
        <v>42</v>
      </c>
      <c r="D33" s="64">
        <v>44.32</v>
      </c>
      <c r="E33" s="64">
        <v>4.88</v>
      </c>
      <c r="F33" s="64">
        <v>3.2</v>
      </c>
      <c r="G33" s="64">
        <v>147.22999999999999</v>
      </c>
      <c r="H33" s="64">
        <v>56.84</v>
      </c>
      <c r="I33" s="64">
        <v>6.71</v>
      </c>
      <c r="J33" s="64">
        <v>0.11</v>
      </c>
      <c r="K33" s="64">
        <v>283.7</v>
      </c>
      <c r="L33" s="64">
        <v>15.06</v>
      </c>
      <c r="M33" s="64">
        <v>96.93</v>
      </c>
      <c r="N33" s="64">
        <v>42</v>
      </c>
      <c r="O33" s="64">
        <v>0</v>
      </c>
      <c r="P33" s="64">
        <v>1.66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1" t="s">
        <v>2289</v>
      </c>
      <c r="B34" s="64">
        <v>56.26</v>
      </c>
      <c r="C34" s="6" t="s">
        <v>42</v>
      </c>
      <c r="D34" s="64">
        <v>44.24</v>
      </c>
      <c r="E34" s="64">
        <v>5.22</v>
      </c>
      <c r="F34" s="64">
        <v>3.39</v>
      </c>
      <c r="G34" s="64">
        <v>151.97999999999999</v>
      </c>
      <c r="H34" s="64">
        <v>56.84</v>
      </c>
      <c r="I34" s="64">
        <v>6.44</v>
      </c>
      <c r="J34" s="64">
        <v>0.18</v>
      </c>
      <c r="K34" s="64">
        <v>328.28</v>
      </c>
      <c r="L34" s="64">
        <v>15.15</v>
      </c>
      <c r="M34" s="64">
        <v>96.93</v>
      </c>
      <c r="N34" s="64">
        <v>48.6</v>
      </c>
      <c r="O34" s="64">
        <v>0</v>
      </c>
      <c r="P34" s="64">
        <v>1.65</v>
      </c>
      <c r="Q34" s="64">
        <v>9.7200000000000006</v>
      </c>
      <c r="R34" s="198"/>
      <c r="S34" s="198"/>
      <c r="T34" s="198"/>
      <c r="U34" s="198"/>
    </row>
    <row r="35" spans="1:21" s="12" customFormat="1" x14ac:dyDescent="0.25">
      <c r="A35" s="211" t="s">
        <v>2290</v>
      </c>
      <c r="B35" s="64">
        <v>57.05</v>
      </c>
      <c r="C35" s="6" t="s">
        <v>42</v>
      </c>
      <c r="D35" s="64">
        <v>44.86</v>
      </c>
      <c r="E35" s="64">
        <v>5</v>
      </c>
      <c r="F35" s="64">
        <v>3.47</v>
      </c>
      <c r="G35" s="64">
        <v>151.97999999999999</v>
      </c>
      <c r="H35" s="64">
        <v>56.84</v>
      </c>
      <c r="I35" s="64">
        <v>6.92</v>
      </c>
      <c r="J35" s="64">
        <v>0.18</v>
      </c>
      <c r="K35" s="64">
        <v>108.02</v>
      </c>
      <c r="L35" s="64">
        <v>15.53</v>
      </c>
      <c r="M35" s="64">
        <v>96.93</v>
      </c>
      <c r="N35" s="64">
        <v>60.8</v>
      </c>
      <c r="O35" s="64">
        <v>0</v>
      </c>
      <c r="P35" s="64">
        <v>1.64</v>
      </c>
      <c r="Q35" s="64">
        <v>9.7100000000000009</v>
      </c>
      <c r="R35" s="198"/>
      <c r="S35" s="198"/>
      <c r="T35" s="198"/>
      <c r="U35" s="198"/>
    </row>
    <row r="36" spans="1:21" s="12" customFormat="1" x14ac:dyDescent="0.25">
      <c r="A36" s="211" t="s">
        <v>2291</v>
      </c>
      <c r="B36" s="64">
        <v>58.86</v>
      </c>
      <c r="C36" s="6" t="s">
        <v>42</v>
      </c>
      <c r="D36" s="64">
        <v>45.64</v>
      </c>
      <c r="E36" s="64">
        <v>4.92</v>
      </c>
      <c r="F36" s="64">
        <v>3.38</v>
      </c>
      <c r="G36" s="64">
        <v>151.97999999999999</v>
      </c>
      <c r="H36" s="64">
        <v>56.84</v>
      </c>
      <c r="I36" s="64">
        <v>6.85</v>
      </c>
      <c r="J36" s="64">
        <v>0.12</v>
      </c>
      <c r="K36" s="64">
        <v>9.7100000000000009</v>
      </c>
      <c r="L36" s="64">
        <v>15.99</v>
      </c>
      <c r="M36" s="64">
        <v>96.93</v>
      </c>
      <c r="N36" s="64">
        <v>76</v>
      </c>
      <c r="O36" s="64">
        <v>0</v>
      </c>
      <c r="P36" s="64">
        <v>1.62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1" t="s">
        <v>2292</v>
      </c>
      <c r="B37" s="64">
        <v>61.63</v>
      </c>
      <c r="C37" s="6" t="s">
        <v>42</v>
      </c>
      <c r="D37" s="64">
        <v>47.13</v>
      </c>
      <c r="E37" s="64">
        <v>5.3</v>
      </c>
      <c r="F37" s="64">
        <v>3.66</v>
      </c>
      <c r="G37" s="64">
        <v>154.53</v>
      </c>
      <c r="H37" s="64">
        <v>59.01</v>
      </c>
      <c r="I37" s="64">
        <v>6.59</v>
      </c>
      <c r="J37" s="64">
        <v>0.23</v>
      </c>
      <c r="K37" s="64">
        <v>353.69</v>
      </c>
      <c r="L37" s="64">
        <v>16.64</v>
      </c>
      <c r="M37" s="64">
        <v>96.88</v>
      </c>
      <c r="N37" s="64">
        <v>97.2</v>
      </c>
      <c r="O37" s="64">
        <v>0</v>
      </c>
      <c r="P37" s="64">
        <v>1.7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1" t="s">
        <v>2293</v>
      </c>
      <c r="B38" s="64">
        <v>63.69</v>
      </c>
      <c r="C38" s="6" t="s">
        <v>42</v>
      </c>
      <c r="D38" s="64">
        <v>48.33</v>
      </c>
      <c r="E38" s="64">
        <v>4.92</v>
      </c>
      <c r="F38" s="64">
        <v>3.68</v>
      </c>
      <c r="G38" s="64">
        <v>155.37</v>
      </c>
      <c r="H38" s="64">
        <v>59.01</v>
      </c>
      <c r="I38" s="64">
        <v>6.68</v>
      </c>
      <c r="J38" s="64">
        <v>0.28000000000000003</v>
      </c>
      <c r="K38" s="64">
        <v>351.24</v>
      </c>
      <c r="L38" s="64">
        <v>17.73</v>
      </c>
      <c r="M38" s="64">
        <v>95.77</v>
      </c>
      <c r="N38" s="64">
        <v>150.80000000000001</v>
      </c>
      <c r="O38" s="64">
        <v>0</v>
      </c>
      <c r="P38" s="64">
        <v>1.83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1" t="s">
        <v>2294</v>
      </c>
      <c r="B39" s="64">
        <v>64.400000000000006</v>
      </c>
      <c r="C39" s="6" t="s">
        <v>42</v>
      </c>
      <c r="D39" s="64">
        <v>48.87</v>
      </c>
      <c r="E39" s="64">
        <v>5.35</v>
      </c>
      <c r="F39" s="64">
        <v>3.41</v>
      </c>
      <c r="G39" s="64">
        <v>155.37</v>
      </c>
      <c r="H39" s="64">
        <v>59.01</v>
      </c>
      <c r="I39" s="64">
        <v>6.78</v>
      </c>
      <c r="J39" s="64">
        <v>0.47</v>
      </c>
      <c r="K39" s="64">
        <v>338.82</v>
      </c>
      <c r="L39" s="64">
        <v>19.510000000000002</v>
      </c>
      <c r="M39" s="64">
        <v>84.86</v>
      </c>
      <c r="N39" s="64">
        <v>204.6</v>
      </c>
      <c r="O39" s="64">
        <v>0</v>
      </c>
      <c r="P39" s="64">
        <v>1.9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1" t="s">
        <v>2295</v>
      </c>
      <c r="B40" s="64">
        <v>64.05</v>
      </c>
      <c r="C40" s="6" t="s">
        <v>42</v>
      </c>
      <c r="D40" s="64">
        <v>48.76</v>
      </c>
      <c r="E40" s="64">
        <v>5.72</v>
      </c>
      <c r="F40" s="64">
        <v>3.36</v>
      </c>
      <c r="G40" s="64">
        <v>155.37</v>
      </c>
      <c r="H40" s="64">
        <v>59.01</v>
      </c>
      <c r="I40" s="64">
        <v>6.81</v>
      </c>
      <c r="J40" s="64">
        <v>0.05</v>
      </c>
      <c r="K40" s="64">
        <v>349.4</v>
      </c>
      <c r="L40" s="64">
        <v>20.73</v>
      </c>
      <c r="M40" s="64">
        <v>77.8</v>
      </c>
      <c r="N40" s="64">
        <v>247.9</v>
      </c>
      <c r="O40" s="64">
        <v>0</v>
      </c>
      <c r="P40" s="64">
        <v>1.97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1" t="s">
        <v>2296</v>
      </c>
      <c r="B41" s="64">
        <v>63.01</v>
      </c>
      <c r="C41" s="6" t="s">
        <v>42</v>
      </c>
      <c r="D41" s="64">
        <v>48.45</v>
      </c>
      <c r="E41" s="64">
        <v>5.39</v>
      </c>
      <c r="F41" s="64">
        <v>3.53</v>
      </c>
      <c r="G41" s="64">
        <v>172.46</v>
      </c>
      <c r="H41" s="64">
        <v>60.67</v>
      </c>
      <c r="I41" s="64">
        <v>6.8</v>
      </c>
      <c r="J41" s="64">
        <v>0.51</v>
      </c>
      <c r="K41" s="64">
        <v>340.85</v>
      </c>
      <c r="L41" s="64">
        <v>21.94</v>
      </c>
      <c r="M41" s="64">
        <v>69.8</v>
      </c>
      <c r="N41" s="64">
        <v>296</v>
      </c>
      <c r="O41" s="64">
        <v>0</v>
      </c>
      <c r="P41" s="64">
        <v>1.98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1" t="s">
        <v>2297</v>
      </c>
      <c r="B42" s="64">
        <v>61.59</v>
      </c>
      <c r="C42" s="6" t="s">
        <v>42</v>
      </c>
      <c r="D42" s="64">
        <v>47.87</v>
      </c>
      <c r="E42" s="64">
        <v>5.23</v>
      </c>
      <c r="F42" s="64">
        <v>3.34</v>
      </c>
      <c r="G42" s="64">
        <v>177.99</v>
      </c>
      <c r="H42" s="64">
        <v>60.67</v>
      </c>
      <c r="I42" s="64">
        <v>6.76</v>
      </c>
      <c r="J42" s="64">
        <v>0.16</v>
      </c>
      <c r="K42" s="64">
        <v>355.51</v>
      </c>
      <c r="L42" s="64">
        <v>22.95</v>
      </c>
      <c r="M42" s="64">
        <v>66.09</v>
      </c>
      <c r="N42" s="64">
        <v>332.6</v>
      </c>
      <c r="O42" s="64">
        <v>0</v>
      </c>
      <c r="P42" s="64">
        <v>1.96</v>
      </c>
      <c r="Q42" s="64">
        <v>9.6999999999999993</v>
      </c>
      <c r="R42" s="198"/>
      <c r="S42" s="198"/>
      <c r="T42" s="198"/>
      <c r="U42" s="198"/>
    </row>
    <row r="43" spans="1:21" s="12" customFormat="1" x14ac:dyDescent="0.25">
      <c r="A43" s="211" t="s">
        <v>2298</v>
      </c>
      <c r="B43" s="64">
        <v>59</v>
      </c>
      <c r="C43" s="64">
        <v>0.33</v>
      </c>
      <c r="D43" s="64">
        <v>46.54</v>
      </c>
      <c r="E43" s="64">
        <v>5.55</v>
      </c>
      <c r="F43" s="64">
        <v>3.56</v>
      </c>
      <c r="G43" s="64">
        <v>177.99</v>
      </c>
      <c r="H43" s="64">
        <v>60.67</v>
      </c>
      <c r="I43" s="64">
        <v>6.7</v>
      </c>
      <c r="J43" s="64">
        <v>0.5</v>
      </c>
      <c r="K43" s="64">
        <v>122.78</v>
      </c>
      <c r="L43" s="64">
        <v>23.22</v>
      </c>
      <c r="M43" s="64">
        <v>65.069999999999993</v>
      </c>
      <c r="N43" s="64">
        <v>400.1</v>
      </c>
      <c r="O43" s="64">
        <v>0</v>
      </c>
      <c r="P43" s="64">
        <v>1.92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1" t="s">
        <v>2299</v>
      </c>
      <c r="B44" s="64">
        <v>56.38</v>
      </c>
      <c r="C44" s="64">
        <v>0.6</v>
      </c>
      <c r="D44" s="64">
        <v>44.81</v>
      </c>
      <c r="E44" s="64">
        <v>5.59</v>
      </c>
      <c r="F44" s="64">
        <v>3.67</v>
      </c>
      <c r="G44" s="64">
        <v>177.99</v>
      </c>
      <c r="H44" s="64">
        <v>60.67</v>
      </c>
      <c r="I44" s="64">
        <v>6.61</v>
      </c>
      <c r="J44" s="64">
        <v>0.83</v>
      </c>
      <c r="K44" s="64">
        <v>128.41999999999999</v>
      </c>
      <c r="L44" s="64">
        <v>23.79</v>
      </c>
      <c r="M44" s="64">
        <v>61.71</v>
      </c>
      <c r="N44" s="64">
        <v>444.3</v>
      </c>
      <c r="O44" s="64">
        <v>0</v>
      </c>
      <c r="P44" s="64">
        <v>1.86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1" t="s">
        <v>2300</v>
      </c>
      <c r="B45" s="64">
        <v>54.85</v>
      </c>
      <c r="C45" s="64">
        <v>0.33</v>
      </c>
      <c r="D45" s="64">
        <v>43.23</v>
      </c>
      <c r="E45" s="64">
        <v>5.56</v>
      </c>
      <c r="F45" s="64">
        <v>4.1100000000000003</v>
      </c>
      <c r="G45" s="64">
        <v>141.19999999999999</v>
      </c>
      <c r="H45" s="64">
        <v>57.12</v>
      </c>
      <c r="I45" s="64">
        <v>6.51</v>
      </c>
      <c r="J45" s="64">
        <v>1.31</v>
      </c>
      <c r="K45" s="64">
        <v>123.92</v>
      </c>
      <c r="L45" s="64">
        <v>22.85</v>
      </c>
      <c r="M45" s="64">
        <v>63.76</v>
      </c>
      <c r="N45" s="64">
        <v>478</v>
      </c>
      <c r="O45" s="64">
        <v>0</v>
      </c>
      <c r="P45" s="64">
        <v>1.82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1" t="s">
        <v>2301</v>
      </c>
      <c r="B46" s="64">
        <v>52.51</v>
      </c>
      <c r="C46" s="64">
        <v>0.88</v>
      </c>
      <c r="D46" s="64">
        <v>42.04</v>
      </c>
      <c r="E46" s="64">
        <v>5.88</v>
      </c>
      <c r="F46" s="64">
        <v>3.73</v>
      </c>
      <c r="G46" s="64">
        <v>129.29</v>
      </c>
      <c r="H46" s="64">
        <v>57.12</v>
      </c>
      <c r="I46" s="64">
        <v>6.43</v>
      </c>
      <c r="J46" s="64">
        <v>0.24</v>
      </c>
      <c r="K46" s="64">
        <v>71.97</v>
      </c>
      <c r="L46" s="64">
        <v>24.16</v>
      </c>
      <c r="M46" s="64">
        <v>58.04</v>
      </c>
      <c r="N46" s="64">
        <v>502.1</v>
      </c>
      <c r="O46" s="64">
        <v>0</v>
      </c>
      <c r="P46" s="64">
        <v>1.79</v>
      </c>
      <c r="Q46" s="64">
        <v>9.7100000000000009</v>
      </c>
      <c r="R46" s="198"/>
      <c r="S46" s="198"/>
      <c r="T46" s="198"/>
      <c r="U46" s="198"/>
    </row>
    <row r="47" spans="1:21" s="12" customFormat="1" x14ac:dyDescent="0.25">
      <c r="A47" s="211" t="s">
        <v>2302</v>
      </c>
      <c r="B47" s="64">
        <v>47.85</v>
      </c>
      <c r="C47" s="64">
        <v>5.59</v>
      </c>
      <c r="D47" s="64">
        <v>40.83</v>
      </c>
      <c r="E47" s="64">
        <v>5.85</v>
      </c>
      <c r="F47" s="64">
        <v>3.81</v>
      </c>
      <c r="G47" s="64">
        <v>129.29</v>
      </c>
      <c r="H47" s="64">
        <v>57.12</v>
      </c>
      <c r="I47" s="64">
        <v>6.36</v>
      </c>
      <c r="J47" s="64">
        <v>0.3</v>
      </c>
      <c r="K47" s="64">
        <v>120.94</v>
      </c>
      <c r="L47" s="64">
        <v>26.13</v>
      </c>
      <c r="M47" s="64">
        <v>51.46</v>
      </c>
      <c r="N47" s="64">
        <v>525.29999999999995</v>
      </c>
      <c r="O47" s="64">
        <v>0</v>
      </c>
      <c r="P47" s="64">
        <v>1.76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1" t="s">
        <v>2303</v>
      </c>
      <c r="B48" s="64">
        <v>48.97</v>
      </c>
      <c r="C48" s="64">
        <v>4.51</v>
      </c>
      <c r="D48" s="64">
        <v>41.16</v>
      </c>
      <c r="E48" s="64">
        <v>5.8</v>
      </c>
      <c r="F48" s="64">
        <v>4.78</v>
      </c>
      <c r="G48" s="64">
        <v>129.29</v>
      </c>
      <c r="H48" s="64">
        <v>57.12</v>
      </c>
      <c r="I48" s="64">
        <v>6.27</v>
      </c>
      <c r="J48" s="64">
        <v>0.15</v>
      </c>
      <c r="K48" s="64">
        <v>10.210000000000001</v>
      </c>
      <c r="L48" s="64">
        <v>26.89</v>
      </c>
      <c r="M48" s="64">
        <v>48.68</v>
      </c>
      <c r="N48" s="64">
        <v>549.9</v>
      </c>
      <c r="O48" s="64">
        <v>0</v>
      </c>
      <c r="P48" s="64">
        <v>1.74</v>
      </c>
      <c r="Q48" s="64">
        <v>9.6999999999999993</v>
      </c>
      <c r="R48" s="198"/>
      <c r="S48" s="198"/>
      <c r="T48" s="198"/>
      <c r="U48" s="198"/>
    </row>
    <row r="49" spans="1:21" s="12" customFormat="1" x14ac:dyDescent="0.25">
      <c r="A49" s="211" t="s">
        <v>2304</v>
      </c>
      <c r="B49" s="64">
        <v>44.9</v>
      </c>
      <c r="C49" s="64">
        <v>7.36</v>
      </c>
      <c r="D49" s="64">
        <v>39.39</v>
      </c>
      <c r="E49" s="64">
        <v>6.66</v>
      </c>
      <c r="F49" s="64">
        <v>6.06</v>
      </c>
      <c r="G49" s="64">
        <v>73.75</v>
      </c>
      <c r="H49" s="64">
        <v>46.37</v>
      </c>
      <c r="I49" s="64">
        <v>6.19</v>
      </c>
      <c r="J49" s="64">
        <v>0.12</v>
      </c>
      <c r="K49" s="64">
        <v>20.38</v>
      </c>
      <c r="L49" s="64">
        <v>27.65</v>
      </c>
      <c r="M49" s="64">
        <v>46.3</v>
      </c>
      <c r="N49" s="64">
        <v>560.20000000000005</v>
      </c>
      <c r="O49" s="64">
        <v>0</v>
      </c>
      <c r="P49" s="64">
        <v>1.65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11" t="s">
        <v>2305</v>
      </c>
      <c r="B50" s="64">
        <v>43.88</v>
      </c>
      <c r="C50" s="64">
        <v>7.19</v>
      </c>
      <c r="D50" s="64">
        <v>38.479999999999997</v>
      </c>
      <c r="E50" s="64">
        <v>7.04</v>
      </c>
      <c r="F50" s="64">
        <v>5.37</v>
      </c>
      <c r="G50" s="64">
        <v>55.78</v>
      </c>
      <c r="H50" s="64">
        <v>46.37</v>
      </c>
      <c r="I50" s="64">
        <v>6.11</v>
      </c>
      <c r="J50" s="64">
        <v>0.3</v>
      </c>
      <c r="K50" s="64">
        <v>120.56</v>
      </c>
      <c r="L50" s="64">
        <v>27.8</v>
      </c>
      <c r="M50" s="64">
        <v>45.4</v>
      </c>
      <c r="N50" s="64">
        <v>595.20000000000005</v>
      </c>
      <c r="O50" s="64">
        <v>0</v>
      </c>
      <c r="P50" s="64">
        <v>1.64</v>
      </c>
      <c r="Q50" s="64">
        <v>9.69</v>
      </c>
      <c r="R50" s="198"/>
      <c r="S50" s="198"/>
      <c r="T50" s="198"/>
      <c r="U50" s="198"/>
    </row>
    <row r="51" spans="1:21" s="12" customFormat="1" x14ac:dyDescent="0.25">
      <c r="A51" s="211" t="s">
        <v>2306</v>
      </c>
      <c r="B51" s="64">
        <v>41.66</v>
      </c>
      <c r="C51" s="64">
        <v>8.61</v>
      </c>
      <c r="D51" s="64">
        <v>37.44</v>
      </c>
      <c r="E51" s="64">
        <v>6.51</v>
      </c>
      <c r="F51" s="64">
        <v>5.69</v>
      </c>
      <c r="G51" s="64">
        <v>55.78</v>
      </c>
      <c r="H51" s="64">
        <v>46.37</v>
      </c>
      <c r="I51" s="64">
        <v>6.01</v>
      </c>
      <c r="J51" s="64">
        <v>0.41</v>
      </c>
      <c r="K51" s="64">
        <v>123.37</v>
      </c>
      <c r="L51" s="64">
        <v>27.37</v>
      </c>
      <c r="M51" s="64">
        <v>46.41</v>
      </c>
      <c r="N51" s="64">
        <v>603.9</v>
      </c>
      <c r="O51" s="64">
        <v>0</v>
      </c>
      <c r="P51" s="64">
        <v>1.63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1" t="s">
        <v>2307</v>
      </c>
      <c r="B52" s="64">
        <v>41.3</v>
      </c>
      <c r="C52" s="64">
        <v>9.1199999999999992</v>
      </c>
      <c r="D52" s="64">
        <v>37.42</v>
      </c>
      <c r="E52" s="64">
        <v>5.51</v>
      </c>
      <c r="F52" s="64">
        <v>3.68</v>
      </c>
      <c r="G52" s="64">
        <v>55.78</v>
      </c>
      <c r="H52" s="64">
        <v>46.37</v>
      </c>
      <c r="I52" s="64">
        <v>5.91</v>
      </c>
      <c r="J52" s="64">
        <v>0.59</v>
      </c>
      <c r="K52" s="64">
        <v>133.56</v>
      </c>
      <c r="L52" s="64">
        <v>27.09</v>
      </c>
      <c r="M52" s="64">
        <v>46.71</v>
      </c>
      <c r="N52" s="64">
        <v>584.9</v>
      </c>
      <c r="O52" s="64">
        <v>0</v>
      </c>
      <c r="P52" s="64">
        <v>1.61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1" t="s">
        <v>2308</v>
      </c>
      <c r="B53" s="64">
        <v>38.01</v>
      </c>
      <c r="C53" s="64">
        <v>13.71</v>
      </c>
      <c r="D53" s="64">
        <v>37.19</v>
      </c>
      <c r="E53" s="64">
        <v>5.6</v>
      </c>
      <c r="F53" s="64">
        <v>4.5199999999999996</v>
      </c>
      <c r="G53" s="64">
        <v>58.51</v>
      </c>
      <c r="H53" s="64">
        <v>36.409999999999997</v>
      </c>
      <c r="I53" s="64">
        <v>5.8</v>
      </c>
      <c r="J53" s="64">
        <v>0.35</v>
      </c>
      <c r="K53" s="64">
        <v>101.31</v>
      </c>
      <c r="L53" s="64">
        <v>28.16</v>
      </c>
      <c r="M53" s="64">
        <v>42.52</v>
      </c>
      <c r="N53" s="64">
        <v>613.29999999999995</v>
      </c>
      <c r="O53" s="64">
        <v>0</v>
      </c>
      <c r="P53" s="64">
        <v>1.52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1" t="s">
        <v>2309</v>
      </c>
      <c r="B54" s="64">
        <v>36.85</v>
      </c>
      <c r="C54" s="64">
        <v>11.15</v>
      </c>
      <c r="D54" s="64">
        <v>34.92</v>
      </c>
      <c r="E54" s="64">
        <v>5.89</v>
      </c>
      <c r="F54" s="64">
        <v>5.21</v>
      </c>
      <c r="G54" s="64">
        <v>59.39</v>
      </c>
      <c r="H54" s="64">
        <v>36.409999999999997</v>
      </c>
      <c r="I54" s="64">
        <v>5.71</v>
      </c>
      <c r="J54" s="64">
        <v>0.57999999999999996</v>
      </c>
      <c r="K54" s="64">
        <v>124.45</v>
      </c>
      <c r="L54" s="64">
        <v>27.85</v>
      </c>
      <c r="M54" s="64">
        <v>41.73</v>
      </c>
      <c r="N54" s="64">
        <v>613.1</v>
      </c>
      <c r="O54" s="64">
        <v>0</v>
      </c>
      <c r="P54" s="64">
        <v>1.48</v>
      </c>
      <c r="Q54" s="64">
        <v>9.68</v>
      </c>
      <c r="R54" s="198"/>
      <c r="S54" s="198"/>
      <c r="T54" s="198"/>
      <c r="U54" s="198"/>
    </row>
    <row r="55" spans="1:21" s="12" customFormat="1" x14ac:dyDescent="0.25">
      <c r="A55" s="211" t="s">
        <v>2310</v>
      </c>
      <c r="B55" s="64">
        <v>33.46</v>
      </c>
      <c r="C55" s="64">
        <v>12.29</v>
      </c>
      <c r="D55" s="64">
        <v>32.79</v>
      </c>
      <c r="E55" s="64">
        <v>5.78</v>
      </c>
      <c r="F55" s="64">
        <v>5.7</v>
      </c>
      <c r="G55" s="64">
        <v>59.39</v>
      </c>
      <c r="H55" s="64">
        <v>36.409999999999997</v>
      </c>
      <c r="I55" s="64">
        <v>5.63</v>
      </c>
      <c r="J55" s="64">
        <v>0.15</v>
      </c>
      <c r="K55" s="64">
        <v>64.64</v>
      </c>
      <c r="L55" s="64">
        <v>27.67</v>
      </c>
      <c r="M55" s="64">
        <v>39.61</v>
      </c>
      <c r="N55" s="64">
        <v>608.29999999999995</v>
      </c>
      <c r="O55" s="64">
        <v>0</v>
      </c>
      <c r="P55" s="64">
        <v>1.38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1" t="s">
        <v>2311</v>
      </c>
      <c r="B56" s="64">
        <v>32.32</v>
      </c>
      <c r="C56" s="64">
        <v>14.36</v>
      </c>
      <c r="D56" s="64">
        <v>32.96</v>
      </c>
      <c r="E56" s="64">
        <v>5.16</v>
      </c>
      <c r="F56" s="64">
        <v>4.17</v>
      </c>
      <c r="G56" s="64">
        <v>59.39</v>
      </c>
      <c r="H56" s="64">
        <v>36.409999999999997</v>
      </c>
      <c r="I56" s="64">
        <v>5.95</v>
      </c>
      <c r="J56" s="64">
        <v>0.96</v>
      </c>
      <c r="K56" s="64">
        <v>335.89</v>
      </c>
      <c r="L56" s="64">
        <v>30.03</v>
      </c>
      <c r="M56" s="64">
        <v>32.78</v>
      </c>
      <c r="N56" s="64">
        <v>589.70000000000005</v>
      </c>
      <c r="O56" s="64">
        <v>0</v>
      </c>
      <c r="P56" s="64">
        <v>1.39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1" t="s">
        <v>2312</v>
      </c>
      <c r="B57" s="64">
        <v>24.79</v>
      </c>
      <c r="C57" s="64">
        <v>18.63</v>
      </c>
      <c r="D57" s="64">
        <v>29.15</v>
      </c>
      <c r="E57" s="64">
        <v>7.41</v>
      </c>
      <c r="F57" s="64">
        <v>9.9</v>
      </c>
      <c r="G57" s="64">
        <v>40.68</v>
      </c>
      <c r="H57" s="64">
        <v>25.19</v>
      </c>
      <c r="I57" s="64">
        <v>6.1</v>
      </c>
      <c r="J57" s="64">
        <v>0.3</v>
      </c>
      <c r="K57" s="64">
        <v>340.06</v>
      </c>
      <c r="L57" s="64">
        <v>30.53</v>
      </c>
      <c r="M57" s="64">
        <v>32.58</v>
      </c>
      <c r="N57" s="64">
        <v>554.6</v>
      </c>
      <c r="O57" s="64">
        <v>0</v>
      </c>
      <c r="P57" s="64">
        <v>1.21</v>
      </c>
      <c r="Q57" s="64">
        <v>9.67</v>
      </c>
      <c r="R57" s="198"/>
      <c r="S57" s="198"/>
      <c r="T57" s="198"/>
      <c r="U57" s="198"/>
    </row>
    <row r="58" spans="1:21" s="12" customFormat="1" x14ac:dyDescent="0.25">
      <c r="A58" s="211" t="s">
        <v>2313</v>
      </c>
      <c r="B58" s="64">
        <v>25.19</v>
      </c>
      <c r="C58" s="64">
        <v>18.78</v>
      </c>
      <c r="D58" s="64">
        <v>29.55</v>
      </c>
      <c r="E58" s="64">
        <v>6.76</v>
      </c>
      <c r="F58" s="64">
        <v>8.4499999999999993</v>
      </c>
      <c r="G58" s="64">
        <v>34.630000000000003</v>
      </c>
      <c r="H58" s="64">
        <v>25.19</v>
      </c>
      <c r="I58" s="64">
        <v>5.96</v>
      </c>
      <c r="J58" s="64">
        <v>0.57999999999999996</v>
      </c>
      <c r="K58" s="64">
        <v>349.61</v>
      </c>
      <c r="L58" s="64">
        <v>30.3</v>
      </c>
      <c r="M58" s="64">
        <v>32.049999999999997</v>
      </c>
      <c r="N58" s="64">
        <v>558.29999999999995</v>
      </c>
      <c r="O58" s="64">
        <v>0</v>
      </c>
      <c r="P58" s="64">
        <v>1.21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1" t="s">
        <v>2314</v>
      </c>
      <c r="B59" s="64">
        <v>22.7</v>
      </c>
      <c r="C59" s="64">
        <v>18.420000000000002</v>
      </c>
      <c r="D59" s="64">
        <v>27.37</v>
      </c>
      <c r="E59" s="64">
        <v>7.16</v>
      </c>
      <c r="F59" s="64">
        <v>8.15</v>
      </c>
      <c r="G59" s="64">
        <v>34.630000000000003</v>
      </c>
      <c r="H59" s="64">
        <v>25.19</v>
      </c>
      <c r="I59" s="64">
        <v>5.85</v>
      </c>
      <c r="J59" s="64">
        <v>0.44</v>
      </c>
      <c r="K59" s="64">
        <v>348.68</v>
      </c>
      <c r="L59" s="64">
        <v>29.55</v>
      </c>
      <c r="M59" s="64">
        <v>34.28</v>
      </c>
      <c r="N59" s="64">
        <v>563.29999999999995</v>
      </c>
      <c r="O59" s="64">
        <v>0</v>
      </c>
      <c r="P59" s="64">
        <v>1.1499999999999999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1" t="s">
        <v>2315</v>
      </c>
      <c r="B60" s="64">
        <v>20.72</v>
      </c>
      <c r="C60" s="64">
        <v>20.49</v>
      </c>
      <c r="D60" s="64">
        <v>26.86</v>
      </c>
      <c r="E60" s="64">
        <v>6.41</v>
      </c>
      <c r="F60" s="64">
        <v>11.32</v>
      </c>
      <c r="G60" s="64">
        <v>34.630000000000003</v>
      </c>
      <c r="H60" s="64">
        <v>25.19</v>
      </c>
      <c r="I60" s="64">
        <v>5.71</v>
      </c>
      <c r="J60" s="64">
        <v>0.8</v>
      </c>
      <c r="K60" s="64">
        <v>345.15</v>
      </c>
      <c r="L60" s="64">
        <v>30.28</v>
      </c>
      <c r="M60" s="64">
        <v>32.020000000000003</v>
      </c>
      <c r="N60" s="64">
        <v>429</v>
      </c>
      <c r="O60" s="64">
        <v>0</v>
      </c>
      <c r="P60" s="64">
        <v>1.1499999999999999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1" t="s">
        <v>2316</v>
      </c>
      <c r="B61" s="64">
        <v>17.309999999999999</v>
      </c>
      <c r="C61" s="64">
        <v>19.399999999999999</v>
      </c>
      <c r="D61" s="64">
        <v>23.56</v>
      </c>
      <c r="E61" s="64">
        <v>9.42</v>
      </c>
      <c r="F61" s="64">
        <v>13.21</v>
      </c>
      <c r="G61" s="64">
        <v>47.87</v>
      </c>
      <c r="H61" s="64">
        <v>22.89</v>
      </c>
      <c r="I61" s="64">
        <v>5.58</v>
      </c>
      <c r="J61" s="64">
        <v>0.06</v>
      </c>
      <c r="K61" s="64">
        <v>5.37</v>
      </c>
      <c r="L61" s="64">
        <v>29.99</v>
      </c>
      <c r="M61" s="64">
        <v>33.049999999999997</v>
      </c>
      <c r="N61" s="64">
        <v>506.7</v>
      </c>
      <c r="O61" s="64">
        <v>0</v>
      </c>
      <c r="P61" s="64">
        <v>1.1000000000000001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1" t="s">
        <v>2317</v>
      </c>
      <c r="B62" s="64">
        <v>17.399999999999999</v>
      </c>
      <c r="C62" s="64">
        <v>18.46</v>
      </c>
      <c r="D62" s="64">
        <v>23.14</v>
      </c>
      <c r="E62" s="64">
        <v>7.31</v>
      </c>
      <c r="F62" s="64">
        <v>15.46</v>
      </c>
      <c r="G62" s="64">
        <v>52.15</v>
      </c>
      <c r="H62" s="64">
        <v>22.89</v>
      </c>
      <c r="I62" s="64">
        <v>5.48</v>
      </c>
      <c r="J62" s="64">
        <v>0.51</v>
      </c>
      <c r="K62" s="64">
        <v>132.11000000000001</v>
      </c>
      <c r="L62" s="64">
        <v>28.27</v>
      </c>
      <c r="M62" s="64">
        <v>35.39</v>
      </c>
      <c r="N62" s="64">
        <v>487.9</v>
      </c>
      <c r="O62" s="64">
        <v>0</v>
      </c>
      <c r="P62" s="64">
        <v>1.1100000000000001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1" t="s">
        <v>2318</v>
      </c>
      <c r="B63" s="64">
        <v>15.61</v>
      </c>
      <c r="C63" s="64">
        <v>19.11</v>
      </c>
      <c r="D63" s="64">
        <v>22.04</v>
      </c>
      <c r="E63" s="64">
        <v>6.6</v>
      </c>
      <c r="F63" s="64">
        <v>15.01</v>
      </c>
      <c r="G63" s="64">
        <v>52.15</v>
      </c>
      <c r="H63" s="64">
        <v>22.89</v>
      </c>
      <c r="I63" s="64">
        <v>5.37</v>
      </c>
      <c r="J63" s="64">
        <v>0.72</v>
      </c>
      <c r="K63" s="64">
        <v>151.30000000000001</v>
      </c>
      <c r="L63" s="64">
        <v>27.4</v>
      </c>
      <c r="M63" s="64">
        <v>37.5</v>
      </c>
      <c r="N63" s="64">
        <v>461.2</v>
      </c>
      <c r="O63" s="64">
        <v>0</v>
      </c>
      <c r="P63" s="64">
        <v>1.03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1" t="s">
        <v>2319</v>
      </c>
      <c r="B64" s="64">
        <v>15.37</v>
      </c>
      <c r="C64" s="64">
        <v>22.71</v>
      </c>
      <c r="D64" s="64">
        <v>23.72</v>
      </c>
      <c r="E64" s="64">
        <v>8.9600000000000009</v>
      </c>
      <c r="F64" s="64">
        <v>18.96</v>
      </c>
      <c r="G64" s="64">
        <v>52.15</v>
      </c>
      <c r="H64" s="64">
        <v>22.89</v>
      </c>
      <c r="I64" s="64">
        <v>5.26</v>
      </c>
      <c r="J64" s="64">
        <v>0.72</v>
      </c>
      <c r="K64" s="64">
        <v>336.13</v>
      </c>
      <c r="L64" s="64">
        <v>27.94</v>
      </c>
      <c r="M64" s="64">
        <v>36.97</v>
      </c>
      <c r="N64" s="64">
        <v>293.2</v>
      </c>
      <c r="O64" s="64">
        <v>0</v>
      </c>
      <c r="P64" s="64">
        <v>1.1299999999999999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1" t="s">
        <v>2320</v>
      </c>
      <c r="B65" s="64">
        <v>10.27</v>
      </c>
      <c r="C65" s="64">
        <v>20.82</v>
      </c>
      <c r="D65" s="64">
        <v>18.66</v>
      </c>
      <c r="E65" s="64">
        <v>11.09</v>
      </c>
      <c r="F65" s="64">
        <v>25.05</v>
      </c>
      <c r="G65" s="64">
        <v>43.32</v>
      </c>
      <c r="H65" s="64">
        <v>20.95</v>
      </c>
      <c r="I65" s="64">
        <v>5.16</v>
      </c>
      <c r="J65" s="64">
        <v>0.51</v>
      </c>
      <c r="K65" s="64">
        <v>115.45</v>
      </c>
      <c r="L65" s="64">
        <v>27.53</v>
      </c>
      <c r="M65" s="64">
        <v>37.31</v>
      </c>
      <c r="N65" s="64">
        <v>153.9</v>
      </c>
      <c r="O65" s="64">
        <v>0</v>
      </c>
      <c r="P65" s="64">
        <v>0.96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11" t="s">
        <v>2321</v>
      </c>
      <c r="B66" s="64">
        <v>12.51</v>
      </c>
      <c r="C66" s="64">
        <v>24.55</v>
      </c>
      <c r="D66" s="64">
        <v>22.39</v>
      </c>
      <c r="E66" s="64">
        <v>10.92</v>
      </c>
      <c r="F66" s="64">
        <v>21.09</v>
      </c>
      <c r="G66" s="64">
        <v>40.46</v>
      </c>
      <c r="H66" s="64">
        <v>20.95</v>
      </c>
      <c r="I66" s="64">
        <v>5.07</v>
      </c>
      <c r="J66" s="64">
        <v>0.4</v>
      </c>
      <c r="K66" s="64">
        <v>354.57</v>
      </c>
      <c r="L66" s="64">
        <v>27.16</v>
      </c>
      <c r="M66" s="64">
        <v>38.369999999999997</v>
      </c>
      <c r="N66" s="64">
        <v>144.80000000000001</v>
      </c>
      <c r="O66" s="64">
        <v>0</v>
      </c>
      <c r="P66" s="64">
        <v>1.05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1" t="s">
        <v>2322</v>
      </c>
      <c r="B67" s="64">
        <v>10.71</v>
      </c>
      <c r="C67" s="64">
        <v>29.83</v>
      </c>
      <c r="D67" s="64">
        <v>23.71</v>
      </c>
      <c r="E67" s="64">
        <v>11.19</v>
      </c>
      <c r="F67" s="64">
        <v>21.55</v>
      </c>
      <c r="G67" s="64">
        <v>40.46</v>
      </c>
      <c r="H67" s="64">
        <v>20.95</v>
      </c>
      <c r="I67" s="64">
        <v>4.99</v>
      </c>
      <c r="J67" s="64">
        <v>0.06</v>
      </c>
      <c r="K67" s="64">
        <v>0.56000000000000005</v>
      </c>
      <c r="L67" s="64">
        <v>27.12</v>
      </c>
      <c r="M67" s="64">
        <v>38.630000000000003</v>
      </c>
      <c r="N67" s="64">
        <v>126.9</v>
      </c>
      <c r="O67" s="64">
        <v>0</v>
      </c>
      <c r="P67" s="64">
        <v>1.01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1" t="s">
        <v>2323</v>
      </c>
      <c r="B68" s="64">
        <v>12.89</v>
      </c>
      <c r="C68" s="64">
        <v>24.81</v>
      </c>
      <c r="D68" s="64">
        <v>22.84</v>
      </c>
      <c r="E68" s="64">
        <v>10.39</v>
      </c>
      <c r="F68" s="64">
        <v>19.02</v>
      </c>
      <c r="G68" s="64">
        <v>40.46</v>
      </c>
      <c r="H68" s="64">
        <v>20.95</v>
      </c>
      <c r="I68" s="64">
        <v>4.9000000000000004</v>
      </c>
      <c r="J68" s="64">
        <v>0.49</v>
      </c>
      <c r="K68" s="64">
        <v>4.75</v>
      </c>
      <c r="L68" s="64">
        <v>26.94</v>
      </c>
      <c r="M68" s="64">
        <v>39.04</v>
      </c>
      <c r="N68" s="64">
        <v>117.1</v>
      </c>
      <c r="O68" s="64">
        <v>0</v>
      </c>
      <c r="P68" s="64">
        <v>1.04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1" t="s">
        <v>2324</v>
      </c>
      <c r="B69" s="64">
        <v>12.95</v>
      </c>
      <c r="C69" s="64">
        <v>33.75</v>
      </c>
      <c r="D69" s="64">
        <v>27.56</v>
      </c>
      <c r="E69" s="64">
        <v>15.78</v>
      </c>
      <c r="F69" s="64">
        <v>18.98</v>
      </c>
      <c r="G69" s="64">
        <v>43.02</v>
      </c>
      <c r="H69" s="64">
        <v>19.93</v>
      </c>
      <c r="I69" s="64">
        <v>4.82</v>
      </c>
      <c r="J69" s="64">
        <v>0.32</v>
      </c>
      <c r="K69" s="64">
        <v>355.7</v>
      </c>
      <c r="L69" s="64">
        <v>26.89</v>
      </c>
      <c r="M69" s="64">
        <v>38.89</v>
      </c>
      <c r="N69" s="64">
        <v>108.1</v>
      </c>
      <c r="O69" s="64">
        <v>0</v>
      </c>
      <c r="P69" s="64">
        <v>1.04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1" t="s">
        <v>2325</v>
      </c>
      <c r="B70" s="64">
        <v>13.32</v>
      </c>
      <c r="C70" s="64">
        <v>35.69</v>
      </c>
      <c r="D70" s="64">
        <v>28.87</v>
      </c>
      <c r="E70" s="64">
        <v>15.08</v>
      </c>
      <c r="F70" s="64">
        <v>13.52</v>
      </c>
      <c r="G70" s="64">
        <v>43.84</v>
      </c>
      <c r="H70" s="64">
        <v>19.93</v>
      </c>
      <c r="I70" s="64">
        <v>4.76</v>
      </c>
      <c r="J70" s="64">
        <v>0.36</v>
      </c>
      <c r="K70" s="64">
        <v>337.21</v>
      </c>
      <c r="L70" s="64">
        <v>26.74</v>
      </c>
      <c r="M70" s="64">
        <v>40.29</v>
      </c>
      <c r="N70" s="64">
        <v>99.8</v>
      </c>
      <c r="O70" s="64">
        <v>0</v>
      </c>
      <c r="P70" s="64">
        <v>1.22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1" t="s">
        <v>2326</v>
      </c>
      <c r="B71" s="64">
        <v>11.98</v>
      </c>
      <c r="C71" s="64">
        <v>29.5</v>
      </c>
      <c r="D71" s="64">
        <v>24.56</v>
      </c>
      <c r="E71" s="64">
        <v>16.68</v>
      </c>
      <c r="F71" s="64">
        <v>14.32</v>
      </c>
      <c r="G71" s="64">
        <v>43.84</v>
      </c>
      <c r="H71" s="64">
        <v>19.93</v>
      </c>
      <c r="I71" s="64">
        <v>4.7</v>
      </c>
      <c r="J71" s="64">
        <v>0.52</v>
      </c>
      <c r="K71" s="64">
        <v>343.61</v>
      </c>
      <c r="L71" s="64">
        <v>26.53</v>
      </c>
      <c r="M71" s="64">
        <v>41.47</v>
      </c>
      <c r="N71" s="64">
        <v>90.8</v>
      </c>
      <c r="O71" s="64">
        <v>0</v>
      </c>
      <c r="P71" s="64">
        <v>1.17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1" t="s">
        <v>2327</v>
      </c>
      <c r="B72" s="64">
        <v>10.83</v>
      </c>
      <c r="C72" s="64">
        <v>33.35</v>
      </c>
      <c r="D72" s="64">
        <v>25.65</v>
      </c>
      <c r="E72" s="64">
        <v>19.05</v>
      </c>
      <c r="F72" s="64">
        <v>16.11</v>
      </c>
      <c r="G72" s="64">
        <v>43.84</v>
      </c>
      <c r="H72" s="64">
        <v>19.93</v>
      </c>
      <c r="I72" s="64">
        <v>4.66</v>
      </c>
      <c r="J72" s="64">
        <v>0.56000000000000005</v>
      </c>
      <c r="K72" s="64">
        <v>348.7</v>
      </c>
      <c r="L72" s="64">
        <v>26.57</v>
      </c>
      <c r="M72" s="64">
        <v>41.36</v>
      </c>
      <c r="N72" s="64">
        <v>82.4</v>
      </c>
      <c r="O72" s="64">
        <v>0</v>
      </c>
      <c r="P72" s="64">
        <v>1.22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1" t="s">
        <v>2328</v>
      </c>
      <c r="B73" s="64">
        <v>16.78</v>
      </c>
      <c r="C73" s="64">
        <v>41.34</v>
      </c>
      <c r="D73" s="64">
        <v>34.6</v>
      </c>
      <c r="E73" s="64">
        <v>22.68</v>
      </c>
      <c r="F73" s="64">
        <v>14.47</v>
      </c>
      <c r="G73" s="64">
        <v>53.69</v>
      </c>
      <c r="H73" s="64">
        <v>20.9</v>
      </c>
      <c r="I73" s="64">
        <v>4.6500000000000004</v>
      </c>
      <c r="J73" s="64">
        <v>0.21</v>
      </c>
      <c r="K73" s="64">
        <v>350.17</v>
      </c>
      <c r="L73" s="64">
        <v>26.17</v>
      </c>
      <c r="M73" s="64">
        <v>42.98</v>
      </c>
      <c r="N73" s="64">
        <v>74</v>
      </c>
      <c r="O73" s="64">
        <v>0</v>
      </c>
      <c r="P73" s="64">
        <v>1.28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11" t="s">
        <v>2329</v>
      </c>
      <c r="B74" s="64">
        <v>16.559999999999999</v>
      </c>
      <c r="C74" s="64">
        <v>32.85</v>
      </c>
      <c r="D74" s="64">
        <v>29.98</v>
      </c>
      <c r="E74" s="64">
        <v>18.43</v>
      </c>
      <c r="F74" s="64">
        <v>10.33</v>
      </c>
      <c r="G74" s="64">
        <v>56.87</v>
      </c>
      <c r="H74" s="64">
        <v>20.9</v>
      </c>
      <c r="I74" s="64">
        <v>4.6500000000000004</v>
      </c>
      <c r="J74" s="64">
        <v>0.7</v>
      </c>
      <c r="K74" s="64">
        <v>344.89</v>
      </c>
      <c r="L74" s="64">
        <v>25.98</v>
      </c>
      <c r="M74" s="64">
        <v>44.23</v>
      </c>
      <c r="N74" s="64">
        <v>65.8</v>
      </c>
      <c r="O74" s="64">
        <v>0</v>
      </c>
      <c r="P74" s="64">
        <v>1.22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1" t="s">
        <v>2330</v>
      </c>
      <c r="B75" s="64">
        <v>13.07</v>
      </c>
      <c r="C75" s="64">
        <v>30.53</v>
      </c>
      <c r="D75" s="64">
        <v>25.97</v>
      </c>
      <c r="E75" s="64">
        <v>15.01</v>
      </c>
      <c r="F75" s="64">
        <v>10.17</v>
      </c>
      <c r="G75" s="64">
        <v>56.87</v>
      </c>
      <c r="H75" s="64">
        <v>20.9</v>
      </c>
      <c r="I75" s="64">
        <v>4.6399999999999997</v>
      </c>
      <c r="J75" s="64">
        <v>0.82</v>
      </c>
      <c r="K75" s="64">
        <v>346.45</v>
      </c>
      <c r="L75" s="64">
        <v>25.64</v>
      </c>
      <c r="M75" s="64">
        <v>43.44</v>
      </c>
      <c r="N75" s="64">
        <v>57.5</v>
      </c>
      <c r="O75" s="64">
        <v>0</v>
      </c>
      <c r="P75" s="64">
        <v>1.1499999999999999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1" t="s">
        <v>2331</v>
      </c>
      <c r="B76" s="64">
        <v>15.06</v>
      </c>
      <c r="C76" s="64">
        <v>41.07</v>
      </c>
      <c r="D76" s="64">
        <v>33.07</v>
      </c>
      <c r="E76" s="64">
        <v>14.78</v>
      </c>
      <c r="F76" s="64">
        <v>12.16</v>
      </c>
      <c r="G76" s="64">
        <v>56.87</v>
      </c>
      <c r="H76" s="64">
        <v>20.9</v>
      </c>
      <c r="I76" s="64">
        <v>4.63</v>
      </c>
      <c r="J76" s="64">
        <v>0.39</v>
      </c>
      <c r="K76" s="64">
        <v>353.77</v>
      </c>
      <c r="L76" s="64">
        <v>25.07</v>
      </c>
      <c r="M76" s="64">
        <v>47.23</v>
      </c>
      <c r="N76" s="64">
        <v>49.6</v>
      </c>
      <c r="O76" s="64">
        <v>0</v>
      </c>
      <c r="P76" s="64">
        <v>1.39</v>
      </c>
      <c r="Q76" s="64">
        <v>9.49</v>
      </c>
      <c r="R76" s="198"/>
      <c r="S76" s="198"/>
      <c r="T76" s="198"/>
      <c r="U76" s="198"/>
    </row>
    <row r="77" spans="1:21" s="12" customFormat="1" x14ac:dyDescent="0.25">
      <c r="A77" s="211" t="s">
        <v>2332</v>
      </c>
      <c r="B77" s="64">
        <v>29.86</v>
      </c>
      <c r="C77" s="64">
        <v>45.66</v>
      </c>
      <c r="D77" s="64">
        <v>47.34</v>
      </c>
      <c r="E77" s="64">
        <v>13.53</v>
      </c>
      <c r="F77" s="64">
        <v>7.79</v>
      </c>
      <c r="G77" s="64">
        <v>69.16</v>
      </c>
      <c r="H77" s="64">
        <v>20.76</v>
      </c>
      <c r="I77" s="64">
        <v>4.6399999999999997</v>
      </c>
      <c r="J77" s="64">
        <v>0.3</v>
      </c>
      <c r="K77" s="64">
        <v>359.73</v>
      </c>
      <c r="L77" s="64">
        <v>24.18</v>
      </c>
      <c r="M77" s="64">
        <v>50.33</v>
      </c>
      <c r="N77" s="64">
        <v>43.4</v>
      </c>
      <c r="O77" s="64">
        <v>0</v>
      </c>
      <c r="P77" s="64">
        <v>1.57</v>
      </c>
      <c r="Q77" s="64">
        <v>9.5</v>
      </c>
      <c r="R77" s="198"/>
      <c r="S77" s="198"/>
      <c r="T77" s="198"/>
      <c r="U77" s="198"/>
    </row>
    <row r="78" spans="1:21" s="12" customFormat="1" x14ac:dyDescent="0.25">
      <c r="A78" s="211" t="s">
        <v>2333</v>
      </c>
      <c r="B78" s="64">
        <v>12.64</v>
      </c>
      <c r="C78" s="64">
        <v>44.45</v>
      </c>
      <c r="D78" s="64">
        <v>32.9</v>
      </c>
      <c r="E78" s="64">
        <v>13.19</v>
      </c>
      <c r="F78" s="64">
        <v>6.6</v>
      </c>
      <c r="G78" s="64">
        <v>0</v>
      </c>
      <c r="H78" s="64">
        <v>20.76</v>
      </c>
      <c r="I78" s="64">
        <v>4.68</v>
      </c>
      <c r="J78" s="64">
        <v>0.17</v>
      </c>
      <c r="K78" s="64">
        <v>350.36</v>
      </c>
      <c r="L78" s="64">
        <v>2.2200000000000002</v>
      </c>
      <c r="M78" s="64">
        <v>52.86</v>
      </c>
      <c r="N78" s="64">
        <v>41.1</v>
      </c>
      <c r="O78" s="64">
        <v>0</v>
      </c>
      <c r="P78" s="64">
        <v>1.45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1" t="s">
        <v>2334</v>
      </c>
      <c r="B79" s="64">
        <v>27.43</v>
      </c>
      <c r="C79" s="64">
        <v>34.74</v>
      </c>
      <c r="D79" s="64">
        <v>39.68</v>
      </c>
      <c r="E79" s="64">
        <v>10.91</v>
      </c>
      <c r="F79" s="64">
        <v>6.05</v>
      </c>
      <c r="G79" s="64">
        <v>73.14</v>
      </c>
      <c r="H79" s="64">
        <v>20.76</v>
      </c>
      <c r="I79" s="64">
        <v>4.72</v>
      </c>
      <c r="J79" s="64">
        <v>0.2</v>
      </c>
      <c r="K79" s="64">
        <v>336.07</v>
      </c>
      <c r="L79" s="64">
        <v>22.82</v>
      </c>
      <c r="M79" s="64">
        <v>59.88</v>
      </c>
      <c r="N79" s="64">
        <v>40.799999999999997</v>
      </c>
      <c r="O79" s="64">
        <v>0</v>
      </c>
      <c r="P79" s="64">
        <v>1.6</v>
      </c>
      <c r="Q79" s="64">
        <v>9.52</v>
      </c>
      <c r="R79" s="198"/>
      <c r="S79" s="198"/>
      <c r="T79" s="198"/>
      <c r="U79" s="198"/>
    </row>
    <row r="80" spans="1:21" s="12" customFormat="1" x14ac:dyDescent="0.25">
      <c r="A80" s="211" t="s">
        <v>2335</v>
      </c>
      <c r="B80" s="64">
        <v>34.26</v>
      </c>
      <c r="C80" s="64">
        <v>39.43</v>
      </c>
      <c r="D80" s="64">
        <v>47.61</v>
      </c>
      <c r="E80" s="64">
        <v>11.04</v>
      </c>
      <c r="F80" s="64">
        <v>5.86</v>
      </c>
      <c r="G80" s="64">
        <v>73.14</v>
      </c>
      <c r="H80" s="64">
        <v>20.76</v>
      </c>
      <c r="I80" s="64">
        <v>4.79</v>
      </c>
      <c r="J80" s="64">
        <v>0.16</v>
      </c>
      <c r="K80" s="64">
        <v>75.62</v>
      </c>
      <c r="L80" s="64">
        <v>22.2</v>
      </c>
      <c r="M80" s="64">
        <v>64.72</v>
      </c>
      <c r="N80" s="64">
        <v>40.6</v>
      </c>
      <c r="O80" s="64">
        <v>0</v>
      </c>
      <c r="P80" s="64">
        <v>2.13</v>
      </c>
      <c r="Q80" s="64">
        <v>9.56</v>
      </c>
      <c r="R80" s="198"/>
      <c r="S80" s="198"/>
      <c r="T80" s="198"/>
      <c r="U80" s="198"/>
    </row>
    <row r="81" spans="1:26" s="12" customFormat="1" x14ac:dyDescent="0.25">
      <c r="A81" s="211" t="s">
        <v>2336</v>
      </c>
      <c r="B81" s="64">
        <v>38.229999999999997</v>
      </c>
      <c r="C81" s="64">
        <v>39.4</v>
      </c>
      <c r="D81" s="64">
        <v>50.79</v>
      </c>
      <c r="E81" s="64">
        <v>10.93</v>
      </c>
      <c r="F81" s="64">
        <v>6.46</v>
      </c>
      <c r="G81" s="64">
        <v>88.73</v>
      </c>
      <c r="H81" s="64">
        <v>27.98</v>
      </c>
      <c r="I81" s="64">
        <v>4.54</v>
      </c>
      <c r="J81" s="64">
        <v>0.14000000000000001</v>
      </c>
      <c r="K81" s="64">
        <v>96.56</v>
      </c>
      <c r="L81" s="64">
        <v>21.98</v>
      </c>
      <c r="M81" s="64">
        <v>67.900000000000006</v>
      </c>
      <c r="N81" s="64">
        <v>40.299999999999997</v>
      </c>
      <c r="O81" s="64">
        <v>0</v>
      </c>
      <c r="P81" s="64">
        <v>2.04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1" t="s">
        <v>2337</v>
      </c>
      <c r="B82" s="64">
        <v>45.45</v>
      </c>
      <c r="C82" s="64">
        <v>36.96</v>
      </c>
      <c r="D82" s="64">
        <v>55.3</v>
      </c>
      <c r="E82" s="64">
        <v>10.7</v>
      </c>
      <c r="F82" s="64">
        <v>5.1100000000000003</v>
      </c>
      <c r="G82" s="64">
        <v>93.77</v>
      </c>
      <c r="H82" s="64">
        <v>27.98</v>
      </c>
      <c r="I82" s="64">
        <v>4.43</v>
      </c>
      <c r="J82" s="64">
        <v>0.14000000000000001</v>
      </c>
      <c r="K82" s="64">
        <v>301.95</v>
      </c>
      <c r="L82" s="64">
        <v>21.87</v>
      </c>
      <c r="M82" s="64">
        <v>67.92</v>
      </c>
      <c r="N82" s="64">
        <v>40.4</v>
      </c>
      <c r="O82" s="64">
        <v>0</v>
      </c>
      <c r="P82" s="64">
        <v>2.23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1" t="s">
        <v>2338</v>
      </c>
      <c r="B83" s="64">
        <v>29.97</v>
      </c>
      <c r="C83" s="64">
        <v>40.4</v>
      </c>
      <c r="D83" s="64">
        <v>44.68</v>
      </c>
      <c r="E83" s="64">
        <v>10.26</v>
      </c>
      <c r="F83" s="64">
        <v>5.5</v>
      </c>
      <c r="G83" s="64">
        <v>93.77</v>
      </c>
      <c r="H83" s="64">
        <v>27.98</v>
      </c>
      <c r="I83" s="64">
        <v>4.6100000000000003</v>
      </c>
      <c r="J83" s="64">
        <v>0.14000000000000001</v>
      </c>
      <c r="K83" s="64">
        <v>118.14</v>
      </c>
      <c r="L83" s="64">
        <v>21.47</v>
      </c>
      <c r="M83" s="64">
        <v>67.650000000000006</v>
      </c>
      <c r="N83" s="64">
        <v>40.299999999999997</v>
      </c>
      <c r="O83" s="64">
        <v>0</v>
      </c>
      <c r="P83" s="64">
        <v>2.09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1" t="s">
        <v>2339</v>
      </c>
      <c r="B84" s="64">
        <v>24.85</v>
      </c>
      <c r="C84" s="64">
        <v>39.25</v>
      </c>
      <c r="D84" s="64">
        <v>39.97</v>
      </c>
      <c r="E84" s="64">
        <v>10.83</v>
      </c>
      <c r="F84" s="64">
        <v>5.48</v>
      </c>
      <c r="G84" s="64">
        <v>93.77</v>
      </c>
      <c r="H84" s="64">
        <v>27.98</v>
      </c>
      <c r="I84" s="64">
        <v>4.79</v>
      </c>
      <c r="J84" s="64">
        <v>0.2</v>
      </c>
      <c r="K84" s="64">
        <v>327.32</v>
      </c>
      <c r="L84" s="64">
        <v>21.43</v>
      </c>
      <c r="M84" s="64">
        <v>66.16</v>
      </c>
      <c r="N84" s="64">
        <v>40.299999999999997</v>
      </c>
      <c r="O84" s="64">
        <v>0</v>
      </c>
      <c r="P84" s="64">
        <v>2.2200000000000002</v>
      </c>
      <c r="Q84" s="64">
        <v>9.65</v>
      </c>
      <c r="R84" s="198"/>
      <c r="S84" s="198"/>
      <c r="T84" s="198"/>
      <c r="U84" s="198"/>
    </row>
    <row r="85" spans="1:26" s="12" customFormat="1" x14ac:dyDescent="0.25">
      <c r="A85" s="211" t="s">
        <v>2340</v>
      </c>
      <c r="B85" s="64">
        <v>48.44</v>
      </c>
      <c r="C85" s="64">
        <v>24</v>
      </c>
      <c r="D85" s="64">
        <v>50.92</v>
      </c>
      <c r="E85" s="64">
        <v>10.44</v>
      </c>
      <c r="F85" s="64">
        <v>5.59</v>
      </c>
      <c r="G85" s="64">
        <v>107.99</v>
      </c>
      <c r="H85" s="64">
        <v>39.1</v>
      </c>
      <c r="I85" s="64">
        <v>4.92</v>
      </c>
      <c r="J85" s="64">
        <v>0.22</v>
      </c>
      <c r="K85" s="64">
        <v>334.43</v>
      </c>
      <c r="L85" s="64">
        <v>21.2</v>
      </c>
      <c r="M85" s="64">
        <v>74.489999999999995</v>
      </c>
      <c r="N85" s="64">
        <v>40.5</v>
      </c>
      <c r="O85" s="64">
        <v>0</v>
      </c>
      <c r="P85" s="64">
        <v>2.62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1" t="s">
        <v>2341</v>
      </c>
      <c r="B86" s="64">
        <v>50.26</v>
      </c>
      <c r="C86" s="64">
        <v>26.35</v>
      </c>
      <c r="D86" s="64">
        <v>53.58</v>
      </c>
      <c r="E86" s="64">
        <v>9.7200000000000006</v>
      </c>
      <c r="F86" s="64">
        <v>5.72</v>
      </c>
      <c r="G86" s="64">
        <v>112.59</v>
      </c>
      <c r="H86" s="64">
        <v>39.1</v>
      </c>
      <c r="I86" s="64">
        <v>5.0199999999999996</v>
      </c>
      <c r="J86" s="64">
        <v>0.26</v>
      </c>
      <c r="K86" s="64">
        <v>341.23</v>
      </c>
      <c r="L86" s="64">
        <v>20.81</v>
      </c>
      <c r="M86" s="64">
        <v>75.09</v>
      </c>
      <c r="N86" s="64">
        <v>40.200000000000003</v>
      </c>
      <c r="O86" s="64">
        <v>0</v>
      </c>
      <c r="P86" s="64">
        <v>2.75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1" t="s">
        <v>2342</v>
      </c>
      <c r="B87" s="64">
        <v>61.49</v>
      </c>
      <c r="C87" s="64">
        <v>14.09</v>
      </c>
      <c r="D87" s="64">
        <v>56.03</v>
      </c>
      <c r="E87" s="64">
        <v>9.39</v>
      </c>
      <c r="F87" s="64">
        <v>4.7300000000000004</v>
      </c>
      <c r="G87" s="64">
        <v>112.59</v>
      </c>
      <c r="H87" s="64">
        <v>39.1</v>
      </c>
      <c r="I87" s="64">
        <v>5.18</v>
      </c>
      <c r="J87" s="64">
        <v>0.26</v>
      </c>
      <c r="K87" s="64">
        <v>352.16</v>
      </c>
      <c r="L87" s="64">
        <v>20.69</v>
      </c>
      <c r="M87" s="64">
        <v>78.72</v>
      </c>
      <c r="N87" s="64">
        <v>40.299999999999997</v>
      </c>
      <c r="O87" s="64">
        <v>0</v>
      </c>
      <c r="P87" s="64">
        <v>2.62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1" t="s">
        <v>2343</v>
      </c>
      <c r="B88" s="64">
        <v>42.79</v>
      </c>
      <c r="C88" s="64">
        <v>19.32</v>
      </c>
      <c r="D88" s="64">
        <v>43.94</v>
      </c>
      <c r="E88" s="64">
        <v>7.28</v>
      </c>
      <c r="F88" s="64">
        <v>3.36</v>
      </c>
      <c r="G88" s="64">
        <v>112.59</v>
      </c>
      <c r="H88" s="64">
        <v>39.1</v>
      </c>
      <c r="I88" s="64">
        <v>5.4</v>
      </c>
      <c r="J88" s="64">
        <v>0.25</v>
      </c>
      <c r="K88" s="64">
        <v>247.48</v>
      </c>
      <c r="L88" s="64">
        <v>20.71</v>
      </c>
      <c r="M88" s="64">
        <v>72.88</v>
      </c>
      <c r="N88" s="64">
        <v>40.1</v>
      </c>
      <c r="O88" s="64">
        <v>0</v>
      </c>
      <c r="P88" s="64">
        <v>2.0099999999999998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2344</v>
      </c>
      <c r="B89" s="64">
        <v>50</v>
      </c>
      <c r="C89" s="64">
        <v>12.64</v>
      </c>
      <c r="D89" s="64">
        <v>45.26</v>
      </c>
      <c r="E89" s="64">
        <v>7.03</v>
      </c>
      <c r="F89" s="64">
        <v>3.4</v>
      </c>
      <c r="G89" s="64">
        <v>119.28</v>
      </c>
      <c r="H89" s="64">
        <v>43.96</v>
      </c>
      <c r="I89" s="64">
        <v>5.58</v>
      </c>
      <c r="J89" s="64">
        <v>0.12</v>
      </c>
      <c r="K89" s="64">
        <v>297.39</v>
      </c>
      <c r="L89" s="64">
        <v>20.66</v>
      </c>
      <c r="M89" s="64">
        <v>75.11</v>
      </c>
      <c r="N89" s="64">
        <v>40.299999999999997</v>
      </c>
      <c r="O89" s="64">
        <v>0</v>
      </c>
      <c r="P89" s="64">
        <v>2.04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2345</v>
      </c>
      <c r="B90" s="64">
        <v>43.69</v>
      </c>
      <c r="C90" s="64">
        <v>14.53</v>
      </c>
      <c r="D90" s="64">
        <v>42.17</v>
      </c>
      <c r="E90" s="64">
        <v>7.14</v>
      </c>
      <c r="F90" s="64">
        <v>3.76</v>
      </c>
      <c r="G90" s="64">
        <v>121.44</v>
      </c>
      <c r="H90" s="64">
        <v>43.96</v>
      </c>
      <c r="I90" s="64">
        <v>5.71</v>
      </c>
      <c r="J90" s="64">
        <v>0.13</v>
      </c>
      <c r="K90" s="64">
        <v>219.88</v>
      </c>
      <c r="L90" s="64">
        <v>20.32</v>
      </c>
      <c r="M90" s="64">
        <v>73.180000000000007</v>
      </c>
      <c r="N90" s="64">
        <v>40.200000000000003</v>
      </c>
      <c r="O90" s="64">
        <v>0</v>
      </c>
      <c r="P90" s="64">
        <v>2.08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1" t="s">
        <v>2346</v>
      </c>
      <c r="B91" s="64">
        <v>46.83</v>
      </c>
      <c r="C91" s="64">
        <v>9.59</v>
      </c>
      <c r="D91" s="64">
        <v>42.1</v>
      </c>
      <c r="E91" s="64">
        <v>6.3</v>
      </c>
      <c r="F91" s="64">
        <v>3.38</v>
      </c>
      <c r="G91" s="64">
        <v>121.44</v>
      </c>
      <c r="H91" s="64">
        <v>43.96</v>
      </c>
      <c r="I91" s="64">
        <v>5.85</v>
      </c>
      <c r="J91" s="64">
        <v>0.11</v>
      </c>
      <c r="K91" s="64">
        <v>292.58999999999997</v>
      </c>
      <c r="L91" s="64">
        <v>20.190000000000001</v>
      </c>
      <c r="M91" s="64">
        <v>75.25</v>
      </c>
      <c r="N91" s="64">
        <v>40.200000000000003</v>
      </c>
      <c r="O91" s="64">
        <v>0</v>
      </c>
      <c r="P91" s="64">
        <v>2.0099999999999998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1" t="s">
        <v>2347</v>
      </c>
      <c r="B92" s="64">
        <v>54.36</v>
      </c>
      <c r="C92" s="64">
        <v>11.71</v>
      </c>
      <c r="D92" s="64">
        <v>49.25</v>
      </c>
      <c r="E92" s="64">
        <v>7</v>
      </c>
      <c r="F92" s="64">
        <v>3.57</v>
      </c>
      <c r="G92" s="64">
        <v>121.44</v>
      </c>
      <c r="H92" s="64">
        <v>43.96</v>
      </c>
      <c r="I92" s="64">
        <v>5.99</v>
      </c>
      <c r="J92" s="64">
        <v>0.17</v>
      </c>
      <c r="K92" s="64">
        <v>129.51</v>
      </c>
      <c r="L92" s="64">
        <v>20.059999999999999</v>
      </c>
      <c r="M92" s="64">
        <v>74.27</v>
      </c>
      <c r="N92" s="64">
        <v>40.1</v>
      </c>
      <c r="O92" s="64">
        <v>0</v>
      </c>
      <c r="P92" s="64">
        <v>2.2799999999999998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1" t="s">
        <v>2348</v>
      </c>
      <c r="B93" s="64">
        <v>52.2</v>
      </c>
      <c r="C93" s="64">
        <v>11.37</v>
      </c>
      <c r="D93" s="64">
        <v>47.34</v>
      </c>
      <c r="E93" s="64">
        <v>6.81</v>
      </c>
      <c r="F93" s="64">
        <v>3.47</v>
      </c>
      <c r="G93" s="64">
        <v>131.16</v>
      </c>
      <c r="H93" s="64">
        <v>43.89</v>
      </c>
      <c r="I93" s="64">
        <v>6.15</v>
      </c>
      <c r="J93" s="64">
        <v>0.11</v>
      </c>
      <c r="K93" s="64">
        <v>101.49</v>
      </c>
      <c r="L93" s="64">
        <v>20.059999999999999</v>
      </c>
      <c r="M93" s="64">
        <v>74.16</v>
      </c>
      <c r="N93" s="64">
        <v>40.200000000000003</v>
      </c>
      <c r="O93" s="64">
        <v>0</v>
      </c>
      <c r="P93" s="64">
        <v>2.27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1" t="s">
        <v>2349</v>
      </c>
      <c r="B94" s="64">
        <v>57.22</v>
      </c>
      <c r="C94" s="64">
        <v>5.8</v>
      </c>
      <c r="D94" s="64">
        <v>48.46</v>
      </c>
      <c r="E94" s="64">
        <v>6.51</v>
      </c>
      <c r="F94" s="64">
        <v>3.35</v>
      </c>
      <c r="G94" s="64">
        <v>134.31</v>
      </c>
      <c r="H94" s="64">
        <v>43.89</v>
      </c>
      <c r="I94" s="64">
        <v>6.28</v>
      </c>
      <c r="J94" s="64">
        <v>7.0000000000000007E-2</v>
      </c>
      <c r="K94" s="64">
        <v>142.41999999999999</v>
      </c>
      <c r="L94" s="64">
        <v>19.850000000000001</v>
      </c>
      <c r="M94" s="64">
        <v>78.459999999999994</v>
      </c>
      <c r="N94" s="64">
        <v>40.299999999999997</v>
      </c>
      <c r="O94" s="64">
        <v>0</v>
      </c>
      <c r="P94" s="64">
        <v>2.25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1" t="s">
        <v>2350</v>
      </c>
      <c r="B95" s="64">
        <v>66.05</v>
      </c>
      <c r="C95" s="64">
        <v>2.6</v>
      </c>
      <c r="D95" s="64">
        <v>53.2</v>
      </c>
      <c r="E95" s="64">
        <v>6.18</v>
      </c>
      <c r="F95" s="64">
        <v>3.14</v>
      </c>
      <c r="G95" s="64">
        <v>134.31</v>
      </c>
      <c r="H95" s="64">
        <v>43.89</v>
      </c>
      <c r="I95" s="64">
        <v>6.42</v>
      </c>
      <c r="J95" s="64">
        <v>0.27</v>
      </c>
      <c r="K95" s="64">
        <v>106.06</v>
      </c>
      <c r="L95" s="64">
        <v>19.68</v>
      </c>
      <c r="M95" s="64">
        <v>79.150000000000006</v>
      </c>
      <c r="N95" s="64">
        <v>40.200000000000003</v>
      </c>
      <c r="O95" s="64">
        <v>0</v>
      </c>
      <c r="P95" s="64">
        <v>2.34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1" t="s">
        <v>2351</v>
      </c>
      <c r="B96" s="64">
        <v>65.739999999999995</v>
      </c>
      <c r="C96" s="64">
        <v>2.6</v>
      </c>
      <c r="D96" s="64">
        <v>51.95</v>
      </c>
      <c r="E96" s="64">
        <v>6.18</v>
      </c>
      <c r="F96" s="64">
        <v>3.18</v>
      </c>
      <c r="G96" s="64">
        <v>134.31</v>
      </c>
      <c r="H96" s="64">
        <v>43.89</v>
      </c>
      <c r="I96" s="64">
        <v>6.6</v>
      </c>
      <c r="J96" s="64">
        <v>0.12</v>
      </c>
      <c r="K96" s="64">
        <v>296.32</v>
      </c>
      <c r="L96" s="64">
        <v>19.5</v>
      </c>
      <c r="M96" s="64">
        <v>82.74</v>
      </c>
      <c r="N96" s="64">
        <v>40.4</v>
      </c>
      <c r="O96" s="64">
        <v>0</v>
      </c>
      <c r="P96" s="64">
        <v>2.37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2352</v>
      </c>
      <c r="B97" s="64">
        <v>80.41</v>
      </c>
      <c r="C97" s="64">
        <v>0.25</v>
      </c>
      <c r="D97" s="64">
        <v>61.8</v>
      </c>
      <c r="E97" s="64">
        <v>6.02</v>
      </c>
      <c r="F97" s="64">
        <v>3.31</v>
      </c>
      <c r="G97" s="64">
        <v>148.53</v>
      </c>
      <c r="H97" s="64">
        <v>51.2</v>
      </c>
      <c r="I97" s="64">
        <v>6.76</v>
      </c>
      <c r="J97" s="64">
        <v>0.1</v>
      </c>
      <c r="K97" s="64">
        <v>91.08</v>
      </c>
      <c r="L97" s="64">
        <v>19.170000000000002</v>
      </c>
      <c r="M97" s="64">
        <v>86.01</v>
      </c>
      <c r="N97" s="64">
        <v>40.200000000000003</v>
      </c>
      <c r="O97" s="64">
        <v>0</v>
      </c>
      <c r="P97" s="64">
        <v>2.68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1" t="s">
        <v>2353</v>
      </c>
      <c r="B98" s="64">
        <v>81.44</v>
      </c>
      <c r="C98" s="64">
        <v>1.61</v>
      </c>
      <c r="D98" s="64">
        <v>62.94</v>
      </c>
      <c r="E98" s="64">
        <v>6.49</v>
      </c>
      <c r="F98" s="64">
        <v>3.56</v>
      </c>
      <c r="G98" s="64">
        <v>153.13999999999999</v>
      </c>
      <c r="H98" s="64">
        <v>51.2</v>
      </c>
      <c r="I98" s="64">
        <v>6.92</v>
      </c>
      <c r="J98" s="64">
        <v>0.21</v>
      </c>
      <c r="K98" s="64">
        <v>204.15</v>
      </c>
      <c r="L98" s="64">
        <v>19.38</v>
      </c>
      <c r="M98" s="64">
        <v>89.88</v>
      </c>
      <c r="N98" s="64">
        <v>39.799999999999997</v>
      </c>
      <c r="O98" s="64">
        <v>0</v>
      </c>
      <c r="P98" s="64">
        <v>2.68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1" t="s">
        <v>2354</v>
      </c>
      <c r="B99" s="64">
        <v>77.53</v>
      </c>
      <c r="C99" s="64">
        <v>2.4700000000000002</v>
      </c>
      <c r="D99" s="64">
        <v>60.5</v>
      </c>
      <c r="E99" s="64">
        <v>6.67</v>
      </c>
      <c r="F99" s="64">
        <v>3.67</v>
      </c>
      <c r="G99" s="64">
        <v>153.13999999999999</v>
      </c>
      <c r="H99" s="64">
        <v>51.2</v>
      </c>
      <c r="I99" s="64">
        <v>7.08</v>
      </c>
      <c r="J99" s="64">
        <v>0.16</v>
      </c>
      <c r="K99" s="64">
        <v>212.26</v>
      </c>
      <c r="L99" s="64">
        <v>19.11</v>
      </c>
      <c r="M99" s="64">
        <v>92.84</v>
      </c>
      <c r="N99" s="64">
        <v>40.299999999999997</v>
      </c>
      <c r="O99" s="64">
        <v>0</v>
      </c>
      <c r="P99" s="64">
        <v>2.66</v>
      </c>
      <c r="Q99" s="64">
        <v>9.74</v>
      </c>
      <c r="R99" s="198"/>
      <c r="S99" s="198"/>
      <c r="T99" s="198"/>
      <c r="U99" s="198"/>
    </row>
    <row r="100" spans="1:33" s="12" customFormat="1" x14ac:dyDescent="0.25">
      <c r="A100" s="211" t="s">
        <v>2355</v>
      </c>
      <c r="B100" s="64">
        <v>77.73</v>
      </c>
      <c r="C100" s="64">
        <v>0.1</v>
      </c>
      <c r="D100" s="64">
        <v>58.3</v>
      </c>
      <c r="E100" s="64">
        <v>6.1</v>
      </c>
      <c r="F100" s="64">
        <v>3.55</v>
      </c>
      <c r="G100" s="64">
        <v>153.13999999999999</v>
      </c>
      <c r="H100" s="64">
        <v>51.2</v>
      </c>
      <c r="I100" s="64">
        <v>7.22</v>
      </c>
      <c r="J100" s="64">
        <v>0.22</v>
      </c>
      <c r="K100" s="64">
        <v>307.45999999999998</v>
      </c>
      <c r="L100" s="64">
        <v>18.63</v>
      </c>
      <c r="M100" s="64">
        <v>93.72</v>
      </c>
      <c r="N100" s="64">
        <v>40.1</v>
      </c>
      <c r="O100" s="64">
        <v>0</v>
      </c>
      <c r="P100" s="64">
        <v>2.63</v>
      </c>
      <c r="Q100" s="64">
        <v>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2356</v>
      </c>
      <c r="B101" s="64">
        <v>72.39</v>
      </c>
      <c r="C101" s="64">
        <v>2.37</v>
      </c>
      <c r="D101" s="64">
        <v>55.68</v>
      </c>
      <c r="E101" s="64">
        <v>6.19</v>
      </c>
      <c r="F101" s="64">
        <v>3.34</v>
      </c>
      <c r="G101" s="64">
        <v>147.72999999999999</v>
      </c>
      <c r="H101" s="64">
        <v>52.4</v>
      </c>
      <c r="I101" s="64">
        <v>7.8</v>
      </c>
      <c r="J101" s="64">
        <v>0.06</v>
      </c>
      <c r="K101" s="64">
        <v>353.26</v>
      </c>
      <c r="L101" s="64">
        <v>18.61</v>
      </c>
      <c r="M101" s="64">
        <v>89.63</v>
      </c>
      <c r="N101" s="64">
        <v>40.299999999999997</v>
      </c>
      <c r="O101" s="64">
        <v>0</v>
      </c>
      <c r="P101" s="64">
        <v>2.5099999999999998</v>
      </c>
      <c r="Q101" s="64">
        <v>9.77</v>
      </c>
      <c r="R101" s="198"/>
      <c r="S101" s="198"/>
      <c r="T101" s="198"/>
      <c r="U101" s="198"/>
    </row>
    <row r="102" spans="1:33" s="12" customFormat="1" x14ac:dyDescent="0.25">
      <c r="A102" s="211" t="s">
        <v>2357</v>
      </c>
      <c r="B102" s="64">
        <v>66.709999999999994</v>
      </c>
      <c r="C102" s="64">
        <v>5.44</v>
      </c>
      <c r="D102" s="64">
        <v>53.41</v>
      </c>
      <c r="E102" s="64">
        <v>6.43</v>
      </c>
      <c r="F102" s="64">
        <v>3.75</v>
      </c>
      <c r="G102" s="64">
        <v>145.97999999999999</v>
      </c>
      <c r="H102" s="64">
        <v>52.4</v>
      </c>
      <c r="I102" s="64">
        <v>7.68</v>
      </c>
      <c r="J102" s="64">
        <v>0.08</v>
      </c>
      <c r="K102" s="64">
        <v>308.07</v>
      </c>
      <c r="L102" s="64">
        <v>18.309999999999999</v>
      </c>
      <c r="M102" s="64">
        <v>87.64</v>
      </c>
      <c r="N102" s="64">
        <v>40.299999999999997</v>
      </c>
      <c r="O102" s="64">
        <v>0</v>
      </c>
      <c r="P102" s="64">
        <v>2.4300000000000002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1" t="s">
        <v>2358</v>
      </c>
      <c r="B103" s="64">
        <v>66.47</v>
      </c>
      <c r="C103" s="64">
        <v>4.24</v>
      </c>
      <c r="D103" s="64">
        <v>52.13</v>
      </c>
      <c r="E103" s="64">
        <v>6.29</v>
      </c>
      <c r="F103" s="64">
        <v>3.68</v>
      </c>
      <c r="G103" s="64">
        <v>145.97999999999999</v>
      </c>
      <c r="H103" s="64">
        <v>52.4</v>
      </c>
      <c r="I103" s="64">
        <v>7.79</v>
      </c>
      <c r="J103" s="64">
        <v>0.15</v>
      </c>
      <c r="K103" s="64">
        <v>309.44</v>
      </c>
      <c r="L103" s="64">
        <v>18.190000000000001</v>
      </c>
      <c r="M103" s="64">
        <v>88.18</v>
      </c>
      <c r="N103" s="64">
        <v>40.200000000000003</v>
      </c>
      <c r="O103" s="64">
        <v>0</v>
      </c>
      <c r="P103" s="64">
        <v>2.42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1" t="s">
        <v>2359</v>
      </c>
      <c r="B104" s="64">
        <v>66.84</v>
      </c>
      <c r="C104" s="64">
        <v>3.93</v>
      </c>
      <c r="D104" s="64">
        <v>52.32</v>
      </c>
      <c r="E104" s="64">
        <v>5.69</v>
      </c>
      <c r="F104" s="64">
        <v>3.54</v>
      </c>
      <c r="G104" s="64">
        <v>145.97999999999999</v>
      </c>
      <c r="H104" s="64">
        <v>52.4</v>
      </c>
      <c r="I104" s="64">
        <v>7.58</v>
      </c>
      <c r="J104" s="64">
        <v>0.09</v>
      </c>
      <c r="K104" s="64">
        <v>185.08</v>
      </c>
      <c r="L104" s="64">
        <v>17.899999999999999</v>
      </c>
      <c r="M104" s="64">
        <v>89.49</v>
      </c>
      <c r="N104" s="64">
        <v>40.4</v>
      </c>
      <c r="O104" s="64">
        <v>0</v>
      </c>
      <c r="P104" s="64">
        <v>2.39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10.27</v>
      </c>
      <c r="C106" s="67">
        <f>MIN(C9:C104)</f>
        <v>0.01</v>
      </c>
      <c r="D106" s="67">
        <f t="shared" ref="D106:Q106" si="0">MIN(D9:D104)</f>
        <v>18.66</v>
      </c>
      <c r="E106" s="67">
        <f t="shared" si="0"/>
        <v>4.43</v>
      </c>
      <c r="F106" s="67">
        <f t="shared" si="0"/>
        <v>2.92</v>
      </c>
      <c r="G106" s="67">
        <f t="shared" si="0"/>
        <v>0</v>
      </c>
      <c r="H106" s="67">
        <f t="shared" si="0"/>
        <v>19.93</v>
      </c>
      <c r="I106" s="67">
        <f t="shared" si="0"/>
        <v>4.43</v>
      </c>
      <c r="J106" s="67">
        <f t="shared" si="0"/>
        <v>0.01</v>
      </c>
      <c r="K106" s="67">
        <f t="shared" si="0"/>
        <v>0.56000000000000005</v>
      </c>
      <c r="L106" s="67">
        <f t="shared" si="0"/>
        <v>2.2200000000000002</v>
      </c>
      <c r="M106" s="67">
        <f t="shared" si="0"/>
        <v>32.020000000000003</v>
      </c>
      <c r="N106" s="67">
        <f t="shared" si="0"/>
        <v>39.799999999999997</v>
      </c>
      <c r="O106" s="67">
        <f t="shared" si="0"/>
        <v>0</v>
      </c>
      <c r="P106" s="67">
        <f t="shared" si="0"/>
        <v>0.96</v>
      </c>
      <c r="Q106" s="67">
        <f t="shared" si="0"/>
        <v>9.4700000000000006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81.44</v>
      </c>
      <c r="C107" s="66">
        <f t="shared" ref="C107:Q107" si="1">MAX(C9:C104)</f>
        <v>45.66</v>
      </c>
      <c r="D107" s="66">
        <f t="shared" si="1"/>
        <v>62.94</v>
      </c>
      <c r="E107" s="66">
        <f t="shared" si="1"/>
        <v>22.68</v>
      </c>
      <c r="F107" s="66">
        <f t="shared" si="1"/>
        <v>25.05</v>
      </c>
      <c r="G107" s="66">
        <f t="shared" si="1"/>
        <v>177.99</v>
      </c>
      <c r="H107" s="66">
        <f t="shared" si="1"/>
        <v>60.67</v>
      </c>
      <c r="I107" s="66">
        <f t="shared" si="1"/>
        <v>7.8</v>
      </c>
      <c r="J107" s="66">
        <f t="shared" si="1"/>
        <v>1.31</v>
      </c>
      <c r="K107" s="66">
        <f t="shared" si="1"/>
        <v>359.73</v>
      </c>
      <c r="L107" s="66">
        <f t="shared" si="1"/>
        <v>30.53</v>
      </c>
      <c r="M107" s="66">
        <f t="shared" si="1"/>
        <v>96.94</v>
      </c>
      <c r="N107" s="66">
        <f t="shared" si="1"/>
        <v>613.29999999999995</v>
      </c>
      <c r="O107" s="66">
        <f t="shared" si="1"/>
        <v>0</v>
      </c>
      <c r="P107" s="66">
        <f t="shared" si="1"/>
        <v>2.75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46.256770833333341</v>
      </c>
      <c r="C108" s="67">
        <f t="shared" ref="C108:Q108" si="2">AVERAGE(C9:C104)</f>
        <v>15.497397260273969</v>
      </c>
      <c r="D108" s="67">
        <f t="shared" si="2"/>
        <v>42.114895833333335</v>
      </c>
      <c r="E108" s="67">
        <f t="shared" si="2"/>
        <v>7.5608333333333304</v>
      </c>
      <c r="F108" s="67">
        <f t="shared" si="2"/>
        <v>6.2195833333333335</v>
      </c>
      <c r="G108" s="67">
        <f t="shared" si="2"/>
        <v>103.01083333333328</v>
      </c>
      <c r="H108" s="67">
        <f t="shared" si="2"/>
        <v>41.437499999999972</v>
      </c>
      <c r="I108" s="67">
        <f t="shared" si="2"/>
        <v>6.0941666666666654</v>
      </c>
      <c r="J108" s="67">
        <f t="shared" si="2"/>
        <v>0.2754166666666667</v>
      </c>
      <c r="K108" s="67">
        <f t="shared" si="2"/>
        <v>229.70197916666666</v>
      </c>
      <c r="L108" s="67">
        <f t="shared" si="2"/>
        <v>21.291145833333339</v>
      </c>
      <c r="M108" s="67">
        <f t="shared" si="2"/>
        <v>70.728645833333346</v>
      </c>
      <c r="N108" s="67">
        <f t="shared" si="2"/>
        <v>170.27395833333327</v>
      </c>
      <c r="O108" s="67">
        <f t="shared" si="2"/>
        <v>0</v>
      </c>
      <c r="P108" s="67">
        <f t="shared" si="2"/>
        <v>1.8040624999999997</v>
      </c>
      <c r="Q108" s="67">
        <f t="shared" si="2"/>
        <v>9.6633333333333322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19.778287057690402</v>
      </c>
      <c r="C109" s="67">
        <f t="shared" ref="C109:Q109" si="3">STDEV(C9:C104)</f>
        <v>14.175606789618614</v>
      </c>
      <c r="D109" s="67">
        <f t="shared" si="3"/>
        <v>10.167770649903328</v>
      </c>
      <c r="E109" s="67">
        <f t="shared" si="3"/>
        <v>3.669070918299187</v>
      </c>
      <c r="F109" s="67">
        <f t="shared" si="3"/>
        <v>5.0152974234449994</v>
      </c>
      <c r="G109" s="67">
        <f t="shared" si="3"/>
        <v>42.938342910851048</v>
      </c>
      <c r="H109" s="67">
        <f t="shared" si="3"/>
        <v>13.511155702642739</v>
      </c>
      <c r="I109" s="67">
        <f t="shared" si="3"/>
        <v>0.91902312744128223</v>
      </c>
      <c r="J109" s="67">
        <f t="shared" si="3"/>
        <v>0.23349480628357344</v>
      </c>
      <c r="K109" s="67">
        <f t="shared" si="3"/>
        <v>118.2306043968381</v>
      </c>
      <c r="L109" s="67">
        <f t="shared" si="3"/>
        <v>5.1877963823596875</v>
      </c>
      <c r="M109" s="67">
        <f t="shared" si="3"/>
        <v>23.843505774541857</v>
      </c>
      <c r="N109" s="67">
        <f t="shared" si="3"/>
        <v>203.92060748437919</v>
      </c>
      <c r="O109" s="67">
        <f t="shared" si="3"/>
        <v>0</v>
      </c>
      <c r="P109" s="67">
        <f t="shared" si="3"/>
        <v>0.47001585219627562</v>
      </c>
      <c r="Q109" s="67">
        <f t="shared" si="3"/>
        <v>7.4221101647877472E-2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COUNT(C9:C104)+23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215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2" sqref="Q11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2360</v>
      </c>
      <c r="B9" s="64">
        <v>71.83</v>
      </c>
      <c r="C9" s="6" t="s">
        <v>42</v>
      </c>
      <c r="D9" s="64">
        <v>54.21</v>
      </c>
      <c r="E9" s="64">
        <v>5.86</v>
      </c>
      <c r="F9" s="64">
        <v>3.25</v>
      </c>
      <c r="G9" s="64">
        <v>113.8</v>
      </c>
      <c r="H9" s="64">
        <v>41.37</v>
      </c>
      <c r="I9" s="64">
        <v>7.14</v>
      </c>
      <c r="J9" s="64">
        <v>0.04</v>
      </c>
      <c r="K9" s="64">
        <v>129.05000000000001</v>
      </c>
      <c r="L9" s="64">
        <v>17.670000000000002</v>
      </c>
      <c r="M9" s="64">
        <v>92</v>
      </c>
      <c r="N9" s="64">
        <v>40.299999999999997</v>
      </c>
      <c r="O9" s="64">
        <v>0</v>
      </c>
      <c r="P9" s="64">
        <v>2.4900000000000002</v>
      </c>
      <c r="Q9" s="64">
        <v>9.75</v>
      </c>
      <c r="S9" s="198"/>
      <c r="T9" s="198"/>
      <c r="U9" s="198"/>
    </row>
    <row r="10" spans="1:21" s="12" customFormat="1" x14ac:dyDescent="0.25">
      <c r="A10" s="211" t="s">
        <v>2361</v>
      </c>
      <c r="B10" s="64">
        <v>70.2</v>
      </c>
      <c r="C10" s="6" t="s">
        <v>42</v>
      </c>
      <c r="D10" s="64">
        <v>53.32</v>
      </c>
      <c r="E10" s="64">
        <v>5.96</v>
      </c>
      <c r="F10" s="64">
        <v>3.05</v>
      </c>
      <c r="G10" s="64">
        <v>103.39</v>
      </c>
      <c r="H10" s="64">
        <v>41.37</v>
      </c>
      <c r="I10" s="64">
        <v>7.06</v>
      </c>
      <c r="J10" s="64">
        <v>0.11</v>
      </c>
      <c r="K10" s="64">
        <v>96.86</v>
      </c>
      <c r="L10" s="64">
        <v>17.48</v>
      </c>
      <c r="M10" s="64">
        <v>93.52</v>
      </c>
      <c r="N10" s="64">
        <v>40.200000000000003</v>
      </c>
      <c r="O10" s="64">
        <v>0</v>
      </c>
      <c r="P10" s="64">
        <v>2.42</v>
      </c>
      <c r="Q10" s="64">
        <v>9.74</v>
      </c>
      <c r="S10" s="198"/>
      <c r="T10" s="198"/>
      <c r="U10" s="198"/>
    </row>
    <row r="11" spans="1:21" s="12" customFormat="1" x14ac:dyDescent="0.25">
      <c r="A11" s="211" t="s">
        <v>2362</v>
      </c>
      <c r="B11" s="64">
        <v>68.66</v>
      </c>
      <c r="C11" s="6" t="s">
        <v>42</v>
      </c>
      <c r="D11" s="64">
        <v>52.15</v>
      </c>
      <c r="E11" s="64">
        <v>5.96</v>
      </c>
      <c r="F11" s="64">
        <v>3.29</v>
      </c>
      <c r="G11" s="64">
        <v>103.39</v>
      </c>
      <c r="H11" s="64">
        <v>41.37</v>
      </c>
      <c r="I11" s="64">
        <v>7.44</v>
      </c>
      <c r="J11" s="64">
        <v>0.17</v>
      </c>
      <c r="K11" s="64">
        <v>141.93</v>
      </c>
      <c r="L11" s="64">
        <v>17.54</v>
      </c>
      <c r="M11" s="64">
        <v>94.8</v>
      </c>
      <c r="N11" s="64">
        <v>40.200000000000003</v>
      </c>
      <c r="O11" s="64">
        <v>0</v>
      </c>
      <c r="P11" s="64">
        <v>2.36</v>
      </c>
      <c r="Q11" s="64">
        <v>9.73</v>
      </c>
      <c r="S11" s="198"/>
      <c r="T11" s="198"/>
      <c r="U11" s="198"/>
    </row>
    <row r="12" spans="1:21" s="12" customFormat="1" x14ac:dyDescent="0.25">
      <c r="A12" s="211" t="s">
        <v>2363</v>
      </c>
      <c r="B12" s="64">
        <v>67</v>
      </c>
      <c r="C12" s="6" t="s">
        <v>42</v>
      </c>
      <c r="D12" s="64">
        <v>51.18</v>
      </c>
      <c r="E12" s="64">
        <v>6.01</v>
      </c>
      <c r="F12" s="64">
        <v>3.3</v>
      </c>
      <c r="G12" s="64">
        <v>103.39</v>
      </c>
      <c r="H12" s="64">
        <v>41.37</v>
      </c>
      <c r="I12" s="64">
        <v>7.22</v>
      </c>
      <c r="J12" s="64">
        <v>0.32</v>
      </c>
      <c r="K12" s="64">
        <v>125.46</v>
      </c>
      <c r="L12" s="64">
        <v>17.38</v>
      </c>
      <c r="M12" s="64">
        <v>96.3</v>
      </c>
      <c r="N12" s="64">
        <v>40</v>
      </c>
      <c r="O12" s="64">
        <v>0</v>
      </c>
      <c r="P12" s="64">
        <v>2.31</v>
      </c>
      <c r="Q12" s="64">
        <v>9.7200000000000006</v>
      </c>
      <c r="S12" s="198"/>
      <c r="T12" s="198"/>
      <c r="U12" s="198"/>
    </row>
    <row r="13" spans="1:21" s="12" customFormat="1" x14ac:dyDescent="0.25">
      <c r="A13" s="211" t="s">
        <v>2364</v>
      </c>
      <c r="B13" s="64">
        <v>65.349999999999994</v>
      </c>
      <c r="C13" s="6" t="s">
        <v>42</v>
      </c>
      <c r="D13" s="64">
        <v>50.06</v>
      </c>
      <c r="E13" s="64">
        <v>5.71</v>
      </c>
      <c r="F13" s="64">
        <v>3.2</v>
      </c>
      <c r="G13" s="64">
        <v>105.37</v>
      </c>
      <c r="H13" s="64">
        <v>42.48</v>
      </c>
      <c r="I13" s="64">
        <v>6.81</v>
      </c>
      <c r="J13" s="64">
        <v>0.02</v>
      </c>
      <c r="K13" s="64">
        <v>62.75</v>
      </c>
      <c r="L13" s="64">
        <v>17.32</v>
      </c>
      <c r="M13" s="64">
        <v>96.82</v>
      </c>
      <c r="N13" s="64">
        <v>40.200000000000003</v>
      </c>
      <c r="O13" s="64">
        <v>0</v>
      </c>
      <c r="P13" s="64">
        <v>2.0099999999999998</v>
      </c>
      <c r="Q13" s="64">
        <v>9.7200000000000006</v>
      </c>
      <c r="S13" s="198"/>
      <c r="T13" s="198"/>
      <c r="U13" s="198"/>
    </row>
    <row r="14" spans="1:21" s="12" customFormat="1" x14ac:dyDescent="0.25">
      <c r="A14" s="211" t="s">
        <v>2365</v>
      </c>
      <c r="B14" s="64">
        <v>63.61</v>
      </c>
      <c r="C14" s="6" t="s">
        <v>42</v>
      </c>
      <c r="D14" s="64">
        <v>48.98</v>
      </c>
      <c r="E14" s="64">
        <v>5.68</v>
      </c>
      <c r="F14" s="64">
        <v>3.12</v>
      </c>
      <c r="G14" s="64">
        <v>106.01</v>
      </c>
      <c r="H14" s="64">
        <v>42.48</v>
      </c>
      <c r="I14" s="64">
        <v>6.79</v>
      </c>
      <c r="J14" s="64">
        <v>0.02</v>
      </c>
      <c r="K14" s="64">
        <v>127.04</v>
      </c>
      <c r="L14" s="64">
        <v>17.14</v>
      </c>
      <c r="M14" s="64">
        <v>96.37</v>
      </c>
      <c r="N14" s="64">
        <v>40.1</v>
      </c>
      <c r="O14" s="64">
        <v>0</v>
      </c>
      <c r="P14" s="64">
        <v>2.09</v>
      </c>
      <c r="Q14" s="64">
        <v>9.7100000000000009</v>
      </c>
      <c r="S14" s="198"/>
      <c r="T14" s="198"/>
      <c r="U14" s="198"/>
    </row>
    <row r="15" spans="1:21" s="12" customFormat="1" x14ac:dyDescent="0.25">
      <c r="A15" s="211" t="s">
        <v>2366</v>
      </c>
      <c r="B15" s="64">
        <v>61.74</v>
      </c>
      <c r="C15" s="6" t="s">
        <v>42</v>
      </c>
      <c r="D15" s="64">
        <v>47.85</v>
      </c>
      <c r="E15" s="64">
        <v>5.77</v>
      </c>
      <c r="F15" s="64">
        <v>3</v>
      </c>
      <c r="G15" s="64">
        <v>106.01</v>
      </c>
      <c r="H15" s="64">
        <v>42.48</v>
      </c>
      <c r="I15" s="64">
        <v>6.74</v>
      </c>
      <c r="J15" s="64">
        <v>0.25</v>
      </c>
      <c r="K15" s="64">
        <v>226.62</v>
      </c>
      <c r="L15" s="64">
        <v>17.61</v>
      </c>
      <c r="M15" s="64">
        <v>95.37</v>
      </c>
      <c r="N15" s="64">
        <v>39.700000000000003</v>
      </c>
      <c r="O15" s="64">
        <v>0</v>
      </c>
      <c r="P15" s="64">
        <v>2.0499999999999998</v>
      </c>
      <c r="Q15" s="64">
        <v>9.7100000000000009</v>
      </c>
      <c r="S15" s="198"/>
      <c r="T15" s="198"/>
      <c r="U15" s="198"/>
    </row>
    <row r="16" spans="1:21" s="12" customFormat="1" x14ac:dyDescent="0.25">
      <c r="A16" s="211" t="s">
        <v>2367</v>
      </c>
      <c r="B16" s="64">
        <v>59.64</v>
      </c>
      <c r="C16" s="6" t="s">
        <v>42</v>
      </c>
      <c r="D16" s="64">
        <v>46.6</v>
      </c>
      <c r="E16" s="64">
        <v>5.41</v>
      </c>
      <c r="F16" s="64">
        <v>2.92</v>
      </c>
      <c r="G16" s="64">
        <v>106.01</v>
      </c>
      <c r="H16" s="64">
        <v>42.48</v>
      </c>
      <c r="I16" s="64">
        <v>6.68</v>
      </c>
      <c r="J16" s="64">
        <v>0.2</v>
      </c>
      <c r="K16" s="64">
        <v>202.05</v>
      </c>
      <c r="L16" s="64">
        <v>17.670000000000002</v>
      </c>
      <c r="M16" s="64">
        <v>93.99</v>
      </c>
      <c r="N16" s="64">
        <v>39.9</v>
      </c>
      <c r="O16" s="64">
        <v>0</v>
      </c>
      <c r="P16" s="64">
        <v>2</v>
      </c>
      <c r="Q16" s="64">
        <v>9.7100000000000009</v>
      </c>
      <c r="S16" s="198"/>
      <c r="T16" s="198"/>
      <c r="U16" s="198"/>
    </row>
    <row r="17" spans="1:21" s="12" customFormat="1" x14ac:dyDescent="0.25">
      <c r="A17" s="211" t="s">
        <v>2368</v>
      </c>
      <c r="B17" s="64">
        <v>57.43</v>
      </c>
      <c r="C17" s="6" t="s">
        <v>42</v>
      </c>
      <c r="D17" s="64">
        <v>45.29</v>
      </c>
      <c r="E17" s="64">
        <v>5.46</v>
      </c>
      <c r="F17" s="64">
        <v>3.22</v>
      </c>
      <c r="G17" s="64">
        <v>89.25</v>
      </c>
      <c r="H17" s="64">
        <v>39.81</v>
      </c>
      <c r="I17" s="64">
        <v>6.63</v>
      </c>
      <c r="J17" s="64">
        <v>0.33</v>
      </c>
      <c r="K17" s="64">
        <v>144.66</v>
      </c>
      <c r="L17" s="64">
        <v>16.829999999999998</v>
      </c>
      <c r="M17" s="64">
        <v>96.86</v>
      </c>
      <c r="N17" s="64">
        <v>40.4</v>
      </c>
      <c r="O17" s="64">
        <v>0</v>
      </c>
      <c r="P17" s="64">
        <v>1.95</v>
      </c>
      <c r="Q17" s="64">
        <v>9.6999999999999993</v>
      </c>
      <c r="S17" s="198"/>
      <c r="T17" s="198"/>
      <c r="U17" s="198"/>
    </row>
    <row r="18" spans="1:21" s="12" customFormat="1" x14ac:dyDescent="0.25">
      <c r="A18" s="211" t="s">
        <v>2369</v>
      </c>
      <c r="B18" s="64">
        <v>55.67</v>
      </c>
      <c r="C18" s="64">
        <v>0.03</v>
      </c>
      <c r="D18" s="64">
        <v>44.08</v>
      </c>
      <c r="E18" s="64">
        <v>5.5</v>
      </c>
      <c r="F18" s="64">
        <v>3.28</v>
      </c>
      <c r="G18" s="64">
        <v>83.83</v>
      </c>
      <c r="H18" s="64">
        <v>39.81</v>
      </c>
      <c r="I18" s="64">
        <v>6.55</v>
      </c>
      <c r="J18" s="64">
        <v>0.08</v>
      </c>
      <c r="K18" s="64">
        <v>28.45</v>
      </c>
      <c r="L18" s="64">
        <v>16.61</v>
      </c>
      <c r="M18" s="64">
        <v>96.36</v>
      </c>
      <c r="N18" s="64">
        <v>40.4</v>
      </c>
      <c r="O18" s="64">
        <v>0</v>
      </c>
      <c r="P18" s="64">
        <v>1.9</v>
      </c>
      <c r="Q18" s="64">
        <v>9.68</v>
      </c>
      <c r="S18" s="198"/>
      <c r="T18" s="198"/>
      <c r="U18" s="198"/>
    </row>
    <row r="19" spans="1:21" s="12" customFormat="1" x14ac:dyDescent="0.25">
      <c r="A19" s="211" t="s">
        <v>2370</v>
      </c>
      <c r="B19" s="64">
        <v>52.67</v>
      </c>
      <c r="C19" s="64">
        <v>0.78</v>
      </c>
      <c r="D19" s="64">
        <v>42.18</v>
      </c>
      <c r="E19" s="64">
        <v>5.24</v>
      </c>
      <c r="F19" s="64">
        <v>3.22</v>
      </c>
      <c r="G19" s="64">
        <v>83.83</v>
      </c>
      <c r="H19" s="64">
        <v>39.81</v>
      </c>
      <c r="I19" s="64">
        <v>6.49</v>
      </c>
      <c r="J19" s="64">
        <v>0.19</v>
      </c>
      <c r="K19" s="64">
        <v>24.64</v>
      </c>
      <c r="L19" s="64">
        <v>16.45</v>
      </c>
      <c r="M19" s="64">
        <v>96.37</v>
      </c>
      <c r="N19" s="64">
        <v>40.4</v>
      </c>
      <c r="O19" s="64">
        <v>0</v>
      </c>
      <c r="P19" s="64">
        <v>1.84</v>
      </c>
      <c r="Q19" s="64">
        <v>9.69</v>
      </c>
      <c r="S19" s="198"/>
      <c r="T19" s="198"/>
      <c r="U19" s="198"/>
    </row>
    <row r="20" spans="1:21" s="12" customFormat="1" x14ac:dyDescent="0.25">
      <c r="A20" s="211" t="s">
        <v>2371</v>
      </c>
      <c r="B20" s="64">
        <v>52.19</v>
      </c>
      <c r="C20" s="64">
        <v>0.35</v>
      </c>
      <c r="D20" s="64">
        <v>41.57</v>
      </c>
      <c r="E20" s="64">
        <v>5.37</v>
      </c>
      <c r="F20" s="64">
        <v>3.24</v>
      </c>
      <c r="G20" s="64">
        <v>83.83</v>
      </c>
      <c r="H20" s="64">
        <v>39.81</v>
      </c>
      <c r="I20" s="64">
        <v>6.43</v>
      </c>
      <c r="J20" s="64">
        <v>0.18</v>
      </c>
      <c r="K20" s="64">
        <v>303.39</v>
      </c>
      <c r="L20" s="64">
        <v>16.22</v>
      </c>
      <c r="M20" s="64">
        <v>96.9</v>
      </c>
      <c r="N20" s="64">
        <v>40.299999999999997</v>
      </c>
      <c r="O20" s="64">
        <v>0</v>
      </c>
      <c r="P20" s="64">
        <v>1.82</v>
      </c>
      <c r="Q20" s="64">
        <v>9.69</v>
      </c>
      <c r="S20" s="198"/>
      <c r="T20" s="198"/>
      <c r="U20" s="198"/>
    </row>
    <row r="21" spans="1:21" s="12" customFormat="1" x14ac:dyDescent="0.25">
      <c r="A21" s="211" t="s">
        <v>2372</v>
      </c>
      <c r="B21" s="64">
        <v>50.67</v>
      </c>
      <c r="C21" s="64">
        <v>1.49</v>
      </c>
      <c r="D21" s="64">
        <v>40.950000000000003</v>
      </c>
      <c r="E21" s="64">
        <v>5.62</v>
      </c>
      <c r="F21" s="64">
        <v>3.13</v>
      </c>
      <c r="G21" s="64">
        <v>78.31</v>
      </c>
      <c r="H21" s="64">
        <v>37.25</v>
      </c>
      <c r="I21" s="64">
        <v>6.41</v>
      </c>
      <c r="J21" s="64">
        <v>0.02</v>
      </c>
      <c r="K21" s="64">
        <v>18.45</v>
      </c>
      <c r="L21" s="64">
        <v>16.190000000000001</v>
      </c>
      <c r="M21" s="64">
        <v>96.9</v>
      </c>
      <c r="N21" s="64">
        <v>40.1</v>
      </c>
      <c r="O21" s="64">
        <v>0</v>
      </c>
      <c r="P21" s="64">
        <v>1.8</v>
      </c>
      <c r="Q21" s="64">
        <v>9.6999999999999993</v>
      </c>
      <c r="S21" s="198"/>
      <c r="T21" s="198"/>
      <c r="U21" s="198"/>
    </row>
    <row r="22" spans="1:21" s="12" customFormat="1" x14ac:dyDescent="0.25">
      <c r="A22" s="211" t="s">
        <v>2373</v>
      </c>
      <c r="B22" s="64">
        <v>49.58</v>
      </c>
      <c r="C22" s="64">
        <v>2.2400000000000002</v>
      </c>
      <c r="D22" s="64">
        <v>40.47</v>
      </c>
      <c r="E22" s="64">
        <v>5.31</v>
      </c>
      <c r="F22" s="64">
        <v>3.36</v>
      </c>
      <c r="G22" s="64">
        <v>76.52</v>
      </c>
      <c r="H22" s="64">
        <v>37.25</v>
      </c>
      <c r="I22" s="64">
        <v>6.85</v>
      </c>
      <c r="J22" s="64">
        <v>0.1</v>
      </c>
      <c r="K22" s="64">
        <v>278.08</v>
      </c>
      <c r="L22" s="64">
        <v>16.16</v>
      </c>
      <c r="M22" s="64">
        <v>96.89</v>
      </c>
      <c r="N22" s="64">
        <v>40.200000000000003</v>
      </c>
      <c r="O22" s="64">
        <v>0</v>
      </c>
      <c r="P22" s="64">
        <v>1.81</v>
      </c>
      <c r="Q22" s="64">
        <v>9.6999999999999993</v>
      </c>
      <c r="S22" s="198"/>
      <c r="T22" s="198"/>
      <c r="U22" s="198"/>
    </row>
    <row r="23" spans="1:21" s="12" customFormat="1" x14ac:dyDescent="0.25">
      <c r="A23" s="211" t="s">
        <v>2374</v>
      </c>
      <c r="B23" s="64">
        <v>48.47</v>
      </c>
      <c r="C23" s="64">
        <v>2.62</v>
      </c>
      <c r="D23" s="64">
        <v>39.770000000000003</v>
      </c>
      <c r="E23" s="64">
        <v>5.29</v>
      </c>
      <c r="F23" s="64">
        <v>3.3</v>
      </c>
      <c r="G23" s="64">
        <v>76.52</v>
      </c>
      <c r="H23" s="64">
        <v>37.25</v>
      </c>
      <c r="I23" s="64">
        <v>7.15</v>
      </c>
      <c r="J23" s="64">
        <v>0.08</v>
      </c>
      <c r="K23" s="64">
        <v>147.47999999999999</v>
      </c>
      <c r="L23" s="64">
        <v>16.22</v>
      </c>
      <c r="M23" s="64">
        <v>96.88</v>
      </c>
      <c r="N23" s="64">
        <v>39.9</v>
      </c>
      <c r="O23" s="64">
        <v>0</v>
      </c>
      <c r="P23" s="64">
        <v>1.77</v>
      </c>
      <c r="Q23" s="64">
        <v>9.69</v>
      </c>
      <c r="S23" s="198"/>
      <c r="T23" s="198"/>
      <c r="U23" s="198"/>
    </row>
    <row r="24" spans="1:21" s="12" customFormat="1" x14ac:dyDescent="0.25">
      <c r="A24" s="211" t="s">
        <v>2375</v>
      </c>
      <c r="B24" s="64">
        <v>47.13</v>
      </c>
      <c r="C24" s="64">
        <v>3.18</v>
      </c>
      <c r="D24" s="64">
        <v>38.99</v>
      </c>
      <c r="E24" s="64">
        <v>5.28</v>
      </c>
      <c r="F24" s="64">
        <v>3.15</v>
      </c>
      <c r="G24" s="64">
        <v>76.52</v>
      </c>
      <c r="H24" s="64">
        <v>37.25</v>
      </c>
      <c r="I24" s="64">
        <v>6.68</v>
      </c>
      <c r="J24" s="64">
        <v>0.16</v>
      </c>
      <c r="K24" s="64">
        <v>207.23</v>
      </c>
      <c r="L24" s="64">
        <v>16.22</v>
      </c>
      <c r="M24" s="64">
        <v>96.89</v>
      </c>
      <c r="N24" s="64">
        <v>40.1</v>
      </c>
      <c r="O24" s="64">
        <v>0</v>
      </c>
      <c r="P24" s="64">
        <v>1.72</v>
      </c>
      <c r="Q24" s="64">
        <v>9.68</v>
      </c>
      <c r="S24" s="198"/>
      <c r="T24" s="198"/>
      <c r="U24" s="198"/>
    </row>
    <row r="25" spans="1:21" s="12" customFormat="1" x14ac:dyDescent="0.25">
      <c r="A25" s="211" t="s">
        <v>2376</v>
      </c>
      <c r="B25" s="64">
        <v>46.34</v>
      </c>
      <c r="C25" s="64">
        <v>3.51</v>
      </c>
      <c r="D25" s="64">
        <v>38.54</v>
      </c>
      <c r="E25" s="64">
        <v>5.35</v>
      </c>
      <c r="F25" s="64">
        <v>3.34</v>
      </c>
      <c r="G25" s="64">
        <v>73.33</v>
      </c>
      <c r="H25" s="64">
        <v>34.36</v>
      </c>
      <c r="I25" s="64">
        <v>6.3</v>
      </c>
      <c r="J25" s="64">
        <v>0.22</v>
      </c>
      <c r="K25" s="64">
        <v>148.72</v>
      </c>
      <c r="L25" s="64">
        <v>16.05</v>
      </c>
      <c r="M25" s="64">
        <v>96.9</v>
      </c>
      <c r="N25" s="64">
        <v>40</v>
      </c>
      <c r="O25" s="64">
        <v>0</v>
      </c>
      <c r="P25" s="64">
        <v>1.7</v>
      </c>
      <c r="Q25" s="64">
        <v>9.6999999999999993</v>
      </c>
      <c r="S25" s="198"/>
      <c r="T25" s="198"/>
      <c r="U25" s="198"/>
    </row>
    <row r="26" spans="1:21" s="12" customFormat="1" x14ac:dyDescent="0.25">
      <c r="A26" s="211" t="s">
        <v>2377</v>
      </c>
      <c r="B26" s="64">
        <v>45.63</v>
      </c>
      <c r="C26" s="64">
        <v>3.98</v>
      </c>
      <c r="D26" s="64">
        <v>38.21</v>
      </c>
      <c r="E26" s="64">
        <v>5.68</v>
      </c>
      <c r="F26" s="64">
        <v>3.19</v>
      </c>
      <c r="G26" s="64">
        <v>72.3</v>
      </c>
      <c r="H26" s="64">
        <v>34.36</v>
      </c>
      <c r="I26" s="64">
        <v>6.25</v>
      </c>
      <c r="J26" s="64">
        <v>0.14000000000000001</v>
      </c>
      <c r="K26" s="64">
        <v>192.89</v>
      </c>
      <c r="L26" s="64">
        <v>16.05</v>
      </c>
      <c r="M26" s="64">
        <v>96.9</v>
      </c>
      <c r="N26" s="64">
        <v>40</v>
      </c>
      <c r="O26" s="64">
        <v>0</v>
      </c>
      <c r="P26" s="64">
        <v>1.65</v>
      </c>
      <c r="Q26" s="64">
        <v>9.69</v>
      </c>
      <c r="S26" s="198"/>
      <c r="T26" s="198"/>
      <c r="U26" s="198"/>
    </row>
    <row r="27" spans="1:21" s="12" customFormat="1" x14ac:dyDescent="0.25">
      <c r="A27" s="211" t="s">
        <v>2378</v>
      </c>
      <c r="B27" s="64">
        <v>45.08</v>
      </c>
      <c r="C27" s="64">
        <v>4.32</v>
      </c>
      <c r="D27" s="64">
        <v>37.950000000000003</v>
      </c>
      <c r="E27" s="64">
        <v>5.47</v>
      </c>
      <c r="F27" s="64">
        <v>3.47</v>
      </c>
      <c r="G27" s="64">
        <v>72.3</v>
      </c>
      <c r="H27" s="64">
        <v>34.36</v>
      </c>
      <c r="I27" s="64">
        <v>6.22</v>
      </c>
      <c r="J27" s="64">
        <v>0.23</v>
      </c>
      <c r="K27" s="64">
        <v>116.24</v>
      </c>
      <c r="L27" s="64">
        <v>15.92</v>
      </c>
      <c r="M27" s="64">
        <v>96.92</v>
      </c>
      <c r="N27" s="64">
        <v>40.1</v>
      </c>
      <c r="O27" s="64">
        <v>0</v>
      </c>
      <c r="P27" s="64">
        <v>1.59</v>
      </c>
      <c r="Q27" s="64">
        <v>9.68</v>
      </c>
      <c r="S27" s="198"/>
      <c r="T27" s="198"/>
      <c r="U27" s="198"/>
    </row>
    <row r="28" spans="1:21" s="12" customFormat="1" x14ac:dyDescent="0.25">
      <c r="A28" s="211" t="s">
        <v>2379</v>
      </c>
      <c r="B28" s="64">
        <v>45.04</v>
      </c>
      <c r="C28" s="64">
        <v>3.92</v>
      </c>
      <c r="D28" s="64">
        <v>37.71</v>
      </c>
      <c r="E28" s="64">
        <v>5.79</v>
      </c>
      <c r="F28" s="64">
        <v>3.43</v>
      </c>
      <c r="G28" s="64">
        <v>72.3</v>
      </c>
      <c r="H28" s="64">
        <v>34.36</v>
      </c>
      <c r="I28" s="64">
        <v>6.16</v>
      </c>
      <c r="J28" s="64">
        <v>0.21</v>
      </c>
      <c r="K28" s="64">
        <v>119.56</v>
      </c>
      <c r="L28" s="64">
        <v>15.8</v>
      </c>
      <c r="M28" s="64">
        <v>96.95</v>
      </c>
      <c r="N28" s="64">
        <v>40.1</v>
      </c>
      <c r="O28" s="64">
        <v>0</v>
      </c>
      <c r="P28" s="64">
        <v>1.52</v>
      </c>
      <c r="Q28" s="64">
        <v>9.67</v>
      </c>
      <c r="S28" s="198"/>
      <c r="T28" s="198"/>
      <c r="U28" s="198"/>
    </row>
    <row r="29" spans="1:21" s="12" customFormat="1" x14ac:dyDescent="0.25">
      <c r="A29" s="211" t="s">
        <v>2380</v>
      </c>
      <c r="B29" s="64">
        <v>45.69</v>
      </c>
      <c r="C29" s="64">
        <v>3.55</v>
      </c>
      <c r="D29" s="64">
        <v>38.03</v>
      </c>
      <c r="E29" s="64">
        <v>5.47</v>
      </c>
      <c r="F29" s="64">
        <v>3.44</v>
      </c>
      <c r="G29" s="64">
        <v>76.97</v>
      </c>
      <c r="H29" s="64">
        <v>35.99</v>
      </c>
      <c r="I29" s="64">
        <v>6.11</v>
      </c>
      <c r="J29" s="64">
        <v>0.09</v>
      </c>
      <c r="K29" s="64">
        <v>58.74</v>
      </c>
      <c r="L29" s="64">
        <v>15.77</v>
      </c>
      <c r="M29" s="64">
        <v>96.98</v>
      </c>
      <c r="N29" s="64">
        <v>40.1</v>
      </c>
      <c r="O29" s="64">
        <v>0</v>
      </c>
      <c r="P29" s="64">
        <v>1.47</v>
      </c>
      <c r="Q29" s="64">
        <v>9.66</v>
      </c>
      <c r="S29" s="198"/>
      <c r="T29" s="198"/>
      <c r="U29" s="198"/>
    </row>
    <row r="30" spans="1:21" s="12" customFormat="1" x14ac:dyDescent="0.25">
      <c r="A30" s="211" t="s">
        <v>2381</v>
      </c>
      <c r="B30" s="64">
        <v>47.16</v>
      </c>
      <c r="C30" s="64">
        <v>3.04</v>
      </c>
      <c r="D30" s="64">
        <v>38.950000000000003</v>
      </c>
      <c r="E30" s="64">
        <v>5.0199999999999996</v>
      </c>
      <c r="F30" s="64">
        <v>2.91</v>
      </c>
      <c r="G30" s="64">
        <v>78.48</v>
      </c>
      <c r="H30" s="64">
        <v>35.99</v>
      </c>
      <c r="I30" s="64">
        <v>6.53</v>
      </c>
      <c r="J30" s="64">
        <v>0.17</v>
      </c>
      <c r="K30" s="64">
        <v>14.74</v>
      </c>
      <c r="L30" s="64">
        <v>15.69</v>
      </c>
      <c r="M30" s="64">
        <v>97</v>
      </c>
      <c r="N30" s="64">
        <v>40.1</v>
      </c>
      <c r="O30" s="64">
        <v>0</v>
      </c>
      <c r="P30" s="64">
        <v>1.45</v>
      </c>
      <c r="Q30" s="64">
        <v>9.67</v>
      </c>
      <c r="S30" s="198"/>
      <c r="T30" s="198"/>
      <c r="U30" s="198"/>
    </row>
    <row r="31" spans="1:21" s="12" customFormat="1" x14ac:dyDescent="0.25">
      <c r="A31" s="211" t="s">
        <v>2382</v>
      </c>
      <c r="B31" s="64">
        <v>49.56</v>
      </c>
      <c r="C31" s="64">
        <v>1.9</v>
      </c>
      <c r="D31" s="64">
        <v>40.28</v>
      </c>
      <c r="E31" s="64">
        <v>5.19</v>
      </c>
      <c r="F31" s="64">
        <v>3.18</v>
      </c>
      <c r="G31" s="64">
        <v>78.48</v>
      </c>
      <c r="H31" s="64">
        <v>35.99</v>
      </c>
      <c r="I31" s="64">
        <v>6.43</v>
      </c>
      <c r="J31" s="64">
        <v>0.2</v>
      </c>
      <c r="K31" s="64">
        <v>341.68</v>
      </c>
      <c r="L31" s="64">
        <v>15.69</v>
      </c>
      <c r="M31" s="64">
        <v>97.01</v>
      </c>
      <c r="N31" s="64">
        <v>40.1</v>
      </c>
      <c r="O31" s="64">
        <v>0</v>
      </c>
      <c r="P31" s="64">
        <v>1.44</v>
      </c>
      <c r="Q31" s="64">
        <v>9.68</v>
      </c>
      <c r="S31" s="198"/>
      <c r="T31" s="198"/>
      <c r="U31" s="198"/>
    </row>
    <row r="32" spans="1:21" s="12" customFormat="1" x14ac:dyDescent="0.25">
      <c r="A32" s="211" t="s">
        <v>2383</v>
      </c>
      <c r="B32" s="64">
        <v>52.64</v>
      </c>
      <c r="C32" s="64">
        <v>0.55000000000000004</v>
      </c>
      <c r="D32" s="64">
        <v>42.04</v>
      </c>
      <c r="E32" s="64">
        <v>5.47</v>
      </c>
      <c r="F32" s="64">
        <v>3.04</v>
      </c>
      <c r="G32" s="64">
        <v>78.48</v>
      </c>
      <c r="H32" s="64">
        <v>35.99</v>
      </c>
      <c r="I32" s="64">
        <v>6.55</v>
      </c>
      <c r="J32" s="64">
        <v>0.17</v>
      </c>
      <c r="K32" s="64">
        <v>220.24</v>
      </c>
      <c r="L32" s="64">
        <v>15.79</v>
      </c>
      <c r="M32" s="64">
        <v>97</v>
      </c>
      <c r="N32" s="64">
        <v>40</v>
      </c>
      <c r="O32" s="64">
        <v>0</v>
      </c>
      <c r="P32" s="64">
        <v>1.44</v>
      </c>
      <c r="Q32" s="64">
        <v>9.69</v>
      </c>
      <c r="S32" s="198"/>
      <c r="T32" s="198"/>
      <c r="U32" s="198"/>
    </row>
    <row r="33" spans="1:21" s="12" customFormat="1" x14ac:dyDescent="0.25">
      <c r="A33" s="211" t="s">
        <v>2384</v>
      </c>
      <c r="B33" s="64">
        <v>54.38</v>
      </c>
      <c r="C33" s="64">
        <v>0.01</v>
      </c>
      <c r="D33" s="64">
        <v>42.94</v>
      </c>
      <c r="E33" s="64">
        <v>5.36</v>
      </c>
      <c r="F33" s="64">
        <v>2.96</v>
      </c>
      <c r="G33" s="64">
        <v>90.43</v>
      </c>
      <c r="H33" s="64">
        <v>39.83</v>
      </c>
      <c r="I33" s="64">
        <v>6.5</v>
      </c>
      <c r="J33" s="64">
        <v>0.08</v>
      </c>
      <c r="K33" s="64">
        <v>79.02</v>
      </c>
      <c r="L33" s="64">
        <v>15.83</v>
      </c>
      <c r="M33" s="64">
        <v>96.99</v>
      </c>
      <c r="N33" s="64">
        <v>41.6</v>
      </c>
      <c r="O33" s="64">
        <v>0</v>
      </c>
      <c r="P33" s="64">
        <v>1.45</v>
      </c>
      <c r="Q33" s="64">
        <v>9.69</v>
      </c>
      <c r="S33" s="198"/>
      <c r="T33" s="198"/>
      <c r="U33" s="198"/>
    </row>
    <row r="34" spans="1:21" s="12" customFormat="1" x14ac:dyDescent="0.25">
      <c r="A34" s="211" t="s">
        <v>2385</v>
      </c>
      <c r="B34" s="64">
        <v>55.84</v>
      </c>
      <c r="C34" s="6" t="s">
        <v>42</v>
      </c>
      <c r="D34" s="64">
        <v>43.67</v>
      </c>
      <c r="E34" s="64">
        <v>5.28</v>
      </c>
      <c r="F34" s="64">
        <v>3.13</v>
      </c>
      <c r="G34" s="64">
        <v>94.3</v>
      </c>
      <c r="H34" s="64">
        <v>39.83</v>
      </c>
      <c r="I34" s="64">
        <v>6.68</v>
      </c>
      <c r="J34" s="64">
        <v>0.13</v>
      </c>
      <c r="K34" s="64">
        <v>40.880000000000003</v>
      </c>
      <c r="L34" s="64">
        <v>15.9</v>
      </c>
      <c r="M34" s="64">
        <v>96.99</v>
      </c>
      <c r="N34" s="64">
        <v>47.9</v>
      </c>
      <c r="O34" s="64">
        <v>0</v>
      </c>
      <c r="P34" s="64">
        <v>1.46</v>
      </c>
      <c r="Q34" s="64">
        <v>9.69</v>
      </c>
      <c r="S34" s="198"/>
      <c r="T34" s="198"/>
      <c r="U34" s="198"/>
    </row>
    <row r="35" spans="1:21" s="12" customFormat="1" x14ac:dyDescent="0.25">
      <c r="A35" s="211" t="s">
        <v>2386</v>
      </c>
      <c r="B35" s="64">
        <v>57.32</v>
      </c>
      <c r="C35" s="6" t="s">
        <v>42</v>
      </c>
      <c r="D35" s="64">
        <v>44.41</v>
      </c>
      <c r="E35" s="64">
        <v>5.6</v>
      </c>
      <c r="F35" s="64">
        <v>3.06</v>
      </c>
      <c r="G35" s="64">
        <v>94.3</v>
      </c>
      <c r="H35" s="64">
        <v>39.83</v>
      </c>
      <c r="I35" s="64">
        <v>7.09</v>
      </c>
      <c r="J35" s="64">
        <v>0.13</v>
      </c>
      <c r="K35" s="64">
        <v>21.23</v>
      </c>
      <c r="L35" s="64">
        <v>16.04</v>
      </c>
      <c r="M35" s="64">
        <v>96.97</v>
      </c>
      <c r="N35" s="64">
        <v>60.2</v>
      </c>
      <c r="O35" s="64">
        <v>0</v>
      </c>
      <c r="P35" s="64">
        <v>1.45</v>
      </c>
      <c r="Q35" s="64">
        <v>9.6999999999999993</v>
      </c>
      <c r="S35" s="198"/>
      <c r="T35" s="198"/>
      <c r="U35" s="198"/>
    </row>
    <row r="36" spans="1:21" s="12" customFormat="1" x14ac:dyDescent="0.25">
      <c r="A36" s="211" t="s">
        <v>2387</v>
      </c>
      <c r="B36" s="64">
        <v>58.43</v>
      </c>
      <c r="C36" s="6" t="s">
        <v>42</v>
      </c>
      <c r="D36" s="64">
        <v>44.96</v>
      </c>
      <c r="E36" s="64">
        <v>5.73</v>
      </c>
      <c r="F36" s="64">
        <v>3.17</v>
      </c>
      <c r="G36" s="64">
        <v>94.3</v>
      </c>
      <c r="H36" s="64">
        <v>39.83</v>
      </c>
      <c r="I36" s="64">
        <v>6.75</v>
      </c>
      <c r="J36" s="64">
        <v>0.2</v>
      </c>
      <c r="K36" s="64">
        <v>115.05</v>
      </c>
      <c r="L36" s="64">
        <v>16.39</v>
      </c>
      <c r="M36" s="64">
        <v>96.95</v>
      </c>
      <c r="N36" s="64">
        <v>74.599999999999994</v>
      </c>
      <c r="O36" s="64">
        <v>0</v>
      </c>
      <c r="P36" s="64">
        <v>1.46</v>
      </c>
      <c r="Q36" s="64">
        <v>9.7100000000000009</v>
      </c>
      <c r="S36" s="198"/>
      <c r="T36" s="198"/>
      <c r="U36" s="198"/>
    </row>
    <row r="37" spans="1:21" s="12" customFormat="1" x14ac:dyDescent="0.25">
      <c r="A37" s="211" t="s">
        <v>2388</v>
      </c>
      <c r="B37" s="64">
        <v>59.76</v>
      </c>
      <c r="C37" s="6" t="s">
        <v>42</v>
      </c>
      <c r="D37" s="64">
        <v>45.53</v>
      </c>
      <c r="E37" s="64">
        <v>5.39</v>
      </c>
      <c r="F37" s="64">
        <v>3.07</v>
      </c>
      <c r="G37" s="64">
        <v>98.85</v>
      </c>
      <c r="H37" s="64">
        <v>40.020000000000003</v>
      </c>
      <c r="I37" s="64">
        <v>6.5</v>
      </c>
      <c r="J37" s="64">
        <v>0.18</v>
      </c>
      <c r="K37" s="64">
        <v>12.65</v>
      </c>
      <c r="L37" s="64">
        <v>17.14</v>
      </c>
      <c r="M37" s="64">
        <v>95.59</v>
      </c>
      <c r="N37" s="64">
        <v>95.2</v>
      </c>
      <c r="O37" s="64">
        <v>0</v>
      </c>
      <c r="P37" s="64">
        <v>1.47</v>
      </c>
      <c r="Q37" s="64">
        <v>9.6999999999999993</v>
      </c>
      <c r="S37" s="198"/>
      <c r="T37" s="198"/>
      <c r="U37" s="198"/>
    </row>
    <row r="38" spans="1:21" s="12" customFormat="1" x14ac:dyDescent="0.25">
      <c r="A38" s="211" t="s">
        <v>2389</v>
      </c>
      <c r="B38" s="64">
        <v>58.13</v>
      </c>
      <c r="C38" s="64">
        <v>0.84</v>
      </c>
      <c r="D38" s="64">
        <v>45.01</v>
      </c>
      <c r="E38" s="64">
        <v>5.73</v>
      </c>
      <c r="F38" s="64">
        <v>3.59</v>
      </c>
      <c r="G38" s="64">
        <v>100.32</v>
      </c>
      <c r="H38" s="64">
        <v>40.020000000000003</v>
      </c>
      <c r="I38" s="64">
        <v>6.56</v>
      </c>
      <c r="J38" s="64">
        <v>0.08</v>
      </c>
      <c r="K38" s="64">
        <v>88.71</v>
      </c>
      <c r="L38" s="64">
        <v>18.239999999999998</v>
      </c>
      <c r="M38" s="64">
        <v>88.06</v>
      </c>
      <c r="N38" s="64">
        <v>149.19999999999999</v>
      </c>
      <c r="O38" s="64">
        <v>0</v>
      </c>
      <c r="P38" s="64">
        <v>1.62</v>
      </c>
      <c r="Q38" s="64">
        <v>9.6999999999999993</v>
      </c>
      <c r="S38" s="198"/>
      <c r="T38" s="198"/>
      <c r="U38" s="198"/>
    </row>
    <row r="39" spans="1:21" s="12" customFormat="1" x14ac:dyDescent="0.25">
      <c r="A39" s="211" t="s">
        <v>2390</v>
      </c>
      <c r="B39" s="64">
        <v>58.73</v>
      </c>
      <c r="C39" s="6" t="s">
        <v>42</v>
      </c>
      <c r="D39" s="64">
        <v>45.08</v>
      </c>
      <c r="E39" s="64">
        <v>5.69</v>
      </c>
      <c r="F39" s="64">
        <v>3.05</v>
      </c>
      <c r="G39" s="64">
        <v>100.32</v>
      </c>
      <c r="H39" s="64">
        <v>40.020000000000003</v>
      </c>
      <c r="I39" s="64">
        <v>6.61</v>
      </c>
      <c r="J39" s="64">
        <v>0.4</v>
      </c>
      <c r="K39" s="64">
        <v>124.96</v>
      </c>
      <c r="L39" s="64">
        <v>19.559999999999999</v>
      </c>
      <c r="M39" s="64">
        <v>78.47</v>
      </c>
      <c r="N39" s="64">
        <v>197.3</v>
      </c>
      <c r="O39" s="64">
        <v>0</v>
      </c>
      <c r="P39" s="64">
        <v>1.65</v>
      </c>
      <c r="Q39" s="64">
        <v>9.6999999999999993</v>
      </c>
      <c r="S39" s="198"/>
      <c r="T39" s="198"/>
      <c r="U39" s="198"/>
    </row>
    <row r="40" spans="1:21" s="12" customFormat="1" x14ac:dyDescent="0.25">
      <c r="A40" s="211" t="s">
        <v>2391</v>
      </c>
      <c r="B40" s="64">
        <v>55.51</v>
      </c>
      <c r="C40" s="64">
        <v>0.47</v>
      </c>
      <c r="D40" s="64">
        <v>43.42</v>
      </c>
      <c r="E40" s="64">
        <v>5.39</v>
      </c>
      <c r="F40" s="64">
        <v>3.4</v>
      </c>
      <c r="G40" s="64">
        <v>100.32</v>
      </c>
      <c r="H40" s="64">
        <v>40.020000000000003</v>
      </c>
      <c r="I40" s="64">
        <v>6.61</v>
      </c>
      <c r="J40" s="64">
        <v>0.54</v>
      </c>
      <c r="K40" s="64">
        <v>121.51</v>
      </c>
      <c r="L40" s="64">
        <v>20.51</v>
      </c>
      <c r="M40" s="64">
        <v>73.28</v>
      </c>
      <c r="N40" s="64">
        <v>235.5</v>
      </c>
      <c r="O40" s="64">
        <v>0</v>
      </c>
      <c r="P40" s="64">
        <v>1.65</v>
      </c>
      <c r="Q40" s="64">
        <v>9.7100000000000009</v>
      </c>
      <c r="S40" s="198"/>
      <c r="T40" s="198"/>
      <c r="U40" s="198"/>
    </row>
    <row r="41" spans="1:21" s="12" customFormat="1" x14ac:dyDescent="0.25">
      <c r="A41" s="211" t="s">
        <v>2392</v>
      </c>
      <c r="B41" s="64">
        <v>56.31</v>
      </c>
      <c r="C41" s="64">
        <v>0.24</v>
      </c>
      <c r="D41" s="64">
        <v>44.25</v>
      </c>
      <c r="E41" s="64">
        <v>5.78</v>
      </c>
      <c r="F41" s="64">
        <v>3.11</v>
      </c>
      <c r="G41" s="64">
        <v>112.92</v>
      </c>
      <c r="H41" s="64">
        <v>46.5</v>
      </c>
      <c r="I41" s="64">
        <v>6.59</v>
      </c>
      <c r="J41" s="64">
        <v>0.69</v>
      </c>
      <c r="K41" s="64">
        <v>146.74</v>
      </c>
      <c r="L41" s="64">
        <v>20.64</v>
      </c>
      <c r="M41" s="64">
        <v>81.39</v>
      </c>
      <c r="N41" s="64">
        <v>279</v>
      </c>
      <c r="O41" s="64">
        <v>0</v>
      </c>
      <c r="P41" s="64">
        <v>1.65</v>
      </c>
      <c r="Q41" s="64">
        <v>9.6999999999999993</v>
      </c>
      <c r="S41" s="198"/>
      <c r="T41" s="198"/>
      <c r="U41" s="198"/>
    </row>
    <row r="42" spans="1:21" s="12" customFormat="1" x14ac:dyDescent="0.25">
      <c r="A42" s="211" t="s">
        <v>2393</v>
      </c>
      <c r="B42" s="64">
        <v>54.6</v>
      </c>
      <c r="C42" s="64">
        <v>0.76</v>
      </c>
      <c r="D42" s="64">
        <v>43.71</v>
      </c>
      <c r="E42" s="64">
        <v>6.09</v>
      </c>
      <c r="F42" s="64">
        <v>3.22</v>
      </c>
      <c r="G42" s="64">
        <v>117</v>
      </c>
      <c r="H42" s="64">
        <v>46.5</v>
      </c>
      <c r="I42" s="64">
        <v>7</v>
      </c>
      <c r="J42" s="64">
        <v>0.65</v>
      </c>
      <c r="K42" s="64">
        <v>126.89</v>
      </c>
      <c r="L42" s="64">
        <v>21.68</v>
      </c>
      <c r="M42" s="64">
        <v>69.05</v>
      </c>
      <c r="N42" s="64">
        <v>327.5</v>
      </c>
      <c r="O42" s="64">
        <v>0</v>
      </c>
      <c r="P42" s="64">
        <v>1.65</v>
      </c>
      <c r="Q42" s="64">
        <v>9.6999999999999993</v>
      </c>
      <c r="S42" s="198"/>
      <c r="T42" s="198"/>
      <c r="U42" s="198"/>
    </row>
    <row r="43" spans="1:21" s="12" customFormat="1" x14ac:dyDescent="0.25">
      <c r="A43" s="211" t="s">
        <v>2394</v>
      </c>
      <c r="B43" s="64">
        <v>51.44</v>
      </c>
      <c r="C43" s="64">
        <v>1.53</v>
      </c>
      <c r="D43" s="64">
        <v>41.01</v>
      </c>
      <c r="E43" s="64">
        <v>6.19</v>
      </c>
      <c r="F43" s="64">
        <v>4.55</v>
      </c>
      <c r="G43" s="64">
        <v>117</v>
      </c>
      <c r="H43" s="64">
        <v>46.5</v>
      </c>
      <c r="I43" s="64">
        <v>7.3</v>
      </c>
      <c r="J43" s="64">
        <v>0.77</v>
      </c>
      <c r="K43" s="64">
        <v>113.12</v>
      </c>
      <c r="L43" s="64">
        <v>22.17</v>
      </c>
      <c r="M43" s="64">
        <v>62.62</v>
      </c>
      <c r="N43" s="64">
        <v>377.3</v>
      </c>
      <c r="O43" s="64">
        <v>0</v>
      </c>
      <c r="P43" s="64">
        <v>1.57</v>
      </c>
      <c r="Q43" s="64">
        <v>9.69</v>
      </c>
      <c r="S43" s="198"/>
      <c r="T43" s="198"/>
      <c r="U43" s="198"/>
    </row>
    <row r="44" spans="1:21" s="12" customFormat="1" x14ac:dyDescent="0.25">
      <c r="A44" s="211" t="s">
        <v>2395</v>
      </c>
      <c r="B44" s="64">
        <v>50.57</v>
      </c>
      <c r="C44" s="64">
        <v>2.4900000000000002</v>
      </c>
      <c r="D44" s="64">
        <v>41.21</v>
      </c>
      <c r="E44" s="64">
        <v>6.22</v>
      </c>
      <c r="F44" s="64">
        <v>5</v>
      </c>
      <c r="G44" s="64">
        <v>117</v>
      </c>
      <c r="H44" s="64">
        <v>46.5</v>
      </c>
      <c r="I44" s="64">
        <v>6.84</v>
      </c>
      <c r="J44" s="64">
        <v>0.72</v>
      </c>
      <c r="K44" s="64">
        <v>125.24</v>
      </c>
      <c r="L44" s="64">
        <v>22.67</v>
      </c>
      <c r="M44" s="64">
        <v>60.72</v>
      </c>
      <c r="N44" s="64">
        <v>418.3</v>
      </c>
      <c r="O44" s="64">
        <v>0</v>
      </c>
      <c r="P44" s="64">
        <v>1.58</v>
      </c>
      <c r="Q44" s="64">
        <v>9.69</v>
      </c>
      <c r="S44" s="198"/>
      <c r="T44" s="198"/>
      <c r="U44" s="198"/>
    </row>
    <row r="45" spans="1:21" s="12" customFormat="1" x14ac:dyDescent="0.25">
      <c r="A45" s="211" t="s">
        <v>2396</v>
      </c>
      <c r="B45" s="64">
        <v>51.26</v>
      </c>
      <c r="C45" s="64">
        <v>2.0499999999999998</v>
      </c>
      <c r="D45" s="64">
        <v>41.71</v>
      </c>
      <c r="E45" s="64">
        <v>6</v>
      </c>
      <c r="F45" s="64">
        <v>3.67</v>
      </c>
      <c r="G45" s="64">
        <v>105.89</v>
      </c>
      <c r="H45" s="64">
        <v>42.38</v>
      </c>
      <c r="I45" s="64">
        <v>6.47</v>
      </c>
      <c r="J45" s="64">
        <v>0.64</v>
      </c>
      <c r="K45" s="64">
        <v>117.62</v>
      </c>
      <c r="L45" s="64">
        <v>23.76</v>
      </c>
      <c r="M45" s="64">
        <v>56.9</v>
      </c>
      <c r="N45" s="64">
        <v>450.9</v>
      </c>
      <c r="O45" s="64">
        <v>0</v>
      </c>
      <c r="P45" s="64">
        <v>1.56</v>
      </c>
      <c r="Q45" s="64">
        <v>9.69</v>
      </c>
      <c r="S45" s="198"/>
      <c r="T45" s="198"/>
      <c r="U45" s="198"/>
    </row>
    <row r="46" spans="1:21" s="12" customFormat="1" x14ac:dyDescent="0.25">
      <c r="A46" s="211" t="s">
        <v>2397</v>
      </c>
      <c r="B46" s="64">
        <v>49.93</v>
      </c>
      <c r="C46" s="64">
        <v>2.74</v>
      </c>
      <c r="D46" s="64">
        <v>41.01</v>
      </c>
      <c r="E46" s="64">
        <v>6.03</v>
      </c>
      <c r="F46" s="64">
        <v>3.65</v>
      </c>
      <c r="G46" s="64">
        <v>102.3</v>
      </c>
      <c r="H46" s="64">
        <v>42.38</v>
      </c>
      <c r="I46" s="64">
        <v>6.8</v>
      </c>
      <c r="J46" s="64">
        <v>0.69</v>
      </c>
      <c r="K46" s="64">
        <v>113.52</v>
      </c>
      <c r="L46" s="64">
        <v>24.1</v>
      </c>
      <c r="M46" s="64">
        <v>54.77</v>
      </c>
      <c r="N46" s="64">
        <v>475.2</v>
      </c>
      <c r="O46" s="64">
        <v>0</v>
      </c>
      <c r="P46" s="64">
        <v>1.52</v>
      </c>
      <c r="Q46" s="64">
        <v>9.68</v>
      </c>
      <c r="S46" s="198"/>
      <c r="T46" s="198"/>
      <c r="U46" s="198"/>
    </row>
    <row r="47" spans="1:21" s="12" customFormat="1" x14ac:dyDescent="0.25">
      <c r="A47" s="211" t="s">
        <v>2398</v>
      </c>
      <c r="B47" s="64">
        <v>47.29</v>
      </c>
      <c r="C47" s="64">
        <v>4.67</v>
      </c>
      <c r="D47" s="64">
        <v>39.9</v>
      </c>
      <c r="E47" s="64">
        <v>6.05</v>
      </c>
      <c r="F47" s="64">
        <v>3.64</v>
      </c>
      <c r="G47" s="64">
        <v>102.3</v>
      </c>
      <c r="H47" s="64">
        <v>42.38</v>
      </c>
      <c r="I47" s="64">
        <v>6.6</v>
      </c>
      <c r="J47" s="64">
        <v>0.49</v>
      </c>
      <c r="K47" s="64">
        <v>121.37</v>
      </c>
      <c r="L47" s="64">
        <v>25.46</v>
      </c>
      <c r="M47" s="64">
        <v>50.71</v>
      </c>
      <c r="N47" s="64">
        <v>510.5</v>
      </c>
      <c r="O47" s="64">
        <v>0</v>
      </c>
      <c r="P47" s="64">
        <v>1.48</v>
      </c>
      <c r="Q47" s="64">
        <v>9.68</v>
      </c>
      <c r="S47" s="198"/>
      <c r="T47" s="198"/>
      <c r="U47" s="198"/>
    </row>
    <row r="48" spans="1:21" s="12" customFormat="1" x14ac:dyDescent="0.25">
      <c r="A48" s="211" t="s">
        <v>2399</v>
      </c>
      <c r="B48" s="64">
        <v>45.44</v>
      </c>
      <c r="C48" s="64">
        <v>6.24</v>
      </c>
      <c r="D48" s="64">
        <v>39.24</v>
      </c>
      <c r="E48" s="64">
        <v>5.89</v>
      </c>
      <c r="F48" s="64">
        <v>3.21</v>
      </c>
      <c r="G48" s="64">
        <v>102.3</v>
      </c>
      <c r="H48" s="64">
        <v>42.38</v>
      </c>
      <c r="I48" s="64">
        <v>6.22</v>
      </c>
      <c r="J48" s="64">
        <v>0.57999999999999996</v>
      </c>
      <c r="K48" s="64">
        <v>127.88</v>
      </c>
      <c r="L48" s="64">
        <v>25.95</v>
      </c>
      <c r="M48" s="64">
        <v>48.83</v>
      </c>
      <c r="N48" s="64">
        <v>533.29999999999995</v>
      </c>
      <c r="O48" s="64">
        <v>0</v>
      </c>
      <c r="P48" s="64">
        <v>1.45</v>
      </c>
      <c r="Q48" s="64">
        <v>9.67</v>
      </c>
      <c r="S48" s="198"/>
      <c r="T48" s="198"/>
      <c r="U48" s="198"/>
    </row>
    <row r="49" spans="1:21" s="12" customFormat="1" x14ac:dyDescent="0.25">
      <c r="A49" s="211" t="s">
        <v>2400</v>
      </c>
      <c r="B49" s="64">
        <v>42.47</v>
      </c>
      <c r="C49" s="64">
        <v>7.57</v>
      </c>
      <c r="D49" s="64">
        <v>37.549999999999997</v>
      </c>
      <c r="E49" s="64">
        <v>6.09</v>
      </c>
      <c r="F49" s="64">
        <v>3.83</v>
      </c>
      <c r="G49" s="64">
        <v>96.42</v>
      </c>
      <c r="H49" s="64">
        <v>41.9</v>
      </c>
      <c r="I49" s="64">
        <v>6.15</v>
      </c>
      <c r="J49" s="64">
        <v>0.42</v>
      </c>
      <c r="K49" s="64">
        <v>117.65</v>
      </c>
      <c r="L49" s="64">
        <v>26.67</v>
      </c>
      <c r="M49" s="64">
        <v>47.13</v>
      </c>
      <c r="N49" s="64">
        <v>554.5</v>
      </c>
      <c r="O49" s="64">
        <v>0</v>
      </c>
      <c r="P49" s="64">
        <v>1.43</v>
      </c>
      <c r="Q49" s="64">
        <v>9.67</v>
      </c>
      <c r="S49" s="198"/>
      <c r="T49" s="198"/>
      <c r="U49" s="198"/>
    </row>
    <row r="50" spans="1:21" s="12" customFormat="1" x14ac:dyDescent="0.25">
      <c r="A50" s="211" t="s">
        <v>2401</v>
      </c>
      <c r="B50" s="64">
        <v>41.21</v>
      </c>
      <c r="C50" s="64">
        <v>8.44</v>
      </c>
      <c r="D50" s="64">
        <v>37</v>
      </c>
      <c r="E50" s="64">
        <v>5.98</v>
      </c>
      <c r="F50" s="64">
        <v>3.24</v>
      </c>
      <c r="G50" s="64">
        <v>94.51</v>
      </c>
      <c r="H50" s="64">
        <v>41.9</v>
      </c>
      <c r="I50" s="64">
        <v>6.08</v>
      </c>
      <c r="J50" s="64">
        <v>0.36</v>
      </c>
      <c r="K50" s="64">
        <v>128.63</v>
      </c>
      <c r="L50" s="64">
        <v>27.36</v>
      </c>
      <c r="M50" s="64">
        <v>44.04</v>
      </c>
      <c r="N50" s="64">
        <v>570.70000000000005</v>
      </c>
      <c r="O50" s="64">
        <v>0</v>
      </c>
      <c r="P50" s="64">
        <v>1.41</v>
      </c>
      <c r="Q50" s="64">
        <v>9.67</v>
      </c>
      <c r="S50" s="198"/>
      <c r="T50" s="198"/>
      <c r="U50" s="198"/>
    </row>
    <row r="51" spans="1:21" s="12" customFormat="1" x14ac:dyDescent="0.25">
      <c r="A51" s="211" t="s">
        <v>2402</v>
      </c>
      <c r="B51" s="64">
        <v>38.21</v>
      </c>
      <c r="C51" s="64">
        <v>10.59</v>
      </c>
      <c r="D51" s="64">
        <v>35.71</v>
      </c>
      <c r="E51" s="64">
        <v>6.29</v>
      </c>
      <c r="F51" s="64">
        <v>3.68</v>
      </c>
      <c r="G51" s="64">
        <v>94.51</v>
      </c>
      <c r="H51" s="64">
        <v>41.9</v>
      </c>
      <c r="I51" s="64">
        <v>6.02</v>
      </c>
      <c r="J51" s="64">
        <v>0.14000000000000001</v>
      </c>
      <c r="K51" s="64">
        <v>101.02</v>
      </c>
      <c r="L51" s="64">
        <v>28.81</v>
      </c>
      <c r="M51" s="64">
        <v>38.56</v>
      </c>
      <c r="N51" s="64">
        <v>573.20000000000005</v>
      </c>
      <c r="O51" s="64">
        <v>0</v>
      </c>
      <c r="P51" s="64">
        <v>1.37</v>
      </c>
      <c r="Q51" s="64">
        <v>9.67</v>
      </c>
      <c r="S51" s="198"/>
      <c r="T51" s="198"/>
      <c r="U51" s="198"/>
    </row>
    <row r="52" spans="1:21" s="12" customFormat="1" x14ac:dyDescent="0.25">
      <c r="A52" s="211" t="s">
        <v>2403</v>
      </c>
      <c r="B52" s="64">
        <v>34.75</v>
      </c>
      <c r="C52" s="64">
        <v>11.85</v>
      </c>
      <c r="D52" s="64">
        <v>33.6</v>
      </c>
      <c r="E52" s="64">
        <v>6.2</v>
      </c>
      <c r="F52" s="64">
        <v>4.5</v>
      </c>
      <c r="G52" s="64">
        <v>94.51</v>
      </c>
      <c r="H52" s="64">
        <v>41.9</v>
      </c>
      <c r="I52" s="64">
        <v>5.93</v>
      </c>
      <c r="J52" s="64">
        <v>0.92</v>
      </c>
      <c r="K52" s="64">
        <v>125.82</v>
      </c>
      <c r="L52" s="64">
        <v>27.66</v>
      </c>
      <c r="M52" s="64">
        <v>39.33</v>
      </c>
      <c r="N52" s="64">
        <v>589.1</v>
      </c>
      <c r="O52" s="64">
        <v>0</v>
      </c>
      <c r="P52" s="64">
        <v>1.34</v>
      </c>
      <c r="Q52" s="64">
        <v>9.66</v>
      </c>
      <c r="S52" s="198"/>
      <c r="T52" s="198"/>
      <c r="U52" s="198"/>
    </row>
    <row r="53" spans="1:21" s="12" customFormat="1" x14ac:dyDescent="0.25">
      <c r="A53" s="211" t="s">
        <v>2404</v>
      </c>
      <c r="B53" s="64">
        <v>31.81</v>
      </c>
      <c r="C53" s="64">
        <v>12.83</v>
      </c>
      <c r="D53" s="64">
        <v>31.75</v>
      </c>
      <c r="E53" s="64">
        <v>6.01</v>
      </c>
      <c r="F53" s="64">
        <v>4.83</v>
      </c>
      <c r="G53" s="64">
        <v>82.72</v>
      </c>
      <c r="H53" s="64">
        <v>35.31</v>
      </c>
      <c r="I53" s="64">
        <v>5.83</v>
      </c>
      <c r="J53" s="64">
        <v>0.67</v>
      </c>
      <c r="K53" s="64">
        <v>120.08</v>
      </c>
      <c r="L53" s="64">
        <v>27.69</v>
      </c>
      <c r="M53" s="64">
        <v>39.090000000000003</v>
      </c>
      <c r="N53" s="64">
        <v>595</v>
      </c>
      <c r="O53" s="64">
        <v>0</v>
      </c>
      <c r="P53" s="64">
        <v>1.29</v>
      </c>
      <c r="Q53" s="64">
        <v>9.66</v>
      </c>
      <c r="S53" s="198"/>
      <c r="T53" s="198"/>
      <c r="U53" s="198"/>
    </row>
    <row r="54" spans="1:21" s="12" customFormat="1" x14ac:dyDescent="0.25">
      <c r="A54" s="211" t="s">
        <v>2405</v>
      </c>
      <c r="B54" s="64">
        <v>29.29</v>
      </c>
      <c r="C54" s="64">
        <v>13.74</v>
      </c>
      <c r="D54" s="64">
        <v>30.21</v>
      </c>
      <c r="E54" s="64">
        <v>6.98</v>
      </c>
      <c r="F54" s="64">
        <v>6.7</v>
      </c>
      <c r="G54" s="64">
        <v>78.91</v>
      </c>
      <c r="H54" s="64">
        <v>35.31</v>
      </c>
      <c r="I54" s="64">
        <v>5.73</v>
      </c>
      <c r="J54" s="64">
        <v>0.08</v>
      </c>
      <c r="K54" s="64">
        <v>66.25</v>
      </c>
      <c r="L54" s="64">
        <v>29.01</v>
      </c>
      <c r="M54" s="64">
        <v>32.96</v>
      </c>
      <c r="N54" s="64">
        <v>603.5</v>
      </c>
      <c r="O54" s="64">
        <v>0</v>
      </c>
      <c r="P54" s="64">
        <v>1.21</v>
      </c>
      <c r="Q54" s="64">
        <v>9.66</v>
      </c>
      <c r="S54" s="198"/>
      <c r="T54" s="198"/>
      <c r="U54" s="198"/>
    </row>
    <row r="55" spans="1:21" s="12" customFormat="1" x14ac:dyDescent="0.25">
      <c r="A55" s="211" t="s">
        <v>2406</v>
      </c>
      <c r="B55" s="64">
        <v>26.01</v>
      </c>
      <c r="C55" s="64">
        <v>15.04</v>
      </c>
      <c r="D55" s="64">
        <v>28.25</v>
      </c>
      <c r="E55" s="64">
        <v>7.61</v>
      </c>
      <c r="F55" s="64">
        <v>9.4</v>
      </c>
      <c r="G55" s="64">
        <v>78.91</v>
      </c>
      <c r="H55" s="64">
        <v>35.31</v>
      </c>
      <c r="I55" s="64">
        <v>5.62</v>
      </c>
      <c r="J55" s="64">
        <v>0.11</v>
      </c>
      <c r="K55" s="64">
        <v>86.8</v>
      </c>
      <c r="L55" s="64">
        <v>29.71</v>
      </c>
      <c r="M55" s="64">
        <v>33.78</v>
      </c>
      <c r="N55" s="64">
        <v>599.79999999999995</v>
      </c>
      <c r="O55" s="64">
        <v>0</v>
      </c>
      <c r="P55" s="64">
        <v>1.17</v>
      </c>
      <c r="Q55" s="64">
        <v>9.65</v>
      </c>
      <c r="S55" s="198"/>
      <c r="T55" s="198"/>
      <c r="U55" s="198"/>
    </row>
    <row r="56" spans="1:21" s="12" customFormat="1" x14ac:dyDescent="0.25">
      <c r="A56" s="211" t="s">
        <v>2407</v>
      </c>
      <c r="B56" s="64">
        <v>21.86</v>
      </c>
      <c r="C56" s="64">
        <v>16.3</v>
      </c>
      <c r="D56" s="64">
        <v>25.58</v>
      </c>
      <c r="E56" s="64">
        <v>8.5399999999999991</v>
      </c>
      <c r="F56" s="64">
        <v>13.22</v>
      </c>
      <c r="G56" s="64">
        <v>78.91</v>
      </c>
      <c r="H56" s="64">
        <v>35.31</v>
      </c>
      <c r="I56" s="64">
        <v>5.51</v>
      </c>
      <c r="J56" s="64">
        <v>0.17</v>
      </c>
      <c r="K56" s="64">
        <v>85.82</v>
      </c>
      <c r="L56" s="64">
        <v>30.11</v>
      </c>
      <c r="M56" s="64">
        <v>33.159999999999997</v>
      </c>
      <c r="N56" s="64">
        <v>607.9</v>
      </c>
      <c r="O56" s="64">
        <v>0</v>
      </c>
      <c r="P56" s="64">
        <v>1.02</v>
      </c>
      <c r="Q56" s="64">
        <v>9.65</v>
      </c>
      <c r="S56" s="198"/>
      <c r="T56" s="198"/>
      <c r="U56" s="198"/>
    </row>
    <row r="57" spans="1:21" s="12" customFormat="1" x14ac:dyDescent="0.25">
      <c r="A57" s="211" t="s">
        <v>2408</v>
      </c>
      <c r="B57" s="64">
        <v>19.760000000000002</v>
      </c>
      <c r="C57" s="64">
        <v>16.48</v>
      </c>
      <c r="D57" s="64">
        <v>24</v>
      </c>
      <c r="E57" s="64">
        <v>8.7799999999999994</v>
      </c>
      <c r="F57" s="64">
        <v>13.18</v>
      </c>
      <c r="G57" s="64">
        <v>64.06</v>
      </c>
      <c r="H57" s="64">
        <v>27.36</v>
      </c>
      <c r="I57" s="64">
        <v>5.43</v>
      </c>
      <c r="J57" s="64">
        <v>0.28999999999999998</v>
      </c>
      <c r="K57" s="64">
        <v>12.65</v>
      </c>
      <c r="L57" s="64">
        <v>29.32</v>
      </c>
      <c r="M57" s="64">
        <v>33.619999999999997</v>
      </c>
      <c r="N57" s="64">
        <v>580.9</v>
      </c>
      <c r="O57" s="64">
        <v>0</v>
      </c>
      <c r="P57" s="64">
        <v>1</v>
      </c>
      <c r="Q57" s="64">
        <v>9.66</v>
      </c>
      <c r="S57" s="198"/>
      <c r="T57" s="198"/>
      <c r="U57" s="198"/>
    </row>
    <row r="58" spans="1:21" s="12" customFormat="1" x14ac:dyDescent="0.25">
      <c r="A58" s="211" t="s">
        <v>2409</v>
      </c>
      <c r="B58" s="64">
        <v>19.86</v>
      </c>
      <c r="C58" s="64">
        <v>20.92</v>
      </c>
      <c r="D58" s="64">
        <v>26.39</v>
      </c>
      <c r="E58" s="64">
        <v>8.89</v>
      </c>
      <c r="F58" s="64">
        <v>12.35</v>
      </c>
      <c r="G58" s="64">
        <v>59.25</v>
      </c>
      <c r="H58" s="64">
        <v>27.36</v>
      </c>
      <c r="I58" s="64">
        <v>5.35</v>
      </c>
      <c r="J58" s="64">
        <v>0.62</v>
      </c>
      <c r="K58" s="64">
        <v>337.52</v>
      </c>
      <c r="L58" s="64">
        <v>30.89</v>
      </c>
      <c r="M58" s="64">
        <v>29.14</v>
      </c>
      <c r="N58" s="64">
        <v>541.4</v>
      </c>
      <c r="O58" s="64">
        <v>0</v>
      </c>
      <c r="P58" s="64">
        <v>1.07</v>
      </c>
      <c r="Q58" s="64">
        <v>9.64</v>
      </c>
      <c r="S58" s="198"/>
      <c r="T58" s="198"/>
      <c r="U58" s="198"/>
    </row>
    <row r="59" spans="1:21" s="12" customFormat="1" x14ac:dyDescent="0.25">
      <c r="A59" s="211" t="s">
        <v>2410</v>
      </c>
      <c r="B59" s="64">
        <v>20.11</v>
      </c>
      <c r="C59" s="64">
        <v>21.7</v>
      </c>
      <c r="D59" s="64">
        <v>27</v>
      </c>
      <c r="E59" s="64">
        <v>7.93</v>
      </c>
      <c r="F59" s="64">
        <v>9.49</v>
      </c>
      <c r="G59" s="64">
        <v>59.25</v>
      </c>
      <c r="H59" s="64">
        <v>27.36</v>
      </c>
      <c r="I59" s="64">
        <v>5.24</v>
      </c>
      <c r="J59" s="64">
        <v>0.96</v>
      </c>
      <c r="K59" s="64">
        <v>338.12</v>
      </c>
      <c r="L59" s="64">
        <v>31.29</v>
      </c>
      <c r="M59" s="64">
        <v>27.82</v>
      </c>
      <c r="N59" s="64">
        <v>536</v>
      </c>
      <c r="O59" s="64">
        <v>0</v>
      </c>
      <c r="P59" s="64">
        <v>1.0900000000000001</v>
      </c>
      <c r="Q59" s="64">
        <v>9.65</v>
      </c>
      <c r="S59" s="198"/>
      <c r="T59" s="198"/>
      <c r="U59" s="198"/>
    </row>
    <row r="60" spans="1:21" s="12" customFormat="1" x14ac:dyDescent="0.25">
      <c r="A60" s="211" t="s">
        <v>2411</v>
      </c>
      <c r="B60" s="64">
        <v>16.46</v>
      </c>
      <c r="C60" s="64">
        <v>20.66</v>
      </c>
      <c r="D60" s="64">
        <v>23.53</v>
      </c>
      <c r="E60" s="64">
        <v>9.1</v>
      </c>
      <c r="F60" s="64">
        <v>16.16</v>
      </c>
      <c r="G60" s="64">
        <v>59.25</v>
      </c>
      <c r="H60" s="64">
        <v>27.36</v>
      </c>
      <c r="I60" s="64">
        <v>5.13</v>
      </c>
      <c r="J60" s="64">
        <v>0.48</v>
      </c>
      <c r="K60" s="64">
        <v>103.28</v>
      </c>
      <c r="L60" s="64">
        <v>30.36</v>
      </c>
      <c r="M60" s="64">
        <v>28.62</v>
      </c>
      <c r="N60" s="64">
        <v>528.20000000000005</v>
      </c>
      <c r="O60" s="64">
        <v>0</v>
      </c>
      <c r="P60" s="64">
        <v>0.95</v>
      </c>
      <c r="Q60" s="64">
        <v>9.64</v>
      </c>
      <c r="S60" s="198"/>
      <c r="T60" s="198"/>
      <c r="U60" s="198"/>
    </row>
    <row r="61" spans="1:21" s="12" customFormat="1" x14ac:dyDescent="0.25">
      <c r="A61" s="211" t="s">
        <v>2412</v>
      </c>
      <c r="B61" s="64">
        <v>14.52</v>
      </c>
      <c r="C61" s="64">
        <v>18.78</v>
      </c>
      <c r="D61" s="64">
        <v>20.99</v>
      </c>
      <c r="E61" s="64">
        <v>9.14</v>
      </c>
      <c r="F61" s="64">
        <v>16.43</v>
      </c>
      <c r="G61" s="64">
        <v>54.51</v>
      </c>
      <c r="H61" s="64">
        <v>23.66</v>
      </c>
      <c r="I61" s="64">
        <v>5.0199999999999996</v>
      </c>
      <c r="J61" s="64">
        <v>0.94</v>
      </c>
      <c r="K61" s="64">
        <v>130.72</v>
      </c>
      <c r="L61" s="64">
        <v>28.24</v>
      </c>
      <c r="M61" s="64">
        <v>32.42</v>
      </c>
      <c r="N61" s="64">
        <v>487.6</v>
      </c>
      <c r="O61" s="64">
        <v>0</v>
      </c>
      <c r="P61" s="64">
        <v>0.9</v>
      </c>
      <c r="Q61" s="64">
        <v>9.64</v>
      </c>
      <c r="S61" s="198"/>
      <c r="T61" s="198"/>
      <c r="U61" s="198"/>
    </row>
    <row r="62" spans="1:21" s="12" customFormat="1" x14ac:dyDescent="0.25">
      <c r="A62" s="211" t="s">
        <v>2413</v>
      </c>
      <c r="B62" s="64">
        <v>15.6</v>
      </c>
      <c r="C62" s="64">
        <v>19.34</v>
      </c>
      <c r="D62" s="64">
        <v>22.15</v>
      </c>
      <c r="E62" s="64">
        <v>8.33</v>
      </c>
      <c r="F62" s="64">
        <v>9.86</v>
      </c>
      <c r="G62" s="64">
        <v>52.97</v>
      </c>
      <c r="H62" s="64">
        <v>23.66</v>
      </c>
      <c r="I62" s="64">
        <v>4.92</v>
      </c>
      <c r="J62" s="64">
        <v>1.18</v>
      </c>
      <c r="K62" s="64">
        <v>124.41</v>
      </c>
      <c r="L62" s="64">
        <v>27.39</v>
      </c>
      <c r="M62" s="64">
        <v>33.57</v>
      </c>
      <c r="N62" s="64">
        <v>479.5</v>
      </c>
      <c r="O62" s="64">
        <v>0</v>
      </c>
      <c r="P62" s="64">
        <v>1.01</v>
      </c>
      <c r="Q62" s="64">
        <v>9.6199999999999992</v>
      </c>
      <c r="S62" s="198"/>
      <c r="T62" s="198"/>
      <c r="U62" s="198"/>
    </row>
    <row r="63" spans="1:21" s="12" customFormat="1" x14ac:dyDescent="0.25">
      <c r="A63" s="211" t="s">
        <v>2414</v>
      </c>
      <c r="B63" s="64">
        <v>15.17</v>
      </c>
      <c r="C63" s="64">
        <v>21.49</v>
      </c>
      <c r="D63" s="64">
        <v>22.93</v>
      </c>
      <c r="E63" s="64">
        <v>8.07</v>
      </c>
      <c r="F63" s="64">
        <v>11.6</v>
      </c>
      <c r="G63" s="64">
        <v>52.97</v>
      </c>
      <c r="H63" s="64">
        <v>23.66</v>
      </c>
      <c r="I63" s="64">
        <v>4.8</v>
      </c>
      <c r="J63" s="64">
        <v>0.16</v>
      </c>
      <c r="K63" s="64">
        <v>48.6</v>
      </c>
      <c r="L63" s="64">
        <v>27.87</v>
      </c>
      <c r="M63" s="64">
        <v>33.380000000000003</v>
      </c>
      <c r="N63" s="64">
        <v>433.7</v>
      </c>
      <c r="O63" s="64">
        <v>0</v>
      </c>
      <c r="P63" s="64">
        <v>0.96</v>
      </c>
      <c r="Q63" s="64">
        <v>9.59</v>
      </c>
      <c r="S63" s="198"/>
      <c r="T63" s="198"/>
      <c r="U63" s="198"/>
    </row>
    <row r="64" spans="1:21" s="12" customFormat="1" x14ac:dyDescent="0.25">
      <c r="A64" s="211" t="s">
        <v>2415</v>
      </c>
      <c r="B64" s="64">
        <v>15.33</v>
      </c>
      <c r="C64" s="64">
        <v>22.02</v>
      </c>
      <c r="D64" s="64">
        <v>23.33</v>
      </c>
      <c r="E64" s="64">
        <v>7.44</v>
      </c>
      <c r="F64" s="64">
        <v>5.14</v>
      </c>
      <c r="G64" s="64">
        <v>52.97</v>
      </c>
      <c r="H64" s="64">
        <v>23.66</v>
      </c>
      <c r="I64" s="64">
        <v>5.04</v>
      </c>
      <c r="J64" s="64">
        <v>0.02</v>
      </c>
      <c r="K64" s="64">
        <v>30.49</v>
      </c>
      <c r="L64" s="64">
        <v>28.6</v>
      </c>
      <c r="M64" s="64">
        <v>31.67</v>
      </c>
      <c r="N64" s="64">
        <v>244.7</v>
      </c>
      <c r="O64" s="64">
        <v>0</v>
      </c>
      <c r="P64" s="64">
        <v>1.04</v>
      </c>
      <c r="Q64" s="64">
        <v>9.5500000000000007</v>
      </c>
      <c r="S64" s="198"/>
      <c r="T64" s="198"/>
      <c r="U64" s="198"/>
    </row>
    <row r="65" spans="1:21" s="12" customFormat="1" x14ac:dyDescent="0.25">
      <c r="A65" s="211" t="s">
        <v>2416</v>
      </c>
      <c r="B65" s="64">
        <v>10.87</v>
      </c>
      <c r="C65" s="64">
        <v>22.36</v>
      </c>
      <c r="D65" s="64">
        <v>19.940000000000001</v>
      </c>
      <c r="E65" s="64">
        <v>12.58</v>
      </c>
      <c r="F65" s="64">
        <v>22.91</v>
      </c>
      <c r="G65" s="64">
        <v>48.57</v>
      </c>
      <c r="H65" s="64">
        <v>19.73</v>
      </c>
      <c r="I65" s="64">
        <v>5.22</v>
      </c>
      <c r="J65" s="64">
        <v>0.63</v>
      </c>
      <c r="K65" s="64">
        <v>137.56</v>
      </c>
      <c r="L65" s="64">
        <v>27.27</v>
      </c>
      <c r="M65" s="64">
        <v>34.29</v>
      </c>
      <c r="N65" s="64">
        <v>158.69999999999999</v>
      </c>
      <c r="O65" s="64">
        <v>0</v>
      </c>
      <c r="P65" s="64">
        <v>0.86</v>
      </c>
      <c r="Q65" s="64">
        <v>9.51</v>
      </c>
      <c r="S65" s="198"/>
      <c r="T65" s="198"/>
      <c r="U65" s="198"/>
    </row>
    <row r="66" spans="1:21" s="12" customFormat="1" x14ac:dyDescent="0.25">
      <c r="A66" s="211" t="s">
        <v>2417</v>
      </c>
      <c r="B66" s="64">
        <v>9.98</v>
      </c>
      <c r="C66" s="64">
        <v>24.43</v>
      </c>
      <c r="D66" s="64">
        <v>20.309999999999999</v>
      </c>
      <c r="E66" s="64">
        <v>13.38</v>
      </c>
      <c r="F66" s="64">
        <v>14.81</v>
      </c>
      <c r="G66" s="64">
        <v>47.14</v>
      </c>
      <c r="H66" s="64">
        <v>19.73</v>
      </c>
      <c r="I66" s="64">
        <v>5.13</v>
      </c>
      <c r="J66" s="64">
        <v>0.67</v>
      </c>
      <c r="K66" s="64">
        <v>349.87</v>
      </c>
      <c r="L66" s="64">
        <v>27.51</v>
      </c>
      <c r="M66" s="64">
        <v>34.71</v>
      </c>
      <c r="N66" s="64">
        <v>143.69999999999999</v>
      </c>
      <c r="O66" s="64">
        <v>0</v>
      </c>
      <c r="P66" s="64">
        <v>0.91</v>
      </c>
      <c r="Q66" s="64">
        <v>9.49</v>
      </c>
      <c r="S66" s="198"/>
      <c r="T66" s="198"/>
      <c r="U66" s="198"/>
    </row>
    <row r="67" spans="1:21" s="12" customFormat="1" x14ac:dyDescent="0.25">
      <c r="A67" s="211" t="s">
        <v>2418</v>
      </c>
      <c r="B67" s="64">
        <v>10.33</v>
      </c>
      <c r="C67" s="64">
        <v>23.57</v>
      </c>
      <c r="D67" s="64">
        <v>20.14</v>
      </c>
      <c r="E67" s="64">
        <v>11.94</v>
      </c>
      <c r="F67" s="64">
        <v>15.5</v>
      </c>
      <c r="G67" s="64">
        <v>47.14</v>
      </c>
      <c r="H67" s="64">
        <v>19.73</v>
      </c>
      <c r="I67" s="64">
        <v>5.03</v>
      </c>
      <c r="J67" s="64">
        <v>0.23</v>
      </c>
      <c r="K67" s="64">
        <v>346.38</v>
      </c>
      <c r="L67" s="64">
        <v>27.73</v>
      </c>
      <c r="M67" s="64">
        <v>33.6</v>
      </c>
      <c r="N67" s="64">
        <v>124.1</v>
      </c>
      <c r="O67" s="64">
        <v>0</v>
      </c>
      <c r="P67" s="64">
        <v>0.85</v>
      </c>
      <c r="Q67" s="64">
        <v>9.4499999999999993</v>
      </c>
      <c r="S67" s="198"/>
      <c r="T67" s="198"/>
      <c r="U67" s="198"/>
    </row>
    <row r="68" spans="1:21" s="12" customFormat="1" x14ac:dyDescent="0.25">
      <c r="A68" s="211" t="s">
        <v>2419</v>
      </c>
      <c r="B68" s="64">
        <v>8.07</v>
      </c>
      <c r="C68" s="64">
        <v>30.77</v>
      </c>
      <c r="D68" s="64">
        <v>22.09</v>
      </c>
      <c r="E68" s="64">
        <v>16.63</v>
      </c>
      <c r="F68" s="64">
        <v>20.329999999999998</v>
      </c>
      <c r="G68" s="64">
        <v>47.14</v>
      </c>
      <c r="H68" s="64">
        <v>19.73</v>
      </c>
      <c r="I68" s="64">
        <v>4.91</v>
      </c>
      <c r="J68" s="64">
        <v>0.31</v>
      </c>
      <c r="K68" s="64">
        <v>292.29000000000002</v>
      </c>
      <c r="L68" s="64">
        <v>27.63</v>
      </c>
      <c r="M68" s="64">
        <v>34.49</v>
      </c>
      <c r="N68" s="64">
        <v>115.2</v>
      </c>
      <c r="O68" s="64">
        <v>0</v>
      </c>
      <c r="P68" s="64">
        <v>0.84</v>
      </c>
      <c r="Q68" s="64">
        <v>9.44</v>
      </c>
      <c r="S68" s="198"/>
      <c r="T68" s="198"/>
      <c r="U68" s="198"/>
    </row>
    <row r="69" spans="1:21" s="12" customFormat="1" x14ac:dyDescent="0.25">
      <c r="A69" s="211" t="s">
        <v>2420</v>
      </c>
      <c r="B69" s="64">
        <v>7.28</v>
      </c>
      <c r="C69" s="64">
        <v>25.21</v>
      </c>
      <c r="D69" s="64">
        <v>18.55</v>
      </c>
      <c r="E69" s="64">
        <v>13.89</v>
      </c>
      <c r="F69" s="64">
        <v>17.190000000000001</v>
      </c>
      <c r="G69" s="64">
        <v>50.23</v>
      </c>
      <c r="H69" s="64">
        <v>22.44</v>
      </c>
      <c r="I69" s="64">
        <v>4.8099999999999996</v>
      </c>
      <c r="J69" s="64">
        <v>0.15</v>
      </c>
      <c r="K69" s="64">
        <v>264.36</v>
      </c>
      <c r="L69" s="64">
        <v>27.33</v>
      </c>
      <c r="M69" s="64">
        <v>34.43</v>
      </c>
      <c r="N69" s="64">
        <v>107.8</v>
      </c>
      <c r="O69" s="64">
        <v>0</v>
      </c>
      <c r="P69" s="64">
        <v>0.83</v>
      </c>
      <c r="Q69" s="64">
        <v>9.41</v>
      </c>
      <c r="S69" s="198"/>
      <c r="T69" s="198"/>
      <c r="U69" s="198"/>
    </row>
    <row r="70" spans="1:21" s="12" customFormat="1" x14ac:dyDescent="0.25">
      <c r="A70" s="211" t="s">
        <v>2421</v>
      </c>
      <c r="B70" s="64">
        <v>7.57</v>
      </c>
      <c r="C70" s="64">
        <v>29.28</v>
      </c>
      <c r="D70" s="64">
        <v>20.91</v>
      </c>
      <c r="E70" s="64">
        <v>12.11</v>
      </c>
      <c r="F70" s="64">
        <v>13.7</v>
      </c>
      <c r="G70" s="64">
        <v>51.23</v>
      </c>
      <c r="H70" s="64">
        <v>22.44</v>
      </c>
      <c r="I70" s="64">
        <v>4.74</v>
      </c>
      <c r="J70" s="64">
        <v>0.56000000000000005</v>
      </c>
      <c r="K70" s="64">
        <v>330.16</v>
      </c>
      <c r="L70" s="64">
        <v>27.39</v>
      </c>
      <c r="M70" s="64">
        <v>35.450000000000003</v>
      </c>
      <c r="N70" s="64">
        <v>100.1</v>
      </c>
      <c r="O70" s="64">
        <v>0</v>
      </c>
      <c r="P70" s="64">
        <v>0.94</v>
      </c>
      <c r="Q70" s="64">
        <v>9.39</v>
      </c>
      <c r="S70" s="198"/>
      <c r="T70" s="198"/>
      <c r="U70" s="198"/>
    </row>
    <row r="71" spans="1:21" s="12" customFormat="1" x14ac:dyDescent="0.25">
      <c r="A71" s="211" t="s">
        <v>2422</v>
      </c>
      <c r="B71" s="64">
        <v>7.41</v>
      </c>
      <c r="C71" s="64">
        <v>27.84</v>
      </c>
      <c r="D71" s="64">
        <v>20.02</v>
      </c>
      <c r="E71" s="64">
        <v>14.87</v>
      </c>
      <c r="F71" s="64">
        <v>17.760000000000002</v>
      </c>
      <c r="G71" s="64">
        <v>51.23</v>
      </c>
      <c r="H71" s="64">
        <v>22.44</v>
      </c>
      <c r="I71" s="64">
        <v>4.66</v>
      </c>
      <c r="J71" s="64">
        <v>0.55000000000000004</v>
      </c>
      <c r="K71" s="64">
        <v>340.8</v>
      </c>
      <c r="L71" s="64">
        <v>27.32</v>
      </c>
      <c r="M71" s="64">
        <v>35.840000000000003</v>
      </c>
      <c r="N71" s="64">
        <v>91.1</v>
      </c>
      <c r="O71" s="64">
        <v>0</v>
      </c>
      <c r="P71" s="64">
        <v>0.89</v>
      </c>
      <c r="Q71" s="64">
        <v>9.3699999999999992</v>
      </c>
      <c r="S71" s="198"/>
      <c r="T71" s="198"/>
      <c r="U71" s="198"/>
    </row>
    <row r="72" spans="1:21" s="12" customFormat="1" x14ac:dyDescent="0.25">
      <c r="A72" s="211" t="s">
        <v>2423</v>
      </c>
      <c r="B72" s="64">
        <v>5.24</v>
      </c>
      <c r="C72" s="64">
        <v>27.64</v>
      </c>
      <c r="D72" s="64">
        <v>18.18</v>
      </c>
      <c r="E72" s="64">
        <v>22.05</v>
      </c>
      <c r="F72" s="64">
        <v>35.28</v>
      </c>
      <c r="G72" s="64">
        <v>51.23</v>
      </c>
      <c r="H72" s="64">
        <v>22.44</v>
      </c>
      <c r="I72" s="64">
        <v>4.57</v>
      </c>
      <c r="J72" s="64">
        <v>0.05</v>
      </c>
      <c r="K72" s="64">
        <v>142.97</v>
      </c>
      <c r="L72" s="64">
        <v>26.86</v>
      </c>
      <c r="M72" s="64">
        <v>35.89</v>
      </c>
      <c r="N72" s="64">
        <v>82</v>
      </c>
      <c r="O72" s="64">
        <v>0</v>
      </c>
      <c r="P72" s="64">
        <v>0.71</v>
      </c>
      <c r="Q72" s="64">
        <v>9.36</v>
      </c>
      <c r="S72" s="198"/>
      <c r="T72" s="198"/>
      <c r="U72" s="198"/>
    </row>
    <row r="73" spans="1:21" s="12" customFormat="1" x14ac:dyDescent="0.25">
      <c r="A73" s="211" t="s">
        <v>2424</v>
      </c>
      <c r="B73" s="64">
        <v>4.45</v>
      </c>
      <c r="C73" s="64">
        <v>26.34</v>
      </c>
      <c r="D73" s="64">
        <v>16.87</v>
      </c>
      <c r="E73" s="64">
        <v>23.86</v>
      </c>
      <c r="F73" s="64">
        <v>28.4</v>
      </c>
      <c r="G73" s="64">
        <v>53.36</v>
      </c>
      <c r="H73" s="64">
        <v>19.989999999999998</v>
      </c>
      <c r="I73" s="64">
        <v>4.5</v>
      </c>
      <c r="J73" s="64">
        <v>0.59</v>
      </c>
      <c r="K73" s="64">
        <v>128.66999999999999</v>
      </c>
      <c r="L73" s="64">
        <v>26.33</v>
      </c>
      <c r="M73" s="64">
        <v>39.659999999999997</v>
      </c>
      <c r="N73" s="64">
        <v>73.599999999999994</v>
      </c>
      <c r="O73" s="64">
        <v>0</v>
      </c>
      <c r="P73" s="64">
        <v>0.66</v>
      </c>
      <c r="Q73" s="64">
        <v>9.36</v>
      </c>
      <c r="S73" s="198"/>
      <c r="T73" s="198"/>
      <c r="U73" s="198"/>
    </row>
    <row r="74" spans="1:21" s="12" customFormat="1" x14ac:dyDescent="0.25">
      <c r="A74" s="211" t="s">
        <v>2425</v>
      </c>
      <c r="B74" s="64">
        <v>3.04</v>
      </c>
      <c r="C74" s="64">
        <v>29.44</v>
      </c>
      <c r="D74" s="64">
        <v>17.36</v>
      </c>
      <c r="E74" s="64">
        <v>27.47</v>
      </c>
      <c r="F74" s="64">
        <v>28.13</v>
      </c>
      <c r="G74" s="64">
        <v>54.05</v>
      </c>
      <c r="H74" s="64">
        <v>19.989999999999998</v>
      </c>
      <c r="I74" s="64">
        <v>4.45</v>
      </c>
      <c r="J74" s="64">
        <v>0.15</v>
      </c>
      <c r="K74" s="64">
        <v>136.81</v>
      </c>
      <c r="L74" s="64">
        <v>26.03</v>
      </c>
      <c r="M74" s="64">
        <v>40</v>
      </c>
      <c r="N74" s="64">
        <v>64.7</v>
      </c>
      <c r="O74" s="64">
        <v>0</v>
      </c>
      <c r="P74" s="64">
        <v>0.67</v>
      </c>
      <c r="Q74" s="64">
        <v>9.36</v>
      </c>
      <c r="S74" s="198"/>
      <c r="T74" s="198"/>
      <c r="U74" s="198"/>
    </row>
    <row r="75" spans="1:21" s="12" customFormat="1" x14ac:dyDescent="0.25">
      <c r="A75" s="211" t="s">
        <v>2426</v>
      </c>
      <c r="B75" s="64">
        <v>4.45</v>
      </c>
      <c r="C75" s="64">
        <v>38.18</v>
      </c>
      <c r="D75" s="64">
        <v>23.05</v>
      </c>
      <c r="E75" s="64">
        <v>26.74</v>
      </c>
      <c r="F75" s="64">
        <v>21.21</v>
      </c>
      <c r="G75" s="64">
        <v>54.05</v>
      </c>
      <c r="H75" s="64">
        <v>19.989999999999998</v>
      </c>
      <c r="I75" s="64">
        <v>4.38</v>
      </c>
      <c r="J75" s="64">
        <v>7.0000000000000007E-2</v>
      </c>
      <c r="K75" s="64">
        <v>111.23</v>
      </c>
      <c r="L75" s="64">
        <v>25.6</v>
      </c>
      <c r="M75" s="64">
        <v>43.09</v>
      </c>
      <c r="N75" s="64">
        <v>55.8</v>
      </c>
      <c r="O75" s="64">
        <v>0</v>
      </c>
      <c r="P75" s="64">
        <v>0.94</v>
      </c>
      <c r="Q75" s="64">
        <v>9.36</v>
      </c>
      <c r="S75" s="198"/>
      <c r="T75" s="198"/>
      <c r="U75" s="198"/>
    </row>
    <row r="76" spans="1:21" s="12" customFormat="1" x14ac:dyDescent="0.25">
      <c r="A76" s="211" t="s">
        <v>2427</v>
      </c>
      <c r="B76" s="64">
        <v>17.2</v>
      </c>
      <c r="C76" s="64">
        <v>54.09</v>
      </c>
      <c r="D76" s="64">
        <v>41.59</v>
      </c>
      <c r="E76" s="64">
        <v>23.08</v>
      </c>
      <c r="F76" s="64">
        <v>9.17</v>
      </c>
      <c r="G76" s="64">
        <v>54.05</v>
      </c>
      <c r="H76" s="64">
        <v>19.989999999999998</v>
      </c>
      <c r="I76" s="64">
        <v>4.3099999999999996</v>
      </c>
      <c r="J76" s="64">
        <v>0.22</v>
      </c>
      <c r="K76" s="64">
        <v>307.26</v>
      </c>
      <c r="L76" s="64">
        <v>24.99</v>
      </c>
      <c r="M76" s="64">
        <v>49.36</v>
      </c>
      <c r="N76" s="64">
        <v>46.7</v>
      </c>
      <c r="O76" s="64">
        <v>0</v>
      </c>
      <c r="P76" s="64">
        <v>1.32</v>
      </c>
      <c r="Q76" s="64">
        <v>9.3699999999999992</v>
      </c>
      <c r="S76" s="198"/>
      <c r="T76" s="198"/>
      <c r="U76" s="198"/>
    </row>
    <row r="77" spans="1:21" s="12" customFormat="1" x14ac:dyDescent="0.25">
      <c r="A77" s="211" t="s">
        <v>2428</v>
      </c>
      <c r="B77" s="64">
        <v>20.86</v>
      </c>
      <c r="C77" s="64">
        <v>52.72</v>
      </c>
      <c r="D77" s="64">
        <v>43.81</v>
      </c>
      <c r="E77" s="64">
        <v>17.260000000000002</v>
      </c>
      <c r="F77" s="64">
        <v>6.07</v>
      </c>
      <c r="G77" s="64">
        <v>56.11</v>
      </c>
      <c r="H77" s="64">
        <v>24.02</v>
      </c>
      <c r="I77" s="64">
        <v>4.2699999999999996</v>
      </c>
      <c r="J77" s="64">
        <v>0.2</v>
      </c>
      <c r="K77" s="64">
        <v>352.45</v>
      </c>
      <c r="L77" s="64">
        <v>24.07</v>
      </c>
      <c r="M77" s="64">
        <v>59.5</v>
      </c>
      <c r="N77" s="64">
        <v>42.9</v>
      </c>
      <c r="O77" s="64">
        <v>0</v>
      </c>
      <c r="P77" s="64">
        <v>1.81</v>
      </c>
      <c r="Q77" s="64">
        <v>9.3699999999999992</v>
      </c>
      <c r="S77" s="198"/>
      <c r="T77" s="198"/>
      <c r="U77" s="198"/>
    </row>
    <row r="78" spans="1:21" s="12" customFormat="1" x14ac:dyDescent="0.25">
      <c r="A78" s="211" t="s">
        <v>2429</v>
      </c>
      <c r="B78" s="64">
        <v>33.74</v>
      </c>
      <c r="C78" s="64">
        <v>48.52</v>
      </c>
      <c r="D78" s="64">
        <v>51.94</v>
      </c>
      <c r="E78" s="64">
        <v>14.14</v>
      </c>
      <c r="F78" s="64">
        <v>4.6900000000000004</v>
      </c>
      <c r="G78" s="64">
        <v>56.77</v>
      </c>
      <c r="H78" s="64">
        <v>24.02</v>
      </c>
      <c r="I78" s="64">
        <v>4.26</v>
      </c>
      <c r="J78" s="64">
        <v>0.09</v>
      </c>
      <c r="K78" s="64">
        <v>312.08</v>
      </c>
      <c r="L78" s="64">
        <v>23.28</v>
      </c>
      <c r="M78" s="64">
        <v>59.39</v>
      </c>
      <c r="N78" s="64">
        <v>41.2</v>
      </c>
      <c r="O78" s="64">
        <v>0</v>
      </c>
      <c r="P78" s="64">
        <v>1.74</v>
      </c>
      <c r="Q78" s="64">
        <v>9.39</v>
      </c>
      <c r="S78" s="198"/>
      <c r="T78" s="198"/>
      <c r="U78" s="198"/>
    </row>
    <row r="79" spans="1:21" s="12" customFormat="1" x14ac:dyDescent="0.25">
      <c r="A79" s="211" t="s">
        <v>2430</v>
      </c>
      <c r="B79" s="64">
        <v>38.880000000000003</v>
      </c>
      <c r="C79" s="64">
        <v>34.01</v>
      </c>
      <c r="D79" s="64">
        <v>48.43</v>
      </c>
      <c r="E79" s="64">
        <v>13.09</v>
      </c>
      <c r="F79" s="64">
        <v>5.4</v>
      </c>
      <c r="G79" s="64">
        <v>56.77</v>
      </c>
      <c r="H79" s="64">
        <v>24.02</v>
      </c>
      <c r="I79" s="64">
        <v>4.3</v>
      </c>
      <c r="J79" s="64">
        <v>0.05</v>
      </c>
      <c r="K79" s="64">
        <v>19.55</v>
      </c>
      <c r="L79" s="64">
        <v>22.76</v>
      </c>
      <c r="M79" s="64">
        <v>63.43</v>
      </c>
      <c r="N79" s="64">
        <v>40.6</v>
      </c>
      <c r="O79" s="64">
        <v>0</v>
      </c>
      <c r="P79" s="64">
        <v>1.78</v>
      </c>
      <c r="Q79" s="64">
        <v>9.43</v>
      </c>
      <c r="S79" s="198"/>
      <c r="T79" s="198"/>
      <c r="U79" s="198"/>
    </row>
    <row r="80" spans="1:21" s="12" customFormat="1" x14ac:dyDescent="0.25">
      <c r="A80" s="211" t="s">
        <v>2431</v>
      </c>
      <c r="B80" s="64">
        <v>28.16</v>
      </c>
      <c r="C80" s="64">
        <v>31.84</v>
      </c>
      <c r="D80" s="64">
        <v>38.76</v>
      </c>
      <c r="E80" s="64">
        <v>8.99</v>
      </c>
      <c r="F80" s="64">
        <v>3.61</v>
      </c>
      <c r="G80" s="64">
        <v>56.77</v>
      </c>
      <c r="H80" s="64">
        <v>24.02</v>
      </c>
      <c r="I80" s="64">
        <v>4.03</v>
      </c>
      <c r="J80" s="64">
        <v>0.14000000000000001</v>
      </c>
      <c r="K80" s="64">
        <v>168.02</v>
      </c>
      <c r="L80" s="64">
        <v>22.42</v>
      </c>
      <c r="M80" s="64">
        <v>63.34</v>
      </c>
      <c r="N80" s="64">
        <v>40.5</v>
      </c>
      <c r="O80" s="64">
        <v>0</v>
      </c>
      <c r="P80" s="64">
        <v>1.25</v>
      </c>
      <c r="Q80" s="64">
        <v>9.4600000000000009</v>
      </c>
      <c r="S80" s="198"/>
      <c r="T80" s="198"/>
      <c r="U80" s="198"/>
    </row>
    <row r="81" spans="1:26" s="12" customFormat="1" x14ac:dyDescent="0.25">
      <c r="A81" s="211" t="s">
        <v>2432</v>
      </c>
      <c r="B81" s="64">
        <v>58.03</v>
      </c>
      <c r="C81" s="64">
        <v>20.55</v>
      </c>
      <c r="D81" s="64">
        <v>56.81</v>
      </c>
      <c r="E81" s="64">
        <v>8.8000000000000007</v>
      </c>
      <c r="F81" s="64">
        <v>4.05</v>
      </c>
      <c r="G81" s="64">
        <v>70.75</v>
      </c>
      <c r="H81" s="64">
        <v>28.09</v>
      </c>
      <c r="I81" s="64">
        <v>3.85</v>
      </c>
      <c r="J81" s="64">
        <v>0.13</v>
      </c>
      <c r="K81" s="64">
        <v>100.17</v>
      </c>
      <c r="L81" s="64">
        <v>22.04</v>
      </c>
      <c r="M81" s="64">
        <v>66.55</v>
      </c>
      <c r="N81" s="64">
        <v>40.5</v>
      </c>
      <c r="O81" s="64">
        <v>0</v>
      </c>
      <c r="P81" s="64">
        <v>1.56</v>
      </c>
      <c r="Q81" s="64">
        <v>9.52</v>
      </c>
      <c r="S81" s="198"/>
      <c r="T81" s="198"/>
      <c r="U81" s="198"/>
    </row>
    <row r="82" spans="1:26" s="12" customFormat="1" x14ac:dyDescent="0.25">
      <c r="A82" s="211" t="s">
        <v>2433</v>
      </c>
      <c r="B82" s="64">
        <v>40.49</v>
      </c>
      <c r="C82" s="64">
        <v>24.46</v>
      </c>
      <c r="D82" s="64">
        <v>44.79</v>
      </c>
      <c r="E82" s="64">
        <v>7.94</v>
      </c>
      <c r="F82" s="64">
        <v>4.32</v>
      </c>
      <c r="G82" s="64">
        <v>75.27</v>
      </c>
      <c r="H82" s="64">
        <v>28.09</v>
      </c>
      <c r="I82" s="64">
        <v>3.93</v>
      </c>
      <c r="J82" s="64">
        <v>0.09</v>
      </c>
      <c r="K82" s="64">
        <v>64.37</v>
      </c>
      <c r="L82" s="64">
        <v>21.85</v>
      </c>
      <c r="M82" s="64">
        <v>67.23</v>
      </c>
      <c r="N82" s="64">
        <v>40.299999999999997</v>
      </c>
      <c r="O82" s="64">
        <v>0</v>
      </c>
      <c r="P82" s="64">
        <v>1.36</v>
      </c>
      <c r="Q82" s="64">
        <v>9.61</v>
      </c>
      <c r="S82" s="198"/>
      <c r="T82" s="198"/>
      <c r="U82" s="198"/>
    </row>
    <row r="83" spans="1:26" s="12" customFormat="1" x14ac:dyDescent="0.25">
      <c r="A83" s="211" t="s">
        <v>2434</v>
      </c>
      <c r="B83" s="64">
        <v>40.06</v>
      </c>
      <c r="C83" s="64">
        <v>27.27</v>
      </c>
      <c r="D83" s="64">
        <v>45.91</v>
      </c>
      <c r="E83" s="64">
        <v>7.98</v>
      </c>
      <c r="F83" s="64">
        <v>3.77</v>
      </c>
      <c r="G83" s="64">
        <v>75.27</v>
      </c>
      <c r="H83" s="64">
        <v>28.09</v>
      </c>
      <c r="I83" s="64">
        <v>4.07</v>
      </c>
      <c r="J83" s="64">
        <v>0.22</v>
      </c>
      <c r="K83" s="64">
        <v>321.29000000000002</v>
      </c>
      <c r="L83" s="64">
        <v>21.63</v>
      </c>
      <c r="M83" s="64">
        <v>71.489999999999995</v>
      </c>
      <c r="N83" s="64">
        <v>40.4</v>
      </c>
      <c r="O83" s="64">
        <v>0</v>
      </c>
      <c r="P83" s="64">
        <v>1.78</v>
      </c>
      <c r="Q83" s="64">
        <v>9.6300000000000008</v>
      </c>
      <c r="S83" s="198"/>
      <c r="T83" s="198"/>
      <c r="U83" s="198"/>
    </row>
    <row r="84" spans="1:26" s="12" customFormat="1" x14ac:dyDescent="0.25">
      <c r="A84" s="211" t="s">
        <v>2435</v>
      </c>
      <c r="B84" s="64">
        <v>33.56</v>
      </c>
      <c r="C84" s="64">
        <v>25.69</v>
      </c>
      <c r="D84" s="64">
        <v>39.869999999999997</v>
      </c>
      <c r="E84" s="64">
        <v>7.74</v>
      </c>
      <c r="F84" s="64">
        <v>4.0599999999999996</v>
      </c>
      <c r="G84" s="64">
        <v>75.27</v>
      </c>
      <c r="H84" s="64">
        <v>28.09</v>
      </c>
      <c r="I84" s="64">
        <v>4.21</v>
      </c>
      <c r="J84" s="64">
        <v>0.19</v>
      </c>
      <c r="K84" s="64">
        <v>17.84</v>
      </c>
      <c r="L84" s="64">
        <v>21.31</v>
      </c>
      <c r="M84" s="64">
        <v>81.64</v>
      </c>
      <c r="N84" s="64">
        <v>40.5</v>
      </c>
      <c r="O84" s="64">
        <v>0</v>
      </c>
      <c r="P84" s="64">
        <v>1.62</v>
      </c>
      <c r="Q84" s="64">
        <v>9.6300000000000008</v>
      </c>
      <c r="S84" s="198"/>
      <c r="T84" s="198"/>
      <c r="U84" s="198"/>
    </row>
    <row r="85" spans="1:26" s="12" customFormat="1" x14ac:dyDescent="0.25">
      <c r="A85" s="211" t="s">
        <v>2436</v>
      </c>
      <c r="B85" s="64">
        <v>24.06</v>
      </c>
      <c r="C85" s="64">
        <v>27.53</v>
      </c>
      <c r="D85" s="64">
        <v>33.21</v>
      </c>
      <c r="E85" s="64">
        <v>8.17</v>
      </c>
      <c r="F85" s="64">
        <v>5.83</v>
      </c>
      <c r="G85" s="64">
        <v>86.74</v>
      </c>
      <c r="H85" s="64">
        <v>30.95</v>
      </c>
      <c r="I85" s="64">
        <v>4.66</v>
      </c>
      <c r="J85" s="64">
        <v>0.11</v>
      </c>
      <c r="K85" s="64">
        <v>355.98</v>
      </c>
      <c r="L85" s="64">
        <v>21.35</v>
      </c>
      <c r="M85" s="64">
        <v>68.38</v>
      </c>
      <c r="N85" s="64">
        <v>40</v>
      </c>
      <c r="O85" s="64">
        <v>0</v>
      </c>
      <c r="P85" s="64">
        <v>1.46</v>
      </c>
      <c r="Q85" s="64">
        <v>9.6300000000000008</v>
      </c>
      <c r="S85" s="198"/>
      <c r="T85" s="198"/>
      <c r="U85" s="198"/>
    </row>
    <row r="86" spans="1:26" s="12" customFormat="1" x14ac:dyDescent="0.25">
      <c r="A86" s="211" t="s">
        <v>2437</v>
      </c>
      <c r="B86" s="64">
        <v>31.18</v>
      </c>
      <c r="C86" s="64">
        <v>22.13</v>
      </c>
      <c r="D86" s="64">
        <v>36.1</v>
      </c>
      <c r="E86" s="64">
        <v>7.4</v>
      </c>
      <c r="F86" s="64">
        <v>4.9800000000000004</v>
      </c>
      <c r="G86" s="64">
        <v>90.46</v>
      </c>
      <c r="H86" s="64">
        <v>30.95</v>
      </c>
      <c r="I86" s="64">
        <v>4.6900000000000004</v>
      </c>
      <c r="J86" s="64">
        <v>0.17</v>
      </c>
      <c r="K86" s="64">
        <v>337.91</v>
      </c>
      <c r="L86" s="64">
        <v>21.64</v>
      </c>
      <c r="M86" s="64">
        <v>62.28</v>
      </c>
      <c r="N86" s="64">
        <v>40</v>
      </c>
      <c r="O86" s="64">
        <v>0</v>
      </c>
      <c r="P86" s="64">
        <v>1.48</v>
      </c>
      <c r="Q86" s="64">
        <v>9.65</v>
      </c>
      <c r="S86" s="198"/>
      <c r="T86" s="198"/>
      <c r="U86" s="198"/>
    </row>
    <row r="87" spans="1:26" s="12" customFormat="1" x14ac:dyDescent="0.25">
      <c r="A87" s="211" t="s">
        <v>2438</v>
      </c>
      <c r="B87" s="64">
        <v>24.56</v>
      </c>
      <c r="C87" s="64">
        <v>28.12</v>
      </c>
      <c r="D87" s="64">
        <v>33.93</v>
      </c>
      <c r="E87" s="64">
        <v>7.06</v>
      </c>
      <c r="F87" s="64">
        <v>6.19</v>
      </c>
      <c r="G87" s="64">
        <v>90.46</v>
      </c>
      <c r="H87" s="64">
        <v>30.95</v>
      </c>
      <c r="I87" s="64">
        <v>4.55</v>
      </c>
      <c r="J87" s="64">
        <v>0.24</v>
      </c>
      <c r="K87" s="64">
        <v>331.79</v>
      </c>
      <c r="L87" s="64">
        <v>21.65</v>
      </c>
      <c r="M87" s="64">
        <v>63.55</v>
      </c>
      <c r="N87" s="64">
        <v>40.299999999999997</v>
      </c>
      <c r="O87" s="64">
        <v>0</v>
      </c>
      <c r="P87" s="64">
        <v>1.46</v>
      </c>
      <c r="Q87" s="64">
        <v>9.65</v>
      </c>
      <c r="S87" s="198"/>
      <c r="T87" s="198"/>
      <c r="U87" s="198"/>
    </row>
    <row r="88" spans="1:26" s="12" customFormat="1" x14ac:dyDescent="0.25">
      <c r="A88" s="211" t="s">
        <v>2439</v>
      </c>
      <c r="B88" s="64">
        <v>34.82</v>
      </c>
      <c r="C88" s="64">
        <v>22.29</v>
      </c>
      <c r="D88" s="64">
        <v>39.1</v>
      </c>
      <c r="E88" s="64">
        <v>6.6</v>
      </c>
      <c r="F88" s="64">
        <v>3.94</v>
      </c>
      <c r="G88" s="64">
        <v>90.46</v>
      </c>
      <c r="H88" s="64">
        <v>30.95</v>
      </c>
      <c r="I88" s="64">
        <v>4.59</v>
      </c>
      <c r="J88" s="64">
        <v>0.2</v>
      </c>
      <c r="K88" s="64">
        <v>310.88</v>
      </c>
      <c r="L88" s="64">
        <v>21.12</v>
      </c>
      <c r="M88" s="64">
        <v>69.78</v>
      </c>
      <c r="N88" s="64">
        <v>40.6</v>
      </c>
      <c r="O88" s="64">
        <v>0</v>
      </c>
      <c r="P88" s="64">
        <v>1.67</v>
      </c>
      <c r="Q88" s="64">
        <v>9.66</v>
      </c>
      <c r="S88" s="198"/>
      <c r="T88" s="198"/>
      <c r="U88" s="198"/>
    </row>
    <row r="89" spans="1:26" s="12" customFormat="1" x14ac:dyDescent="0.25">
      <c r="A89" s="211" t="s">
        <v>2440</v>
      </c>
      <c r="B89" s="64">
        <v>36.76</v>
      </c>
      <c r="C89" s="64">
        <v>23.37</v>
      </c>
      <c r="D89" s="64">
        <v>41.23</v>
      </c>
      <c r="E89" s="64">
        <v>6.56</v>
      </c>
      <c r="F89" s="64">
        <v>3.7</v>
      </c>
      <c r="G89" s="64">
        <v>88.38</v>
      </c>
      <c r="H89" s="64">
        <v>30.5</v>
      </c>
      <c r="I89" s="64">
        <v>4.99</v>
      </c>
      <c r="J89" s="64">
        <v>0.18</v>
      </c>
      <c r="K89" s="64">
        <v>285.47000000000003</v>
      </c>
      <c r="L89" s="64">
        <v>20.6</v>
      </c>
      <c r="M89" s="64">
        <v>72.489999999999995</v>
      </c>
      <c r="N89" s="64">
        <v>40.4</v>
      </c>
      <c r="O89" s="64">
        <v>0</v>
      </c>
      <c r="P89" s="64">
        <v>1.6</v>
      </c>
      <c r="Q89" s="64">
        <v>9.66</v>
      </c>
      <c r="S89" s="198"/>
      <c r="T89" s="198"/>
      <c r="U89" s="198"/>
    </row>
    <row r="90" spans="1:26" s="12" customFormat="1" x14ac:dyDescent="0.25">
      <c r="A90" s="211" t="s">
        <v>2441</v>
      </c>
      <c r="B90" s="64">
        <v>64.8</v>
      </c>
      <c r="C90" s="64">
        <v>11.46</v>
      </c>
      <c r="D90" s="64">
        <v>57.32</v>
      </c>
      <c r="E90" s="64">
        <v>7.09</v>
      </c>
      <c r="F90" s="64">
        <v>4.2</v>
      </c>
      <c r="G90" s="64">
        <v>87.71</v>
      </c>
      <c r="H90" s="64">
        <v>30.5</v>
      </c>
      <c r="I90" s="64">
        <v>5.33</v>
      </c>
      <c r="J90" s="64">
        <v>0.28999999999999998</v>
      </c>
      <c r="K90" s="64">
        <v>338.01</v>
      </c>
      <c r="L90" s="64">
        <v>20.36</v>
      </c>
      <c r="M90" s="64">
        <v>80.260000000000005</v>
      </c>
      <c r="N90" s="64">
        <v>40.5</v>
      </c>
      <c r="O90" s="64">
        <v>0</v>
      </c>
      <c r="P90" s="64">
        <v>2.2200000000000002</v>
      </c>
      <c r="Q90" s="64">
        <v>9.64</v>
      </c>
      <c r="S90" s="198"/>
      <c r="T90" s="198"/>
      <c r="U90" s="198"/>
    </row>
    <row r="91" spans="1:26" s="12" customFormat="1" x14ac:dyDescent="0.25">
      <c r="A91" s="211" t="s">
        <v>2442</v>
      </c>
      <c r="B91" s="64">
        <v>80.040000000000006</v>
      </c>
      <c r="C91" s="64">
        <v>6.79</v>
      </c>
      <c r="D91" s="64">
        <v>65.31</v>
      </c>
      <c r="E91" s="64">
        <v>7.52</v>
      </c>
      <c r="F91" s="64">
        <v>3.8</v>
      </c>
      <c r="G91" s="64">
        <v>87.71</v>
      </c>
      <c r="H91" s="64">
        <v>30.5</v>
      </c>
      <c r="I91" s="64">
        <v>5.08</v>
      </c>
      <c r="J91" s="64">
        <v>0.24</v>
      </c>
      <c r="K91" s="64">
        <v>334.05</v>
      </c>
      <c r="L91" s="64">
        <v>20.13</v>
      </c>
      <c r="M91" s="64">
        <v>82.55</v>
      </c>
      <c r="N91" s="64">
        <v>40.299999999999997</v>
      </c>
      <c r="O91" s="64">
        <v>0</v>
      </c>
      <c r="P91" s="64">
        <v>2.44</v>
      </c>
      <c r="Q91" s="64">
        <v>9.66</v>
      </c>
      <c r="S91" s="198"/>
      <c r="T91" s="198"/>
      <c r="U91" s="198"/>
    </row>
    <row r="92" spans="1:26" s="12" customFormat="1" x14ac:dyDescent="0.25">
      <c r="A92" s="211" t="s">
        <v>2443</v>
      </c>
      <c r="B92" s="64">
        <v>45.85</v>
      </c>
      <c r="C92" s="64">
        <v>22.1</v>
      </c>
      <c r="D92" s="64">
        <v>47.86</v>
      </c>
      <c r="E92" s="64">
        <v>7.12</v>
      </c>
      <c r="F92" s="64">
        <v>3.83</v>
      </c>
      <c r="G92" s="64">
        <v>87.71</v>
      </c>
      <c r="H92" s="64">
        <v>30.5</v>
      </c>
      <c r="I92" s="64">
        <v>5.03</v>
      </c>
      <c r="J92" s="64">
        <v>0.16</v>
      </c>
      <c r="K92" s="64">
        <v>291.39999999999998</v>
      </c>
      <c r="L92" s="64">
        <v>20.23</v>
      </c>
      <c r="M92" s="64">
        <v>73.58</v>
      </c>
      <c r="N92" s="64">
        <v>39.9</v>
      </c>
      <c r="O92" s="64">
        <v>0</v>
      </c>
      <c r="P92" s="64">
        <v>1.94</v>
      </c>
      <c r="Q92" s="64">
        <v>9.66</v>
      </c>
      <c r="S92" s="198"/>
      <c r="T92" s="198"/>
      <c r="U92" s="198"/>
    </row>
    <row r="93" spans="1:26" s="12" customFormat="1" x14ac:dyDescent="0.25">
      <c r="A93" s="211" t="s">
        <v>2444</v>
      </c>
      <c r="B93" s="64">
        <v>57.01</v>
      </c>
      <c r="C93" s="64">
        <v>19.559999999999999</v>
      </c>
      <c r="D93" s="64">
        <v>55.41</v>
      </c>
      <c r="E93" s="64">
        <v>7.55</v>
      </c>
      <c r="F93" s="64">
        <v>3.5</v>
      </c>
      <c r="G93" s="64">
        <v>95.92</v>
      </c>
      <c r="H93" s="64">
        <v>34.270000000000003</v>
      </c>
      <c r="I93" s="64">
        <v>5.25</v>
      </c>
      <c r="J93" s="64">
        <v>0.23</v>
      </c>
      <c r="K93" s="64">
        <v>318.54000000000002</v>
      </c>
      <c r="L93" s="64">
        <v>20.27</v>
      </c>
      <c r="M93" s="64">
        <v>74.52</v>
      </c>
      <c r="N93" s="64">
        <v>40.200000000000003</v>
      </c>
      <c r="O93" s="64">
        <v>0</v>
      </c>
      <c r="P93" s="64">
        <v>2.2000000000000002</v>
      </c>
      <c r="Q93" s="64">
        <v>9.67</v>
      </c>
      <c r="S93" s="198"/>
      <c r="T93" s="198"/>
      <c r="U93" s="198"/>
    </row>
    <row r="94" spans="1:26" s="12" customFormat="1" x14ac:dyDescent="0.25">
      <c r="A94" s="211" t="s">
        <v>2445</v>
      </c>
      <c r="B94" s="64">
        <v>79.05</v>
      </c>
      <c r="C94" s="64">
        <v>8.81</v>
      </c>
      <c r="D94" s="64">
        <v>66.33</v>
      </c>
      <c r="E94" s="64">
        <v>7.16</v>
      </c>
      <c r="F94" s="64">
        <v>3.68</v>
      </c>
      <c r="G94" s="64">
        <v>98.58</v>
      </c>
      <c r="H94" s="64">
        <v>34.270000000000003</v>
      </c>
      <c r="I94" s="64">
        <v>5.74</v>
      </c>
      <c r="J94" s="64">
        <v>0.22</v>
      </c>
      <c r="K94" s="64">
        <v>326.64999999999998</v>
      </c>
      <c r="L94" s="64">
        <v>20</v>
      </c>
      <c r="M94" s="64">
        <v>77.92</v>
      </c>
      <c r="N94" s="64">
        <v>40.4</v>
      </c>
      <c r="O94" s="64">
        <v>0</v>
      </c>
      <c r="P94" s="64">
        <v>2.35</v>
      </c>
      <c r="Q94" s="64">
        <v>9.69</v>
      </c>
      <c r="S94" s="198"/>
      <c r="T94" s="198"/>
      <c r="U94" s="198"/>
    </row>
    <row r="95" spans="1:26" s="12" customFormat="1" x14ac:dyDescent="0.25">
      <c r="A95" s="211" t="s">
        <v>2446</v>
      </c>
      <c r="B95" s="64">
        <v>60.17</v>
      </c>
      <c r="C95" s="64">
        <v>13.19</v>
      </c>
      <c r="D95" s="64">
        <v>54.68</v>
      </c>
      <c r="E95" s="64">
        <v>7</v>
      </c>
      <c r="F95" s="64">
        <v>3.86</v>
      </c>
      <c r="G95" s="64">
        <v>98.58</v>
      </c>
      <c r="H95" s="64">
        <v>34.270000000000003</v>
      </c>
      <c r="I95" s="64">
        <v>5.7</v>
      </c>
      <c r="J95" s="64">
        <v>0.17</v>
      </c>
      <c r="K95" s="64">
        <v>278.08</v>
      </c>
      <c r="L95" s="64">
        <v>19.809999999999999</v>
      </c>
      <c r="M95" s="64">
        <v>77.44</v>
      </c>
      <c r="N95" s="64">
        <v>40.299999999999997</v>
      </c>
      <c r="O95" s="64">
        <v>0</v>
      </c>
      <c r="P95" s="64">
        <v>2.08</v>
      </c>
      <c r="Q95" s="64">
        <v>9.68</v>
      </c>
      <c r="S95" s="198"/>
      <c r="T95" s="198"/>
      <c r="U95" s="198"/>
    </row>
    <row r="96" spans="1:26" s="12" customFormat="1" x14ac:dyDescent="0.25">
      <c r="A96" s="211" t="s">
        <v>2447</v>
      </c>
      <c r="B96" s="64">
        <v>58.2</v>
      </c>
      <c r="C96" s="64">
        <v>11.31</v>
      </c>
      <c r="D96" s="64">
        <v>52.12</v>
      </c>
      <c r="E96" s="64">
        <v>6.65</v>
      </c>
      <c r="F96" s="64">
        <v>3.85</v>
      </c>
      <c r="G96" s="64">
        <v>98.58</v>
      </c>
      <c r="H96" s="64">
        <v>34.270000000000003</v>
      </c>
      <c r="I96" s="64">
        <v>5.49</v>
      </c>
      <c r="J96" s="64">
        <v>0.23</v>
      </c>
      <c r="K96" s="64">
        <v>257.99</v>
      </c>
      <c r="L96" s="64">
        <v>19.98</v>
      </c>
      <c r="M96" s="64">
        <v>75.98</v>
      </c>
      <c r="N96" s="64">
        <v>39.9</v>
      </c>
      <c r="O96" s="64">
        <v>0</v>
      </c>
      <c r="P96" s="64">
        <v>1.95</v>
      </c>
      <c r="Q96" s="64">
        <v>9.69</v>
      </c>
      <c r="S96" s="198"/>
      <c r="T96" s="198"/>
      <c r="U96" s="198"/>
      <c r="Z96" s="109"/>
    </row>
    <row r="97" spans="1:33" s="12" customFormat="1" x14ac:dyDescent="0.25">
      <c r="A97" s="211" t="s">
        <v>2448</v>
      </c>
      <c r="B97" s="64">
        <v>54.48</v>
      </c>
      <c r="C97" s="64">
        <v>11.28</v>
      </c>
      <c r="D97" s="64">
        <v>49.12</v>
      </c>
      <c r="E97" s="64">
        <v>6.41</v>
      </c>
      <c r="F97" s="64">
        <v>3.25</v>
      </c>
      <c r="G97" s="64">
        <v>100.66</v>
      </c>
      <c r="H97" s="64">
        <v>35.86</v>
      </c>
      <c r="I97" s="64">
        <v>5.54</v>
      </c>
      <c r="J97" s="64">
        <v>0.14000000000000001</v>
      </c>
      <c r="K97" s="64">
        <v>277.04000000000002</v>
      </c>
      <c r="L97" s="64">
        <v>20</v>
      </c>
      <c r="M97" s="64">
        <v>71.89</v>
      </c>
      <c r="N97" s="64">
        <v>39.9</v>
      </c>
      <c r="O97" s="64">
        <v>0</v>
      </c>
      <c r="P97" s="64">
        <v>1.9</v>
      </c>
      <c r="Q97" s="64">
        <v>9.6999999999999993</v>
      </c>
      <c r="S97" s="198"/>
      <c r="T97" s="198"/>
      <c r="U97" s="198"/>
    </row>
    <row r="98" spans="1:33" s="12" customFormat="1" x14ac:dyDescent="0.25">
      <c r="A98" s="211" t="s">
        <v>2449</v>
      </c>
      <c r="B98" s="64">
        <v>57</v>
      </c>
      <c r="C98" s="64">
        <v>3.53</v>
      </c>
      <c r="D98" s="64">
        <v>47.08</v>
      </c>
      <c r="E98" s="64">
        <v>6.07</v>
      </c>
      <c r="F98" s="64">
        <v>3.12</v>
      </c>
      <c r="G98" s="64">
        <v>101.34</v>
      </c>
      <c r="H98" s="64">
        <v>35.86</v>
      </c>
      <c r="I98" s="64">
        <v>5.97</v>
      </c>
      <c r="J98" s="64">
        <v>0.22</v>
      </c>
      <c r="K98" s="64">
        <v>316.74</v>
      </c>
      <c r="L98" s="64">
        <v>19.95</v>
      </c>
      <c r="M98" s="64">
        <v>71.87</v>
      </c>
      <c r="N98" s="64">
        <v>40.4</v>
      </c>
      <c r="O98" s="64">
        <v>0</v>
      </c>
      <c r="P98" s="64">
        <v>1.9</v>
      </c>
      <c r="Q98" s="64">
        <v>9.69</v>
      </c>
      <c r="S98" s="198"/>
      <c r="T98" s="198"/>
      <c r="U98" s="198"/>
    </row>
    <row r="99" spans="1:33" s="12" customFormat="1" x14ac:dyDescent="0.25">
      <c r="A99" s="211" t="s">
        <v>2450</v>
      </c>
      <c r="B99" s="64">
        <v>57.05</v>
      </c>
      <c r="C99" s="64">
        <v>2.64</v>
      </c>
      <c r="D99" s="64">
        <v>46.67</v>
      </c>
      <c r="E99" s="64">
        <v>5.58</v>
      </c>
      <c r="F99" s="64">
        <v>3.24</v>
      </c>
      <c r="G99" s="64">
        <v>101.34</v>
      </c>
      <c r="H99" s="64">
        <v>35.86</v>
      </c>
      <c r="I99" s="64">
        <v>6.24</v>
      </c>
      <c r="J99" s="64">
        <v>0.19</v>
      </c>
      <c r="K99" s="64">
        <v>326.22000000000003</v>
      </c>
      <c r="L99" s="64">
        <v>19.47</v>
      </c>
      <c r="M99" s="64">
        <v>79.22</v>
      </c>
      <c r="N99" s="64">
        <v>40.6</v>
      </c>
      <c r="O99" s="64">
        <v>0</v>
      </c>
      <c r="P99" s="64">
        <v>1.89</v>
      </c>
      <c r="Q99" s="64">
        <v>9.7100000000000009</v>
      </c>
      <c r="S99" s="198"/>
      <c r="T99" s="198"/>
      <c r="U99" s="198"/>
    </row>
    <row r="100" spans="1:33" s="12" customFormat="1" x14ac:dyDescent="0.25">
      <c r="A100" s="211" t="s">
        <v>2451</v>
      </c>
      <c r="B100" s="64">
        <v>57.98</v>
      </c>
      <c r="C100" s="64">
        <v>1.98</v>
      </c>
      <c r="D100" s="64">
        <v>47.07</v>
      </c>
      <c r="E100" s="64">
        <v>5.99</v>
      </c>
      <c r="F100" s="64">
        <v>3.07</v>
      </c>
      <c r="G100" s="64">
        <v>101.34</v>
      </c>
      <c r="H100" s="64">
        <v>35.86</v>
      </c>
      <c r="I100" s="64">
        <v>5.84</v>
      </c>
      <c r="J100" s="64">
        <v>0.21</v>
      </c>
      <c r="K100" s="64">
        <v>281.83999999999997</v>
      </c>
      <c r="L100" s="64">
        <v>19.14</v>
      </c>
      <c r="M100" s="64">
        <v>76.73</v>
      </c>
      <c r="N100" s="64">
        <v>40.4</v>
      </c>
      <c r="O100" s="64">
        <v>0</v>
      </c>
      <c r="P100" s="64">
        <v>1.88</v>
      </c>
      <c r="Q100" s="64">
        <v>9.6999999999999993</v>
      </c>
      <c r="S100" s="198"/>
      <c r="T100" s="198"/>
      <c r="U100" s="198"/>
      <c r="AB100" s="110"/>
      <c r="AG100" s="109"/>
    </row>
    <row r="101" spans="1:33" s="12" customFormat="1" x14ac:dyDescent="0.25">
      <c r="A101" s="211" t="s">
        <v>2452</v>
      </c>
      <c r="B101" s="64">
        <v>59.78</v>
      </c>
      <c r="C101" s="64">
        <v>1.62</v>
      </c>
      <c r="D101" s="64">
        <v>48.25</v>
      </c>
      <c r="E101" s="64">
        <v>5.46</v>
      </c>
      <c r="F101" s="64">
        <v>2.85</v>
      </c>
      <c r="G101" s="64">
        <v>96.71</v>
      </c>
      <c r="H101" s="64">
        <v>34.79</v>
      </c>
      <c r="I101" s="64">
        <v>5.57</v>
      </c>
      <c r="J101" s="64">
        <v>0.08</v>
      </c>
      <c r="K101" s="64">
        <v>337.22</v>
      </c>
      <c r="L101" s="64">
        <v>18.8</v>
      </c>
      <c r="M101" s="64">
        <v>79.510000000000005</v>
      </c>
      <c r="N101" s="64">
        <v>40.5</v>
      </c>
      <c r="O101" s="64">
        <v>0</v>
      </c>
      <c r="P101" s="64">
        <v>1.89</v>
      </c>
      <c r="Q101" s="64">
        <v>9.7100000000000009</v>
      </c>
      <c r="S101" s="198"/>
      <c r="T101" s="198"/>
      <c r="U101" s="198"/>
    </row>
    <row r="102" spans="1:33" s="12" customFormat="1" x14ac:dyDescent="0.25">
      <c r="A102" s="211" t="s">
        <v>2453</v>
      </c>
      <c r="B102" s="64">
        <v>59.3</v>
      </c>
      <c r="C102" s="64">
        <v>0.95</v>
      </c>
      <c r="D102" s="64">
        <v>47.59</v>
      </c>
      <c r="E102" s="64">
        <v>5.72</v>
      </c>
      <c r="F102" s="64">
        <v>3.22</v>
      </c>
      <c r="G102" s="64">
        <v>95.21</v>
      </c>
      <c r="H102" s="64">
        <v>34.79</v>
      </c>
      <c r="I102" s="64">
        <v>5.57</v>
      </c>
      <c r="J102" s="64">
        <v>0.13</v>
      </c>
      <c r="K102" s="64">
        <v>261.39999999999998</v>
      </c>
      <c r="L102" s="64">
        <v>18.52</v>
      </c>
      <c r="M102" s="64">
        <v>82.45</v>
      </c>
      <c r="N102" s="64">
        <v>40.4</v>
      </c>
      <c r="O102" s="64">
        <v>0</v>
      </c>
      <c r="P102" s="64">
        <v>1.89</v>
      </c>
      <c r="Q102" s="64">
        <v>9.7100000000000009</v>
      </c>
      <c r="S102" s="198"/>
      <c r="T102" s="198"/>
      <c r="U102" s="198"/>
    </row>
    <row r="103" spans="1:33" s="12" customFormat="1" x14ac:dyDescent="0.25">
      <c r="A103" s="211" t="s">
        <v>2454</v>
      </c>
      <c r="B103" s="64">
        <v>59.67</v>
      </c>
      <c r="C103" s="64">
        <v>0.76</v>
      </c>
      <c r="D103" s="64">
        <v>47.79</v>
      </c>
      <c r="E103" s="64">
        <v>5.37</v>
      </c>
      <c r="F103" s="64">
        <v>3.1</v>
      </c>
      <c r="G103" s="64">
        <v>95.21</v>
      </c>
      <c r="H103" s="64">
        <v>34.79</v>
      </c>
      <c r="I103" s="64">
        <v>5.56</v>
      </c>
      <c r="J103" s="64">
        <v>0.17</v>
      </c>
      <c r="K103" s="64">
        <v>328.56</v>
      </c>
      <c r="L103" s="64">
        <v>18.14</v>
      </c>
      <c r="M103" s="64">
        <v>88.45</v>
      </c>
      <c r="N103" s="64">
        <v>40.4</v>
      </c>
      <c r="O103" s="64">
        <v>0</v>
      </c>
      <c r="P103" s="64">
        <v>1.88</v>
      </c>
      <c r="Q103" s="64">
        <v>9.7100000000000009</v>
      </c>
      <c r="S103" s="198"/>
      <c r="T103" s="198"/>
      <c r="U103" s="198"/>
    </row>
    <row r="104" spans="1:33" s="12" customFormat="1" x14ac:dyDescent="0.25">
      <c r="A104" s="211" t="s">
        <v>2455</v>
      </c>
      <c r="B104" s="64">
        <v>60.81</v>
      </c>
      <c r="C104" s="64">
        <v>0.23</v>
      </c>
      <c r="D104" s="64">
        <v>48.41</v>
      </c>
      <c r="E104" s="64">
        <v>6.03</v>
      </c>
      <c r="F104" s="64">
        <v>3.31</v>
      </c>
      <c r="G104" s="64">
        <v>95.21</v>
      </c>
      <c r="H104" s="64">
        <v>34.79</v>
      </c>
      <c r="I104" s="64">
        <v>5.53</v>
      </c>
      <c r="J104" s="64">
        <v>0.18</v>
      </c>
      <c r="K104" s="64">
        <v>348.13</v>
      </c>
      <c r="L104" s="64">
        <v>18</v>
      </c>
      <c r="M104" s="64">
        <v>92.55</v>
      </c>
      <c r="N104" s="64">
        <v>40.4</v>
      </c>
      <c r="O104" s="64">
        <v>0</v>
      </c>
      <c r="P104" s="64">
        <v>1.86</v>
      </c>
      <c r="Q104" s="64">
        <v>9.7100000000000009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3.04</v>
      </c>
      <c r="C106" s="67">
        <f>MIN(C9:C104)</f>
        <v>0.01</v>
      </c>
      <c r="D106" s="67">
        <f t="shared" ref="D106:Q106" si="0">MIN(D9:D104)</f>
        <v>16.87</v>
      </c>
      <c r="E106" s="67">
        <f t="shared" si="0"/>
        <v>5.0199999999999996</v>
      </c>
      <c r="F106" s="67">
        <f t="shared" si="0"/>
        <v>2.85</v>
      </c>
      <c r="G106" s="67">
        <f t="shared" si="0"/>
        <v>47.14</v>
      </c>
      <c r="H106" s="67">
        <f t="shared" si="0"/>
        <v>19.73</v>
      </c>
      <c r="I106" s="67">
        <f t="shared" si="0"/>
        <v>3.85</v>
      </c>
      <c r="J106" s="67">
        <f t="shared" si="0"/>
        <v>0.02</v>
      </c>
      <c r="K106" s="67">
        <f t="shared" si="0"/>
        <v>12.65</v>
      </c>
      <c r="L106" s="67">
        <f t="shared" si="0"/>
        <v>15.69</v>
      </c>
      <c r="M106" s="67">
        <f t="shared" si="0"/>
        <v>27.82</v>
      </c>
      <c r="N106" s="67">
        <f t="shared" si="0"/>
        <v>39.700000000000003</v>
      </c>
      <c r="O106" s="67">
        <f t="shared" si="0"/>
        <v>0</v>
      </c>
      <c r="P106" s="67">
        <f t="shared" si="0"/>
        <v>0.66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80.040000000000006</v>
      </c>
      <c r="C107" s="66">
        <f t="shared" ref="C107:Q107" si="1">MAX(C9:C104)</f>
        <v>54.09</v>
      </c>
      <c r="D107" s="66">
        <f t="shared" si="1"/>
        <v>66.33</v>
      </c>
      <c r="E107" s="66">
        <f t="shared" si="1"/>
        <v>27.47</v>
      </c>
      <c r="F107" s="66">
        <f t="shared" si="1"/>
        <v>35.28</v>
      </c>
      <c r="G107" s="66">
        <f t="shared" si="1"/>
        <v>117</v>
      </c>
      <c r="H107" s="66">
        <f t="shared" si="1"/>
        <v>46.5</v>
      </c>
      <c r="I107" s="66">
        <f t="shared" si="1"/>
        <v>7.44</v>
      </c>
      <c r="J107" s="66">
        <f t="shared" si="1"/>
        <v>1.18</v>
      </c>
      <c r="K107" s="66">
        <f t="shared" si="1"/>
        <v>355.98</v>
      </c>
      <c r="L107" s="66">
        <f t="shared" si="1"/>
        <v>31.29</v>
      </c>
      <c r="M107" s="66">
        <f t="shared" si="1"/>
        <v>97.01</v>
      </c>
      <c r="N107" s="66">
        <f t="shared" si="1"/>
        <v>607.9</v>
      </c>
      <c r="O107" s="66">
        <f t="shared" si="1"/>
        <v>0</v>
      </c>
      <c r="P107" s="66">
        <f t="shared" si="1"/>
        <v>2.4900000000000002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42.068541666666675</v>
      </c>
      <c r="C108" s="67">
        <f t="shared" ref="C108:Q108" si="2">AVERAGE(C9:C104)</f>
        <v>14.379390243902435</v>
      </c>
      <c r="D108" s="67">
        <f t="shared" si="2"/>
        <v>39.378125000000004</v>
      </c>
      <c r="E108" s="67">
        <f t="shared" si="2"/>
        <v>8.1637499999999985</v>
      </c>
      <c r="F108" s="67">
        <f t="shared" si="2"/>
        <v>6.5937500000000036</v>
      </c>
      <c r="G108" s="67">
        <f t="shared" si="2"/>
        <v>82.539687500000042</v>
      </c>
      <c r="H108" s="67">
        <f t="shared" si="2"/>
        <v>33.702499999999993</v>
      </c>
      <c r="I108" s="67">
        <f t="shared" si="2"/>
        <v>5.7405208333333348</v>
      </c>
      <c r="J108" s="67">
        <f t="shared" si="2"/>
        <v>0.28374999999999995</v>
      </c>
      <c r="K108" s="67">
        <f t="shared" si="2"/>
        <v>182.49197916666671</v>
      </c>
      <c r="L108" s="67">
        <f t="shared" si="2"/>
        <v>21.718749999999996</v>
      </c>
      <c r="M108" s="67">
        <f t="shared" si="2"/>
        <v>68.544166666666683</v>
      </c>
      <c r="N108" s="67">
        <f t="shared" si="2"/>
        <v>167.27395833333335</v>
      </c>
      <c r="O108" s="67">
        <f t="shared" si="2"/>
        <v>0</v>
      </c>
      <c r="P108" s="67">
        <f t="shared" si="2"/>
        <v>1.549895833333333</v>
      </c>
      <c r="Q108" s="67">
        <f t="shared" si="2"/>
        <v>9.6315625000000029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19.645132461498527</v>
      </c>
      <c r="C109" s="67">
        <f t="shared" ref="C109:Q109" si="3">STDEV(C9:C104)</f>
        <v>13.01218691325877</v>
      </c>
      <c r="D109" s="67">
        <f t="shared" si="3"/>
        <v>11.185822070582761</v>
      </c>
      <c r="E109" s="67">
        <f t="shared" si="3"/>
        <v>4.6958062476841489</v>
      </c>
      <c r="F109" s="67">
        <f t="shared" si="3"/>
        <v>6.4191777223861717</v>
      </c>
      <c r="G109" s="67">
        <f t="shared" si="3"/>
        <v>19.883890356033923</v>
      </c>
      <c r="H109" s="67">
        <f t="shared" si="3"/>
        <v>7.6175162411517476</v>
      </c>
      <c r="I109" s="67">
        <f t="shared" si="3"/>
        <v>0.94318203834472025</v>
      </c>
      <c r="J109" s="67">
        <f t="shared" si="3"/>
        <v>0.24372655082888978</v>
      </c>
      <c r="K109" s="67">
        <f t="shared" si="3"/>
        <v>111.3145096478753</v>
      </c>
      <c r="L109" s="67">
        <f t="shared" si="3"/>
        <v>4.7143106321966481</v>
      </c>
      <c r="M109" s="67">
        <f t="shared" si="3"/>
        <v>24.509324741784404</v>
      </c>
      <c r="N109" s="67">
        <f t="shared" si="3"/>
        <v>200.22874983893149</v>
      </c>
      <c r="O109" s="67">
        <f t="shared" si="3"/>
        <v>0</v>
      </c>
      <c r="P109" s="67">
        <f t="shared" si="3"/>
        <v>0.43391363387968018</v>
      </c>
      <c r="Q109" s="67">
        <f t="shared" si="3"/>
        <v>0.1081551334645604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COUNT(C9:C104)+14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09" sqref="P10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2456</v>
      </c>
      <c r="B9" s="64">
        <v>61.62</v>
      </c>
      <c r="C9" s="6" t="s">
        <v>42</v>
      </c>
      <c r="D9" s="64">
        <v>48.62</v>
      </c>
      <c r="E9" s="64">
        <v>5.17</v>
      </c>
      <c r="F9" s="64">
        <v>3.08</v>
      </c>
      <c r="G9" s="64">
        <v>96.98</v>
      </c>
      <c r="H9" s="64">
        <v>35.840000000000003</v>
      </c>
      <c r="I9" s="64">
        <v>5.5</v>
      </c>
      <c r="J9" s="64">
        <v>0.15</v>
      </c>
      <c r="K9" s="64">
        <v>303.10000000000002</v>
      </c>
      <c r="L9" s="64">
        <v>17.89</v>
      </c>
      <c r="M9" s="64">
        <v>95.7</v>
      </c>
      <c r="N9" s="64">
        <v>40.200000000000003</v>
      </c>
      <c r="O9" s="64">
        <v>0</v>
      </c>
      <c r="P9" s="64">
        <v>1.86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1" t="s">
        <v>2457</v>
      </c>
      <c r="B10" s="64">
        <v>62.22</v>
      </c>
      <c r="C10" s="6" t="s">
        <v>42</v>
      </c>
      <c r="D10" s="64">
        <v>48.62</v>
      </c>
      <c r="E10" s="64">
        <v>5.3</v>
      </c>
      <c r="F10" s="64">
        <v>3.08</v>
      </c>
      <c r="G10" s="64">
        <v>97.55</v>
      </c>
      <c r="H10" s="64">
        <v>35.840000000000003</v>
      </c>
      <c r="I10" s="64">
        <v>5.48</v>
      </c>
      <c r="J10" s="64">
        <v>0.25</v>
      </c>
      <c r="K10" s="64">
        <v>218.86</v>
      </c>
      <c r="L10" s="64">
        <v>17.989999999999998</v>
      </c>
      <c r="M10" s="64">
        <v>96.87</v>
      </c>
      <c r="N10" s="64">
        <v>39.9</v>
      </c>
      <c r="O10" s="64">
        <v>0</v>
      </c>
      <c r="P10" s="64">
        <v>1.86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1" t="s">
        <v>2458</v>
      </c>
      <c r="B11" s="64">
        <v>61.5</v>
      </c>
      <c r="C11" s="64">
        <v>0.15</v>
      </c>
      <c r="D11" s="64">
        <v>48.19</v>
      </c>
      <c r="E11" s="64">
        <v>5.18</v>
      </c>
      <c r="F11" s="64">
        <v>2.92</v>
      </c>
      <c r="G11" s="64">
        <v>97.55</v>
      </c>
      <c r="H11" s="64">
        <v>35.840000000000003</v>
      </c>
      <c r="I11" s="64">
        <v>5.47</v>
      </c>
      <c r="J11" s="64">
        <v>0.16</v>
      </c>
      <c r="K11" s="64">
        <v>316.8</v>
      </c>
      <c r="L11" s="64">
        <v>18.02</v>
      </c>
      <c r="M11" s="64">
        <v>96.69</v>
      </c>
      <c r="N11" s="64">
        <v>40.4</v>
      </c>
      <c r="O11" s="64">
        <v>0</v>
      </c>
      <c r="P11" s="64">
        <v>1.84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11" t="s">
        <v>2459</v>
      </c>
      <c r="B12" s="64">
        <v>60.19</v>
      </c>
      <c r="C12" s="64">
        <v>0.56000000000000005</v>
      </c>
      <c r="D12" s="64">
        <v>47.21</v>
      </c>
      <c r="E12" s="64">
        <v>5.0599999999999996</v>
      </c>
      <c r="F12" s="64">
        <v>2.97</v>
      </c>
      <c r="G12" s="64">
        <v>97.55</v>
      </c>
      <c r="H12" s="64">
        <v>35.840000000000003</v>
      </c>
      <c r="I12" s="64">
        <v>5.46</v>
      </c>
      <c r="J12" s="64">
        <v>0.22</v>
      </c>
      <c r="K12" s="64">
        <v>276.82</v>
      </c>
      <c r="L12" s="64">
        <v>17.77</v>
      </c>
      <c r="M12" s="64">
        <v>96.88</v>
      </c>
      <c r="N12" s="64">
        <v>40.200000000000003</v>
      </c>
      <c r="O12" s="64">
        <v>0</v>
      </c>
      <c r="P12" s="64">
        <v>1.83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1" t="s">
        <v>2460</v>
      </c>
      <c r="B13" s="64">
        <v>56.85</v>
      </c>
      <c r="C13" s="64">
        <v>2.85</v>
      </c>
      <c r="D13" s="64">
        <v>45.65</v>
      </c>
      <c r="E13" s="64">
        <v>5.24</v>
      </c>
      <c r="F13" s="64">
        <v>2.85</v>
      </c>
      <c r="G13" s="64">
        <v>99.23</v>
      </c>
      <c r="H13" s="64">
        <v>36.58</v>
      </c>
      <c r="I13" s="64">
        <v>5.46</v>
      </c>
      <c r="J13" s="64">
        <v>0.18</v>
      </c>
      <c r="K13" s="64">
        <v>286.76</v>
      </c>
      <c r="L13" s="64">
        <v>17.64</v>
      </c>
      <c r="M13" s="64">
        <v>96.89</v>
      </c>
      <c r="N13" s="64">
        <v>40.299999999999997</v>
      </c>
      <c r="O13" s="64">
        <v>0</v>
      </c>
      <c r="P13" s="64">
        <v>1.63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1" t="s">
        <v>2461</v>
      </c>
      <c r="B14" s="64">
        <v>58.35</v>
      </c>
      <c r="C14" s="64">
        <v>1.26</v>
      </c>
      <c r="D14" s="64">
        <v>45.96</v>
      </c>
      <c r="E14" s="64">
        <v>5.07</v>
      </c>
      <c r="F14" s="64">
        <v>3.02</v>
      </c>
      <c r="G14" s="64">
        <v>99.77</v>
      </c>
      <c r="H14" s="64">
        <v>36.58</v>
      </c>
      <c r="I14" s="64">
        <v>5.48</v>
      </c>
      <c r="J14" s="64">
        <v>0.17</v>
      </c>
      <c r="K14" s="64">
        <v>277.69</v>
      </c>
      <c r="L14" s="64">
        <v>17.46</v>
      </c>
      <c r="M14" s="64">
        <v>96.9</v>
      </c>
      <c r="N14" s="64">
        <v>40.200000000000003</v>
      </c>
      <c r="O14" s="64">
        <v>0</v>
      </c>
      <c r="P14" s="64">
        <v>1.75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11" t="s">
        <v>2462</v>
      </c>
      <c r="B15" s="64">
        <v>56.32</v>
      </c>
      <c r="C15" s="64">
        <v>1.84</v>
      </c>
      <c r="D15" s="64">
        <v>44.87</v>
      </c>
      <c r="E15" s="64">
        <v>5.17</v>
      </c>
      <c r="F15" s="64">
        <v>3.11</v>
      </c>
      <c r="G15" s="64">
        <v>99.77</v>
      </c>
      <c r="H15" s="64">
        <v>36.58</v>
      </c>
      <c r="I15" s="64">
        <v>5.87</v>
      </c>
      <c r="J15" s="64">
        <v>0.19</v>
      </c>
      <c r="K15" s="64">
        <v>4.18</v>
      </c>
      <c r="L15" s="64">
        <v>17.23</v>
      </c>
      <c r="M15" s="64">
        <v>96.93</v>
      </c>
      <c r="N15" s="64">
        <v>40.299999999999997</v>
      </c>
      <c r="O15" s="64">
        <v>0</v>
      </c>
      <c r="P15" s="64">
        <v>1.73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1" t="s">
        <v>2463</v>
      </c>
      <c r="B16" s="64">
        <v>55.12</v>
      </c>
      <c r="C16" s="64">
        <v>3.18</v>
      </c>
      <c r="D16" s="64">
        <v>44.94</v>
      </c>
      <c r="E16" s="64">
        <v>5.47</v>
      </c>
      <c r="F16" s="64">
        <v>3.2</v>
      </c>
      <c r="G16" s="64">
        <v>99.77</v>
      </c>
      <c r="H16" s="64">
        <v>36.58</v>
      </c>
      <c r="I16" s="64">
        <v>5.74</v>
      </c>
      <c r="J16" s="64">
        <v>0.05</v>
      </c>
      <c r="K16" s="64">
        <v>239.82</v>
      </c>
      <c r="L16" s="64">
        <v>17.350000000000001</v>
      </c>
      <c r="M16" s="64">
        <v>96.9</v>
      </c>
      <c r="N16" s="64">
        <v>40</v>
      </c>
      <c r="O16" s="64">
        <v>0</v>
      </c>
      <c r="P16" s="64">
        <v>1.74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1" t="s">
        <v>2464</v>
      </c>
      <c r="B17" s="64">
        <v>55.78</v>
      </c>
      <c r="C17" s="64">
        <v>1.97</v>
      </c>
      <c r="D17" s="64">
        <v>44.79</v>
      </c>
      <c r="E17" s="64">
        <v>5.84</v>
      </c>
      <c r="F17" s="64">
        <v>3.58</v>
      </c>
      <c r="G17" s="64">
        <v>94.88</v>
      </c>
      <c r="H17" s="64">
        <v>37.81</v>
      </c>
      <c r="I17" s="64">
        <v>5.44</v>
      </c>
      <c r="J17" s="64">
        <v>0.11</v>
      </c>
      <c r="K17" s="64">
        <v>285.89999999999998</v>
      </c>
      <c r="L17" s="64">
        <v>17.399999999999999</v>
      </c>
      <c r="M17" s="64">
        <v>96.9</v>
      </c>
      <c r="N17" s="64">
        <v>40.200000000000003</v>
      </c>
      <c r="O17" s="64">
        <v>0</v>
      </c>
      <c r="P17" s="64">
        <v>1.75</v>
      </c>
      <c r="Q17" s="64">
        <v>9.7100000000000009</v>
      </c>
      <c r="R17" s="198"/>
      <c r="S17" s="198"/>
      <c r="T17" s="198"/>
      <c r="U17" s="198"/>
    </row>
    <row r="18" spans="1:21" s="12" customFormat="1" x14ac:dyDescent="0.25">
      <c r="A18" s="211" t="s">
        <v>2465</v>
      </c>
      <c r="B18" s="64">
        <v>55.28</v>
      </c>
      <c r="C18" s="64">
        <v>1.75</v>
      </c>
      <c r="D18" s="64">
        <v>44.78</v>
      </c>
      <c r="E18" s="64">
        <v>5.14</v>
      </c>
      <c r="F18" s="64">
        <v>3.07</v>
      </c>
      <c r="G18" s="64">
        <v>93.29</v>
      </c>
      <c r="H18" s="64">
        <v>37.81</v>
      </c>
      <c r="I18" s="64">
        <v>5.83</v>
      </c>
      <c r="J18" s="64">
        <v>0.19</v>
      </c>
      <c r="K18" s="64">
        <v>157.69</v>
      </c>
      <c r="L18" s="64">
        <v>17.21</v>
      </c>
      <c r="M18" s="64">
        <v>96.95</v>
      </c>
      <c r="N18" s="64">
        <v>40.299999999999997</v>
      </c>
      <c r="O18" s="64">
        <v>0</v>
      </c>
      <c r="P18" s="64">
        <v>1.76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1" t="s">
        <v>2466</v>
      </c>
      <c r="B19" s="64">
        <v>56.92</v>
      </c>
      <c r="C19" s="64">
        <v>0.11</v>
      </c>
      <c r="D19" s="64">
        <v>45.11</v>
      </c>
      <c r="E19" s="64">
        <v>5.15</v>
      </c>
      <c r="F19" s="64">
        <v>3.13</v>
      </c>
      <c r="G19" s="64">
        <v>93.29</v>
      </c>
      <c r="H19" s="64">
        <v>37.81</v>
      </c>
      <c r="I19" s="64">
        <v>5.75</v>
      </c>
      <c r="J19" s="64">
        <v>0.09</v>
      </c>
      <c r="K19" s="64">
        <v>308.49</v>
      </c>
      <c r="L19" s="64">
        <v>17.11</v>
      </c>
      <c r="M19" s="64">
        <v>96.95</v>
      </c>
      <c r="N19" s="64">
        <v>40.299999999999997</v>
      </c>
      <c r="O19" s="64">
        <v>0</v>
      </c>
      <c r="P19" s="64">
        <v>1.74</v>
      </c>
      <c r="Q19" s="64">
        <v>9.7100000000000009</v>
      </c>
      <c r="R19" s="198"/>
      <c r="S19" s="198"/>
      <c r="T19" s="198"/>
      <c r="U19" s="198"/>
    </row>
    <row r="20" spans="1:21" s="12" customFormat="1" x14ac:dyDescent="0.25">
      <c r="A20" s="211" t="s">
        <v>2467</v>
      </c>
      <c r="B20" s="64">
        <v>57.74</v>
      </c>
      <c r="C20" s="6" t="s">
        <v>42</v>
      </c>
      <c r="D20" s="64">
        <v>45.15</v>
      </c>
      <c r="E20" s="64">
        <v>5.54</v>
      </c>
      <c r="F20" s="64">
        <v>3.09</v>
      </c>
      <c r="G20" s="64">
        <v>93.29</v>
      </c>
      <c r="H20" s="64">
        <v>37.81</v>
      </c>
      <c r="I20" s="64">
        <v>5.89</v>
      </c>
      <c r="J20" s="64">
        <v>0.19</v>
      </c>
      <c r="K20" s="64">
        <v>8.6300000000000008</v>
      </c>
      <c r="L20" s="64">
        <v>16.940000000000001</v>
      </c>
      <c r="M20" s="64">
        <v>96.96</v>
      </c>
      <c r="N20" s="64">
        <v>40.4</v>
      </c>
      <c r="O20" s="64">
        <v>0</v>
      </c>
      <c r="P20" s="64">
        <v>1.71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1" t="s">
        <v>2468</v>
      </c>
      <c r="B21" s="64">
        <v>58.14</v>
      </c>
      <c r="C21" s="6" t="s">
        <v>42</v>
      </c>
      <c r="D21" s="64">
        <v>45.03</v>
      </c>
      <c r="E21" s="64">
        <v>5.4</v>
      </c>
      <c r="F21" s="64">
        <v>3.17</v>
      </c>
      <c r="G21" s="64">
        <v>95.44</v>
      </c>
      <c r="H21" s="64">
        <v>39.5</v>
      </c>
      <c r="I21" s="64">
        <v>5.8</v>
      </c>
      <c r="J21" s="64">
        <v>0.1</v>
      </c>
      <c r="K21" s="64">
        <v>144.77000000000001</v>
      </c>
      <c r="L21" s="64">
        <v>16.809999999999999</v>
      </c>
      <c r="M21" s="64">
        <v>96.96</v>
      </c>
      <c r="N21" s="64">
        <v>40.1</v>
      </c>
      <c r="O21" s="64">
        <v>0</v>
      </c>
      <c r="P21" s="64">
        <v>1.69</v>
      </c>
      <c r="Q21" s="64">
        <v>9.6999999999999993</v>
      </c>
      <c r="R21" s="198"/>
      <c r="S21" s="198"/>
      <c r="T21" s="198"/>
      <c r="U21" s="198"/>
    </row>
    <row r="22" spans="1:21" s="12" customFormat="1" x14ac:dyDescent="0.25">
      <c r="A22" s="211" t="s">
        <v>2469</v>
      </c>
      <c r="B22" s="64">
        <v>58.29</v>
      </c>
      <c r="C22" s="6" t="s">
        <v>42</v>
      </c>
      <c r="D22" s="64">
        <v>45</v>
      </c>
      <c r="E22" s="64">
        <v>5.5</v>
      </c>
      <c r="F22" s="64">
        <v>3.39</v>
      </c>
      <c r="G22" s="64">
        <v>96.14</v>
      </c>
      <c r="H22" s="64">
        <v>39.5</v>
      </c>
      <c r="I22" s="64">
        <v>5.6</v>
      </c>
      <c r="J22" s="64">
        <v>0.19</v>
      </c>
      <c r="K22" s="64">
        <v>10</v>
      </c>
      <c r="L22" s="64">
        <v>16.829999999999998</v>
      </c>
      <c r="M22" s="64">
        <v>96.97</v>
      </c>
      <c r="N22" s="64">
        <v>40.1</v>
      </c>
      <c r="O22" s="64">
        <v>0</v>
      </c>
      <c r="P22" s="64">
        <v>1.7</v>
      </c>
      <c r="Q22" s="64">
        <v>9.69</v>
      </c>
      <c r="R22" s="198"/>
      <c r="S22" s="198"/>
      <c r="T22" s="198"/>
      <c r="U22" s="198"/>
    </row>
    <row r="23" spans="1:21" s="12" customFormat="1" x14ac:dyDescent="0.25">
      <c r="A23" s="211" t="s">
        <v>2470</v>
      </c>
      <c r="B23" s="64">
        <v>57.86</v>
      </c>
      <c r="C23" s="6" t="s">
        <v>42</v>
      </c>
      <c r="D23" s="64">
        <v>44.63</v>
      </c>
      <c r="E23" s="64">
        <v>5.29</v>
      </c>
      <c r="F23" s="64">
        <v>3.07</v>
      </c>
      <c r="G23" s="64">
        <v>96.14</v>
      </c>
      <c r="H23" s="64">
        <v>39.5</v>
      </c>
      <c r="I23" s="64">
        <v>6.16</v>
      </c>
      <c r="J23" s="64">
        <v>0.16</v>
      </c>
      <c r="K23" s="64">
        <v>117.74</v>
      </c>
      <c r="L23" s="64">
        <v>16.89</v>
      </c>
      <c r="M23" s="64">
        <v>96.94</v>
      </c>
      <c r="N23" s="64">
        <v>40.1</v>
      </c>
      <c r="O23" s="64">
        <v>0</v>
      </c>
      <c r="P23" s="64">
        <v>1.68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11" t="s">
        <v>2471</v>
      </c>
      <c r="B24" s="64">
        <v>56.82</v>
      </c>
      <c r="C24" s="6" t="s">
        <v>42</v>
      </c>
      <c r="D24" s="64">
        <v>43.97</v>
      </c>
      <c r="E24" s="64">
        <v>5.26</v>
      </c>
      <c r="F24" s="64">
        <v>3.35</v>
      </c>
      <c r="G24" s="64">
        <v>96.14</v>
      </c>
      <c r="H24" s="64">
        <v>39.5</v>
      </c>
      <c r="I24" s="64">
        <v>6.58</v>
      </c>
      <c r="J24" s="64">
        <v>0.19</v>
      </c>
      <c r="K24" s="64">
        <v>94.75</v>
      </c>
      <c r="L24" s="64">
        <v>16.86</v>
      </c>
      <c r="M24" s="64">
        <v>96.93</v>
      </c>
      <c r="N24" s="64">
        <v>40</v>
      </c>
      <c r="O24" s="64">
        <v>0</v>
      </c>
      <c r="P24" s="64">
        <v>1.65</v>
      </c>
      <c r="Q24" s="64">
        <v>9.7100000000000009</v>
      </c>
      <c r="R24" s="198"/>
      <c r="S24" s="198"/>
      <c r="T24" s="198"/>
      <c r="U24" s="198"/>
    </row>
    <row r="25" spans="1:21" s="12" customFormat="1" x14ac:dyDescent="0.25">
      <c r="A25" s="211" t="s">
        <v>2472</v>
      </c>
      <c r="B25" s="64">
        <v>55.57</v>
      </c>
      <c r="C25" s="6" t="s">
        <v>42</v>
      </c>
      <c r="D25" s="64">
        <v>43.32</v>
      </c>
      <c r="E25" s="64">
        <v>5.24</v>
      </c>
      <c r="F25" s="64">
        <v>3.15</v>
      </c>
      <c r="G25" s="64">
        <v>94.31</v>
      </c>
      <c r="H25" s="64">
        <v>38.270000000000003</v>
      </c>
      <c r="I25" s="64">
        <v>6.63</v>
      </c>
      <c r="J25" s="64">
        <v>0.24</v>
      </c>
      <c r="K25" s="64">
        <v>92.75</v>
      </c>
      <c r="L25" s="64">
        <v>16.97</v>
      </c>
      <c r="M25" s="64">
        <v>96.89</v>
      </c>
      <c r="N25" s="64">
        <v>40</v>
      </c>
      <c r="O25" s="64">
        <v>0</v>
      </c>
      <c r="P25" s="64">
        <v>1.63</v>
      </c>
      <c r="Q25" s="64">
        <v>9.6999999999999993</v>
      </c>
      <c r="R25" s="198"/>
      <c r="S25" s="198"/>
      <c r="T25" s="198"/>
      <c r="U25" s="198"/>
    </row>
    <row r="26" spans="1:21" s="12" customFormat="1" x14ac:dyDescent="0.25">
      <c r="A26" s="211" t="s">
        <v>2473</v>
      </c>
      <c r="B26" s="64">
        <v>54.33</v>
      </c>
      <c r="C26" s="6" t="s">
        <v>42</v>
      </c>
      <c r="D26" s="64">
        <v>42.62</v>
      </c>
      <c r="E26" s="64">
        <v>5.0199999999999996</v>
      </c>
      <c r="F26" s="64">
        <v>3.04</v>
      </c>
      <c r="G26" s="64">
        <v>93.68</v>
      </c>
      <c r="H26" s="64">
        <v>38.270000000000003</v>
      </c>
      <c r="I26" s="64">
        <v>6.19</v>
      </c>
      <c r="J26" s="64">
        <v>0.27</v>
      </c>
      <c r="K26" s="64">
        <v>82.91</v>
      </c>
      <c r="L26" s="64">
        <v>16.97</v>
      </c>
      <c r="M26" s="64">
        <v>96.88</v>
      </c>
      <c r="N26" s="64">
        <v>40.1</v>
      </c>
      <c r="O26" s="64">
        <v>0</v>
      </c>
      <c r="P26" s="64">
        <v>1.61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1" t="s">
        <v>2474</v>
      </c>
      <c r="B27" s="64">
        <v>53.11</v>
      </c>
      <c r="C27" s="6" t="s">
        <v>42</v>
      </c>
      <c r="D27" s="64">
        <v>41.9</v>
      </c>
      <c r="E27" s="64">
        <v>5.08</v>
      </c>
      <c r="F27" s="64">
        <v>2.87</v>
      </c>
      <c r="G27" s="64">
        <v>93.68</v>
      </c>
      <c r="H27" s="64">
        <v>38.270000000000003</v>
      </c>
      <c r="I27" s="64">
        <v>5.83</v>
      </c>
      <c r="J27" s="64">
        <v>0.15</v>
      </c>
      <c r="K27" s="64">
        <v>102.53</v>
      </c>
      <c r="L27" s="64">
        <v>16.97</v>
      </c>
      <c r="M27" s="64">
        <v>96.88</v>
      </c>
      <c r="N27" s="64">
        <v>40.1</v>
      </c>
      <c r="O27" s="64">
        <v>0</v>
      </c>
      <c r="P27" s="64">
        <v>1.6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1" t="s">
        <v>2475</v>
      </c>
      <c r="B28" s="64">
        <v>51.89</v>
      </c>
      <c r="C28" s="64">
        <v>0.03</v>
      </c>
      <c r="D28" s="64">
        <v>41.09</v>
      </c>
      <c r="E28" s="64">
        <v>4.8899999999999997</v>
      </c>
      <c r="F28" s="64">
        <v>3.17</v>
      </c>
      <c r="G28" s="64">
        <v>93.68</v>
      </c>
      <c r="H28" s="64">
        <v>38.270000000000003</v>
      </c>
      <c r="I28" s="64">
        <v>5.81</v>
      </c>
      <c r="J28" s="64">
        <v>0.05</v>
      </c>
      <c r="K28" s="64">
        <v>64.760000000000005</v>
      </c>
      <c r="L28" s="64">
        <v>16.850000000000001</v>
      </c>
      <c r="M28" s="64">
        <v>96.88</v>
      </c>
      <c r="N28" s="64">
        <v>40.1</v>
      </c>
      <c r="O28" s="64">
        <v>0</v>
      </c>
      <c r="P28" s="64">
        <v>1.64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1" t="s">
        <v>2476</v>
      </c>
      <c r="B29" s="64">
        <v>48.89</v>
      </c>
      <c r="C29" s="64">
        <v>1.77</v>
      </c>
      <c r="D29" s="64">
        <v>39.56</v>
      </c>
      <c r="E29" s="64">
        <v>5.31</v>
      </c>
      <c r="F29" s="64">
        <v>3.15</v>
      </c>
      <c r="G29" s="64">
        <v>109.2</v>
      </c>
      <c r="H29" s="64">
        <v>46.24</v>
      </c>
      <c r="I29" s="64">
        <v>5.8</v>
      </c>
      <c r="J29" s="64">
        <v>7.0000000000000007E-2</v>
      </c>
      <c r="K29" s="64">
        <v>110.21</v>
      </c>
      <c r="L29" s="64">
        <v>16.7</v>
      </c>
      <c r="M29" s="64">
        <v>96.87</v>
      </c>
      <c r="N29" s="64">
        <v>40.200000000000003</v>
      </c>
      <c r="O29" s="64">
        <v>0</v>
      </c>
      <c r="P29" s="64">
        <v>1.71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11" t="s">
        <v>2477</v>
      </c>
      <c r="B30" s="64">
        <v>48.66</v>
      </c>
      <c r="C30" s="64">
        <v>1.4</v>
      </c>
      <c r="D30" s="64">
        <v>39.29</v>
      </c>
      <c r="E30" s="64">
        <v>5.14</v>
      </c>
      <c r="F30" s="64">
        <v>3.25</v>
      </c>
      <c r="G30" s="64">
        <v>114.22</v>
      </c>
      <c r="H30" s="64">
        <v>46.24</v>
      </c>
      <c r="I30" s="64">
        <v>5.8</v>
      </c>
      <c r="J30" s="64">
        <v>0.21</v>
      </c>
      <c r="K30" s="64">
        <v>342.85</v>
      </c>
      <c r="L30" s="64">
        <v>16.68</v>
      </c>
      <c r="M30" s="64">
        <v>96.89</v>
      </c>
      <c r="N30" s="64">
        <v>39.9</v>
      </c>
      <c r="O30" s="64">
        <v>0</v>
      </c>
      <c r="P30" s="64">
        <v>1.76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1" t="s">
        <v>2478</v>
      </c>
      <c r="B31" s="64">
        <v>47.79</v>
      </c>
      <c r="C31" s="64">
        <v>1.79</v>
      </c>
      <c r="D31" s="64">
        <v>38.799999999999997</v>
      </c>
      <c r="E31" s="64">
        <v>5.07</v>
      </c>
      <c r="F31" s="64">
        <v>3.16</v>
      </c>
      <c r="G31" s="64">
        <v>114.22</v>
      </c>
      <c r="H31" s="64">
        <v>46.24</v>
      </c>
      <c r="I31" s="64">
        <v>6.19</v>
      </c>
      <c r="J31" s="64">
        <v>0.42</v>
      </c>
      <c r="K31" s="64">
        <v>328.88</v>
      </c>
      <c r="L31" s="64">
        <v>16.899999999999999</v>
      </c>
      <c r="M31" s="64">
        <v>96.88</v>
      </c>
      <c r="N31" s="64">
        <v>39.9</v>
      </c>
      <c r="O31" s="64">
        <v>0</v>
      </c>
      <c r="P31" s="64">
        <v>1.77</v>
      </c>
      <c r="Q31" s="64">
        <v>9.69</v>
      </c>
      <c r="R31" s="198"/>
      <c r="S31" s="198"/>
      <c r="T31" s="198"/>
      <c r="U31" s="198"/>
    </row>
    <row r="32" spans="1:21" s="12" customFormat="1" x14ac:dyDescent="0.25">
      <c r="A32" s="211" t="s">
        <v>2479</v>
      </c>
      <c r="B32" s="64">
        <v>46.2</v>
      </c>
      <c r="C32" s="64">
        <v>2.21</v>
      </c>
      <c r="D32" s="64">
        <v>37.74</v>
      </c>
      <c r="E32" s="64">
        <v>5.24</v>
      </c>
      <c r="F32" s="64">
        <v>3.25</v>
      </c>
      <c r="G32" s="64">
        <v>114.22</v>
      </c>
      <c r="H32" s="64">
        <v>46.24</v>
      </c>
      <c r="I32" s="64">
        <v>6.03</v>
      </c>
      <c r="J32" s="64">
        <v>0.3</v>
      </c>
      <c r="K32" s="64">
        <v>310.61</v>
      </c>
      <c r="L32" s="64">
        <v>16.84</v>
      </c>
      <c r="M32" s="64">
        <v>96.88</v>
      </c>
      <c r="N32" s="64">
        <v>40.4</v>
      </c>
      <c r="O32" s="64">
        <v>0</v>
      </c>
      <c r="P32" s="64">
        <v>1.75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1" t="s">
        <v>2480</v>
      </c>
      <c r="B33" s="64">
        <v>45.56</v>
      </c>
      <c r="C33" s="64">
        <v>2.89</v>
      </c>
      <c r="D33" s="64">
        <v>37.590000000000003</v>
      </c>
      <c r="E33" s="64">
        <v>5.41</v>
      </c>
      <c r="F33" s="64">
        <v>3.35</v>
      </c>
      <c r="G33" s="64">
        <v>112.97</v>
      </c>
      <c r="H33" s="64">
        <v>44.41</v>
      </c>
      <c r="I33" s="64">
        <v>5.65</v>
      </c>
      <c r="J33" s="64">
        <v>0.15</v>
      </c>
      <c r="K33" s="64">
        <v>246.33</v>
      </c>
      <c r="L33" s="64">
        <v>16.62</v>
      </c>
      <c r="M33" s="64">
        <v>96.86</v>
      </c>
      <c r="N33" s="64">
        <v>41.6</v>
      </c>
      <c r="O33" s="64">
        <v>0</v>
      </c>
      <c r="P33" s="64">
        <v>1.72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1" t="s">
        <v>2481</v>
      </c>
      <c r="B34" s="64">
        <v>43.83</v>
      </c>
      <c r="C34" s="64">
        <v>3.72</v>
      </c>
      <c r="D34" s="64">
        <v>36.630000000000003</v>
      </c>
      <c r="E34" s="64">
        <v>5.48</v>
      </c>
      <c r="F34" s="64">
        <v>3.45</v>
      </c>
      <c r="G34" s="64">
        <v>112.57</v>
      </c>
      <c r="H34" s="64">
        <v>44.41</v>
      </c>
      <c r="I34" s="64">
        <v>5.94</v>
      </c>
      <c r="J34" s="64">
        <v>0.06</v>
      </c>
      <c r="K34" s="64">
        <v>243.71</v>
      </c>
      <c r="L34" s="64">
        <v>16.53</v>
      </c>
      <c r="M34" s="64">
        <v>96.87</v>
      </c>
      <c r="N34" s="64">
        <v>47</v>
      </c>
      <c r="O34" s="64">
        <v>0</v>
      </c>
      <c r="P34" s="64">
        <v>1.67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1" t="s">
        <v>2482</v>
      </c>
      <c r="B35" s="64">
        <v>30.71</v>
      </c>
      <c r="C35" s="64">
        <v>12.34</v>
      </c>
      <c r="D35" s="64">
        <v>30.62</v>
      </c>
      <c r="E35" s="64">
        <v>5.25</v>
      </c>
      <c r="F35" s="64">
        <v>4.12</v>
      </c>
      <c r="G35" s="64">
        <v>112.57</v>
      </c>
      <c r="H35" s="64">
        <v>44.41</v>
      </c>
      <c r="I35" s="64">
        <v>6.13</v>
      </c>
      <c r="J35" s="64">
        <v>0.14000000000000001</v>
      </c>
      <c r="K35" s="64">
        <v>141.76</v>
      </c>
      <c r="L35" s="64">
        <v>16.600000000000001</v>
      </c>
      <c r="M35" s="64">
        <v>96.86</v>
      </c>
      <c r="N35" s="64">
        <v>64.8</v>
      </c>
      <c r="O35" s="64">
        <v>0</v>
      </c>
      <c r="P35" s="64">
        <v>1.4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1" t="s">
        <v>2483</v>
      </c>
      <c r="B36" s="64">
        <v>7.03</v>
      </c>
      <c r="C36" s="64">
        <v>28.51</v>
      </c>
      <c r="D36" s="64">
        <v>20.07</v>
      </c>
      <c r="E36" s="64">
        <v>5.32</v>
      </c>
      <c r="F36" s="64">
        <v>5.17</v>
      </c>
      <c r="G36" s="64">
        <v>112.57</v>
      </c>
      <c r="H36" s="64">
        <v>44.41</v>
      </c>
      <c r="I36" s="64">
        <v>6.03</v>
      </c>
      <c r="J36" s="64">
        <v>7.0000000000000007E-2</v>
      </c>
      <c r="K36" s="64">
        <v>105.22</v>
      </c>
      <c r="L36" s="64">
        <v>16.91</v>
      </c>
      <c r="M36" s="64">
        <v>96.83</v>
      </c>
      <c r="N36" s="64">
        <v>82.7</v>
      </c>
      <c r="O36" s="64">
        <v>0</v>
      </c>
      <c r="P36" s="64">
        <v>0.88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1" t="s">
        <v>2484</v>
      </c>
      <c r="B37" s="64">
        <v>5.89</v>
      </c>
      <c r="C37" s="64">
        <v>29.44</v>
      </c>
      <c r="D37" s="64">
        <v>19.64</v>
      </c>
      <c r="E37" s="64">
        <v>4.96</v>
      </c>
      <c r="F37" s="64">
        <v>4.3</v>
      </c>
      <c r="G37" s="64">
        <v>56.05</v>
      </c>
      <c r="H37" s="64">
        <v>35.270000000000003</v>
      </c>
      <c r="I37" s="64">
        <v>4.51</v>
      </c>
      <c r="J37" s="64">
        <v>0.27</v>
      </c>
      <c r="K37" s="64">
        <v>120.34</v>
      </c>
      <c r="L37" s="64">
        <v>17.32</v>
      </c>
      <c r="M37" s="64">
        <v>95.39</v>
      </c>
      <c r="N37" s="64">
        <v>101.2</v>
      </c>
      <c r="O37" s="64">
        <v>0</v>
      </c>
      <c r="P37" s="64">
        <v>0.84</v>
      </c>
      <c r="Q37" s="64">
        <v>9.3800000000000008</v>
      </c>
      <c r="R37" s="198"/>
      <c r="S37" s="198"/>
      <c r="T37" s="198"/>
      <c r="U37" s="198"/>
    </row>
    <row r="38" spans="1:21" s="12" customFormat="1" x14ac:dyDescent="0.25">
      <c r="A38" s="211" t="s">
        <v>2485</v>
      </c>
      <c r="B38" s="64">
        <v>6.65</v>
      </c>
      <c r="C38" s="64">
        <v>27.66</v>
      </c>
      <c r="D38" s="64">
        <v>19.329999999999998</v>
      </c>
      <c r="E38" s="64">
        <v>5.25</v>
      </c>
      <c r="F38" s="64">
        <v>4.05</v>
      </c>
      <c r="G38" s="64">
        <v>37.770000000000003</v>
      </c>
      <c r="H38" s="64">
        <v>35.270000000000003</v>
      </c>
      <c r="I38" s="64">
        <v>3.6</v>
      </c>
      <c r="J38" s="64">
        <v>0.45</v>
      </c>
      <c r="K38" s="64">
        <v>119.05</v>
      </c>
      <c r="L38" s="64">
        <v>17.8</v>
      </c>
      <c r="M38" s="64">
        <v>90.77</v>
      </c>
      <c r="N38" s="64">
        <v>154.80000000000001</v>
      </c>
      <c r="O38" s="64">
        <v>0</v>
      </c>
      <c r="P38" s="64">
        <v>0.83</v>
      </c>
      <c r="Q38" s="64">
        <v>9.32</v>
      </c>
      <c r="R38" s="198"/>
      <c r="S38" s="198"/>
      <c r="T38" s="198"/>
      <c r="U38" s="198"/>
    </row>
    <row r="39" spans="1:21" s="12" customFormat="1" x14ac:dyDescent="0.25">
      <c r="A39" s="211" t="s">
        <v>2486</v>
      </c>
      <c r="B39" s="64">
        <v>7.64</v>
      </c>
      <c r="C39" s="64">
        <v>25.73</v>
      </c>
      <c r="D39" s="64">
        <v>19.11</v>
      </c>
      <c r="E39" s="64">
        <v>4.54</v>
      </c>
      <c r="F39" s="64">
        <v>3.9</v>
      </c>
      <c r="G39" s="64">
        <v>37.770000000000003</v>
      </c>
      <c r="H39" s="64">
        <v>35.270000000000003</v>
      </c>
      <c r="I39" s="64">
        <v>3.76</v>
      </c>
      <c r="J39" s="64">
        <v>0.09</v>
      </c>
      <c r="K39" s="64">
        <v>85.42</v>
      </c>
      <c r="L39" s="64">
        <v>18.96</v>
      </c>
      <c r="M39" s="64">
        <v>84.78</v>
      </c>
      <c r="N39" s="64">
        <v>204.6</v>
      </c>
      <c r="O39" s="64">
        <v>0</v>
      </c>
      <c r="P39" s="64">
        <v>0.82</v>
      </c>
      <c r="Q39" s="64">
        <v>9.32</v>
      </c>
      <c r="R39" s="198"/>
      <c r="S39" s="198"/>
      <c r="T39" s="198"/>
      <c r="U39" s="198"/>
    </row>
    <row r="40" spans="1:21" s="12" customFormat="1" x14ac:dyDescent="0.25">
      <c r="A40" s="211" t="s">
        <v>2487</v>
      </c>
      <c r="B40" s="64">
        <v>8.86</v>
      </c>
      <c r="C40" s="64">
        <v>24.22</v>
      </c>
      <c r="D40" s="64">
        <v>19.29</v>
      </c>
      <c r="E40" s="64">
        <v>4.38</v>
      </c>
      <c r="F40" s="64">
        <v>3.5</v>
      </c>
      <c r="G40" s="64">
        <v>37.770000000000003</v>
      </c>
      <c r="H40" s="64">
        <v>35.270000000000003</v>
      </c>
      <c r="I40" s="64">
        <v>3.82</v>
      </c>
      <c r="J40" s="64">
        <v>0.4</v>
      </c>
      <c r="K40" s="64">
        <v>129.26</v>
      </c>
      <c r="L40" s="64">
        <v>20.3</v>
      </c>
      <c r="M40" s="64">
        <v>78.63</v>
      </c>
      <c r="N40" s="64">
        <v>244.8</v>
      </c>
      <c r="O40" s="64">
        <v>0</v>
      </c>
      <c r="P40" s="64">
        <v>0.81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1" t="s">
        <v>2488</v>
      </c>
      <c r="B41" s="64">
        <v>10.18</v>
      </c>
      <c r="C41" s="64">
        <v>23.01</v>
      </c>
      <c r="D41" s="64">
        <v>19.73</v>
      </c>
      <c r="E41" s="64">
        <v>4.91</v>
      </c>
      <c r="F41" s="64">
        <v>3.46</v>
      </c>
      <c r="G41" s="64">
        <v>88.77</v>
      </c>
      <c r="H41" s="64">
        <v>31.98</v>
      </c>
      <c r="I41" s="64">
        <v>3.89</v>
      </c>
      <c r="J41" s="64">
        <v>0.16</v>
      </c>
      <c r="K41" s="64">
        <v>320.97000000000003</v>
      </c>
      <c r="L41" s="64">
        <v>21.24</v>
      </c>
      <c r="M41" s="64">
        <v>72.55</v>
      </c>
      <c r="N41" s="64">
        <v>285.3</v>
      </c>
      <c r="O41" s="64">
        <v>0</v>
      </c>
      <c r="P41" s="64">
        <v>0.82</v>
      </c>
      <c r="Q41" s="64">
        <v>9.35</v>
      </c>
      <c r="R41" s="198"/>
      <c r="S41" s="198"/>
      <c r="T41" s="198"/>
      <c r="U41" s="198"/>
    </row>
    <row r="42" spans="1:21" s="12" customFormat="1" x14ac:dyDescent="0.25">
      <c r="A42" s="211" t="s">
        <v>2489</v>
      </c>
      <c r="B42" s="64">
        <v>11.17</v>
      </c>
      <c r="C42" s="64">
        <v>21.98</v>
      </c>
      <c r="D42" s="64">
        <v>19.98</v>
      </c>
      <c r="E42" s="64">
        <v>5.01</v>
      </c>
      <c r="F42" s="64">
        <v>3.23</v>
      </c>
      <c r="G42" s="64">
        <v>105.27</v>
      </c>
      <c r="H42" s="64">
        <v>31.98</v>
      </c>
      <c r="I42" s="64">
        <v>3.95</v>
      </c>
      <c r="J42" s="64">
        <v>0.08</v>
      </c>
      <c r="K42" s="64">
        <v>78.599999999999994</v>
      </c>
      <c r="L42" s="64">
        <v>22.29</v>
      </c>
      <c r="M42" s="64">
        <v>68.78</v>
      </c>
      <c r="N42" s="64">
        <v>324.89999999999998</v>
      </c>
      <c r="O42" s="64">
        <v>0</v>
      </c>
      <c r="P42" s="64">
        <v>0.83</v>
      </c>
      <c r="Q42" s="64">
        <v>9.36</v>
      </c>
      <c r="R42" s="198"/>
      <c r="S42" s="198"/>
      <c r="T42" s="198"/>
      <c r="U42" s="198"/>
    </row>
    <row r="43" spans="1:21" s="12" customFormat="1" x14ac:dyDescent="0.25">
      <c r="A43" s="211" t="s">
        <v>2490</v>
      </c>
      <c r="B43" s="64">
        <v>11.98</v>
      </c>
      <c r="C43" s="64">
        <v>21.16</v>
      </c>
      <c r="D43" s="64">
        <v>20.2</v>
      </c>
      <c r="E43" s="64">
        <v>5.34</v>
      </c>
      <c r="F43" s="64">
        <v>3.39</v>
      </c>
      <c r="G43" s="64">
        <v>105.27</v>
      </c>
      <c r="H43" s="64">
        <v>31.98</v>
      </c>
      <c r="I43" s="64">
        <v>3.99</v>
      </c>
      <c r="J43" s="64">
        <v>0.96</v>
      </c>
      <c r="K43" s="64">
        <v>125.2</v>
      </c>
      <c r="L43" s="64">
        <v>22.13</v>
      </c>
      <c r="M43" s="64">
        <v>70.53</v>
      </c>
      <c r="N43" s="64">
        <v>367.8</v>
      </c>
      <c r="O43" s="64">
        <v>0</v>
      </c>
      <c r="P43" s="64">
        <v>0.82</v>
      </c>
      <c r="Q43" s="64">
        <v>9.3800000000000008</v>
      </c>
      <c r="R43" s="198"/>
      <c r="S43" s="198"/>
      <c r="T43" s="198"/>
      <c r="U43" s="198"/>
    </row>
    <row r="44" spans="1:21" s="12" customFormat="1" x14ac:dyDescent="0.25">
      <c r="A44" s="211" t="s">
        <v>2491</v>
      </c>
      <c r="B44" s="64">
        <v>12.42</v>
      </c>
      <c r="C44" s="64">
        <v>20.48</v>
      </c>
      <c r="D44" s="64">
        <v>20.2</v>
      </c>
      <c r="E44" s="64">
        <v>4.7699999999999996</v>
      </c>
      <c r="F44" s="64">
        <v>3.13</v>
      </c>
      <c r="G44" s="64">
        <v>105.27</v>
      </c>
      <c r="H44" s="64">
        <v>31.98</v>
      </c>
      <c r="I44" s="64">
        <v>4.01</v>
      </c>
      <c r="J44" s="64">
        <v>0.19</v>
      </c>
      <c r="K44" s="64">
        <v>118.66</v>
      </c>
      <c r="L44" s="64">
        <v>23.31</v>
      </c>
      <c r="M44" s="64">
        <v>65</v>
      </c>
      <c r="N44" s="64">
        <v>399.7</v>
      </c>
      <c r="O44" s="64">
        <v>0</v>
      </c>
      <c r="P44" s="64">
        <v>0.83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1" t="s">
        <v>2492</v>
      </c>
      <c r="B45" s="64">
        <v>13.12</v>
      </c>
      <c r="C45" s="64">
        <v>20.2</v>
      </c>
      <c r="D45" s="64">
        <v>20.62</v>
      </c>
      <c r="E45" s="64">
        <v>4.83</v>
      </c>
      <c r="F45" s="64">
        <v>3.23</v>
      </c>
      <c r="G45" s="64">
        <v>81.98</v>
      </c>
      <c r="H45" s="64">
        <v>31.88</v>
      </c>
      <c r="I45" s="64">
        <v>4.04</v>
      </c>
      <c r="J45" s="64">
        <v>0.37</v>
      </c>
      <c r="K45" s="64">
        <v>119.75</v>
      </c>
      <c r="L45" s="64">
        <v>24.52</v>
      </c>
      <c r="M45" s="64">
        <v>59.61</v>
      </c>
      <c r="N45" s="64">
        <v>433.9</v>
      </c>
      <c r="O45" s="64">
        <v>0</v>
      </c>
      <c r="P45" s="64">
        <v>0.83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1" t="s">
        <v>2493</v>
      </c>
      <c r="B46" s="64">
        <v>13.65</v>
      </c>
      <c r="C46" s="64">
        <v>19.559999999999999</v>
      </c>
      <c r="D46" s="64">
        <v>20.7</v>
      </c>
      <c r="E46" s="64">
        <v>5.15</v>
      </c>
      <c r="F46" s="64">
        <v>3.47</v>
      </c>
      <c r="G46" s="64">
        <v>74.45</v>
      </c>
      <c r="H46" s="64">
        <v>31.88</v>
      </c>
      <c r="I46" s="64">
        <v>4.0599999999999996</v>
      </c>
      <c r="J46" s="64">
        <v>0.94</v>
      </c>
      <c r="K46" s="64">
        <v>124.36</v>
      </c>
      <c r="L46" s="64">
        <v>23.86</v>
      </c>
      <c r="M46" s="64">
        <v>62.48</v>
      </c>
      <c r="N46" s="64">
        <v>465.4</v>
      </c>
      <c r="O46" s="64">
        <v>0</v>
      </c>
      <c r="P46" s="64">
        <v>0.84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1" t="s">
        <v>2494</v>
      </c>
      <c r="B47" s="64">
        <v>13.93</v>
      </c>
      <c r="C47" s="64">
        <v>19.190000000000001</v>
      </c>
      <c r="D47" s="64">
        <v>20.73</v>
      </c>
      <c r="E47" s="64">
        <v>5.29</v>
      </c>
      <c r="F47" s="64">
        <v>4.1500000000000004</v>
      </c>
      <c r="G47" s="64">
        <v>74.45</v>
      </c>
      <c r="H47" s="64">
        <v>31.88</v>
      </c>
      <c r="I47" s="64">
        <v>4.09</v>
      </c>
      <c r="J47" s="64">
        <v>0.28000000000000003</v>
      </c>
      <c r="K47" s="64">
        <v>81.97</v>
      </c>
      <c r="L47" s="64">
        <v>25.19</v>
      </c>
      <c r="M47" s="64">
        <v>56.51</v>
      </c>
      <c r="N47" s="64">
        <v>489.4</v>
      </c>
      <c r="O47" s="64">
        <v>0</v>
      </c>
      <c r="P47" s="64">
        <v>0.84</v>
      </c>
      <c r="Q47" s="64">
        <v>9.43</v>
      </c>
      <c r="R47" s="198"/>
      <c r="S47" s="198"/>
      <c r="T47" s="198"/>
      <c r="U47" s="198"/>
    </row>
    <row r="48" spans="1:21" s="12" customFormat="1" x14ac:dyDescent="0.25">
      <c r="A48" s="211" t="s">
        <v>2495</v>
      </c>
      <c r="B48" s="64">
        <v>13.75</v>
      </c>
      <c r="C48" s="64">
        <v>20.149999999999999</v>
      </c>
      <c r="D48" s="64">
        <v>21.09</v>
      </c>
      <c r="E48" s="64">
        <v>5.57</v>
      </c>
      <c r="F48" s="64">
        <v>4.58</v>
      </c>
      <c r="G48" s="64">
        <v>74.45</v>
      </c>
      <c r="H48" s="64">
        <v>31.88</v>
      </c>
      <c r="I48" s="64">
        <v>4.1100000000000003</v>
      </c>
      <c r="J48" s="64">
        <v>0.9</v>
      </c>
      <c r="K48" s="64">
        <v>117.31</v>
      </c>
      <c r="L48" s="64">
        <v>24.81</v>
      </c>
      <c r="M48" s="64">
        <v>57.46</v>
      </c>
      <c r="N48" s="64">
        <v>505.3</v>
      </c>
      <c r="O48" s="64">
        <v>0</v>
      </c>
      <c r="P48" s="64">
        <v>0.84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1" t="s">
        <v>2496</v>
      </c>
      <c r="B49" s="64">
        <v>14.6</v>
      </c>
      <c r="C49" s="64">
        <v>19.93</v>
      </c>
      <c r="D49" s="64">
        <v>21.66</v>
      </c>
      <c r="E49" s="64">
        <v>5.8</v>
      </c>
      <c r="F49" s="64">
        <v>3.85</v>
      </c>
      <c r="G49" s="64">
        <v>62.73</v>
      </c>
      <c r="H49" s="64">
        <v>30.1</v>
      </c>
      <c r="I49" s="64">
        <v>4.13</v>
      </c>
      <c r="J49" s="64">
        <v>0.31</v>
      </c>
      <c r="K49" s="64">
        <v>46.42</v>
      </c>
      <c r="L49" s="64">
        <v>25.71</v>
      </c>
      <c r="M49" s="64">
        <v>54.37</v>
      </c>
      <c r="N49" s="64">
        <v>528.70000000000005</v>
      </c>
      <c r="O49" s="64">
        <v>0</v>
      </c>
      <c r="P49" s="64">
        <v>0.86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1" t="s">
        <v>2497</v>
      </c>
      <c r="B50" s="64">
        <v>14.91</v>
      </c>
      <c r="C50" s="64">
        <v>22.09</v>
      </c>
      <c r="D50" s="64">
        <v>23.04</v>
      </c>
      <c r="E50" s="64">
        <v>6.17</v>
      </c>
      <c r="F50" s="64">
        <v>5.6</v>
      </c>
      <c r="G50" s="64">
        <v>58.93</v>
      </c>
      <c r="H50" s="64">
        <v>30.1</v>
      </c>
      <c r="I50" s="64">
        <v>4.1500000000000004</v>
      </c>
      <c r="J50" s="64">
        <v>0.6</v>
      </c>
      <c r="K50" s="64">
        <v>118.6</v>
      </c>
      <c r="L50" s="64">
        <v>26.38</v>
      </c>
      <c r="M50" s="64">
        <v>52.24</v>
      </c>
      <c r="N50" s="64">
        <v>546.70000000000005</v>
      </c>
      <c r="O50" s="64">
        <v>0</v>
      </c>
      <c r="P50" s="64">
        <v>0.86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1" t="s">
        <v>2498</v>
      </c>
      <c r="B51" s="64">
        <v>14.25</v>
      </c>
      <c r="C51" s="64">
        <v>21.66</v>
      </c>
      <c r="D51" s="64">
        <v>22.29</v>
      </c>
      <c r="E51" s="64">
        <v>6.22</v>
      </c>
      <c r="F51" s="64">
        <v>5.59</v>
      </c>
      <c r="G51" s="64">
        <v>58.93</v>
      </c>
      <c r="H51" s="64">
        <v>30.1</v>
      </c>
      <c r="I51" s="64">
        <v>4.1500000000000004</v>
      </c>
      <c r="J51" s="64">
        <v>0.49</v>
      </c>
      <c r="K51" s="64">
        <v>344.6</v>
      </c>
      <c r="L51" s="64">
        <v>28.08</v>
      </c>
      <c r="M51" s="64">
        <v>47.28</v>
      </c>
      <c r="N51" s="64">
        <v>547.29999999999995</v>
      </c>
      <c r="O51" s="64">
        <v>0</v>
      </c>
      <c r="P51" s="64">
        <v>0.86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11" t="s">
        <v>2499</v>
      </c>
      <c r="B52" s="64">
        <v>14.28</v>
      </c>
      <c r="C52" s="64">
        <v>22.15</v>
      </c>
      <c r="D52" s="64">
        <v>22.57</v>
      </c>
      <c r="E52" s="64">
        <v>6.36</v>
      </c>
      <c r="F52" s="64">
        <v>4.93</v>
      </c>
      <c r="G52" s="64">
        <v>58.93</v>
      </c>
      <c r="H52" s="64">
        <v>30.1</v>
      </c>
      <c r="I52" s="64">
        <v>4.1399999999999997</v>
      </c>
      <c r="J52" s="64">
        <v>0.93</v>
      </c>
      <c r="K52" s="64">
        <v>341.7</v>
      </c>
      <c r="L52" s="64">
        <v>29.46</v>
      </c>
      <c r="M52" s="64">
        <v>41.97</v>
      </c>
      <c r="N52" s="64">
        <v>555.5</v>
      </c>
      <c r="O52" s="64">
        <v>0</v>
      </c>
      <c r="P52" s="64">
        <v>0.87</v>
      </c>
      <c r="Q52" s="64">
        <v>9.48</v>
      </c>
      <c r="R52" s="198"/>
      <c r="S52" s="198"/>
      <c r="T52" s="198"/>
      <c r="U52" s="198"/>
    </row>
    <row r="53" spans="1:21" s="12" customFormat="1" x14ac:dyDescent="0.25">
      <c r="A53" s="211" t="s">
        <v>2500</v>
      </c>
      <c r="B53" s="64">
        <v>16.89</v>
      </c>
      <c r="C53" s="64">
        <v>22.23</v>
      </c>
      <c r="D53" s="64">
        <v>24.7</v>
      </c>
      <c r="E53" s="64">
        <v>6.71</v>
      </c>
      <c r="F53" s="64">
        <v>5.37</v>
      </c>
      <c r="G53" s="64">
        <v>62.85</v>
      </c>
      <c r="H53" s="64">
        <v>26.83</v>
      </c>
      <c r="I53" s="64">
        <v>4.1399999999999997</v>
      </c>
      <c r="J53" s="64">
        <v>0.56000000000000005</v>
      </c>
      <c r="K53" s="64">
        <v>335.82</v>
      </c>
      <c r="L53" s="64">
        <v>29.83</v>
      </c>
      <c r="M53" s="64">
        <v>40.51</v>
      </c>
      <c r="N53" s="64">
        <v>561</v>
      </c>
      <c r="O53" s="64">
        <v>0</v>
      </c>
      <c r="P53" s="64">
        <v>0.89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1" t="s">
        <v>2501</v>
      </c>
      <c r="B54" s="64">
        <v>15.37</v>
      </c>
      <c r="C54" s="64">
        <v>21.93</v>
      </c>
      <c r="D54" s="64">
        <v>23.32</v>
      </c>
      <c r="E54" s="64">
        <v>6.15</v>
      </c>
      <c r="F54" s="64">
        <v>4.09</v>
      </c>
      <c r="G54" s="64">
        <v>64.12</v>
      </c>
      <c r="H54" s="64">
        <v>26.83</v>
      </c>
      <c r="I54" s="64">
        <v>4.1500000000000004</v>
      </c>
      <c r="J54" s="64">
        <v>0.31</v>
      </c>
      <c r="K54" s="64">
        <v>129.33000000000001</v>
      </c>
      <c r="L54" s="64">
        <v>28.83</v>
      </c>
      <c r="M54" s="64">
        <v>43.11</v>
      </c>
      <c r="N54" s="64">
        <v>565.1</v>
      </c>
      <c r="O54" s="64">
        <v>0</v>
      </c>
      <c r="P54" s="64">
        <v>0.88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1" t="s">
        <v>2502</v>
      </c>
      <c r="B55" s="64">
        <v>14.08</v>
      </c>
      <c r="C55" s="64">
        <v>20</v>
      </c>
      <c r="D55" s="64">
        <v>21.28</v>
      </c>
      <c r="E55" s="64">
        <v>5.91</v>
      </c>
      <c r="F55" s="64">
        <v>4.99</v>
      </c>
      <c r="G55" s="64">
        <v>64.12</v>
      </c>
      <c r="H55" s="64">
        <v>26.83</v>
      </c>
      <c r="I55" s="64">
        <v>4.1500000000000004</v>
      </c>
      <c r="J55" s="64">
        <v>0.11</v>
      </c>
      <c r="K55" s="64">
        <v>66.41</v>
      </c>
      <c r="L55" s="64">
        <v>28.57</v>
      </c>
      <c r="M55" s="64">
        <v>42.37</v>
      </c>
      <c r="N55" s="64">
        <v>565.6</v>
      </c>
      <c r="O55" s="64">
        <v>0</v>
      </c>
      <c r="P55" s="64">
        <v>0.83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1" t="s">
        <v>2503</v>
      </c>
      <c r="B56" s="64">
        <v>13.87</v>
      </c>
      <c r="C56" s="64">
        <v>20.23</v>
      </c>
      <c r="D56" s="64">
        <v>21.23</v>
      </c>
      <c r="E56" s="64">
        <v>5.61</v>
      </c>
      <c r="F56" s="64">
        <v>4.34</v>
      </c>
      <c r="G56" s="64">
        <v>64.12</v>
      </c>
      <c r="H56" s="64">
        <v>26.83</v>
      </c>
      <c r="I56" s="64">
        <v>4.1399999999999997</v>
      </c>
      <c r="J56" s="64">
        <v>1.1499999999999999</v>
      </c>
      <c r="K56" s="64">
        <v>120.92</v>
      </c>
      <c r="L56" s="64">
        <v>27.14</v>
      </c>
      <c r="M56" s="64">
        <v>44.11</v>
      </c>
      <c r="N56" s="64">
        <v>576.1</v>
      </c>
      <c r="O56" s="64">
        <v>0</v>
      </c>
      <c r="P56" s="64">
        <v>0.8</v>
      </c>
      <c r="Q56" s="64">
        <v>9.4600000000000009</v>
      </c>
      <c r="R56" s="198"/>
      <c r="S56" s="198"/>
      <c r="T56" s="198"/>
      <c r="U56" s="198"/>
    </row>
    <row r="57" spans="1:21" s="12" customFormat="1" x14ac:dyDescent="0.25">
      <c r="A57" s="211" t="s">
        <v>2504</v>
      </c>
      <c r="B57" s="64">
        <v>12.02</v>
      </c>
      <c r="C57" s="64">
        <v>19.72</v>
      </c>
      <c r="D57" s="64">
        <v>19.48</v>
      </c>
      <c r="E57" s="64">
        <v>6.02</v>
      </c>
      <c r="F57" s="64">
        <v>7.34</v>
      </c>
      <c r="G57" s="64">
        <v>48.23</v>
      </c>
      <c r="H57" s="64">
        <v>21.06</v>
      </c>
      <c r="I57" s="64">
        <v>4.13</v>
      </c>
      <c r="J57" s="64">
        <v>0.95</v>
      </c>
      <c r="K57" s="64">
        <v>123.02</v>
      </c>
      <c r="L57" s="64">
        <v>27.27</v>
      </c>
      <c r="M57" s="64">
        <v>43.35</v>
      </c>
      <c r="N57" s="64">
        <v>566.20000000000005</v>
      </c>
      <c r="O57" s="64">
        <v>0</v>
      </c>
      <c r="P57" s="64">
        <v>0.77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1" t="s">
        <v>2505</v>
      </c>
      <c r="B58" s="64">
        <v>10.9</v>
      </c>
      <c r="C58" s="64">
        <v>20.28</v>
      </c>
      <c r="D58" s="64">
        <v>18.88</v>
      </c>
      <c r="E58" s="64">
        <v>6.16</v>
      </c>
      <c r="F58" s="64">
        <v>7.05</v>
      </c>
      <c r="G58" s="64">
        <v>43.09</v>
      </c>
      <c r="H58" s="64">
        <v>21.06</v>
      </c>
      <c r="I58" s="64">
        <v>4.1100000000000003</v>
      </c>
      <c r="J58" s="64">
        <v>0.85</v>
      </c>
      <c r="K58" s="64">
        <v>123.93</v>
      </c>
      <c r="L58" s="64">
        <v>27.33</v>
      </c>
      <c r="M58" s="64">
        <v>42.62</v>
      </c>
      <c r="N58" s="64">
        <v>550</v>
      </c>
      <c r="O58" s="64">
        <v>0</v>
      </c>
      <c r="P58" s="64">
        <v>0.76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1" t="s">
        <v>2506</v>
      </c>
      <c r="B59" s="64">
        <v>11.39</v>
      </c>
      <c r="C59" s="64">
        <v>20.23</v>
      </c>
      <c r="D59" s="64">
        <v>19.239999999999998</v>
      </c>
      <c r="E59" s="64">
        <v>6.6</v>
      </c>
      <c r="F59" s="64">
        <v>8.76</v>
      </c>
      <c r="G59" s="64">
        <v>43.09</v>
      </c>
      <c r="H59" s="64">
        <v>21.06</v>
      </c>
      <c r="I59" s="64">
        <v>4.0599999999999996</v>
      </c>
      <c r="J59" s="64">
        <v>0.61</v>
      </c>
      <c r="K59" s="64">
        <v>120.47</v>
      </c>
      <c r="L59" s="64">
        <v>27.7</v>
      </c>
      <c r="M59" s="64">
        <v>42.14</v>
      </c>
      <c r="N59" s="64">
        <v>526.9</v>
      </c>
      <c r="O59" s="64">
        <v>0</v>
      </c>
      <c r="P59" s="64">
        <v>0.72</v>
      </c>
      <c r="Q59" s="64">
        <v>9.43</v>
      </c>
      <c r="R59" s="198"/>
      <c r="S59" s="198"/>
      <c r="T59" s="198"/>
      <c r="U59" s="198"/>
    </row>
    <row r="60" spans="1:21" s="12" customFormat="1" x14ac:dyDescent="0.25">
      <c r="A60" s="211" t="s">
        <v>2507</v>
      </c>
      <c r="B60" s="64">
        <v>10.26</v>
      </c>
      <c r="C60" s="64">
        <v>19.829999999999998</v>
      </c>
      <c r="D60" s="64">
        <v>18.13</v>
      </c>
      <c r="E60" s="64">
        <v>5.79</v>
      </c>
      <c r="F60" s="64">
        <v>7.88</v>
      </c>
      <c r="G60" s="64">
        <v>43.09</v>
      </c>
      <c r="H60" s="64">
        <v>21.06</v>
      </c>
      <c r="I60" s="64">
        <v>3.99</v>
      </c>
      <c r="J60" s="64">
        <v>0.78</v>
      </c>
      <c r="K60" s="64">
        <v>127.33</v>
      </c>
      <c r="L60" s="64">
        <v>27.75</v>
      </c>
      <c r="M60" s="64">
        <v>41.42</v>
      </c>
      <c r="N60" s="64">
        <v>464.4</v>
      </c>
      <c r="O60" s="64">
        <v>0</v>
      </c>
      <c r="P60" s="64">
        <v>0.69</v>
      </c>
      <c r="Q60" s="64">
        <v>9.42</v>
      </c>
      <c r="R60" s="198"/>
      <c r="S60" s="198"/>
      <c r="T60" s="198"/>
      <c r="U60" s="198"/>
    </row>
    <row r="61" spans="1:21" s="12" customFormat="1" x14ac:dyDescent="0.25">
      <c r="A61" s="211" t="s">
        <v>2508</v>
      </c>
      <c r="B61" s="64">
        <v>9.0500000000000007</v>
      </c>
      <c r="C61" s="64">
        <v>19.579999999999998</v>
      </c>
      <c r="D61" s="64">
        <v>17.02</v>
      </c>
      <c r="E61" s="64">
        <v>6.19</v>
      </c>
      <c r="F61" s="64">
        <v>9.35</v>
      </c>
      <c r="G61" s="64">
        <v>41.45</v>
      </c>
      <c r="H61" s="64">
        <v>17.89</v>
      </c>
      <c r="I61" s="64">
        <v>3.93</v>
      </c>
      <c r="J61" s="64">
        <v>1.29</v>
      </c>
      <c r="K61" s="64">
        <v>124.42</v>
      </c>
      <c r="L61" s="64">
        <v>27.3</v>
      </c>
      <c r="M61" s="64">
        <v>42.38</v>
      </c>
      <c r="N61" s="64">
        <v>436.7</v>
      </c>
      <c r="O61" s="64">
        <v>0</v>
      </c>
      <c r="P61" s="64">
        <v>0.79</v>
      </c>
      <c r="Q61" s="64">
        <v>9.41</v>
      </c>
      <c r="R61" s="198"/>
      <c r="S61" s="198"/>
      <c r="T61" s="198"/>
      <c r="U61" s="198"/>
    </row>
    <row r="62" spans="1:21" s="12" customFormat="1" x14ac:dyDescent="0.25">
      <c r="A62" s="211" t="s">
        <v>2509</v>
      </c>
      <c r="B62" s="64">
        <v>8.4600000000000009</v>
      </c>
      <c r="C62" s="64">
        <v>20.98</v>
      </c>
      <c r="D62" s="64">
        <v>17.28</v>
      </c>
      <c r="E62" s="64">
        <v>7.19</v>
      </c>
      <c r="F62" s="64">
        <v>11.44</v>
      </c>
      <c r="G62" s="64">
        <v>40.92</v>
      </c>
      <c r="H62" s="64">
        <v>17.89</v>
      </c>
      <c r="I62" s="64">
        <v>3.87</v>
      </c>
      <c r="J62" s="64">
        <v>0.48</v>
      </c>
      <c r="K62" s="64">
        <v>91.28</v>
      </c>
      <c r="L62" s="64">
        <v>27.46</v>
      </c>
      <c r="M62" s="64">
        <v>42.04</v>
      </c>
      <c r="N62" s="64">
        <v>429.1</v>
      </c>
      <c r="O62" s="64">
        <v>0</v>
      </c>
      <c r="P62" s="64">
        <v>0.78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1" t="s">
        <v>2510</v>
      </c>
      <c r="B63" s="64">
        <v>7.02</v>
      </c>
      <c r="C63" s="64">
        <v>19.850000000000001</v>
      </c>
      <c r="D63" s="64">
        <v>15.54</v>
      </c>
      <c r="E63" s="64">
        <v>7.23</v>
      </c>
      <c r="F63" s="64">
        <v>15.05</v>
      </c>
      <c r="G63" s="64">
        <v>40.92</v>
      </c>
      <c r="H63" s="64">
        <v>17.89</v>
      </c>
      <c r="I63" s="64">
        <v>3.79</v>
      </c>
      <c r="J63" s="64">
        <v>0.39</v>
      </c>
      <c r="K63" s="64">
        <v>94.78</v>
      </c>
      <c r="L63" s="64">
        <v>28.04</v>
      </c>
      <c r="M63" s="64">
        <v>40.17</v>
      </c>
      <c r="N63" s="64">
        <v>395</v>
      </c>
      <c r="O63" s="64">
        <v>0</v>
      </c>
      <c r="P63" s="64">
        <v>0.77</v>
      </c>
      <c r="Q63" s="64">
        <v>9.3800000000000008</v>
      </c>
      <c r="R63" s="198"/>
      <c r="S63" s="198"/>
      <c r="T63" s="198"/>
      <c r="U63" s="198"/>
    </row>
    <row r="64" spans="1:21" s="12" customFormat="1" x14ac:dyDescent="0.25">
      <c r="A64" s="211" t="s">
        <v>2511</v>
      </c>
      <c r="B64" s="64">
        <v>7</v>
      </c>
      <c r="C64" s="64">
        <v>20.04</v>
      </c>
      <c r="D64" s="64">
        <v>15.62</v>
      </c>
      <c r="E64" s="64">
        <v>8.31</v>
      </c>
      <c r="F64" s="64">
        <v>17.989999999999998</v>
      </c>
      <c r="G64" s="64">
        <v>40.92</v>
      </c>
      <c r="H64" s="64">
        <v>17.89</v>
      </c>
      <c r="I64" s="64">
        <v>3.71</v>
      </c>
      <c r="J64" s="64">
        <v>0.57999999999999996</v>
      </c>
      <c r="K64" s="64">
        <v>108.06</v>
      </c>
      <c r="L64" s="64">
        <v>27.14</v>
      </c>
      <c r="M64" s="64">
        <v>41.75</v>
      </c>
      <c r="N64" s="64">
        <v>275.10000000000002</v>
      </c>
      <c r="O64" s="64">
        <v>0</v>
      </c>
      <c r="P64" s="64">
        <v>0.74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1" t="s">
        <v>2512</v>
      </c>
      <c r="B65" s="64">
        <v>6.17</v>
      </c>
      <c r="C65" s="64">
        <v>21.46</v>
      </c>
      <c r="D65" s="64">
        <v>15.7</v>
      </c>
      <c r="E65" s="64">
        <v>9.6199999999999992</v>
      </c>
      <c r="F65" s="64">
        <v>17.39</v>
      </c>
      <c r="G65" s="64">
        <v>37.94</v>
      </c>
      <c r="H65" s="64">
        <v>17.38</v>
      </c>
      <c r="I65" s="64">
        <v>3.64</v>
      </c>
      <c r="J65" s="64">
        <v>0.26</v>
      </c>
      <c r="K65" s="64">
        <v>73.64</v>
      </c>
      <c r="L65" s="64">
        <v>27.37</v>
      </c>
      <c r="M65" s="64">
        <v>41.49</v>
      </c>
      <c r="N65" s="64">
        <v>170</v>
      </c>
      <c r="O65" s="64">
        <v>0</v>
      </c>
      <c r="P65" s="64">
        <v>0.72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1" t="s">
        <v>2513</v>
      </c>
      <c r="B66" s="64">
        <v>5.95</v>
      </c>
      <c r="C66" s="64">
        <v>19.53</v>
      </c>
      <c r="D66" s="64">
        <v>14.51</v>
      </c>
      <c r="E66" s="64">
        <v>9.4</v>
      </c>
      <c r="F66" s="64">
        <v>18.86</v>
      </c>
      <c r="G66" s="64">
        <v>36.979999999999997</v>
      </c>
      <c r="H66" s="64">
        <v>17.38</v>
      </c>
      <c r="I66" s="64">
        <v>3.61</v>
      </c>
      <c r="J66" s="64">
        <v>0.87</v>
      </c>
      <c r="K66" s="64">
        <v>127.22</v>
      </c>
      <c r="L66" s="64">
        <v>26.75</v>
      </c>
      <c r="M66" s="64">
        <v>41.64</v>
      </c>
      <c r="N66" s="64">
        <v>170.1</v>
      </c>
      <c r="O66" s="64">
        <v>0</v>
      </c>
      <c r="P66" s="64">
        <v>0.68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1" t="s">
        <v>2514</v>
      </c>
      <c r="B67" s="64">
        <v>6.92</v>
      </c>
      <c r="C67" s="64">
        <v>24.97</v>
      </c>
      <c r="D67" s="64">
        <v>18.14</v>
      </c>
      <c r="E67" s="64">
        <v>11.1</v>
      </c>
      <c r="F67" s="64">
        <v>19.95</v>
      </c>
      <c r="G67" s="64">
        <v>36.979999999999997</v>
      </c>
      <c r="H67" s="64">
        <v>17.38</v>
      </c>
      <c r="I67" s="64">
        <v>3.58</v>
      </c>
      <c r="J67" s="64">
        <v>0.8</v>
      </c>
      <c r="K67" s="64">
        <v>120.2</v>
      </c>
      <c r="L67" s="64">
        <v>26.68</v>
      </c>
      <c r="M67" s="64">
        <v>41.66</v>
      </c>
      <c r="N67" s="64">
        <v>143.30000000000001</v>
      </c>
      <c r="O67" s="64">
        <v>0</v>
      </c>
      <c r="P67" s="64">
        <v>0.71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11" t="s">
        <v>2515</v>
      </c>
      <c r="B68" s="64">
        <v>6.4</v>
      </c>
      <c r="C68" s="64">
        <v>25.49</v>
      </c>
      <c r="D68" s="64">
        <v>17.989999999999998</v>
      </c>
      <c r="E68" s="64">
        <v>12.12</v>
      </c>
      <c r="F68" s="64">
        <v>20.91</v>
      </c>
      <c r="G68" s="64">
        <v>36.979999999999997</v>
      </c>
      <c r="H68" s="64">
        <v>17.38</v>
      </c>
      <c r="I68" s="64">
        <v>3.54</v>
      </c>
      <c r="J68" s="64">
        <v>0.26</v>
      </c>
      <c r="K68" s="64">
        <v>101.3</v>
      </c>
      <c r="L68" s="64">
        <v>26.55</v>
      </c>
      <c r="M68" s="64">
        <v>41.9</v>
      </c>
      <c r="N68" s="64">
        <v>128.80000000000001</v>
      </c>
      <c r="O68" s="64">
        <v>0</v>
      </c>
      <c r="P68" s="64">
        <v>0.69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11" t="s">
        <v>2516</v>
      </c>
      <c r="B69" s="64">
        <v>5.66</v>
      </c>
      <c r="C69" s="64">
        <v>26.38</v>
      </c>
      <c r="D69" s="64">
        <v>17.86</v>
      </c>
      <c r="E69" s="64">
        <v>15.04</v>
      </c>
      <c r="F69" s="64">
        <v>22.04</v>
      </c>
      <c r="G69" s="64">
        <v>41.9</v>
      </c>
      <c r="H69" s="64">
        <v>16.8</v>
      </c>
      <c r="I69" s="64">
        <v>3.49</v>
      </c>
      <c r="J69" s="64">
        <v>0.35</v>
      </c>
      <c r="K69" s="64">
        <v>127.73</v>
      </c>
      <c r="L69" s="64">
        <v>26.51</v>
      </c>
      <c r="M69" s="64">
        <v>41.77</v>
      </c>
      <c r="N69" s="64">
        <v>125.3</v>
      </c>
      <c r="O69" s="64">
        <v>0</v>
      </c>
      <c r="P69" s="64">
        <v>0.68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1" t="s">
        <v>2517</v>
      </c>
      <c r="B70" s="64">
        <v>5.01</v>
      </c>
      <c r="C70" s="64">
        <v>27.67</v>
      </c>
      <c r="D70" s="64">
        <v>18.02</v>
      </c>
      <c r="E70" s="64">
        <v>15.38</v>
      </c>
      <c r="F70" s="64">
        <v>22.23</v>
      </c>
      <c r="G70" s="64">
        <v>43.49</v>
      </c>
      <c r="H70" s="64">
        <v>16.8</v>
      </c>
      <c r="I70" s="64">
        <v>3.44</v>
      </c>
      <c r="J70" s="64">
        <v>0.34</v>
      </c>
      <c r="K70" s="64">
        <v>119.88</v>
      </c>
      <c r="L70" s="64">
        <v>26.46</v>
      </c>
      <c r="M70" s="64">
        <v>43.31</v>
      </c>
      <c r="N70" s="64">
        <v>112.4</v>
      </c>
      <c r="O70" s="64">
        <v>0</v>
      </c>
      <c r="P70" s="64">
        <v>0.71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1" t="s">
        <v>2518</v>
      </c>
      <c r="B71" s="64">
        <v>4.3</v>
      </c>
      <c r="C71" s="64">
        <v>23.46</v>
      </c>
      <c r="D71" s="64">
        <v>15.25</v>
      </c>
      <c r="E71" s="64">
        <v>15.18</v>
      </c>
      <c r="F71" s="64">
        <v>20.64</v>
      </c>
      <c r="G71" s="64">
        <v>43.49</v>
      </c>
      <c r="H71" s="64">
        <v>16.8</v>
      </c>
      <c r="I71" s="64">
        <v>3.39</v>
      </c>
      <c r="J71" s="64">
        <v>0.38</v>
      </c>
      <c r="K71" s="64">
        <v>115.02</v>
      </c>
      <c r="L71" s="64">
        <v>26.21</v>
      </c>
      <c r="M71" s="64">
        <v>43.18</v>
      </c>
      <c r="N71" s="64">
        <v>97</v>
      </c>
      <c r="O71" s="64">
        <v>0</v>
      </c>
      <c r="P71" s="64">
        <v>0.7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1" t="s">
        <v>2519</v>
      </c>
      <c r="B72" s="64">
        <v>5.66</v>
      </c>
      <c r="C72" s="64">
        <v>28.18</v>
      </c>
      <c r="D72" s="64">
        <v>18.809999999999999</v>
      </c>
      <c r="E72" s="64">
        <v>10.119999999999999</v>
      </c>
      <c r="F72" s="64">
        <v>15.61</v>
      </c>
      <c r="G72" s="64">
        <v>43.49</v>
      </c>
      <c r="H72" s="64">
        <v>16.8</v>
      </c>
      <c r="I72" s="64">
        <v>3.34</v>
      </c>
      <c r="J72" s="64">
        <v>0.25</v>
      </c>
      <c r="K72" s="64">
        <v>119.3</v>
      </c>
      <c r="L72" s="64">
        <v>25.96</v>
      </c>
      <c r="M72" s="64">
        <v>44.61</v>
      </c>
      <c r="N72" s="64">
        <v>85.6</v>
      </c>
      <c r="O72" s="64">
        <v>0</v>
      </c>
      <c r="P72" s="64">
        <v>0.74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1" t="s">
        <v>2520</v>
      </c>
      <c r="B73" s="64">
        <v>5.44</v>
      </c>
      <c r="C73" s="64">
        <v>26.29</v>
      </c>
      <c r="D73" s="64">
        <v>17.64</v>
      </c>
      <c r="E73" s="64">
        <v>11.96</v>
      </c>
      <c r="F73" s="64">
        <v>15.13</v>
      </c>
      <c r="G73" s="64">
        <v>38.53</v>
      </c>
      <c r="H73" s="64">
        <v>15.86</v>
      </c>
      <c r="I73" s="64">
        <v>3.29</v>
      </c>
      <c r="J73" s="64">
        <v>0.41</v>
      </c>
      <c r="K73" s="64">
        <v>123.26</v>
      </c>
      <c r="L73" s="64">
        <v>25.73</v>
      </c>
      <c r="M73" s="64">
        <v>45.37</v>
      </c>
      <c r="N73" s="64">
        <v>78.5</v>
      </c>
      <c r="O73" s="64">
        <v>0</v>
      </c>
      <c r="P73" s="64">
        <v>0.71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1" t="s">
        <v>2521</v>
      </c>
      <c r="B74" s="64">
        <v>5.28</v>
      </c>
      <c r="C74" s="64">
        <v>26.28</v>
      </c>
      <c r="D74" s="64">
        <v>17.5</v>
      </c>
      <c r="E74" s="64">
        <v>12.56</v>
      </c>
      <c r="F74" s="64">
        <v>19.21</v>
      </c>
      <c r="G74" s="64">
        <v>36.93</v>
      </c>
      <c r="H74" s="64">
        <v>15.86</v>
      </c>
      <c r="I74" s="64">
        <v>3.25</v>
      </c>
      <c r="J74" s="64">
        <v>0.28000000000000003</v>
      </c>
      <c r="K74" s="64">
        <v>104.01</v>
      </c>
      <c r="L74" s="64">
        <v>25.48</v>
      </c>
      <c r="M74" s="64">
        <v>46.09</v>
      </c>
      <c r="N74" s="64">
        <v>69.3</v>
      </c>
      <c r="O74" s="64">
        <v>0</v>
      </c>
      <c r="P74" s="64">
        <v>0.65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1" t="s">
        <v>2522</v>
      </c>
      <c r="B75" s="64">
        <v>5.97</v>
      </c>
      <c r="C75" s="64">
        <v>30.23</v>
      </c>
      <c r="D75" s="64">
        <v>20.12</v>
      </c>
      <c r="E75" s="64">
        <v>11.54</v>
      </c>
      <c r="F75" s="64">
        <v>13.88</v>
      </c>
      <c r="G75" s="64">
        <v>36.93</v>
      </c>
      <c r="H75" s="64">
        <v>15.86</v>
      </c>
      <c r="I75" s="64">
        <v>3.22</v>
      </c>
      <c r="J75" s="64">
        <v>0.08</v>
      </c>
      <c r="K75" s="64">
        <v>244.89</v>
      </c>
      <c r="L75" s="64">
        <v>25.15</v>
      </c>
      <c r="M75" s="64">
        <v>47.39</v>
      </c>
      <c r="N75" s="64">
        <v>60.5</v>
      </c>
      <c r="O75" s="64">
        <v>0</v>
      </c>
      <c r="P75" s="64">
        <v>0.81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1" t="s">
        <v>2523</v>
      </c>
      <c r="B76" s="64">
        <v>6.37</v>
      </c>
      <c r="C76" s="64">
        <v>33.03</v>
      </c>
      <c r="D76" s="64">
        <v>21.91</v>
      </c>
      <c r="E76" s="64">
        <v>11.85</v>
      </c>
      <c r="F76" s="64">
        <v>10.92</v>
      </c>
      <c r="G76" s="64">
        <v>36.93</v>
      </c>
      <c r="H76" s="64">
        <v>15.86</v>
      </c>
      <c r="I76" s="64">
        <v>3.2</v>
      </c>
      <c r="J76" s="64">
        <v>0.02</v>
      </c>
      <c r="K76" s="64">
        <v>43.44</v>
      </c>
      <c r="L76" s="64">
        <v>24.75</v>
      </c>
      <c r="M76" s="64">
        <v>49.16</v>
      </c>
      <c r="N76" s="64">
        <v>52.5</v>
      </c>
      <c r="O76" s="64">
        <v>0</v>
      </c>
      <c r="P76" s="64">
        <v>0.84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1" t="s">
        <v>2524</v>
      </c>
      <c r="B77" s="64">
        <v>8.2100000000000009</v>
      </c>
      <c r="C77" s="64">
        <v>37.76</v>
      </c>
      <c r="D77" s="64">
        <v>25.85</v>
      </c>
      <c r="E77" s="64">
        <v>10.66</v>
      </c>
      <c r="F77" s="64">
        <v>9.02</v>
      </c>
      <c r="G77" s="64">
        <v>44.19</v>
      </c>
      <c r="H77" s="64">
        <v>13.54</v>
      </c>
      <c r="I77" s="64">
        <v>3.18</v>
      </c>
      <c r="J77" s="64">
        <v>0.08</v>
      </c>
      <c r="K77" s="64">
        <v>105.52</v>
      </c>
      <c r="L77" s="64">
        <v>24.26</v>
      </c>
      <c r="M77" s="64">
        <v>51.14</v>
      </c>
      <c r="N77" s="64">
        <v>47.2</v>
      </c>
      <c r="O77" s="64">
        <v>0</v>
      </c>
      <c r="P77" s="64">
        <v>0.95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1" t="s">
        <v>2525</v>
      </c>
      <c r="B78" s="64">
        <v>6.75</v>
      </c>
      <c r="C78" s="64">
        <v>34.28</v>
      </c>
      <c r="D78" s="64">
        <v>22.86</v>
      </c>
      <c r="E78" s="64">
        <v>9.5399999999999991</v>
      </c>
      <c r="F78" s="64">
        <v>8.8800000000000008</v>
      </c>
      <c r="G78" s="64">
        <v>46.54</v>
      </c>
      <c r="H78" s="64">
        <v>13.54</v>
      </c>
      <c r="I78" s="64">
        <v>3.18</v>
      </c>
      <c r="J78" s="64">
        <v>0.04</v>
      </c>
      <c r="K78" s="64">
        <v>45.02</v>
      </c>
      <c r="L78" s="64">
        <v>23.82</v>
      </c>
      <c r="M78" s="64">
        <v>53.71</v>
      </c>
      <c r="N78" s="64">
        <v>45.1</v>
      </c>
      <c r="O78" s="64">
        <v>0</v>
      </c>
      <c r="P78" s="64">
        <v>0.93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1" t="s">
        <v>2526</v>
      </c>
      <c r="B79" s="64">
        <v>6.06</v>
      </c>
      <c r="C79" s="64">
        <v>31.56</v>
      </c>
      <c r="D79" s="64">
        <v>20.89</v>
      </c>
      <c r="E79" s="64">
        <v>8.9</v>
      </c>
      <c r="F79" s="64">
        <v>10.81</v>
      </c>
      <c r="G79" s="64">
        <v>46.54</v>
      </c>
      <c r="H79" s="64">
        <v>13.54</v>
      </c>
      <c r="I79" s="64">
        <v>3.2</v>
      </c>
      <c r="J79" s="64">
        <v>0.15</v>
      </c>
      <c r="K79" s="64">
        <v>90.04</v>
      </c>
      <c r="L79" s="64">
        <v>23.58</v>
      </c>
      <c r="M79" s="64">
        <v>54.85</v>
      </c>
      <c r="N79" s="64">
        <v>44.6</v>
      </c>
      <c r="O79" s="64">
        <v>0</v>
      </c>
      <c r="P79" s="64">
        <v>0.82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1" t="s">
        <v>2527</v>
      </c>
      <c r="B80" s="64">
        <v>5.96</v>
      </c>
      <c r="C80" s="64">
        <v>30.42</v>
      </c>
      <c r="D80" s="64">
        <v>20.22</v>
      </c>
      <c r="E80" s="64">
        <v>8.35</v>
      </c>
      <c r="F80" s="64">
        <v>8.6300000000000008</v>
      </c>
      <c r="G80" s="64">
        <v>46.54</v>
      </c>
      <c r="H80" s="64">
        <v>13.54</v>
      </c>
      <c r="I80" s="64">
        <v>3.22</v>
      </c>
      <c r="J80" s="64">
        <v>0.08</v>
      </c>
      <c r="K80" s="64">
        <v>48.79</v>
      </c>
      <c r="L80" s="64">
        <v>23.41</v>
      </c>
      <c r="M80" s="64">
        <v>55.93</v>
      </c>
      <c r="N80" s="64">
        <v>44.5</v>
      </c>
      <c r="O80" s="64">
        <v>0</v>
      </c>
      <c r="P80" s="64">
        <v>0.88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11" t="s">
        <v>2528</v>
      </c>
      <c r="B81" s="64">
        <v>6.98</v>
      </c>
      <c r="C81" s="64">
        <v>37.479999999999997</v>
      </c>
      <c r="D81" s="64">
        <v>24.72</v>
      </c>
      <c r="E81" s="64">
        <v>8.85</v>
      </c>
      <c r="F81" s="64">
        <v>7.96</v>
      </c>
      <c r="G81" s="64">
        <v>52.84</v>
      </c>
      <c r="H81" s="64">
        <v>20.69</v>
      </c>
      <c r="I81" s="64">
        <v>3.23</v>
      </c>
      <c r="J81" s="64">
        <v>0.11</v>
      </c>
      <c r="K81" s="64">
        <v>99.93</v>
      </c>
      <c r="L81" s="64">
        <v>23.19</v>
      </c>
      <c r="M81" s="64">
        <v>57.39</v>
      </c>
      <c r="N81" s="64">
        <v>44.4</v>
      </c>
      <c r="O81" s="64">
        <v>0</v>
      </c>
      <c r="P81" s="64">
        <v>1.01</v>
      </c>
      <c r="Q81" s="64">
        <v>9.33</v>
      </c>
      <c r="R81" s="198"/>
      <c r="S81" s="198"/>
      <c r="T81" s="198"/>
      <c r="U81" s="198"/>
    </row>
    <row r="82" spans="1:26" s="12" customFormat="1" x14ac:dyDescent="0.25">
      <c r="A82" s="211" t="s">
        <v>2529</v>
      </c>
      <c r="B82" s="64">
        <v>6.44</v>
      </c>
      <c r="C82" s="64">
        <v>30.63</v>
      </c>
      <c r="D82" s="64">
        <v>20.71</v>
      </c>
      <c r="E82" s="64">
        <v>9.84</v>
      </c>
      <c r="F82" s="64">
        <v>12.28</v>
      </c>
      <c r="G82" s="64">
        <v>54.87</v>
      </c>
      <c r="H82" s="64">
        <v>20.69</v>
      </c>
      <c r="I82" s="64">
        <v>3.24</v>
      </c>
      <c r="J82" s="64">
        <v>0.25</v>
      </c>
      <c r="K82" s="64">
        <v>116.16</v>
      </c>
      <c r="L82" s="64">
        <v>23.1</v>
      </c>
      <c r="M82" s="64">
        <v>57.85</v>
      </c>
      <c r="N82" s="64">
        <v>44.2</v>
      </c>
      <c r="O82" s="64">
        <v>0</v>
      </c>
      <c r="P82" s="64">
        <v>0.95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1" t="s">
        <v>2530</v>
      </c>
      <c r="B83" s="64">
        <v>5.69</v>
      </c>
      <c r="C83" s="64">
        <v>30.07</v>
      </c>
      <c r="D83" s="64">
        <v>19.82</v>
      </c>
      <c r="E83" s="64">
        <v>10.34</v>
      </c>
      <c r="F83" s="64">
        <v>12.68</v>
      </c>
      <c r="G83" s="64">
        <v>54.87</v>
      </c>
      <c r="H83" s="64">
        <v>20.69</v>
      </c>
      <c r="I83" s="64">
        <v>3.28</v>
      </c>
      <c r="J83" s="64">
        <v>0.28000000000000003</v>
      </c>
      <c r="K83" s="64">
        <v>111.42</v>
      </c>
      <c r="L83" s="64">
        <v>22.95</v>
      </c>
      <c r="M83" s="64">
        <v>58.56</v>
      </c>
      <c r="N83" s="64">
        <v>44.2</v>
      </c>
      <c r="O83" s="64">
        <v>0</v>
      </c>
      <c r="P83" s="64">
        <v>0.91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1" t="s">
        <v>2531</v>
      </c>
      <c r="B84" s="64">
        <v>5.49</v>
      </c>
      <c r="C84" s="64">
        <v>28.98</v>
      </c>
      <c r="D84" s="64">
        <v>19.09</v>
      </c>
      <c r="E84" s="64">
        <v>10.119999999999999</v>
      </c>
      <c r="F84" s="64">
        <v>12.36</v>
      </c>
      <c r="G84" s="64">
        <v>54.87</v>
      </c>
      <c r="H84" s="64">
        <v>20.69</v>
      </c>
      <c r="I84" s="64">
        <v>3.32</v>
      </c>
      <c r="J84" s="64">
        <v>0.28999999999999998</v>
      </c>
      <c r="K84" s="64">
        <v>106.63</v>
      </c>
      <c r="L84" s="64">
        <v>22.81</v>
      </c>
      <c r="M84" s="64">
        <v>59.5</v>
      </c>
      <c r="N84" s="64">
        <v>44.2</v>
      </c>
      <c r="O84" s="64">
        <v>0</v>
      </c>
      <c r="P84" s="64">
        <v>0.92</v>
      </c>
      <c r="Q84" s="64">
        <v>9.34</v>
      </c>
      <c r="R84" s="198"/>
      <c r="S84" s="198"/>
      <c r="T84" s="198"/>
      <c r="U84" s="198"/>
    </row>
    <row r="85" spans="1:26" s="12" customFormat="1" x14ac:dyDescent="0.25">
      <c r="A85" s="211" t="s">
        <v>2532</v>
      </c>
      <c r="B85" s="64">
        <v>5.3</v>
      </c>
      <c r="C85" s="64">
        <v>28.65</v>
      </c>
      <c r="D85" s="64">
        <v>18.760000000000002</v>
      </c>
      <c r="E85" s="64">
        <v>10.52</v>
      </c>
      <c r="F85" s="64">
        <v>16.02</v>
      </c>
      <c r="G85" s="64">
        <v>66.900000000000006</v>
      </c>
      <c r="H85" s="64">
        <v>23.05</v>
      </c>
      <c r="I85" s="64">
        <v>3.35</v>
      </c>
      <c r="J85" s="64">
        <v>0.21</v>
      </c>
      <c r="K85" s="64">
        <v>106.58</v>
      </c>
      <c r="L85" s="64">
        <v>22.7</v>
      </c>
      <c r="M85" s="64">
        <v>59.84</v>
      </c>
      <c r="N85" s="64">
        <v>44.3</v>
      </c>
      <c r="O85" s="64">
        <v>0</v>
      </c>
      <c r="P85" s="64">
        <v>0.9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11" t="s">
        <v>2533</v>
      </c>
      <c r="B86" s="64">
        <v>5.43</v>
      </c>
      <c r="C86" s="64">
        <v>28.37</v>
      </c>
      <c r="D86" s="64">
        <v>18.72</v>
      </c>
      <c r="E86" s="64">
        <v>10.56</v>
      </c>
      <c r="F86" s="64">
        <v>13.49</v>
      </c>
      <c r="G86" s="64">
        <v>70.790000000000006</v>
      </c>
      <c r="H86" s="64">
        <v>23.05</v>
      </c>
      <c r="I86" s="64">
        <v>3.37</v>
      </c>
      <c r="J86" s="64">
        <v>0.2</v>
      </c>
      <c r="K86" s="64">
        <v>113.77</v>
      </c>
      <c r="L86" s="64">
        <v>22.51</v>
      </c>
      <c r="M86" s="64">
        <v>60.59</v>
      </c>
      <c r="N86" s="64">
        <v>44.3</v>
      </c>
      <c r="O86" s="64">
        <v>0</v>
      </c>
      <c r="P86" s="64">
        <v>0.98</v>
      </c>
      <c r="Q86" s="64">
        <v>9.3699999999999992</v>
      </c>
      <c r="R86" s="198"/>
      <c r="S86" s="198"/>
      <c r="T86" s="198"/>
      <c r="U86" s="198"/>
    </row>
    <row r="87" spans="1:26" s="12" customFormat="1" x14ac:dyDescent="0.25">
      <c r="A87" s="211" t="s">
        <v>2534</v>
      </c>
      <c r="B87" s="64">
        <v>5.48</v>
      </c>
      <c r="C87" s="64">
        <v>30.08</v>
      </c>
      <c r="D87" s="64">
        <v>19.649999999999999</v>
      </c>
      <c r="E87" s="64">
        <v>10.61</v>
      </c>
      <c r="F87" s="64">
        <v>11.7</v>
      </c>
      <c r="G87" s="64">
        <v>70.790000000000006</v>
      </c>
      <c r="H87" s="64">
        <v>23.05</v>
      </c>
      <c r="I87" s="64">
        <v>3.39</v>
      </c>
      <c r="J87" s="64">
        <v>0.28000000000000003</v>
      </c>
      <c r="K87" s="64">
        <v>117.84</v>
      </c>
      <c r="L87" s="64">
        <v>22.42</v>
      </c>
      <c r="M87" s="64">
        <v>60.79</v>
      </c>
      <c r="N87" s="64">
        <v>44.1</v>
      </c>
      <c r="O87" s="64">
        <v>0</v>
      </c>
      <c r="P87" s="64">
        <v>0.96</v>
      </c>
      <c r="Q87" s="64">
        <v>9.3699999999999992</v>
      </c>
      <c r="R87" s="198"/>
      <c r="S87" s="198"/>
      <c r="T87" s="198"/>
      <c r="U87" s="198"/>
    </row>
    <row r="88" spans="1:26" s="12" customFormat="1" x14ac:dyDescent="0.25">
      <c r="A88" s="211" t="s">
        <v>2535</v>
      </c>
      <c r="B88" s="64">
        <v>5.85</v>
      </c>
      <c r="C88" s="64">
        <v>27.12</v>
      </c>
      <c r="D88" s="64">
        <v>18.39</v>
      </c>
      <c r="E88" s="64">
        <v>9.9600000000000009</v>
      </c>
      <c r="F88" s="64">
        <v>10.26</v>
      </c>
      <c r="G88" s="64">
        <v>70.790000000000006</v>
      </c>
      <c r="H88" s="64">
        <v>23.05</v>
      </c>
      <c r="I88" s="64">
        <v>3.4</v>
      </c>
      <c r="J88" s="64">
        <v>0.37</v>
      </c>
      <c r="K88" s="64">
        <v>120.03</v>
      </c>
      <c r="L88" s="64">
        <v>22.32</v>
      </c>
      <c r="M88" s="64">
        <v>61.58</v>
      </c>
      <c r="N88" s="64">
        <v>44.2</v>
      </c>
      <c r="O88" s="64">
        <v>0</v>
      </c>
      <c r="P88" s="64">
        <v>0.96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1" t="s">
        <v>2536</v>
      </c>
      <c r="B89" s="64">
        <v>10.220000000000001</v>
      </c>
      <c r="C89" s="64">
        <v>28.54</v>
      </c>
      <c r="D89" s="64">
        <v>22.64</v>
      </c>
      <c r="E89" s="64">
        <v>8.5299999999999994</v>
      </c>
      <c r="F89" s="64">
        <v>5.94</v>
      </c>
      <c r="G89" s="64">
        <v>62.93</v>
      </c>
      <c r="H89" s="64">
        <v>24.13</v>
      </c>
      <c r="I89" s="64">
        <v>3.42</v>
      </c>
      <c r="J89" s="64">
        <v>0.17</v>
      </c>
      <c r="K89" s="64">
        <v>123.58</v>
      </c>
      <c r="L89" s="64">
        <v>22.03</v>
      </c>
      <c r="M89" s="64">
        <v>63.12</v>
      </c>
      <c r="N89" s="64">
        <v>44.5</v>
      </c>
      <c r="O89" s="64">
        <v>0</v>
      </c>
      <c r="P89" s="64">
        <v>1.04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11" t="s">
        <v>2537</v>
      </c>
      <c r="B90" s="64">
        <v>8.1300000000000008</v>
      </c>
      <c r="C90" s="64">
        <v>24.19</v>
      </c>
      <c r="D90" s="64">
        <v>18.75</v>
      </c>
      <c r="E90" s="64">
        <v>7.27</v>
      </c>
      <c r="F90" s="64">
        <v>5.61</v>
      </c>
      <c r="G90" s="64">
        <v>60.39</v>
      </c>
      <c r="H90" s="64">
        <v>24.13</v>
      </c>
      <c r="I90" s="64">
        <v>3.44</v>
      </c>
      <c r="J90" s="64">
        <v>0.45</v>
      </c>
      <c r="K90" s="64">
        <v>122.86</v>
      </c>
      <c r="L90" s="64">
        <v>21.87</v>
      </c>
      <c r="M90" s="64">
        <v>65.37</v>
      </c>
      <c r="N90" s="64">
        <v>44.2</v>
      </c>
      <c r="O90" s="64">
        <v>0</v>
      </c>
      <c r="P90" s="64">
        <v>0.93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1" t="s">
        <v>2538</v>
      </c>
      <c r="B91" s="64">
        <v>7.79</v>
      </c>
      <c r="C91" s="64">
        <v>24.97</v>
      </c>
      <c r="D91" s="64">
        <v>18.84</v>
      </c>
      <c r="E91" s="64">
        <v>7.49</v>
      </c>
      <c r="F91" s="64">
        <v>4.87</v>
      </c>
      <c r="G91" s="64">
        <v>60.39</v>
      </c>
      <c r="H91" s="64">
        <v>24.13</v>
      </c>
      <c r="I91" s="64">
        <v>3.46</v>
      </c>
      <c r="J91" s="64">
        <v>0.39</v>
      </c>
      <c r="K91" s="64">
        <v>116.18</v>
      </c>
      <c r="L91" s="64">
        <v>21.71</v>
      </c>
      <c r="M91" s="64">
        <v>67.5</v>
      </c>
      <c r="N91" s="64">
        <v>44.3</v>
      </c>
      <c r="O91" s="64">
        <v>0</v>
      </c>
      <c r="P91" s="64">
        <v>0.92</v>
      </c>
      <c r="Q91" s="64">
        <v>9.34</v>
      </c>
      <c r="R91" s="198"/>
      <c r="S91" s="198"/>
      <c r="T91" s="198"/>
      <c r="U91" s="198"/>
    </row>
    <row r="92" spans="1:26" s="12" customFormat="1" x14ac:dyDescent="0.25">
      <c r="A92" s="211" t="s">
        <v>2539</v>
      </c>
      <c r="B92" s="64">
        <v>7.77</v>
      </c>
      <c r="C92" s="64">
        <v>24.39</v>
      </c>
      <c r="D92" s="64">
        <v>18.510000000000002</v>
      </c>
      <c r="E92" s="64">
        <v>7.1</v>
      </c>
      <c r="F92" s="64">
        <v>6.12</v>
      </c>
      <c r="G92" s="64">
        <v>60.39</v>
      </c>
      <c r="H92" s="64">
        <v>24.13</v>
      </c>
      <c r="I92" s="64">
        <v>3.47</v>
      </c>
      <c r="J92" s="64">
        <v>0.46</v>
      </c>
      <c r="K92" s="64">
        <v>117.76</v>
      </c>
      <c r="L92" s="64">
        <v>21.54</v>
      </c>
      <c r="M92" s="64">
        <v>69.209999999999994</v>
      </c>
      <c r="N92" s="64">
        <v>44.3</v>
      </c>
      <c r="O92" s="64">
        <v>0</v>
      </c>
      <c r="P92" s="64">
        <v>0.91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1" t="s">
        <v>2540</v>
      </c>
      <c r="B93" s="64">
        <v>7.99</v>
      </c>
      <c r="C93" s="64">
        <v>24.07</v>
      </c>
      <c r="D93" s="64">
        <v>18.52</v>
      </c>
      <c r="E93" s="64">
        <v>6.4</v>
      </c>
      <c r="F93" s="64">
        <v>4.87</v>
      </c>
      <c r="G93" s="64">
        <v>63.65</v>
      </c>
      <c r="H93" s="64">
        <v>24.98</v>
      </c>
      <c r="I93" s="64">
        <v>3.47</v>
      </c>
      <c r="J93" s="64">
        <v>0.36</v>
      </c>
      <c r="K93" s="64">
        <v>111.73</v>
      </c>
      <c r="L93" s="64">
        <v>21.31</v>
      </c>
      <c r="M93" s="64">
        <v>71.5</v>
      </c>
      <c r="N93" s="64">
        <v>44.4</v>
      </c>
      <c r="O93" s="64">
        <v>0</v>
      </c>
      <c r="P93" s="64">
        <v>0.91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1" t="s">
        <v>2541</v>
      </c>
      <c r="B94" s="64">
        <v>8.24</v>
      </c>
      <c r="C94" s="64">
        <v>24.02</v>
      </c>
      <c r="D94" s="64">
        <v>18.7</v>
      </c>
      <c r="E94" s="64">
        <v>6.16</v>
      </c>
      <c r="F94" s="64">
        <v>5.46</v>
      </c>
      <c r="G94" s="64">
        <v>64.709999999999994</v>
      </c>
      <c r="H94" s="64">
        <v>24.98</v>
      </c>
      <c r="I94" s="64">
        <v>3.5</v>
      </c>
      <c r="J94" s="64">
        <v>0.35</v>
      </c>
      <c r="K94" s="64">
        <v>123.01</v>
      </c>
      <c r="L94" s="64">
        <v>21.11</v>
      </c>
      <c r="M94" s="64">
        <v>73.2</v>
      </c>
      <c r="N94" s="64">
        <v>44.4</v>
      </c>
      <c r="O94" s="64">
        <v>0</v>
      </c>
      <c r="P94" s="64">
        <v>0.93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1" t="s">
        <v>2542</v>
      </c>
      <c r="B95" s="64">
        <v>8.44</v>
      </c>
      <c r="C95" s="64">
        <v>23.65</v>
      </c>
      <c r="D95" s="64">
        <v>18.66</v>
      </c>
      <c r="E95" s="64">
        <v>6</v>
      </c>
      <c r="F95" s="64">
        <v>4.82</v>
      </c>
      <c r="G95" s="64">
        <v>64.709999999999994</v>
      </c>
      <c r="H95" s="64">
        <v>24.98</v>
      </c>
      <c r="I95" s="64">
        <v>3.52</v>
      </c>
      <c r="J95" s="64">
        <v>0.18</v>
      </c>
      <c r="K95" s="64">
        <v>106.81</v>
      </c>
      <c r="L95" s="64">
        <v>20.97</v>
      </c>
      <c r="M95" s="64">
        <v>74.3</v>
      </c>
      <c r="N95" s="64">
        <v>44.3</v>
      </c>
      <c r="O95" s="64">
        <v>0</v>
      </c>
      <c r="P95" s="64">
        <v>0.93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1" t="s">
        <v>2543</v>
      </c>
      <c r="B96" s="64">
        <v>10.75</v>
      </c>
      <c r="C96" s="64">
        <v>25.01</v>
      </c>
      <c r="D96" s="64">
        <v>21.23</v>
      </c>
      <c r="E96" s="64">
        <v>5.81</v>
      </c>
      <c r="F96" s="64">
        <v>4.1900000000000004</v>
      </c>
      <c r="G96" s="64">
        <v>64.709999999999994</v>
      </c>
      <c r="H96" s="64">
        <v>24.98</v>
      </c>
      <c r="I96" s="64">
        <v>3.53</v>
      </c>
      <c r="J96" s="64">
        <v>0.19</v>
      </c>
      <c r="K96" s="64">
        <v>129.74</v>
      </c>
      <c r="L96" s="64">
        <v>20.83</v>
      </c>
      <c r="M96" s="64">
        <v>74.739999999999995</v>
      </c>
      <c r="N96" s="64">
        <v>44.3</v>
      </c>
      <c r="O96" s="64">
        <v>0</v>
      </c>
      <c r="P96" s="64">
        <v>0.95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2544</v>
      </c>
      <c r="B97" s="64">
        <v>9.49</v>
      </c>
      <c r="C97" s="64">
        <v>24.79</v>
      </c>
      <c r="D97" s="64">
        <v>20.100000000000001</v>
      </c>
      <c r="E97" s="64">
        <v>5.93</v>
      </c>
      <c r="F97" s="64">
        <v>5.09</v>
      </c>
      <c r="G97" s="64">
        <v>69.36</v>
      </c>
      <c r="H97" s="64">
        <v>29.01</v>
      </c>
      <c r="I97" s="64">
        <v>3.54</v>
      </c>
      <c r="J97" s="64">
        <v>0.24</v>
      </c>
      <c r="K97" s="64">
        <v>116.69</v>
      </c>
      <c r="L97" s="64">
        <v>20.72</v>
      </c>
      <c r="M97" s="64">
        <v>74.45</v>
      </c>
      <c r="N97" s="64">
        <v>44.2</v>
      </c>
      <c r="O97" s="64">
        <v>0</v>
      </c>
      <c r="P97" s="64">
        <v>0.94</v>
      </c>
      <c r="Q97" s="64">
        <v>9.34</v>
      </c>
      <c r="R97" s="198"/>
      <c r="S97" s="198"/>
      <c r="T97" s="198"/>
      <c r="U97" s="198"/>
    </row>
    <row r="98" spans="1:33" s="12" customFormat="1" x14ac:dyDescent="0.25">
      <c r="A98" s="211" t="s">
        <v>2545</v>
      </c>
      <c r="B98" s="64">
        <v>9.41</v>
      </c>
      <c r="C98" s="64">
        <v>23.15</v>
      </c>
      <c r="D98" s="64">
        <v>19.18</v>
      </c>
      <c r="E98" s="64">
        <v>5.82</v>
      </c>
      <c r="F98" s="64">
        <v>4.8099999999999996</v>
      </c>
      <c r="G98" s="64">
        <v>70.87</v>
      </c>
      <c r="H98" s="64">
        <v>29.01</v>
      </c>
      <c r="I98" s="64">
        <v>3.57</v>
      </c>
      <c r="J98" s="64">
        <v>0.31</v>
      </c>
      <c r="K98" s="64">
        <v>115.21</v>
      </c>
      <c r="L98" s="64">
        <v>20.440000000000001</v>
      </c>
      <c r="M98" s="64">
        <v>75.86</v>
      </c>
      <c r="N98" s="64">
        <v>44.2</v>
      </c>
      <c r="O98" s="64">
        <v>0</v>
      </c>
      <c r="P98" s="64">
        <v>0.93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1" t="s">
        <v>2546</v>
      </c>
      <c r="B99" s="64">
        <v>8.9600000000000009</v>
      </c>
      <c r="C99" s="64">
        <v>23.07</v>
      </c>
      <c r="D99" s="64">
        <v>18.78</v>
      </c>
      <c r="E99" s="64">
        <v>5.88</v>
      </c>
      <c r="F99" s="64">
        <v>5.99</v>
      </c>
      <c r="G99" s="64">
        <v>70.87</v>
      </c>
      <c r="H99" s="64">
        <v>29.01</v>
      </c>
      <c r="I99" s="64">
        <v>3.57</v>
      </c>
      <c r="J99" s="64">
        <v>0.66</v>
      </c>
      <c r="K99" s="64">
        <v>127.7</v>
      </c>
      <c r="L99" s="64">
        <v>20.09</v>
      </c>
      <c r="M99" s="64">
        <v>78.34</v>
      </c>
      <c r="N99" s="64">
        <v>44</v>
      </c>
      <c r="O99" s="64">
        <v>0</v>
      </c>
      <c r="P99" s="64">
        <v>0.92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1" t="s">
        <v>2547</v>
      </c>
      <c r="B100" s="64">
        <v>8.11</v>
      </c>
      <c r="C100" s="64">
        <v>22.64</v>
      </c>
      <c r="D100" s="64">
        <v>17.87</v>
      </c>
      <c r="E100" s="64">
        <v>6.76</v>
      </c>
      <c r="F100" s="64">
        <v>8.11</v>
      </c>
      <c r="G100" s="64">
        <v>70.87</v>
      </c>
      <c r="H100" s="64">
        <v>29.01</v>
      </c>
      <c r="I100" s="64">
        <v>3.56</v>
      </c>
      <c r="J100" s="64">
        <v>0.19</v>
      </c>
      <c r="K100" s="64">
        <v>120.76</v>
      </c>
      <c r="L100" s="64">
        <v>20.2</v>
      </c>
      <c r="M100" s="64">
        <v>79.14</v>
      </c>
      <c r="N100" s="64">
        <v>44.5</v>
      </c>
      <c r="O100" s="64">
        <v>0</v>
      </c>
      <c r="P100" s="64">
        <v>0.9</v>
      </c>
      <c r="Q100" s="64">
        <v>9.32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2548</v>
      </c>
      <c r="B101" s="64">
        <v>8.19</v>
      </c>
      <c r="C101" s="64">
        <v>23.4</v>
      </c>
      <c r="D101" s="64">
        <v>18.329999999999998</v>
      </c>
      <c r="E101" s="64">
        <v>6.48</v>
      </c>
      <c r="F101" s="64">
        <v>6.64</v>
      </c>
      <c r="G101" s="64">
        <v>65.38</v>
      </c>
      <c r="H101" s="64">
        <v>28.17</v>
      </c>
      <c r="I101" s="64">
        <v>3.57</v>
      </c>
      <c r="J101" s="64">
        <v>0.56000000000000005</v>
      </c>
      <c r="K101" s="64">
        <v>115.59</v>
      </c>
      <c r="L101" s="64">
        <v>20.07</v>
      </c>
      <c r="M101" s="64">
        <v>80.459999999999994</v>
      </c>
      <c r="N101" s="64">
        <v>44.3</v>
      </c>
      <c r="O101" s="64">
        <v>0</v>
      </c>
      <c r="P101" s="64">
        <v>0.92</v>
      </c>
      <c r="Q101" s="64">
        <v>9.34</v>
      </c>
      <c r="R101" s="198"/>
      <c r="S101" s="198"/>
      <c r="T101" s="198"/>
      <c r="U101" s="198"/>
    </row>
    <row r="102" spans="1:33" s="12" customFormat="1" x14ac:dyDescent="0.25">
      <c r="A102" s="211" t="s">
        <v>2549</v>
      </c>
      <c r="B102" s="64">
        <v>8.6199999999999992</v>
      </c>
      <c r="C102" s="64">
        <v>22.8</v>
      </c>
      <c r="D102" s="64">
        <v>18.36</v>
      </c>
      <c r="E102" s="64">
        <v>6.33</v>
      </c>
      <c r="F102" s="64">
        <v>5.5</v>
      </c>
      <c r="G102" s="64">
        <v>63.5</v>
      </c>
      <c r="H102" s="64">
        <v>28.17</v>
      </c>
      <c r="I102" s="64">
        <v>3.61</v>
      </c>
      <c r="J102" s="64">
        <v>0.09</v>
      </c>
      <c r="K102" s="64">
        <v>206.46</v>
      </c>
      <c r="L102" s="64">
        <v>19.84</v>
      </c>
      <c r="M102" s="64">
        <v>82.28</v>
      </c>
      <c r="N102" s="64">
        <v>44.7</v>
      </c>
      <c r="O102" s="64">
        <v>0</v>
      </c>
      <c r="P102" s="64">
        <v>0.96</v>
      </c>
      <c r="Q102" s="64">
        <v>9.35</v>
      </c>
      <c r="R102" s="198"/>
      <c r="S102" s="198"/>
      <c r="T102" s="198"/>
      <c r="U102" s="198"/>
    </row>
    <row r="103" spans="1:33" s="12" customFormat="1" x14ac:dyDescent="0.25">
      <c r="A103" s="211" t="s">
        <v>2550</v>
      </c>
      <c r="B103" s="64">
        <v>8.4700000000000006</v>
      </c>
      <c r="C103" s="64">
        <v>22.7</v>
      </c>
      <c r="D103" s="64">
        <v>18.190000000000001</v>
      </c>
      <c r="E103" s="64">
        <v>6.36</v>
      </c>
      <c r="F103" s="64">
        <v>6.89</v>
      </c>
      <c r="G103" s="64">
        <v>63.5</v>
      </c>
      <c r="H103" s="64">
        <v>28.17</v>
      </c>
      <c r="I103" s="64">
        <v>3.65</v>
      </c>
      <c r="J103" s="64">
        <v>0.09</v>
      </c>
      <c r="K103" s="64">
        <v>99.73</v>
      </c>
      <c r="L103" s="64">
        <v>19.57</v>
      </c>
      <c r="M103" s="64">
        <v>83.97</v>
      </c>
      <c r="N103" s="64">
        <v>44.3</v>
      </c>
      <c r="O103" s="64">
        <v>0</v>
      </c>
      <c r="P103" s="64">
        <v>0.95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1" t="s">
        <v>2551</v>
      </c>
      <c r="B104" s="64">
        <v>8.35</v>
      </c>
      <c r="C104" s="64">
        <v>21.86</v>
      </c>
      <c r="D104" s="64">
        <v>17.66</v>
      </c>
      <c r="E104" s="64">
        <v>6.59</v>
      </c>
      <c r="F104" s="64">
        <v>6.96</v>
      </c>
      <c r="G104" s="64">
        <v>63.5</v>
      </c>
      <c r="H104" s="64">
        <v>28.17</v>
      </c>
      <c r="I104" s="64">
        <v>3.68</v>
      </c>
      <c r="J104" s="64">
        <v>7.0000000000000007E-2</v>
      </c>
      <c r="K104" s="64">
        <v>96.92</v>
      </c>
      <c r="L104" s="64">
        <v>19.59</v>
      </c>
      <c r="M104" s="64">
        <v>80.819999999999993</v>
      </c>
      <c r="N104" s="64">
        <v>44.2</v>
      </c>
      <c r="O104" s="64">
        <v>0</v>
      </c>
      <c r="P104" s="64">
        <v>0.93</v>
      </c>
      <c r="Q104" s="64">
        <v>9.36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</v>
      </c>
      <c r="C106" s="67">
        <f>MIN(C9:C104)</f>
        <v>0.03</v>
      </c>
      <c r="D106" s="67">
        <f t="shared" ref="D106:Q106" si="0">MIN(D9:D104)</f>
        <v>14.51</v>
      </c>
      <c r="E106" s="67">
        <f t="shared" si="0"/>
        <v>4.38</v>
      </c>
      <c r="F106" s="67">
        <f t="shared" si="0"/>
        <v>2.85</v>
      </c>
      <c r="G106" s="67">
        <f t="shared" si="0"/>
        <v>36.93</v>
      </c>
      <c r="H106" s="67">
        <f t="shared" si="0"/>
        <v>13.54</v>
      </c>
      <c r="I106" s="67">
        <f t="shared" si="0"/>
        <v>3.18</v>
      </c>
      <c r="J106" s="67">
        <f t="shared" si="0"/>
        <v>0.02</v>
      </c>
      <c r="K106" s="67">
        <f t="shared" si="0"/>
        <v>4.18</v>
      </c>
      <c r="L106" s="67">
        <f t="shared" si="0"/>
        <v>16.53</v>
      </c>
      <c r="M106" s="67">
        <f t="shared" si="0"/>
        <v>40.17</v>
      </c>
      <c r="N106" s="67">
        <f t="shared" si="0"/>
        <v>39.9</v>
      </c>
      <c r="O106" s="67">
        <f t="shared" si="0"/>
        <v>0</v>
      </c>
      <c r="P106" s="67">
        <f t="shared" si="0"/>
        <v>0.65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62.22</v>
      </c>
      <c r="C107" s="66">
        <f t="shared" ref="C107:Q107" si="1">MAX(C9:C104)</f>
        <v>37.76</v>
      </c>
      <c r="D107" s="66">
        <f t="shared" si="1"/>
        <v>48.62</v>
      </c>
      <c r="E107" s="66">
        <f t="shared" si="1"/>
        <v>15.38</v>
      </c>
      <c r="F107" s="66">
        <f t="shared" si="1"/>
        <v>22.23</v>
      </c>
      <c r="G107" s="66">
        <f t="shared" si="1"/>
        <v>114.22</v>
      </c>
      <c r="H107" s="66">
        <f t="shared" si="1"/>
        <v>46.24</v>
      </c>
      <c r="I107" s="66">
        <f t="shared" si="1"/>
        <v>6.63</v>
      </c>
      <c r="J107" s="66">
        <f t="shared" si="1"/>
        <v>1.29</v>
      </c>
      <c r="K107" s="66">
        <f t="shared" si="1"/>
        <v>344.6</v>
      </c>
      <c r="L107" s="66">
        <f t="shared" si="1"/>
        <v>29.83</v>
      </c>
      <c r="M107" s="66">
        <f t="shared" si="1"/>
        <v>96.97</v>
      </c>
      <c r="N107" s="66">
        <f t="shared" si="1"/>
        <v>576.1</v>
      </c>
      <c r="O107" s="66">
        <f t="shared" si="1"/>
        <v>0</v>
      </c>
      <c r="P107" s="66">
        <f t="shared" si="1"/>
        <v>1.86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21.540208333333343</v>
      </c>
      <c r="C108" s="67">
        <f t="shared" ref="C108:Q108" si="2">AVERAGE(C9:C104)</f>
        <v>20.27279069767442</v>
      </c>
      <c r="D108" s="67">
        <f t="shared" si="2"/>
        <v>26.157291666666662</v>
      </c>
      <c r="E108" s="67">
        <f t="shared" si="2"/>
        <v>7.0695833333333349</v>
      </c>
      <c r="F108" s="67">
        <f t="shared" si="2"/>
        <v>7.3119791666666698</v>
      </c>
      <c r="G108" s="67">
        <f t="shared" si="2"/>
        <v>70.116770833333291</v>
      </c>
      <c r="H108" s="67">
        <f t="shared" si="2"/>
        <v>28.636250000000032</v>
      </c>
      <c r="I108" s="67">
        <f t="shared" si="2"/>
        <v>4.3022916666666662</v>
      </c>
      <c r="J108" s="67">
        <f t="shared" si="2"/>
        <v>0.32916666666666666</v>
      </c>
      <c r="K108" s="67">
        <f t="shared" si="2"/>
        <v>143.07135416666668</v>
      </c>
      <c r="L108" s="67">
        <f t="shared" si="2"/>
        <v>21.95020833333334</v>
      </c>
      <c r="M108" s="67">
        <f t="shared" si="2"/>
        <v>69.684062500000039</v>
      </c>
      <c r="N108" s="67">
        <f t="shared" si="2"/>
        <v>164.625</v>
      </c>
      <c r="O108" s="67">
        <f t="shared" si="2"/>
        <v>0</v>
      </c>
      <c r="P108" s="67">
        <f t="shared" si="2"/>
        <v>1.0902083333333339</v>
      </c>
      <c r="Q108" s="67">
        <f t="shared" si="2"/>
        <v>9.4651041666666753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20.840585908480868</v>
      </c>
      <c r="C109" s="67">
        <f t="shared" ref="C109:Q109" si="3">STDEV(C9:C104)</f>
        <v>9.8581432031849001</v>
      </c>
      <c r="D109" s="67">
        <f t="shared" si="3"/>
        <v>10.99025764548017</v>
      </c>
      <c r="E109" s="67">
        <f t="shared" si="3"/>
        <v>2.5756797433591889</v>
      </c>
      <c r="F109" s="67">
        <f t="shared" si="3"/>
        <v>5.3257595692102955</v>
      </c>
      <c r="G109" s="67">
        <f t="shared" si="3"/>
        <v>24.70268204039877</v>
      </c>
      <c r="H109" s="67">
        <f t="shared" si="3"/>
        <v>9.1743210561929072</v>
      </c>
      <c r="I109" s="67">
        <f t="shared" si="3"/>
        <v>1.0461322037483147</v>
      </c>
      <c r="J109" s="67">
        <f t="shared" si="3"/>
        <v>0.26939568498348171</v>
      </c>
      <c r="K109" s="67">
        <f t="shared" si="3"/>
        <v>82.107972272968055</v>
      </c>
      <c r="L109" s="67">
        <f t="shared" si="3"/>
        <v>4.0621580935744843</v>
      </c>
      <c r="M109" s="67">
        <f t="shared" si="3"/>
        <v>21.598274276974418</v>
      </c>
      <c r="N109" s="67">
        <f t="shared" si="3"/>
        <v>188.55811445365003</v>
      </c>
      <c r="O109" s="67">
        <f t="shared" si="3"/>
        <v>0</v>
      </c>
      <c r="P109" s="67">
        <f t="shared" si="3"/>
        <v>0.40069670684595393</v>
      </c>
      <c r="Q109" s="67">
        <f t="shared" si="3"/>
        <v>0.1563396760206622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COUNT(C9:C104)+10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2552</v>
      </c>
      <c r="B9" s="64">
        <v>8.02</v>
      </c>
      <c r="C9" s="64">
        <v>20.93</v>
      </c>
      <c r="D9" s="64">
        <v>16.899999999999999</v>
      </c>
      <c r="E9" s="64">
        <v>6.71</v>
      </c>
      <c r="F9" s="64">
        <v>8.01</v>
      </c>
      <c r="G9" s="64">
        <v>54.98</v>
      </c>
      <c r="H9" s="64">
        <v>26.68</v>
      </c>
      <c r="I9" s="64">
        <v>3.68</v>
      </c>
      <c r="J9" s="64">
        <v>0.15</v>
      </c>
      <c r="K9" s="64">
        <v>103.47</v>
      </c>
      <c r="L9" s="64">
        <v>19.68</v>
      </c>
      <c r="M9" s="64">
        <v>76.56</v>
      </c>
      <c r="N9" s="64">
        <v>44.1</v>
      </c>
      <c r="O9" s="64">
        <v>0</v>
      </c>
      <c r="P9" s="64">
        <v>0.92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1" t="s">
        <v>2553</v>
      </c>
      <c r="B10" s="64">
        <v>8</v>
      </c>
      <c r="C10" s="64">
        <v>20.71</v>
      </c>
      <c r="D10" s="64">
        <v>16.77</v>
      </c>
      <c r="E10" s="64">
        <v>6.82</v>
      </c>
      <c r="F10" s="64">
        <v>6.9</v>
      </c>
      <c r="G10" s="64">
        <v>52.06</v>
      </c>
      <c r="H10" s="64">
        <v>26.68</v>
      </c>
      <c r="I10" s="64">
        <v>3.67</v>
      </c>
      <c r="J10" s="64">
        <v>0.32</v>
      </c>
      <c r="K10" s="64">
        <v>135.21</v>
      </c>
      <c r="L10" s="64">
        <v>19.8</v>
      </c>
      <c r="M10" s="64">
        <v>74.52</v>
      </c>
      <c r="N10" s="64">
        <v>44</v>
      </c>
      <c r="O10" s="64">
        <v>0</v>
      </c>
      <c r="P10" s="64">
        <v>0.91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1" t="s">
        <v>2554</v>
      </c>
      <c r="B11" s="64">
        <v>8.7799999999999994</v>
      </c>
      <c r="C11" s="64">
        <v>21.36</v>
      </c>
      <c r="D11" s="64">
        <v>17.739999999999998</v>
      </c>
      <c r="E11" s="64">
        <v>6.42</v>
      </c>
      <c r="F11" s="64">
        <v>3.52</v>
      </c>
      <c r="G11" s="64">
        <v>52.06</v>
      </c>
      <c r="H11" s="64">
        <v>26.68</v>
      </c>
      <c r="I11" s="64">
        <v>3.65</v>
      </c>
      <c r="J11" s="64">
        <v>0.14000000000000001</v>
      </c>
      <c r="K11" s="64">
        <v>85.7</v>
      </c>
      <c r="L11" s="64">
        <v>19.559999999999999</v>
      </c>
      <c r="M11" s="64">
        <v>75.69</v>
      </c>
      <c r="N11" s="64">
        <v>44.3</v>
      </c>
      <c r="O11" s="64">
        <v>0</v>
      </c>
      <c r="P11" s="64">
        <v>0.95</v>
      </c>
      <c r="Q11" s="64">
        <v>9.36</v>
      </c>
      <c r="R11" s="198"/>
      <c r="S11" s="198"/>
      <c r="T11" s="198"/>
      <c r="U11" s="198"/>
    </row>
    <row r="12" spans="1:21" s="12" customFormat="1" x14ac:dyDescent="0.25">
      <c r="A12" s="211" t="s">
        <v>2555</v>
      </c>
      <c r="B12" s="64">
        <v>9.11</v>
      </c>
      <c r="C12" s="64">
        <v>21.32</v>
      </c>
      <c r="D12" s="64">
        <v>17.989999999999998</v>
      </c>
      <c r="E12" s="64">
        <v>6.1</v>
      </c>
      <c r="F12" s="64">
        <v>3.38</v>
      </c>
      <c r="G12" s="64">
        <v>52.06</v>
      </c>
      <c r="H12" s="64">
        <v>26.68</v>
      </c>
      <c r="I12" s="64">
        <v>3.63</v>
      </c>
      <c r="J12" s="64">
        <v>0.38</v>
      </c>
      <c r="K12" s="64">
        <v>155.47</v>
      </c>
      <c r="L12" s="64">
        <v>19.27</v>
      </c>
      <c r="M12" s="64">
        <v>78.86</v>
      </c>
      <c r="N12" s="64">
        <v>44.3</v>
      </c>
      <c r="O12" s="64">
        <v>0</v>
      </c>
      <c r="P12" s="64">
        <v>0.9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1" t="s">
        <v>2556</v>
      </c>
      <c r="B13" s="64">
        <v>9.16</v>
      </c>
      <c r="C13" s="64">
        <v>20.94</v>
      </c>
      <c r="D13" s="64">
        <v>17.82</v>
      </c>
      <c r="E13" s="64">
        <v>5.86</v>
      </c>
      <c r="F13" s="64">
        <v>3.4</v>
      </c>
      <c r="G13" s="64">
        <v>54.02</v>
      </c>
      <c r="H13" s="64">
        <v>24.19</v>
      </c>
      <c r="I13" s="64">
        <v>3.59</v>
      </c>
      <c r="J13" s="64">
        <v>0.28999999999999998</v>
      </c>
      <c r="K13" s="64">
        <v>188</v>
      </c>
      <c r="L13" s="64">
        <v>19.38</v>
      </c>
      <c r="M13" s="64">
        <v>77.5</v>
      </c>
      <c r="N13" s="64">
        <v>44.4</v>
      </c>
      <c r="O13" s="64">
        <v>0</v>
      </c>
      <c r="P13" s="64">
        <v>0.84</v>
      </c>
      <c r="Q13" s="64">
        <v>9.34</v>
      </c>
      <c r="R13" s="198"/>
      <c r="S13" s="198"/>
      <c r="T13" s="198"/>
      <c r="U13" s="198"/>
    </row>
    <row r="14" spans="1:21" s="12" customFormat="1" x14ac:dyDescent="0.25">
      <c r="A14" s="211" t="s">
        <v>2557</v>
      </c>
      <c r="B14" s="64">
        <v>9.19</v>
      </c>
      <c r="C14" s="64">
        <v>20.82</v>
      </c>
      <c r="D14" s="64">
        <v>17.79</v>
      </c>
      <c r="E14" s="64">
        <v>5.76</v>
      </c>
      <c r="F14" s="64">
        <v>3.4</v>
      </c>
      <c r="G14" s="64">
        <v>54.66</v>
      </c>
      <c r="H14" s="64">
        <v>24.19</v>
      </c>
      <c r="I14" s="64">
        <v>3.57</v>
      </c>
      <c r="J14" s="64">
        <v>0.25</v>
      </c>
      <c r="K14" s="64">
        <v>274.42</v>
      </c>
      <c r="L14" s="64">
        <v>19.02</v>
      </c>
      <c r="M14" s="64">
        <v>82.95</v>
      </c>
      <c r="N14" s="64">
        <v>44.9</v>
      </c>
      <c r="O14" s="64">
        <v>0</v>
      </c>
      <c r="P14" s="64">
        <v>0.87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1" t="s">
        <v>2558</v>
      </c>
      <c r="B15" s="64">
        <v>9.2100000000000009</v>
      </c>
      <c r="C15" s="64">
        <v>20.86</v>
      </c>
      <c r="D15" s="64">
        <v>17.82</v>
      </c>
      <c r="E15" s="64">
        <v>5.62</v>
      </c>
      <c r="F15" s="64">
        <v>3.26</v>
      </c>
      <c r="G15" s="64">
        <v>54.66</v>
      </c>
      <c r="H15" s="64">
        <v>24.19</v>
      </c>
      <c r="I15" s="64">
        <v>3.56</v>
      </c>
      <c r="J15" s="64">
        <v>0.2</v>
      </c>
      <c r="K15" s="64">
        <v>310.52</v>
      </c>
      <c r="L15" s="64">
        <v>18.52</v>
      </c>
      <c r="M15" s="64">
        <v>89.23</v>
      </c>
      <c r="N15" s="64">
        <v>44.9</v>
      </c>
      <c r="O15" s="64">
        <v>0</v>
      </c>
      <c r="P15" s="64">
        <v>0.85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1" t="s">
        <v>2559</v>
      </c>
      <c r="B16" s="64">
        <v>9.32</v>
      </c>
      <c r="C16" s="64">
        <v>20.97</v>
      </c>
      <c r="D16" s="64">
        <v>17.97</v>
      </c>
      <c r="E16" s="64">
        <v>5.17</v>
      </c>
      <c r="F16" s="64">
        <v>3.05</v>
      </c>
      <c r="G16" s="64">
        <v>54.66</v>
      </c>
      <c r="H16" s="64">
        <v>24.19</v>
      </c>
      <c r="I16" s="64">
        <v>3.54</v>
      </c>
      <c r="J16" s="64">
        <v>0.15</v>
      </c>
      <c r="K16" s="64">
        <v>306.38</v>
      </c>
      <c r="L16" s="64">
        <v>18.079999999999998</v>
      </c>
      <c r="M16" s="64">
        <v>93.89</v>
      </c>
      <c r="N16" s="64">
        <v>44.6</v>
      </c>
      <c r="O16" s="64">
        <v>0</v>
      </c>
      <c r="P16" s="64">
        <v>0.84</v>
      </c>
      <c r="Q16" s="64">
        <v>9.33</v>
      </c>
      <c r="R16" s="198"/>
      <c r="S16" s="198"/>
      <c r="T16" s="198"/>
      <c r="U16" s="198"/>
    </row>
    <row r="17" spans="1:21" s="12" customFormat="1" x14ac:dyDescent="0.25">
      <c r="A17" s="211" t="s">
        <v>2560</v>
      </c>
      <c r="B17" s="64">
        <v>9.4600000000000009</v>
      </c>
      <c r="C17" s="64">
        <v>20.52</v>
      </c>
      <c r="D17" s="64">
        <v>17.84</v>
      </c>
      <c r="E17" s="64">
        <v>5.19</v>
      </c>
      <c r="F17" s="64">
        <v>2.86</v>
      </c>
      <c r="G17" s="64">
        <v>52.76</v>
      </c>
      <c r="H17" s="64">
        <v>26.18</v>
      </c>
      <c r="I17" s="64">
        <v>3.52</v>
      </c>
      <c r="J17" s="64">
        <v>0.27</v>
      </c>
      <c r="K17" s="64">
        <v>338.26</v>
      </c>
      <c r="L17" s="64">
        <v>17.89</v>
      </c>
      <c r="M17" s="64">
        <v>96.05</v>
      </c>
      <c r="N17" s="64">
        <v>44.8</v>
      </c>
      <c r="O17" s="64">
        <v>0</v>
      </c>
      <c r="P17" s="64">
        <v>0.84</v>
      </c>
      <c r="Q17" s="64">
        <v>9.33</v>
      </c>
      <c r="R17" s="198"/>
      <c r="S17" s="198"/>
      <c r="T17" s="198"/>
      <c r="U17" s="198"/>
    </row>
    <row r="18" spans="1:21" s="12" customFormat="1" x14ac:dyDescent="0.25">
      <c r="A18" s="211" t="s">
        <v>2561</v>
      </c>
      <c r="B18" s="64">
        <v>9.65</v>
      </c>
      <c r="C18" s="64">
        <v>20.399999999999999</v>
      </c>
      <c r="D18" s="64">
        <v>17.93</v>
      </c>
      <c r="E18" s="64">
        <v>5.27</v>
      </c>
      <c r="F18" s="64">
        <v>2.98</v>
      </c>
      <c r="G18" s="64">
        <v>52.14</v>
      </c>
      <c r="H18" s="64">
        <v>26.18</v>
      </c>
      <c r="I18" s="64">
        <v>3.5</v>
      </c>
      <c r="J18" s="64">
        <v>0.2</v>
      </c>
      <c r="K18" s="64">
        <v>327.97</v>
      </c>
      <c r="L18" s="64">
        <v>17.52</v>
      </c>
      <c r="M18" s="64">
        <v>96.91</v>
      </c>
      <c r="N18" s="64">
        <v>44.7</v>
      </c>
      <c r="O18" s="64">
        <v>0</v>
      </c>
      <c r="P18" s="64">
        <v>0.85</v>
      </c>
      <c r="Q18" s="64">
        <v>9.33</v>
      </c>
      <c r="R18" s="198"/>
      <c r="S18" s="198"/>
      <c r="T18" s="198"/>
      <c r="U18" s="198"/>
    </row>
    <row r="19" spans="1:21" s="12" customFormat="1" x14ac:dyDescent="0.25">
      <c r="A19" s="211" t="s">
        <v>2562</v>
      </c>
      <c r="B19" s="64">
        <v>9.7100000000000009</v>
      </c>
      <c r="C19" s="64">
        <v>20.309999999999999</v>
      </c>
      <c r="D19" s="64">
        <v>17.940000000000001</v>
      </c>
      <c r="E19" s="64">
        <v>5.12</v>
      </c>
      <c r="F19" s="64">
        <v>3.09</v>
      </c>
      <c r="G19" s="64">
        <v>52.14</v>
      </c>
      <c r="H19" s="64">
        <v>26.18</v>
      </c>
      <c r="I19" s="64">
        <v>3.55</v>
      </c>
      <c r="J19" s="64">
        <v>0.14000000000000001</v>
      </c>
      <c r="K19" s="64">
        <v>310.60000000000002</v>
      </c>
      <c r="L19" s="64">
        <v>17.260000000000002</v>
      </c>
      <c r="M19" s="64">
        <v>96.93</v>
      </c>
      <c r="N19" s="64">
        <v>44.6</v>
      </c>
      <c r="O19" s="64">
        <v>0</v>
      </c>
      <c r="P19" s="64">
        <v>0.85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1" t="s">
        <v>2563</v>
      </c>
      <c r="B20" s="64">
        <v>9.77</v>
      </c>
      <c r="C20" s="64">
        <v>20.12</v>
      </c>
      <c r="D20" s="64">
        <v>17.88</v>
      </c>
      <c r="E20" s="64">
        <v>5.12</v>
      </c>
      <c r="F20" s="64">
        <v>3.14</v>
      </c>
      <c r="G20" s="64">
        <v>52.14</v>
      </c>
      <c r="H20" s="64">
        <v>26.18</v>
      </c>
      <c r="I20" s="64">
        <v>3.58</v>
      </c>
      <c r="J20" s="64">
        <v>0.19</v>
      </c>
      <c r="K20" s="64">
        <v>349.58</v>
      </c>
      <c r="L20" s="64">
        <v>17.07</v>
      </c>
      <c r="M20" s="64">
        <v>96.93</v>
      </c>
      <c r="N20" s="64">
        <v>44.5</v>
      </c>
      <c r="O20" s="64">
        <v>0</v>
      </c>
      <c r="P20" s="64">
        <v>0.84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1" t="s">
        <v>2564</v>
      </c>
      <c r="B21" s="64">
        <v>9.69</v>
      </c>
      <c r="C21" s="64">
        <v>19.72</v>
      </c>
      <c r="D21" s="64">
        <v>17.61</v>
      </c>
      <c r="E21" s="64">
        <v>5.24</v>
      </c>
      <c r="F21" s="64">
        <v>3.24</v>
      </c>
      <c r="G21" s="64">
        <v>61.91</v>
      </c>
      <c r="H21" s="64">
        <v>30.18</v>
      </c>
      <c r="I21" s="64">
        <v>3.58</v>
      </c>
      <c r="J21" s="64">
        <v>0.22</v>
      </c>
      <c r="K21" s="64">
        <v>341.65</v>
      </c>
      <c r="L21" s="64">
        <v>17.03</v>
      </c>
      <c r="M21" s="64">
        <v>96.94</v>
      </c>
      <c r="N21" s="64">
        <v>44.5</v>
      </c>
      <c r="O21" s="64">
        <v>0</v>
      </c>
      <c r="P21" s="64">
        <v>0.84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1" t="s">
        <v>2565</v>
      </c>
      <c r="B22" s="64">
        <v>9.75</v>
      </c>
      <c r="C22" s="64">
        <v>19.12</v>
      </c>
      <c r="D22" s="64">
        <v>17.350000000000001</v>
      </c>
      <c r="E22" s="64">
        <v>5.19</v>
      </c>
      <c r="F22" s="64">
        <v>3.18</v>
      </c>
      <c r="G22" s="64">
        <v>65.06</v>
      </c>
      <c r="H22" s="64">
        <v>30.18</v>
      </c>
      <c r="I22" s="64">
        <v>3.59</v>
      </c>
      <c r="J22" s="64">
        <v>0.1</v>
      </c>
      <c r="K22" s="64">
        <v>1.05</v>
      </c>
      <c r="L22" s="64">
        <v>17.04</v>
      </c>
      <c r="M22" s="64">
        <v>96.9</v>
      </c>
      <c r="N22" s="64">
        <v>44.4</v>
      </c>
      <c r="O22" s="64">
        <v>0</v>
      </c>
      <c r="P22" s="64">
        <v>0.85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11" t="s">
        <v>2566</v>
      </c>
      <c r="B23" s="64">
        <v>9.8699999999999992</v>
      </c>
      <c r="C23" s="64">
        <v>19.46</v>
      </c>
      <c r="D23" s="64">
        <v>17.62</v>
      </c>
      <c r="E23" s="64">
        <v>5.23</v>
      </c>
      <c r="F23" s="64">
        <v>3.14</v>
      </c>
      <c r="G23" s="64">
        <v>65.06</v>
      </c>
      <c r="H23" s="64">
        <v>30.18</v>
      </c>
      <c r="I23" s="64">
        <v>3.62</v>
      </c>
      <c r="J23" s="64">
        <v>0.23</v>
      </c>
      <c r="K23" s="64">
        <v>308.95</v>
      </c>
      <c r="L23" s="64">
        <v>17.12</v>
      </c>
      <c r="M23" s="64">
        <v>96.92</v>
      </c>
      <c r="N23" s="64">
        <v>44.2</v>
      </c>
      <c r="O23" s="64">
        <v>0</v>
      </c>
      <c r="P23" s="64">
        <v>0.86</v>
      </c>
      <c r="Q23" s="64">
        <v>9.35</v>
      </c>
      <c r="R23" s="198"/>
      <c r="S23" s="198"/>
      <c r="T23" s="198"/>
      <c r="U23" s="198"/>
    </row>
    <row r="24" spans="1:21" s="12" customFormat="1" x14ac:dyDescent="0.25">
      <c r="A24" s="211" t="s">
        <v>2567</v>
      </c>
      <c r="B24" s="64">
        <v>10.09</v>
      </c>
      <c r="C24" s="64">
        <v>19.77</v>
      </c>
      <c r="D24" s="64">
        <v>17.96</v>
      </c>
      <c r="E24" s="64">
        <v>5.0599999999999996</v>
      </c>
      <c r="F24" s="64">
        <v>3.51</v>
      </c>
      <c r="G24" s="64">
        <v>65.06</v>
      </c>
      <c r="H24" s="64">
        <v>30.18</v>
      </c>
      <c r="I24" s="64">
        <v>3.64</v>
      </c>
      <c r="J24" s="64">
        <v>0.15</v>
      </c>
      <c r="K24" s="64">
        <v>315.48</v>
      </c>
      <c r="L24" s="64">
        <v>17</v>
      </c>
      <c r="M24" s="64">
        <v>96.92</v>
      </c>
      <c r="N24" s="64">
        <v>44.5</v>
      </c>
      <c r="O24" s="64">
        <v>0</v>
      </c>
      <c r="P24" s="64">
        <v>0.87</v>
      </c>
      <c r="Q24" s="64">
        <v>9.36</v>
      </c>
      <c r="R24" s="198"/>
      <c r="S24" s="198"/>
      <c r="T24" s="198"/>
      <c r="U24" s="198"/>
    </row>
    <row r="25" spans="1:21" s="12" customFormat="1" x14ac:dyDescent="0.25">
      <c r="A25" s="211" t="s">
        <v>2568</v>
      </c>
      <c r="B25" s="64">
        <v>10.33</v>
      </c>
      <c r="C25" s="64">
        <v>19.829999999999998</v>
      </c>
      <c r="D25" s="64">
        <v>18.18</v>
      </c>
      <c r="E25" s="64">
        <v>5.2</v>
      </c>
      <c r="F25" s="64">
        <v>3.47</v>
      </c>
      <c r="G25" s="64">
        <v>56.78</v>
      </c>
      <c r="H25" s="64">
        <v>29.36</v>
      </c>
      <c r="I25" s="64">
        <v>3.64</v>
      </c>
      <c r="J25" s="64">
        <v>0.23</v>
      </c>
      <c r="K25" s="64">
        <v>111.15</v>
      </c>
      <c r="L25" s="64">
        <v>16.95</v>
      </c>
      <c r="M25" s="64">
        <v>96.92</v>
      </c>
      <c r="N25" s="64">
        <v>44.2</v>
      </c>
      <c r="O25" s="64">
        <v>0</v>
      </c>
      <c r="P25" s="64">
        <v>0.88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1" t="s">
        <v>2569</v>
      </c>
      <c r="B26" s="64">
        <v>10.41</v>
      </c>
      <c r="C26" s="64">
        <v>20</v>
      </c>
      <c r="D26" s="64">
        <v>18.329999999999998</v>
      </c>
      <c r="E26" s="64">
        <v>5.1100000000000003</v>
      </c>
      <c r="F26" s="64">
        <v>3.53</v>
      </c>
      <c r="G26" s="64">
        <v>54.09</v>
      </c>
      <c r="H26" s="64">
        <v>29.36</v>
      </c>
      <c r="I26" s="64">
        <v>3.65</v>
      </c>
      <c r="J26" s="64">
        <v>0.13</v>
      </c>
      <c r="K26" s="64">
        <v>45.63</v>
      </c>
      <c r="L26" s="64">
        <v>16.84</v>
      </c>
      <c r="M26" s="64">
        <v>96.93</v>
      </c>
      <c r="N26" s="64">
        <v>44.3</v>
      </c>
      <c r="O26" s="64">
        <v>0</v>
      </c>
      <c r="P26" s="64">
        <v>0.88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1" t="s">
        <v>2570</v>
      </c>
      <c r="B27" s="64">
        <v>10.61</v>
      </c>
      <c r="C27" s="64">
        <v>19.59</v>
      </c>
      <c r="D27" s="64">
        <v>18.29</v>
      </c>
      <c r="E27" s="64">
        <v>4.8</v>
      </c>
      <c r="F27" s="64">
        <v>3.24</v>
      </c>
      <c r="G27" s="64">
        <v>54.09</v>
      </c>
      <c r="H27" s="64">
        <v>29.36</v>
      </c>
      <c r="I27" s="64">
        <v>3.66</v>
      </c>
      <c r="J27" s="64">
        <v>0.16</v>
      </c>
      <c r="K27" s="64">
        <v>186.21</v>
      </c>
      <c r="L27" s="64">
        <v>16.739999999999998</v>
      </c>
      <c r="M27" s="64">
        <v>96.93</v>
      </c>
      <c r="N27" s="64">
        <v>44.1</v>
      </c>
      <c r="O27" s="64">
        <v>0</v>
      </c>
      <c r="P27" s="64">
        <v>0.89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1" t="s">
        <v>2571</v>
      </c>
      <c r="B28" s="64">
        <v>10.47</v>
      </c>
      <c r="C28" s="64">
        <v>19.62</v>
      </c>
      <c r="D28" s="64">
        <v>18.190000000000001</v>
      </c>
      <c r="E28" s="64">
        <v>5.44</v>
      </c>
      <c r="F28" s="64">
        <v>3.63</v>
      </c>
      <c r="G28" s="64">
        <v>54.09</v>
      </c>
      <c r="H28" s="64">
        <v>29.36</v>
      </c>
      <c r="I28" s="64">
        <v>3.65</v>
      </c>
      <c r="J28" s="64">
        <v>7.0000000000000007E-2</v>
      </c>
      <c r="K28" s="64">
        <v>125.12</v>
      </c>
      <c r="L28" s="64">
        <v>16.63</v>
      </c>
      <c r="M28" s="64">
        <v>96.93</v>
      </c>
      <c r="N28" s="64">
        <v>44.3</v>
      </c>
      <c r="O28" s="64">
        <v>0</v>
      </c>
      <c r="P28" s="64">
        <v>0.87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1" t="s">
        <v>2572</v>
      </c>
      <c r="B29" s="64">
        <v>10.83</v>
      </c>
      <c r="C29" s="64">
        <v>18.61</v>
      </c>
      <c r="D29" s="64">
        <v>17.940000000000001</v>
      </c>
      <c r="E29" s="64">
        <v>5.12</v>
      </c>
      <c r="F29" s="64">
        <v>3.35</v>
      </c>
      <c r="G29" s="64">
        <v>58.39</v>
      </c>
      <c r="H29" s="64">
        <v>27.6</v>
      </c>
      <c r="I29" s="64">
        <v>3.63</v>
      </c>
      <c r="J29" s="64">
        <v>0.14000000000000001</v>
      </c>
      <c r="K29" s="64">
        <v>94.19</v>
      </c>
      <c r="L29" s="64">
        <v>16.62</v>
      </c>
      <c r="M29" s="64">
        <v>96.93</v>
      </c>
      <c r="N29" s="64">
        <v>44.5</v>
      </c>
      <c r="O29" s="64">
        <v>0</v>
      </c>
      <c r="P29" s="64">
        <v>0.86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1" t="s">
        <v>2573</v>
      </c>
      <c r="B30" s="64">
        <v>11.56</v>
      </c>
      <c r="C30" s="64">
        <v>17.989999999999998</v>
      </c>
      <c r="D30" s="64">
        <v>18.21</v>
      </c>
      <c r="E30" s="64">
        <v>5.22</v>
      </c>
      <c r="F30" s="64">
        <v>3.2</v>
      </c>
      <c r="G30" s="64">
        <v>59.78</v>
      </c>
      <c r="H30" s="64">
        <v>27.6</v>
      </c>
      <c r="I30" s="64">
        <v>3.59</v>
      </c>
      <c r="J30" s="64">
        <v>0.15</v>
      </c>
      <c r="K30" s="64">
        <v>1.45</v>
      </c>
      <c r="L30" s="64">
        <v>16.59</v>
      </c>
      <c r="M30" s="64">
        <v>96.92</v>
      </c>
      <c r="N30" s="64">
        <v>44.5</v>
      </c>
      <c r="O30" s="64">
        <v>0</v>
      </c>
      <c r="P30" s="64">
        <v>0.84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1" t="s">
        <v>2574</v>
      </c>
      <c r="B31" s="64">
        <v>12.42</v>
      </c>
      <c r="C31" s="64">
        <v>17.670000000000002</v>
      </c>
      <c r="D31" s="64">
        <v>18.73</v>
      </c>
      <c r="E31" s="64">
        <v>5.14</v>
      </c>
      <c r="F31" s="64">
        <v>3.44</v>
      </c>
      <c r="G31" s="64">
        <v>59.78</v>
      </c>
      <c r="H31" s="64">
        <v>27.6</v>
      </c>
      <c r="I31" s="64">
        <v>3.58</v>
      </c>
      <c r="J31" s="64">
        <v>7.0000000000000007E-2</v>
      </c>
      <c r="K31" s="64">
        <v>7.86</v>
      </c>
      <c r="L31" s="64">
        <v>16.350000000000001</v>
      </c>
      <c r="M31" s="64">
        <v>96.93</v>
      </c>
      <c r="N31" s="64">
        <v>44.5</v>
      </c>
      <c r="O31" s="64">
        <v>0</v>
      </c>
      <c r="P31" s="64">
        <v>0.82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1" t="s">
        <v>2575</v>
      </c>
      <c r="B32" s="64">
        <v>13.02</v>
      </c>
      <c r="C32" s="64">
        <v>17.600000000000001</v>
      </c>
      <c r="D32" s="64">
        <v>19.170000000000002</v>
      </c>
      <c r="E32" s="64">
        <v>5.17</v>
      </c>
      <c r="F32" s="64">
        <v>2.98</v>
      </c>
      <c r="G32" s="64">
        <v>59.78</v>
      </c>
      <c r="H32" s="64">
        <v>27.6</v>
      </c>
      <c r="I32" s="64">
        <v>3.61</v>
      </c>
      <c r="J32" s="64">
        <v>0.1</v>
      </c>
      <c r="K32" s="64">
        <v>55.73</v>
      </c>
      <c r="L32" s="64">
        <v>16.43</v>
      </c>
      <c r="M32" s="64">
        <v>96.93</v>
      </c>
      <c r="N32" s="64">
        <v>44.6</v>
      </c>
      <c r="O32" s="64">
        <v>0</v>
      </c>
      <c r="P32" s="64">
        <v>0.82</v>
      </c>
      <c r="Q32" s="64">
        <v>9.3699999999999992</v>
      </c>
      <c r="R32" s="198"/>
      <c r="S32" s="198"/>
      <c r="T32" s="198"/>
      <c r="U32" s="198"/>
    </row>
    <row r="33" spans="1:21" s="12" customFormat="1" x14ac:dyDescent="0.25">
      <c r="A33" s="211" t="s">
        <v>2576</v>
      </c>
      <c r="B33" s="64">
        <v>14.32</v>
      </c>
      <c r="C33" s="64">
        <v>17.46</v>
      </c>
      <c r="D33" s="64">
        <v>20.14</v>
      </c>
      <c r="E33" s="64">
        <v>5.0599999999999996</v>
      </c>
      <c r="F33" s="64">
        <v>2.94</v>
      </c>
      <c r="G33" s="64">
        <v>73.28</v>
      </c>
      <c r="H33" s="64">
        <v>34.24</v>
      </c>
      <c r="I33" s="64">
        <v>3.66</v>
      </c>
      <c r="J33" s="64">
        <v>0.18</v>
      </c>
      <c r="K33" s="64">
        <v>333.81</v>
      </c>
      <c r="L33" s="64">
        <v>16.34</v>
      </c>
      <c r="M33" s="64">
        <v>96.93</v>
      </c>
      <c r="N33" s="64">
        <v>45.9</v>
      </c>
      <c r="O33" s="64">
        <v>0</v>
      </c>
      <c r="P33" s="64">
        <v>0.84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1" t="s">
        <v>2577</v>
      </c>
      <c r="B34" s="64">
        <v>16.309999999999999</v>
      </c>
      <c r="C34" s="64">
        <v>16.93</v>
      </c>
      <c r="D34" s="64">
        <v>21.47</v>
      </c>
      <c r="E34" s="64">
        <v>5.12</v>
      </c>
      <c r="F34" s="64">
        <v>2.85</v>
      </c>
      <c r="G34" s="64">
        <v>77.650000000000006</v>
      </c>
      <c r="H34" s="64">
        <v>34.24</v>
      </c>
      <c r="I34" s="64">
        <v>3.75</v>
      </c>
      <c r="J34" s="64">
        <v>0.2</v>
      </c>
      <c r="K34" s="64">
        <v>130.04</v>
      </c>
      <c r="L34" s="64">
        <v>16.23</v>
      </c>
      <c r="M34" s="64">
        <v>96.93</v>
      </c>
      <c r="N34" s="64">
        <v>51.3</v>
      </c>
      <c r="O34" s="64">
        <v>0</v>
      </c>
      <c r="P34" s="64">
        <v>0.88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1" t="s">
        <v>2578</v>
      </c>
      <c r="B35" s="64">
        <v>17.149999999999999</v>
      </c>
      <c r="C35" s="64">
        <v>16.739999999999998</v>
      </c>
      <c r="D35" s="64">
        <v>22.04</v>
      </c>
      <c r="E35" s="64">
        <v>5.08</v>
      </c>
      <c r="F35" s="64">
        <v>3.04</v>
      </c>
      <c r="G35" s="64">
        <v>77.650000000000006</v>
      </c>
      <c r="H35" s="64">
        <v>34.24</v>
      </c>
      <c r="I35" s="64">
        <v>3.86</v>
      </c>
      <c r="J35" s="64">
        <v>0.16</v>
      </c>
      <c r="K35" s="64">
        <v>39.020000000000003</v>
      </c>
      <c r="L35" s="64">
        <v>16.420000000000002</v>
      </c>
      <c r="M35" s="64">
        <v>96.92</v>
      </c>
      <c r="N35" s="64">
        <v>63.4</v>
      </c>
      <c r="O35" s="64">
        <v>0</v>
      </c>
      <c r="P35" s="64">
        <v>0.89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1" t="s">
        <v>2579</v>
      </c>
      <c r="B36" s="64">
        <v>17.899999999999999</v>
      </c>
      <c r="C36" s="64">
        <v>16.489999999999998</v>
      </c>
      <c r="D36" s="64">
        <v>22.5</v>
      </c>
      <c r="E36" s="64">
        <v>5.04</v>
      </c>
      <c r="F36" s="64">
        <v>3.26</v>
      </c>
      <c r="G36" s="64">
        <v>77.650000000000006</v>
      </c>
      <c r="H36" s="64">
        <v>34.24</v>
      </c>
      <c r="I36" s="64">
        <v>3.96</v>
      </c>
      <c r="J36" s="64">
        <v>0.24</v>
      </c>
      <c r="K36" s="64">
        <v>349.07</v>
      </c>
      <c r="L36" s="64">
        <v>16.82</v>
      </c>
      <c r="M36" s="64">
        <v>96.9</v>
      </c>
      <c r="N36" s="64">
        <v>78.8</v>
      </c>
      <c r="O36" s="64">
        <v>0</v>
      </c>
      <c r="P36" s="64">
        <v>0.89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1" t="s">
        <v>2580</v>
      </c>
      <c r="B37" s="64">
        <v>18.760000000000002</v>
      </c>
      <c r="C37" s="64">
        <v>16.21</v>
      </c>
      <c r="D37" s="64">
        <v>23.05</v>
      </c>
      <c r="E37" s="64">
        <v>4.8899999999999997</v>
      </c>
      <c r="F37" s="64">
        <v>2.92</v>
      </c>
      <c r="G37" s="64">
        <v>81.61</v>
      </c>
      <c r="H37" s="64">
        <v>36.020000000000003</v>
      </c>
      <c r="I37" s="64">
        <v>4</v>
      </c>
      <c r="J37" s="64">
        <v>0.32</v>
      </c>
      <c r="K37" s="64">
        <v>338.97</v>
      </c>
      <c r="L37" s="64">
        <v>17.34</v>
      </c>
      <c r="M37" s="64">
        <v>96.73</v>
      </c>
      <c r="N37" s="64">
        <v>97.7</v>
      </c>
      <c r="O37" s="64">
        <v>0</v>
      </c>
      <c r="P37" s="64">
        <v>0.88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1" t="s">
        <v>2581</v>
      </c>
      <c r="B38" s="64">
        <v>19.91</v>
      </c>
      <c r="C38" s="64">
        <v>16.010000000000002</v>
      </c>
      <c r="D38" s="64">
        <v>23.86</v>
      </c>
      <c r="E38" s="64">
        <v>4.74</v>
      </c>
      <c r="F38" s="64">
        <v>2.95</v>
      </c>
      <c r="G38" s="64">
        <v>82.89</v>
      </c>
      <c r="H38" s="64">
        <v>36.020000000000003</v>
      </c>
      <c r="I38" s="64">
        <v>4.03</v>
      </c>
      <c r="J38" s="64">
        <v>0.15</v>
      </c>
      <c r="K38" s="64">
        <v>0.26</v>
      </c>
      <c r="L38" s="64">
        <v>18.100000000000001</v>
      </c>
      <c r="M38" s="64">
        <v>92.76</v>
      </c>
      <c r="N38" s="64">
        <v>142.30000000000001</v>
      </c>
      <c r="O38" s="64">
        <v>0</v>
      </c>
      <c r="P38" s="64">
        <v>0.93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1" t="s">
        <v>2582</v>
      </c>
      <c r="B39" s="64">
        <v>21.09</v>
      </c>
      <c r="C39" s="64">
        <v>14.72</v>
      </c>
      <c r="D39" s="64">
        <v>24.14</v>
      </c>
      <c r="E39" s="64">
        <v>4.67</v>
      </c>
      <c r="F39" s="64">
        <v>3.12</v>
      </c>
      <c r="G39" s="64">
        <v>82.89</v>
      </c>
      <c r="H39" s="64">
        <v>36.020000000000003</v>
      </c>
      <c r="I39" s="64">
        <v>4.0599999999999996</v>
      </c>
      <c r="J39" s="64">
        <v>0.5</v>
      </c>
      <c r="K39" s="64">
        <v>338.85</v>
      </c>
      <c r="L39" s="64">
        <v>19.52</v>
      </c>
      <c r="M39" s="64">
        <v>83.23</v>
      </c>
      <c r="N39" s="64">
        <v>186.3</v>
      </c>
      <c r="O39" s="64">
        <v>0</v>
      </c>
      <c r="P39" s="64">
        <v>0.95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1" t="s">
        <v>2583</v>
      </c>
      <c r="B40" s="64">
        <v>22.12</v>
      </c>
      <c r="C40" s="64">
        <v>16.420000000000002</v>
      </c>
      <c r="D40" s="64">
        <v>25.85</v>
      </c>
      <c r="E40" s="64">
        <v>3.94</v>
      </c>
      <c r="F40" s="64">
        <v>3.42</v>
      </c>
      <c r="G40" s="64">
        <v>82.89</v>
      </c>
      <c r="H40" s="64">
        <v>36.020000000000003</v>
      </c>
      <c r="I40" s="64">
        <v>4.0999999999999996</v>
      </c>
      <c r="J40" s="64">
        <v>0.9</v>
      </c>
      <c r="K40" s="64">
        <v>342.19</v>
      </c>
      <c r="L40" s="64">
        <v>21.09</v>
      </c>
      <c r="M40" s="64">
        <v>71.650000000000006</v>
      </c>
      <c r="N40" s="64">
        <v>227.6</v>
      </c>
      <c r="O40" s="64">
        <v>0</v>
      </c>
      <c r="P40" s="64">
        <v>0.99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1" t="s">
        <v>2584</v>
      </c>
      <c r="B41" s="64">
        <v>23.1</v>
      </c>
      <c r="C41" s="64">
        <v>16.41</v>
      </c>
      <c r="D41" s="64">
        <v>26.63</v>
      </c>
      <c r="E41" s="64">
        <v>4.5199999999999996</v>
      </c>
      <c r="F41" s="64">
        <v>3.82</v>
      </c>
      <c r="G41" s="64">
        <v>89.4</v>
      </c>
      <c r="H41" s="64">
        <v>38.86</v>
      </c>
      <c r="I41" s="64">
        <v>4.16</v>
      </c>
      <c r="J41" s="64">
        <v>0.77</v>
      </c>
      <c r="K41" s="64">
        <v>343.74</v>
      </c>
      <c r="L41" s="64">
        <v>22.46</v>
      </c>
      <c r="M41" s="64">
        <v>63.84</v>
      </c>
      <c r="N41" s="64">
        <v>263.7</v>
      </c>
      <c r="O41" s="64">
        <v>0</v>
      </c>
      <c r="P41" s="64">
        <v>1.02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1" t="s">
        <v>2585</v>
      </c>
      <c r="B42" s="64">
        <v>23.46</v>
      </c>
      <c r="C42" s="64">
        <v>16.489999999999998</v>
      </c>
      <c r="D42" s="64">
        <v>26.97</v>
      </c>
      <c r="E42" s="64">
        <v>5.15</v>
      </c>
      <c r="F42" s="64">
        <v>4.03</v>
      </c>
      <c r="G42" s="64">
        <v>91.5</v>
      </c>
      <c r="H42" s="64">
        <v>38.86</v>
      </c>
      <c r="I42" s="64">
        <v>4.2</v>
      </c>
      <c r="J42" s="64">
        <v>0.6</v>
      </c>
      <c r="K42" s="64">
        <v>339.29</v>
      </c>
      <c r="L42" s="64">
        <v>23.4</v>
      </c>
      <c r="M42" s="64">
        <v>58.33</v>
      </c>
      <c r="N42" s="64">
        <v>300</v>
      </c>
      <c r="O42" s="64">
        <v>0</v>
      </c>
      <c r="P42" s="64">
        <v>1.05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1" t="s">
        <v>2586</v>
      </c>
      <c r="B43" s="64">
        <v>23.56</v>
      </c>
      <c r="C43" s="64">
        <v>18.57</v>
      </c>
      <c r="D43" s="64">
        <v>28.13</v>
      </c>
      <c r="E43" s="64">
        <v>6.23</v>
      </c>
      <c r="F43" s="64">
        <v>3.82</v>
      </c>
      <c r="G43" s="64">
        <v>91.5</v>
      </c>
      <c r="H43" s="64">
        <v>38.86</v>
      </c>
      <c r="I43" s="64">
        <v>4.21</v>
      </c>
      <c r="J43" s="64">
        <v>0.73</v>
      </c>
      <c r="K43" s="64">
        <v>341.04</v>
      </c>
      <c r="L43" s="64">
        <v>24.27</v>
      </c>
      <c r="M43" s="64">
        <v>53.93</v>
      </c>
      <c r="N43" s="64">
        <v>333.2</v>
      </c>
      <c r="O43" s="64">
        <v>0</v>
      </c>
      <c r="P43" s="64">
        <v>1.06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1" t="s">
        <v>2587</v>
      </c>
      <c r="B44" s="64">
        <v>22.94</v>
      </c>
      <c r="C44" s="64">
        <v>18.93</v>
      </c>
      <c r="D44" s="64">
        <v>27.83</v>
      </c>
      <c r="E44" s="64">
        <v>6.34</v>
      </c>
      <c r="F44" s="64">
        <v>4.24</v>
      </c>
      <c r="G44" s="64">
        <v>91.5</v>
      </c>
      <c r="H44" s="64">
        <v>38.86</v>
      </c>
      <c r="I44" s="64">
        <v>4.21</v>
      </c>
      <c r="J44" s="64">
        <v>0.8</v>
      </c>
      <c r="K44" s="64">
        <v>341.1</v>
      </c>
      <c r="L44" s="64">
        <v>24.58</v>
      </c>
      <c r="M44" s="64">
        <v>50.52</v>
      </c>
      <c r="N44" s="64">
        <v>365.2</v>
      </c>
      <c r="O44" s="64">
        <v>0</v>
      </c>
      <c r="P44" s="64">
        <v>1.06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1" t="s">
        <v>2588</v>
      </c>
      <c r="B45" s="64">
        <v>21.19</v>
      </c>
      <c r="C45" s="64">
        <v>21.23</v>
      </c>
      <c r="D45" s="64">
        <v>27.62</v>
      </c>
      <c r="E45" s="64">
        <v>6.03</v>
      </c>
      <c r="F45" s="64">
        <v>4.2699999999999996</v>
      </c>
      <c r="G45" s="64">
        <v>90.69</v>
      </c>
      <c r="H45" s="64">
        <v>36.4</v>
      </c>
      <c r="I45" s="64">
        <v>4.2</v>
      </c>
      <c r="J45" s="64">
        <v>0.33</v>
      </c>
      <c r="K45" s="64">
        <v>6.93</v>
      </c>
      <c r="L45" s="64">
        <v>25.2</v>
      </c>
      <c r="M45" s="64">
        <v>49.01</v>
      </c>
      <c r="N45" s="64">
        <v>401.3</v>
      </c>
      <c r="O45" s="64">
        <v>0</v>
      </c>
      <c r="P45" s="64">
        <v>1.07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1" t="s">
        <v>2589</v>
      </c>
      <c r="B46" s="64">
        <v>21.07</v>
      </c>
      <c r="C46" s="64">
        <v>20.47</v>
      </c>
      <c r="D46" s="64">
        <v>27.13</v>
      </c>
      <c r="E46" s="64">
        <v>6.27</v>
      </c>
      <c r="F46" s="64">
        <v>4.1100000000000003</v>
      </c>
      <c r="G46" s="64">
        <v>90.43</v>
      </c>
      <c r="H46" s="64">
        <v>36.4</v>
      </c>
      <c r="I46" s="64">
        <v>4.18</v>
      </c>
      <c r="J46" s="64">
        <v>0.34</v>
      </c>
      <c r="K46" s="64">
        <v>338.27</v>
      </c>
      <c r="L46" s="64">
        <v>24.84</v>
      </c>
      <c r="M46" s="64">
        <v>52.22</v>
      </c>
      <c r="N46" s="64">
        <v>431.6</v>
      </c>
      <c r="O46" s="64">
        <v>0</v>
      </c>
      <c r="P46" s="64">
        <v>1.07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1" t="s">
        <v>2590</v>
      </c>
      <c r="B47" s="64">
        <v>22.49</v>
      </c>
      <c r="C47" s="64">
        <v>21.08</v>
      </c>
      <c r="D47" s="64">
        <v>28.59</v>
      </c>
      <c r="E47" s="64">
        <v>5.63</v>
      </c>
      <c r="F47" s="64">
        <v>3.3</v>
      </c>
      <c r="G47" s="64">
        <v>90.43</v>
      </c>
      <c r="H47" s="64">
        <v>36.4</v>
      </c>
      <c r="I47" s="64">
        <v>4.16</v>
      </c>
      <c r="J47" s="64">
        <v>0.66</v>
      </c>
      <c r="K47" s="64">
        <v>343.25</v>
      </c>
      <c r="L47" s="64">
        <v>26.99</v>
      </c>
      <c r="M47" s="64">
        <v>44.22</v>
      </c>
      <c r="N47" s="64">
        <v>459.8</v>
      </c>
      <c r="O47" s="64">
        <v>0</v>
      </c>
      <c r="P47" s="64">
        <v>1.05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1" t="s">
        <v>2591</v>
      </c>
      <c r="B48" s="64">
        <v>13.95</v>
      </c>
      <c r="C48" s="64">
        <v>34.08</v>
      </c>
      <c r="D48" s="64">
        <v>28.53</v>
      </c>
      <c r="E48" s="64">
        <v>8.82</v>
      </c>
      <c r="F48" s="64">
        <v>8.3800000000000008</v>
      </c>
      <c r="G48" s="64">
        <v>90.43</v>
      </c>
      <c r="H48" s="64">
        <v>36.4</v>
      </c>
      <c r="I48" s="64">
        <v>4.13</v>
      </c>
      <c r="J48" s="64">
        <v>0.91</v>
      </c>
      <c r="K48" s="64">
        <v>344.24</v>
      </c>
      <c r="L48" s="64">
        <v>27.68</v>
      </c>
      <c r="M48" s="64">
        <v>41.92</v>
      </c>
      <c r="N48" s="64">
        <v>486.1</v>
      </c>
      <c r="O48" s="64">
        <v>0</v>
      </c>
      <c r="P48" s="64">
        <v>1.1000000000000001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1" t="s">
        <v>2592</v>
      </c>
      <c r="B49" s="64">
        <v>15</v>
      </c>
      <c r="C49" s="64">
        <v>56.93</v>
      </c>
      <c r="D49" s="64">
        <v>41.31</v>
      </c>
      <c r="E49" s="64">
        <v>14.34</v>
      </c>
      <c r="F49" s="64">
        <v>9.86</v>
      </c>
      <c r="G49" s="64">
        <v>78.92</v>
      </c>
      <c r="H49" s="64">
        <v>36.1</v>
      </c>
      <c r="I49" s="64">
        <v>4.05</v>
      </c>
      <c r="J49" s="64">
        <v>0.19</v>
      </c>
      <c r="K49" s="64">
        <v>355.11</v>
      </c>
      <c r="L49" s="64">
        <v>27.6</v>
      </c>
      <c r="M49" s="64">
        <v>43.18</v>
      </c>
      <c r="N49" s="64">
        <v>496.2</v>
      </c>
      <c r="O49" s="64">
        <v>0</v>
      </c>
      <c r="P49" s="64">
        <v>1.31</v>
      </c>
      <c r="Q49" s="64">
        <v>9.51</v>
      </c>
      <c r="R49" s="198"/>
      <c r="S49" s="198"/>
      <c r="T49" s="198"/>
      <c r="U49" s="198"/>
    </row>
    <row r="50" spans="1:21" s="12" customFormat="1" x14ac:dyDescent="0.25">
      <c r="A50" s="211" t="s">
        <v>2593</v>
      </c>
      <c r="B50" s="64">
        <v>14.47</v>
      </c>
      <c r="C50" s="64">
        <v>56.86</v>
      </c>
      <c r="D50" s="64">
        <v>40.85</v>
      </c>
      <c r="E50" s="64">
        <v>8.0399999999999991</v>
      </c>
      <c r="F50" s="64">
        <v>5.56</v>
      </c>
      <c r="G50" s="64">
        <v>75.2</v>
      </c>
      <c r="H50" s="64">
        <v>36.1</v>
      </c>
      <c r="I50" s="64">
        <v>3.26</v>
      </c>
      <c r="J50" s="64">
        <v>0.42</v>
      </c>
      <c r="K50" s="64">
        <v>337.86</v>
      </c>
      <c r="L50" s="64">
        <v>27.38</v>
      </c>
      <c r="M50" s="64">
        <v>43.57</v>
      </c>
      <c r="N50" s="64">
        <v>524.4</v>
      </c>
      <c r="O50" s="64">
        <v>0</v>
      </c>
      <c r="P50" s="64">
        <v>1.34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1" t="s">
        <v>2594</v>
      </c>
      <c r="B51" s="64">
        <v>13.76</v>
      </c>
      <c r="C51" s="64">
        <v>46.98</v>
      </c>
      <c r="D51" s="64">
        <v>35.119999999999997</v>
      </c>
      <c r="E51" s="64">
        <v>7.15</v>
      </c>
      <c r="F51" s="64">
        <v>5.56</v>
      </c>
      <c r="G51" s="64">
        <v>75.2</v>
      </c>
      <c r="H51" s="64">
        <v>36.1</v>
      </c>
      <c r="I51" s="64">
        <v>2.81</v>
      </c>
      <c r="J51" s="64">
        <v>0.64</v>
      </c>
      <c r="K51" s="64">
        <v>339.15</v>
      </c>
      <c r="L51" s="64">
        <v>28.48</v>
      </c>
      <c r="M51" s="64">
        <v>40.619999999999997</v>
      </c>
      <c r="N51" s="64">
        <v>522</v>
      </c>
      <c r="O51" s="64">
        <v>0</v>
      </c>
      <c r="P51" s="64">
        <v>1.3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1" t="s">
        <v>2595</v>
      </c>
      <c r="B52" s="64">
        <v>13.62</v>
      </c>
      <c r="C52" s="64">
        <v>41.75</v>
      </c>
      <c r="D52" s="64">
        <v>32.28</v>
      </c>
      <c r="E52" s="64">
        <v>7.9</v>
      </c>
      <c r="F52" s="64">
        <v>5.71</v>
      </c>
      <c r="G52" s="64">
        <v>75.2</v>
      </c>
      <c r="H52" s="64">
        <v>36.1</v>
      </c>
      <c r="I52" s="64">
        <v>2.9</v>
      </c>
      <c r="J52" s="64">
        <v>0.65</v>
      </c>
      <c r="K52" s="64">
        <v>338.01</v>
      </c>
      <c r="L52" s="64">
        <v>28.94</v>
      </c>
      <c r="M52" s="64">
        <v>38.11</v>
      </c>
      <c r="N52" s="64">
        <v>524</v>
      </c>
      <c r="O52" s="64">
        <v>0</v>
      </c>
      <c r="P52" s="64">
        <v>1.29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1" t="s">
        <v>2596</v>
      </c>
      <c r="B53" s="64">
        <v>11.89</v>
      </c>
      <c r="C53" s="64">
        <v>39.39</v>
      </c>
      <c r="D53" s="64">
        <v>29.65</v>
      </c>
      <c r="E53" s="64">
        <v>7.56</v>
      </c>
      <c r="F53" s="64">
        <v>6.45</v>
      </c>
      <c r="G53" s="64">
        <v>76.94</v>
      </c>
      <c r="H53" s="64">
        <v>37.619999999999997</v>
      </c>
      <c r="I53" s="64">
        <v>2.95</v>
      </c>
      <c r="J53" s="64">
        <v>0.4</v>
      </c>
      <c r="K53" s="64">
        <v>342.4</v>
      </c>
      <c r="L53" s="64">
        <v>28.69</v>
      </c>
      <c r="M53" s="64">
        <v>37.99</v>
      </c>
      <c r="N53" s="64">
        <v>529.4</v>
      </c>
      <c r="O53" s="64">
        <v>0</v>
      </c>
      <c r="P53" s="64">
        <v>1.24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1" t="s">
        <v>2597</v>
      </c>
      <c r="B54" s="64">
        <v>7.15</v>
      </c>
      <c r="C54" s="64">
        <v>36.270000000000003</v>
      </c>
      <c r="D54" s="64">
        <v>24.22</v>
      </c>
      <c r="E54" s="64">
        <v>8.09</v>
      </c>
      <c r="F54" s="64">
        <v>10.67</v>
      </c>
      <c r="G54" s="64">
        <v>77.5</v>
      </c>
      <c r="H54" s="64">
        <v>37.619999999999997</v>
      </c>
      <c r="I54" s="64">
        <v>2.98</v>
      </c>
      <c r="J54" s="64">
        <v>1.39</v>
      </c>
      <c r="K54" s="64">
        <v>125.37</v>
      </c>
      <c r="L54" s="64">
        <v>26.06</v>
      </c>
      <c r="M54" s="64">
        <v>45.01</v>
      </c>
      <c r="N54" s="64">
        <v>536.79999999999995</v>
      </c>
      <c r="O54" s="64">
        <v>0</v>
      </c>
      <c r="P54" s="64">
        <v>1.07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1" t="s">
        <v>2598</v>
      </c>
      <c r="B55" s="64">
        <v>3.13</v>
      </c>
      <c r="C55" s="64">
        <v>34.450000000000003</v>
      </c>
      <c r="D55" s="64">
        <v>20.05</v>
      </c>
      <c r="E55" s="64">
        <v>10.54</v>
      </c>
      <c r="F55" s="64">
        <v>14.65</v>
      </c>
      <c r="G55" s="64">
        <v>77.5</v>
      </c>
      <c r="H55" s="64">
        <v>37.619999999999997</v>
      </c>
      <c r="I55" s="64">
        <v>2.95</v>
      </c>
      <c r="J55" s="64">
        <v>0.33</v>
      </c>
      <c r="K55" s="64">
        <v>351.38</v>
      </c>
      <c r="L55" s="64">
        <v>27.19</v>
      </c>
      <c r="M55" s="64">
        <v>41.83</v>
      </c>
      <c r="N55" s="64">
        <v>514.6</v>
      </c>
      <c r="O55" s="64">
        <v>0</v>
      </c>
      <c r="P55" s="64">
        <v>0.94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1" t="s">
        <v>2599</v>
      </c>
      <c r="B56" s="64">
        <v>2.19</v>
      </c>
      <c r="C56" s="64">
        <v>37.69</v>
      </c>
      <c r="D56" s="64">
        <v>20.99</v>
      </c>
      <c r="E56" s="64">
        <v>7.45</v>
      </c>
      <c r="F56" s="64">
        <v>7.9</v>
      </c>
      <c r="G56" s="64">
        <v>77.5</v>
      </c>
      <c r="H56" s="64">
        <v>37.619999999999997</v>
      </c>
      <c r="I56" s="64">
        <v>2.68</v>
      </c>
      <c r="J56" s="64">
        <v>0.47</v>
      </c>
      <c r="K56" s="64">
        <v>126.29</v>
      </c>
      <c r="L56" s="64">
        <v>27.47</v>
      </c>
      <c r="M56" s="64">
        <v>40.4</v>
      </c>
      <c r="N56" s="64">
        <v>515.1</v>
      </c>
      <c r="O56" s="64">
        <v>0</v>
      </c>
      <c r="P56" s="64">
        <v>0.94</v>
      </c>
      <c r="Q56" s="64">
        <v>9.4600000000000009</v>
      </c>
      <c r="R56" s="198"/>
      <c r="S56" s="198"/>
      <c r="T56" s="198"/>
      <c r="U56" s="198"/>
    </row>
    <row r="57" spans="1:21" s="12" customFormat="1" x14ac:dyDescent="0.25">
      <c r="A57" s="211" t="s">
        <v>2600</v>
      </c>
      <c r="B57" s="64">
        <v>2.57</v>
      </c>
      <c r="C57" s="64">
        <v>34.58</v>
      </c>
      <c r="D57" s="64">
        <v>19.66</v>
      </c>
      <c r="E57" s="64">
        <v>6.93</v>
      </c>
      <c r="F57" s="64">
        <v>6.43</v>
      </c>
      <c r="G57" s="64">
        <v>73.23</v>
      </c>
      <c r="H57" s="64">
        <v>31.16</v>
      </c>
      <c r="I57" s="64">
        <v>2.2999999999999998</v>
      </c>
      <c r="J57" s="64">
        <v>1.18</v>
      </c>
      <c r="K57" s="64">
        <v>119.61</v>
      </c>
      <c r="L57" s="64">
        <v>26.14</v>
      </c>
      <c r="M57" s="64">
        <v>42.53</v>
      </c>
      <c r="N57" s="64">
        <v>519.20000000000005</v>
      </c>
      <c r="O57" s="64">
        <v>0</v>
      </c>
      <c r="P57" s="64">
        <v>0.93</v>
      </c>
      <c r="Q57" s="64">
        <v>9.43</v>
      </c>
      <c r="R57" s="198"/>
      <c r="S57" s="198"/>
      <c r="T57" s="198"/>
      <c r="U57" s="198"/>
    </row>
    <row r="58" spans="1:21" s="12" customFormat="1" x14ac:dyDescent="0.25">
      <c r="A58" s="211" t="s">
        <v>2601</v>
      </c>
      <c r="B58" s="64">
        <v>3.25</v>
      </c>
      <c r="C58" s="64">
        <v>33.74</v>
      </c>
      <c r="D58" s="64">
        <v>19.77</v>
      </c>
      <c r="E58" s="64">
        <v>7.69</v>
      </c>
      <c r="F58" s="64">
        <v>5.78</v>
      </c>
      <c r="G58" s="64">
        <v>71.84</v>
      </c>
      <c r="H58" s="64">
        <v>31.16</v>
      </c>
      <c r="I58" s="64">
        <v>2.21</v>
      </c>
      <c r="J58" s="64">
        <v>0.36</v>
      </c>
      <c r="K58" s="64">
        <v>97.31</v>
      </c>
      <c r="L58" s="64">
        <v>26.36</v>
      </c>
      <c r="M58" s="64">
        <v>40.9</v>
      </c>
      <c r="N58" s="64">
        <v>494.2</v>
      </c>
      <c r="O58" s="64">
        <v>0</v>
      </c>
      <c r="P58" s="64">
        <v>0.93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1" t="s">
        <v>2602</v>
      </c>
      <c r="B59" s="64">
        <v>3.07</v>
      </c>
      <c r="C59" s="64">
        <v>33.340000000000003</v>
      </c>
      <c r="D59" s="64">
        <v>19.420000000000002</v>
      </c>
      <c r="E59" s="64">
        <v>8.7899999999999991</v>
      </c>
      <c r="F59" s="64">
        <v>7.31</v>
      </c>
      <c r="G59" s="64">
        <v>71.84</v>
      </c>
      <c r="H59" s="64">
        <v>31.16</v>
      </c>
      <c r="I59" s="64">
        <v>2.2799999999999998</v>
      </c>
      <c r="J59" s="64">
        <v>0.67</v>
      </c>
      <c r="K59" s="64">
        <v>355.16</v>
      </c>
      <c r="L59" s="64">
        <v>27.98</v>
      </c>
      <c r="M59" s="64">
        <v>37.03</v>
      </c>
      <c r="N59" s="64">
        <v>461.2</v>
      </c>
      <c r="O59" s="64">
        <v>0</v>
      </c>
      <c r="P59" s="64">
        <v>0.9</v>
      </c>
      <c r="Q59" s="64">
        <v>9.42</v>
      </c>
      <c r="R59" s="198"/>
      <c r="S59" s="198"/>
      <c r="T59" s="198"/>
      <c r="U59" s="198"/>
    </row>
    <row r="60" spans="1:21" s="12" customFormat="1" x14ac:dyDescent="0.25">
      <c r="A60" s="211" t="s">
        <v>2603</v>
      </c>
      <c r="B60" s="64">
        <v>2.2400000000000002</v>
      </c>
      <c r="C60" s="64">
        <v>33.659999999999997</v>
      </c>
      <c r="D60" s="64">
        <v>18.920000000000002</v>
      </c>
      <c r="E60" s="64">
        <v>18.93</v>
      </c>
      <c r="F60" s="64">
        <v>19.7</v>
      </c>
      <c r="G60" s="64">
        <v>71.84</v>
      </c>
      <c r="H60" s="64">
        <v>31.16</v>
      </c>
      <c r="I60" s="64">
        <v>2.2799999999999998</v>
      </c>
      <c r="J60" s="64">
        <v>0.37</v>
      </c>
      <c r="K60" s="64">
        <v>94.47</v>
      </c>
      <c r="L60" s="64">
        <v>27.33</v>
      </c>
      <c r="M60" s="64">
        <v>38.93</v>
      </c>
      <c r="N60" s="64">
        <v>442.1</v>
      </c>
      <c r="O60" s="64">
        <v>0</v>
      </c>
      <c r="P60" s="64">
        <v>0.85</v>
      </c>
      <c r="Q60" s="64">
        <v>9.4</v>
      </c>
      <c r="R60" s="198"/>
      <c r="S60" s="198"/>
      <c r="T60" s="198"/>
      <c r="U60" s="198"/>
    </row>
    <row r="61" spans="1:21" s="12" customFormat="1" x14ac:dyDescent="0.25">
      <c r="A61" s="211" t="s">
        <v>2604</v>
      </c>
      <c r="B61" s="64">
        <v>1.6</v>
      </c>
      <c r="C61" s="64">
        <v>30.98</v>
      </c>
      <c r="D61" s="64">
        <v>17.010000000000002</v>
      </c>
      <c r="E61" s="64">
        <v>29.35</v>
      </c>
      <c r="F61" s="64">
        <v>27.73</v>
      </c>
      <c r="G61" s="64">
        <v>69.709999999999994</v>
      </c>
      <c r="H61" s="64">
        <v>30.43</v>
      </c>
      <c r="I61" s="64">
        <v>2.39</v>
      </c>
      <c r="J61" s="64">
        <v>1.52</v>
      </c>
      <c r="K61" s="64">
        <v>122.17</v>
      </c>
      <c r="L61" s="64">
        <v>26.04</v>
      </c>
      <c r="M61" s="64">
        <v>42.02</v>
      </c>
      <c r="N61" s="64">
        <v>423.2</v>
      </c>
      <c r="O61" s="64">
        <v>0</v>
      </c>
      <c r="P61" s="64">
        <v>0.68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1" t="s">
        <v>2605</v>
      </c>
      <c r="B62" s="64">
        <v>1.47</v>
      </c>
      <c r="C62" s="64">
        <v>25.37</v>
      </c>
      <c r="D62" s="64">
        <v>13.97</v>
      </c>
      <c r="E62" s="64">
        <v>39.49</v>
      </c>
      <c r="F62" s="64">
        <v>36.24</v>
      </c>
      <c r="G62" s="64">
        <v>0</v>
      </c>
      <c r="H62" s="64">
        <v>30.43</v>
      </c>
      <c r="I62" s="64">
        <v>2.48</v>
      </c>
      <c r="J62" s="64">
        <v>1.95</v>
      </c>
      <c r="K62" s="64">
        <v>131.53</v>
      </c>
      <c r="L62" s="64">
        <v>144.94</v>
      </c>
      <c r="M62" s="64">
        <v>42.68</v>
      </c>
      <c r="N62" s="64">
        <v>421.3</v>
      </c>
      <c r="O62" s="64">
        <v>0</v>
      </c>
      <c r="P62" s="64">
        <v>0.53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1" t="s">
        <v>2606</v>
      </c>
      <c r="B63" s="4" t="s">
        <v>32</v>
      </c>
      <c r="C63" s="4" t="s">
        <v>32</v>
      </c>
      <c r="D63" s="4" t="s">
        <v>32</v>
      </c>
      <c r="E63" s="4" t="s">
        <v>32</v>
      </c>
      <c r="F63" s="4" t="s">
        <v>32</v>
      </c>
      <c r="G63" s="4" t="s">
        <v>32</v>
      </c>
      <c r="H63" s="4" t="s">
        <v>32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  <c r="R63" s="198"/>
      <c r="S63" s="198"/>
      <c r="T63" s="198"/>
      <c r="U63" s="198"/>
    </row>
    <row r="64" spans="1:21" s="12" customFormat="1" x14ac:dyDescent="0.25">
      <c r="A64" s="211" t="s">
        <v>2607</v>
      </c>
      <c r="B64" s="4" t="s">
        <v>32</v>
      </c>
      <c r="C64" s="4" t="s">
        <v>32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198"/>
      <c r="S64" s="198"/>
      <c r="T64" s="198"/>
      <c r="U64" s="198"/>
    </row>
    <row r="65" spans="1:21" s="12" customFormat="1" x14ac:dyDescent="0.25">
      <c r="A65" s="211" t="s">
        <v>2608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198"/>
      <c r="S65" s="198"/>
      <c r="T65" s="198"/>
      <c r="U65" s="198"/>
    </row>
    <row r="66" spans="1:21" s="12" customFormat="1" x14ac:dyDescent="0.25">
      <c r="A66" s="211" t="s">
        <v>2609</v>
      </c>
      <c r="B66" s="4" t="s">
        <v>32</v>
      </c>
      <c r="C66" s="4" t="s">
        <v>32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198"/>
      <c r="S66" s="198"/>
      <c r="T66" s="198"/>
      <c r="U66" s="198"/>
    </row>
    <row r="67" spans="1:21" s="12" customFormat="1" x14ac:dyDescent="0.25">
      <c r="A67" s="211" t="s">
        <v>2610</v>
      </c>
      <c r="B67" s="4" t="s">
        <v>32</v>
      </c>
      <c r="C67" s="4" t="s">
        <v>32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32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198"/>
      <c r="S67" s="198"/>
      <c r="T67" s="198"/>
      <c r="U67" s="198"/>
    </row>
    <row r="68" spans="1:21" s="12" customFormat="1" x14ac:dyDescent="0.25">
      <c r="A68" s="211" t="s">
        <v>2611</v>
      </c>
      <c r="B68" s="4" t="s">
        <v>32</v>
      </c>
      <c r="C68" s="4" t="s">
        <v>32</v>
      </c>
      <c r="D68" s="4" t="s">
        <v>32</v>
      </c>
      <c r="E68" s="4" t="s">
        <v>32</v>
      </c>
      <c r="F68" s="4" t="s">
        <v>32</v>
      </c>
      <c r="G68" s="4" t="s">
        <v>32</v>
      </c>
      <c r="H68" s="4" t="s">
        <v>32</v>
      </c>
      <c r="I68" s="4" t="s">
        <v>32</v>
      </c>
      <c r="J68" s="4" t="s">
        <v>32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198"/>
      <c r="S68" s="198"/>
      <c r="T68" s="198"/>
      <c r="U68" s="198"/>
    </row>
    <row r="69" spans="1:21" s="12" customFormat="1" x14ac:dyDescent="0.25">
      <c r="A69" s="211" t="s">
        <v>2612</v>
      </c>
      <c r="B69" s="4" t="s">
        <v>32</v>
      </c>
      <c r="C69" s="4" t="s">
        <v>32</v>
      </c>
      <c r="D69" s="4" t="s">
        <v>32</v>
      </c>
      <c r="E69" s="4" t="s">
        <v>32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198"/>
      <c r="S69" s="198"/>
      <c r="T69" s="198"/>
      <c r="U69" s="198"/>
    </row>
    <row r="70" spans="1:21" s="12" customFormat="1" x14ac:dyDescent="0.25">
      <c r="A70" s="211" t="s">
        <v>2613</v>
      </c>
      <c r="B70" s="4" t="s">
        <v>32</v>
      </c>
      <c r="C70" s="4" t="s">
        <v>32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32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198"/>
      <c r="S70" s="198"/>
      <c r="T70" s="198"/>
      <c r="U70" s="198"/>
    </row>
    <row r="71" spans="1:21" s="12" customFormat="1" x14ac:dyDescent="0.25">
      <c r="A71" s="211" t="s">
        <v>2614</v>
      </c>
      <c r="B71" s="4" t="s">
        <v>32</v>
      </c>
      <c r="C71" s="4" t="s">
        <v>32</v>
      </c>
      <c r="D71" s="4" t="s">
        <v>32</v>
      </c>
      <c r="E71" s="4" t="s">
        <v>32</v>
      </c>
      <c r="F71" s="4" t="s">
        <v>32</v>
      </c>
      <c r="G71" s="4" t="s">
        <v>32</v>
      </c>
      <c r="H71" s="4" t="s">
        <v>32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  <c r="R71" s="198"/>
      <c r="S71" s="198"/>
      <c r="T71" s="198"/>
      <c r="U71" s="198"/>
    </row>
    <row r="72" spans="1:21" s="12" customFormat="1" x14ac:dyDescent="0.25">
      <c r="A72" s="211" t="s">
        <v>2615</v>
      </c>
      <c r="B72" s="7" t="s">
        <v>49</v>
      </c>
      <c r="C72" s="7" t="s">
        <v>49</v>
      </c>
      <c r="D72" s="7" t="s">
        <v>49</v>
      </c>
      <c r="E72" s="7" t="s">
        <v>49</v>
      </c>
      <c r="F72" s="64">
        <v>2.65</v>
      </c>
      <c r="G72" s="64">
        <v>69.02</v>
      </c>
      <c r="H72" s="64">
        <v>30.43</v>
      </c>
      <c r="I72" s="7" t="s">
        <v>49</v>
      </c>
      <c r="J72" s="64">
        <v>0.64</v>
      </c>
      <c r="K72" s="64">
        <v>115.66</v>
      </c>
      <c r="L72" s="64">
        <v>24.82</v>
      </c>
      <c r="M72" s="64">
        <v>47.24</v>
      </c>
      <c r="N72" s="64">
        <v>82.8</v>
      </c>
      <c r="O72" s="64">
        <v>0</v>
      </c>
      <c r="P72" s="7" t="s">
        <v>49</v>
      </c>
      <c r="Q72" s="7" t="s">
        <v>49</v>
      </c>
      <c r="R72" s="198"/>
      <c r="S72" s="198"/>
      <c r="T72" s="198"/>
      <c r="U72" s="198"/>
    </row>
    <row r="73" spans="1:21" s="12" customFormat="1" x14ac:dyDescent="0.25">
      <c r="A73" s="211" t="s">
        <v>2616</v>
      </c>
      <c r="B73" s="7" t="s">
        <v>49</v>
      </c>
      <c r="C73" s="7" t="s">
        <v>49</v>
      </c>
      <c r="D73" s="7" t="s">
        <v>49</v>
      </c>
      <c r="E73" s="64">
        <v>7.6</v>
      </c>
      <c r="F73" s="64">
        <v>14.12</v>
      </c>
      <c r="G73" s="64">
        <v>89.68</v>
      </c>
      <c r="H73" s="64">
        <v>19.78</v>
      </c>
      <c r="I73" s="7" t="s">
        <v>49</v>
      </c>
      <c r="J73" s="64">
        <v>0.79</v>
      </c>
      <c r="K73" s="64">
        <v>111.74</v>
      </c>
      <c r="L73" s="64">
        <v>24.76</v>
      </c>
      <c r="M73" s="64">
        <v>47.73</v>
      </c>
      <c r="N73" s="64">
        <v>77.2</v>
      </c>
      <c r="O73" s="64">
        <v>0</v>
      </c>
      <c r="P73" s="64">
        <v>0.06</v>
      </c>
      <c r="Q73" s="7" t="s">
        <v>49</v>
      </c>
      <c r="R73" s="198"/>
      <c r="S73" s="198"/>
      <c r="T73" s="198"/>
      <c r="U73" s="198"/>
    </row>
    <row r="74" spans="1:21" s="12" customFormat="1" x14ac:dyDescent="0.25">
      <c r="A74" s="211" t="s">
        <v>2617</v>
      </c>
      <c r="B74" s="64">
        <v>2.95</v>
      </c>
      <c r="C74" s="64">
        <v>27.03</v>
      </c>
      <c r="D74" s="64">
        <v>16.04</v>
      </c>
      <c r="E74" s="64">
        <v>8.24</v>
      </c>
      <c r="F74" s="64">
        <v>16.18</v>
      </c>
      <c r="G74" s="64">
        <v>90.39</v>
      </c>
      <c r="H74" s="64">
        <v>19.78</v>
      </c>
      <c r="I74" s="64">
        <v>0.21</v>
      </c>
      <c r="J74" s="64">
        <v>0.61</v>
      </c>
      <c r="K74" s="64">
        <v>118.97</v>
      </c>
      <c r="L74" s="64">
        <v>24.61</v>
      </c>
      <c r="M74" s="64">
        <v>48.09</v>
      </c>
      <c r="N74" s="64">
        <v>67.5</v>
      </c>
      <c r="O74" s="64">
        <v>0</v>
      </c>
      <c r="P74" s="64">
        <v>0.43</v>
      </c>
      <c r="Q74" s="7" t="s">
        <v>49</v>
      </c>
      <c r="R74" s="198"/>
      <c r="S74" s="198"/>
      <c r="T74" s="198"/>
      <c r="U74" s="198"/>
    </row>
    <row r="75" spans="1:21" s="12" customFormat="1" x14ac:dyDescent="0.25">
      <c r="A75" s="211" t="s">
        <v>2618</v>
      </c>
      <c r="B75" s="64">
        <v>2.97</v>
      </c>
      <c r="C75" s="64">
        <v>29.82</v>
      </c>
      <c r="D75" s="64">
        <v>17.5</v>
      </c>
      <c r="E75" s="64">
        <v>6.47</v>
      </c>
      <c r="F75" s="64">
        <v>12.29</v>
      </c>
      <c r="G75" s="64">
        <v>90.39</v>
      </c>
      <c r="H75" s="64">
        <v>19.78</v>
      </c>
      <c r="I75" s="64">
        <v>1.38</v>
      </c>
      <c r="J75" s="64">
        <v>0.26</v>
      </c>
      <c r="K75" s="64">
        <v>102.08</v>
      </c>
      <c r="L75" s="64">
        <v>24.4</v>
      </c>
      <c r="M75" s="64">
        <v>49.6</v>
      </c>
      <c r="N75" s="64">
        <v>58.7</v>
      </c>
      <c r="O75" s="64">
        <v>0</v>
      </c>
      <c r="P75" s="64">
        <v>0.34</v>
      </c>
      <c r="Q75" s="64">
        <v>9.48</v>
      </c>
      <c r="R75" s="198"/>
      <c r="S75" s="198"/>
      <c r="T75" s="198"/>
      <c r="U75" s="198"/>
    </row>
    <row r="76" spans="1:21" s="12" customFormat="1" x14ac:dyDescent="0.25">
      <c r="A76" s="211" t="s">
        <v>2619</v>
      </c>
      <c r="B76" s="64">
        <v>2.94</v>
      </c>
      <c r="C76" s="64">
        <v>30.03</v>
      </c>
      <c r="D76" s="64">
        <v>17.579999999999998</v>
      </c>
      <c r="E76" s="64">
        <v>1.97</v>
      </c>
      <c r="F76" s="64">
        <v>13.02</v>
      </c>
      <c r="G76" s="64">
        <v>90.39</v>
      </c>
      <c r="H76" s="64">
        <v>19.78</v>
      </c>
      <c r="I76" s="64">
        <v>1.45</v>
      </c>
      <c r="J76" s="64">
        <v>0.25</v>
      </c>
      <c r="K76" s="64">
        <v>91.42</v>
      </c>
      <c r="L76" s="64">
        <v>24.12</v>
      </c>
      <c r="M76" s="64">
        <v>50.36</v>
      </c>
      <c r="N76" s="64">
        <v>51</v>
      </c>
      <c r="O76" s="64">
        <v>0</v>
      </c>
      <c r="P76" s="64">
        <v>0.32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1" t="s">
        <v>2620</v>
      </c>
      <c r="B77" s="64">
        <v>7.06</v>
      </c>
      <c r="C77" s="64">
        <v>42.94</v>
      </c>
      <c r="D77" s="64">
        <v>27.64</v>
      </c>
      <c r="E77" s="64">
        <v>4.1399999999999997</v>
      </c>
      <c r="F77" s="64">
        <v>11.68</v>
      </c>
      <c r="G77" s="64">
        <v>81.42</v>
      </c>
      <c r="H77" s="64">
        <v>26</v>
      </c>
      <c r="I77" s="64">
        <v>1.38</v>
      </c>
      <c r="J77" s="64">
        <v>0.12</v>
      </c>
      <c r="K77" s="64">
        <v>38.659999999999997</v>
      </c>
      <c r="L77" s="64">
        <v>23.73</v>
      </c>
      <c r="M77" s="64">
        <v>53.55</v>
      </c>
      <c r="N77" s="64">
        <v>45.6</v>
      </c>
      <c r="O77" s="64">
        <v>0</v>
      </c>
      <c r="P77" s="64">
        <v>0.64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1" t="s">
        <v>2621</v>
      </c>
      <c r="B78" s="64">
        <v>5.23</v>
      </c>
      <c r="C78" s="64">
        <v>47.99</v>
      </c>
      <c r="D78" s="64">
        <v>28.8</v>
      </c>
      <c r="E78" s="64">
        <v>6.64</v>
      </c>
      <c r="F78" s="64">
        <v>12.52</v>
      </c>
      <c r="G78" s="64">
        <v>78.34</v>
      </c>
      <c r="H78" s="64">
        <v>26</v>
      </c>
      <c r="I78" s="64">
        <v>1.39</v>
      </c>
      <c r="J78" s="64">
        <v>0.25</v>
      </c>
      <c r="K78" s="64">
        <v>95.62</v>
      </c>
      <c r="L78" s="64">
        <v>23.18</v>
      </c>
      <c r="M78" s="64">
        <v>55.83</v>
      </c>
      <c r="N78" s="64">
        <v>43.2</v>
      </c>
      <c r="O78" s="64">
        <v>0</v>
      </c>
      <c r="P78" s="64">
        <v>0.71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1" t="s">
        <v>2622</v>
      </c>
      <c r="B79" s="64">
        <v>4.62</v>
      </c>
      <c r="C79" s="64">
        <v>43.7</v>
      </c>
      <c r="D79" s="64">
        <v>26.08</v>
      </c>
      <c r="E79" s="64">
        <v>4.9400000000000004</v>
      </c>
      <c r="F79" s="64">
        <v>9.67</v>
      </c>
      <c r="G79" s="64">
        <v>78.34</v>
      </c>
      <c r="H79" s="64">
        <v>26</v>
      </c>
      <c r="I79" s="64">
        <v>1.65</v>
      </c>
      <c r="J79" s="64">
        <v>0.17</v>
      </c>
      <c r="K79" s="64">
        <v>94.53</v>
      </c>
      <c r="L79" s="64">
        <v>22.93</v>
      </c>
      <c r="M79" s="64">
        <v>57.73</v>
      </c>
      <c r="N79" s="64">
        <v>42.8</v>
      </c>
      <c r="O79" s="64">
        <v>0</v>
      </c>
      <c r="P79" s="64">
        <v>0.68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1" t="s">
        <v>2623</v>
      </c>
      <c r="B80" s="64">
        <v>7.84</v>
      </c>
      <c r="C80" s="64">
        <v>45.56</v>
      </c>
      <c r="D80" s="64">
        <v>29.63</v>
      </c>
      <c r="E80" s="64">
        <v>1.1499999999999999</v>
      </c>
      <c r="F80" s="64">
        <v>5.59</v>
      </c>
      <c r="G80" s="64">
        <v>78.34</v>
      </c>
      <c r="H80" s="64">
        <v>26</v>
      </c>
      <c r="I80" s="64">
        <v>1.9</v>
      </c>
      <c r="J80" s="64">
        <v>0.19</v>
      </c>
      <c r="K80" s="64">
        <v>74.040000000000006</v>
      </c>
      <c r="L80" s="64">
        <v>22.72</v>
      </c>
      <c r="M80" s="64">
        <v>59.21</v>
      </c>
      <c r="N80" s="64">
        <v>42.7</v>
      </c>
      <c r="O80" s="64">
        <v>0</v>
      </c>
      <c r="P80" s="64">
        <v>0.88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1" t="s">
        <v>2624</v>
      </c>
      <c r="B81" s="64">
        <v>7.62</v>
      </c>
      <c r="C81" s="64">
        <v>40.479999999999997</v>
      </c>
      <c r="D81" s="64">
        <v>26.8</v>
      </c>
      <c r="E81" s="64">
        <v>1.1499999999999999</v>
      </c>
      <c r="F81" s="64">
        <v>7.07</v>
      </c>
      <c r="G81" s="64">
        <v>78.64</v>
      </c>
      <c r="H81" s="64">
        <v>30.58</v>
      </c>
      <c r="I81" s="64">
        <v>2.0099999999999998</v>
      </c>
      <c r="J81" s="64">
        <v>0.11</v>
      </c>
      <c r="K81" s="64">
        <v>58.73</v>
      </c>
      <c r="L81" s="64">
        <v>22.55</v>
      </c>
      <c r="M81" s="64">
        <v>60</v>
      </c>
      <c r="N81" s="64">
        <v>42.6</v>
      </c>
      <c r="O81" s="64">
        <v>0</v>
      </c>
      <c r="P81" s="64">
        <v>0.73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1" t="s">
        <v>2625</v>
      </c>
      <c r="B82" s="64">
        <v>4.55</v>
      </c>
      <c r="C82" s="64">
        <v>36.36</v>
      </c>
      <c r="D82" s="64">
        <v>22.18</v>
      </c>
      <c r="E82" s="64">
        <v>1.1499999999999999</v>
      </c>
      <c r="F82" s="64">
        <v>10.67</v>
      </c>
      <c r="G82" s="64">
        <v>78.739999999999995</v>
      </c>
      <c r="H82" s="64">
        <v>30.58</v>
      </c>
      <c r="I82" s="64">
        <v>2.2999999999999998</v>
      </c>
      <c r="J82" s="64">
        <v>0.12</v>
      </c>
      <c r="K82" s="64">
        <v>71.180000000000007</v>
      </c>
      <c r="L82" s="64">
        <v>22.41</v>
      </c>
      <c r="M82" s="64">
        <v>60.9</v>
      </c>
      <c r="N82" s="64">
        <v>42.5</v>
      </c>
      <c r="O82" s="64">
        <v>0</v>
      </c>
      <c r="P82" s="64">
        <v>0.76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1" t="s">
        <v>2626</v>
      </c>
      <c r="B83" s="64">
        <v>4.1500000000000004</v>
      </c>
      <c r="C83" s="64">
        <v>34.729999999999997</v>
      </c>
      <c r="D83" s="64">
        <v>21.01</v>
      </c>
      <c r="E83" s="64">
        <v>0.84</v>
      </c>
      <c r="F83" s="64">
        <v>14.79</v>
      </c>
      <c r="G83" s="64">
        <v>78.739999999999995</v>
      </c>
      <c r="H83" s="64">
        <v>30.58</v>
      </c>
      <c r="I83" s="64">
        <v>2.4700000000000002</v>
      </c>
      <c r="J83" s="64">
        <v>0.34</v>
      </c>
      <c r="K83" s="64">
        <v>124.24</v>
      </c>
      <c r="L83" s="64">
        <v>22.4</v>
      </c>
      <c r="M83" s="64">
        <v>60.66</v>
      </c>
      <c r="N83" s="64">
        <v>42.3</v>
      </c>
      <c r="O83" s="64">
        <v>0</v>
      </c>
      <c r="P83" s="64">
        <v>0.88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1" t="s">
        <v>2627</v>
      </c>
      <c r="B84" s="64">
        <v>4.3099999999999996</v>
      </c>
      <c r="C84" s="64">
        <v>36.229999999999997</v>
      </c>
      <c r="D84" s="64">
        <v>21.93</v>
      </c>
      <c r="E84" s="64">
        <v>0.84</v>
      </c>
      <c r="F84" s="64">
        <v>11.82</v>
      </c>
      <c r="G84" s="64">
        <v>78.739999999999995</v>
      </c>
      <c r="H84" s="64">
        <v>30.58</v>
      </c>
      <c r="I84" s="64">
        <v>2.56</v>
      </c>
      <c r="J84" s="64">
        <v>0.24</v>
      </c>
      <c r="K84" s="64">
        <v>112.22</v>
      </c>
      <c r="L84" s="64">
        <v>22.26</v>
      </c>
      <c r="M84" s="64">
        <v>62.25</v>
      </c>
      <c r="N84" s="64">
        <v>42.5</v>
      </c>
      <c r="O84" s="64">
        <v>0</v>
      </c>
      <c r="P84" s="64">
        <v>0.88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1" t="s">
        <v>2628</v>
      </c>
      <c r="B85" s="64">
        <v>4.51</v>
      </c>
      <c r="C85" s="64">
        <v>34.979999999999997</v>
      </c>
      <c r="D85" s="64">
        <v>21.43</v>
      </c>
      <c r="E85" s="64">
        <v>0.28000000000000003</v>
      </c>
      <c r="F85" s="64">
        <v>13.13</v>
      </c>
      <c r="G85" s="64">
        <v>77.92</v>
      </c>
      <c r="H85" s="64">
        <v>32.090000000000003</v>
      </c>
      <c r="I85" s="64">
        <v>2.66</v>
      </c>
      <c r="J85" s="64">
        <v>0.26</v>
      </c>
      <c r="K85" s="64">
        <v>121.55</v>
      </c>
      <c r="L85" s="64">
        <v>22.1</v>
      </c>
      <c r="M85" s="64">
        <v>62.54</v>
      </c>
      <c r="N85" s="64">
        <v>42.4</v>
      </c>
      <c r="O85" s="64">
        <v>0</v>
      </c>
      <c r="P85" s="64">
        <v>1.1200000000000001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1" t="s">
        <v>2629</v>
      </c>
      <c r="B86" s="64">
        <v>6.29</v>
      </c>
      <c r="C86" s="64">
        <v>36.78</v>
      </c>
      <c r="D86" s="64">
        <v>23.8</v>
      </c>
      <c r="E86" s="6" t="s">
        <v>42</v>
      </c>
      <c r="F86" s="64">
        <v>6.82</v>
      </c>
      <c r="G86" s="64">
        <v>77.650000000000006</v>
      </c>
      <c r="H86" s="64">
        <v>32.090000000000003</v>
      </c>
      <c r="I86" s="64">
        <v>2.75</v>
      </c>
      <c r="J86" s="64">
        <v>0.5</v>
      </c>
      <c r="K86" s="64">
        <v>118.07</v>
      </c>
      <c r="L86" s="64">
        <v>22.14</v>
      </c>
      <c r="M86" s="64">
        <v>62.48</v>
      </c>
      <c r="N86" s="64">
        <v>42.2</v>
      </c>
      <c r="O86" s="64">
        <v>0</v>
      </c>
      <c r="P86" s="64">
        <v>1.05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1" t="s">
        <v>2630</v>
      </c>
      <c r="B87" s="64">
        <v>6.77</v>
      </c>
      <c r="C87" s="64">
        <v>32.39</v>
      </c>
      <c r="D87" s="64">
        <v>21.89</v>
      </c>
      <c r="E87" s="6" t="s">
        <v>42</v>
      </c>
      <c r="F87" s="64">
        <v>6.64</v>
      </c>
      <c r="G87" s="64">
        <v>77.650000000000006</v>
      </c>
      <c r="H87" s="64">
        <v>32.090000000000003</v>
      </c>
      <c r="I87" s="64">
        <v>2.83</v>
      </c>
      <c r="J87" s="64">
        <v>0.49</v>
      </c>
      <c r="K87" s="64">
        <v>125.56</v>
      </c>
      <c r="L87" s="64">
        <v>22.08</v>
      </c>
      <c r="M87" s="64">
        <v>63.46</v>
      </c>
      <c r="N87" s="64">
        <v>42.4</v>
      </c>
      <c r="O87" s="64">
        <v>0</v>
      </c>
      <c r="P87" s="64">
        <v>1.06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1" t="s">
        <v>2631</v>
      </c>
      <c r="B88" s="64">
        <v>5.51</v>
      </c>
      <c r="C88" s="64">
        <v>34.090000000000003</v>
      </c>
      <c r="D88" s="64">
        <v>21.76</v>
      </c>
      <c r="E88" s="6" t="s">
        <v>42</v>
      </c>
      <c r="F88" s="64">
        <v>9.16</v>
      </c>
      <c r="G88" s="64">
        <v>77.650000000000006</v>
      </c>
      <c r="H88" s="64">
        <v>32.090000000000003</v>
      </c>
      <c r="I88" s="64">
        <v>2.9</v>
      </c>
      <c r="J88" s="64">
        <v>0.17</v>
      </c>
      <c r="K88" s="64">
        <v>101.37</v>
      </c>
      <c r="L88" s="64">
        <v>21.9</v>
      </c>
      <c r="M88" s="64">
        <v>64.11</v>
      </c>
      <c r="N88" s="64">
        <v>42.6</v>
      </c>
      <c r="O88" s="64">
        <v>0</v>
      </c>
      <c r="P88" s="64">
        <v>1.0900000000000001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1" t="s">
        <v>2632</v>
      </c>
      <c r="B89" s="64">
        <v>6.48</v>
      </c>
      <c r="C89" s="64">
        <v>32.229999999999997</v>
      </c>
      <c r="D89" s="64">
        <v>21.58</v>
      </c>
      <c r="E89" s="6" t="s">
        <v>42</v>
      </c>
      <c r="F89" s="64">
        <v>9.81</v>
      </c>
      <c r="G89" s="64">
        <v>78.900000000000006</v>
      </c>
      <c r="H89" s="64">
        <v>36.89</v>
      </c>
      <c r="I89" s="64">
        <v>2.96</v>
      </c>
      <c r="J89" s="64">
        <v>0.14000000000000001</v>
      </c>
      <c r="K89" s="64">
        <v>88.61</v>
      </c>
      <c r="L89" s="64">
        <v>21.71</v>
      </c>
      <c r="M89" s="64">
        <v>64.22</v>
      </c>
      <c r="N89" s="64">
        <v>42.5</v>
      </c>
      <c r="O89" s="64">
        <v>0</v>
      </c>
      <c r="P89" s="64">
        <v>1.17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1" t="s">
        <v>2633</v>
      </c>
      <c r="B90" s="64">
        <v>6.98</v>
      </c>
      <c r="C90" s="64">
        <v>31.86</v>
      </c>
      <c r="D90" s="64">
        <v>21.78</v>
      </c>
      <c r="E90" s="6" t="s">
        <v>42</v>
      </c>
      <c r="F90" s="64">
        <v>5.81</v>
      </c>
      <c r="G90" s="64">
        <v>79.3</v>
      </c>
      <c r="H90" s="64">
        <v>36.89</v>
      </c>
      <c r="I90" s="64">
        <v>3.02</v>
      </c>
      <c r="J90" s="64">
        <v>0.09</v>
      </c>
      <c r="K90" s="64">
        <v>1.1100000000000001</v>
      </c>
      <c r="L90" s="64">
        <v>21.49</v>
      </c>
      <c r="M90" s="64">
        <v>65.64</v>
      </c>
      <c r="N90" s="64">
        <v>42.6</v>
      </c>
      <c r="O90" s="64">
        <v>0</v>
      </c>
      <c r="P90" s="64">
        <v>1.1100000000000001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1" t="s">
        <v>2634</v>
      </c>
      <c r="B91" s="64">
        <v>7.98</v>
      </c>
      <c r="C91" s="64">
        <v>29.66</v>
      </c>
      <c r="D91" s="64">
        <v>21.44</v>
      </c>
      <c r="E91" s="6" t="s">
        <v>42</v>
      </c>
      <c r="F91" s="64">
        <v>4.51</v>
      </c>
      <c r="G91" s="64">
        <v>79.3</v>
      </c>
      <c r="H91" s="64">
        <v>36.89</v>
      </c>
      <c r="I91" s="64">
        <v>3.09</v>
      </c>
      <c r="J91" s="64">
        <v>0.13</v>
      </c>
      <c r="K91" s="64">
        <v>309.43</v>
      </c>
      <c r="L91" s="64">
        <v>21.16</v>
      </c>
      <c r="M91" s="64">
        <v>68.56</v>
      </c>
      <c r="N91" s="64">
        <v>42.6</v>
      </c>
      <c r="O91" s="64">
        <v>0</v>
      </c>
      <c r="P91" s="64">
        <v>1.1000000000000001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1" t="s">
        <v>2635</v>
      </c>
      <c r="B92" s="64">
        <v>8.35</v>
      </c>
      <c r="C92" s="64">
        <v>28.81</v>
      </c>
      <c r="D92" s="64">
        <v>21.29</v>
      </c>
      <c r="E92" s="6" t="s">
        <v>42</v>
      </c>
      <c r="F92" s="64">
        <v>4.92</v>
      </c>
      <c r="G92" s="64">
        <v>79.3</v>
      </c>
      <c r="H92" s="64">
        <v>36.89</v>
      </c>
      <c r="I92" s="64">
        <v>2.88</v>
      </c>
      <c r="J92" s="64">
        <v>0.15</v>
      </c>
      <c r="K92" s="64">
        <v>337.7</v>
      </c>
      <c r="L92" s="64">
        <v>20.88</v>
      </c>
      <c r="M92" s="64">
        <v>70.56</v>
      </c>
      <c r="N92" s="64">
        <v>42.6</v>
      </c>
      <c r="O92" s="64">
        <v>0</v>
      </c>
      <c r="P92" s="64">
        <v>1.1000000000000001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1" t="s">
        <v>2636</v>
      </c>
      <c r="B93" s="64">
        <v>9.39</v>
      </c>
      <c r="C93" s="64">
        <v>28.18</v>
      </c>
      <c r="D93" s="64">
        <v>21.79</v>
      </c>
      <c r="E93" s="6" t="s">
        <v>42</v>
      </c>
      <c r="F93" s="64">
        <v>5.92</v>
      </c>
      <c r="G93" s="64">
        <v>80.67</v>
      </c>
      <c r="H93" s="64">
        <v>34.75</v>
      </c>
      <c r="I93" s="64">
        <v>3.2</v>
      </c>
      <c r="J93" s="64">
        <v>0.17</v>
      </c>
      <c r="K93" s="64">
        <v>350.01</v>
      </c>
      <c r="L93" s="64">
        <v>20.87</v>
      </c>
      <c r="M93" s="64">
        <v>69.88</v>
      </c>
      <c r="N93" s="64">
        <v>42.4</v>
      </c>
      <c r="O93" s="64">
        <v>0</v>
      </c>
      <c r="P93" s="64">
        <v>1.1200000000000001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1" t="s">
        <v>2637</v>
      </c>
      <c r="B94" s="64">
        <v>8.2899999999999991</v>
      </c>
      <c r="C94" s="64">
        <v>31.91</v>
      </c>
      <c r="D94" s="64">
        <v>22.86</v>
      </c>
      <c r="E94" s="6" t="s">
        <v>42</v>
      </c>
      <c r="F94" s="64">
        <v>5.24</v>
      </c>
      <c r="G94" s="64">
        <v>81.14</v>
      </c>
      <c r="H94" s="64">
        <v>34.75</v>
      </c>
      <c r="I94" s="64">
        <v>3.42</v>
      </c>
      <c r="J94" s="64">
        <v>0.06</v>
      </c>
      <c r="K94" s="64">
        <v>345.95</v>
      </c>
      <c r="L94" s="64">
        <v>20.63</v>
      </c>
      <c r="M94" s="64">
        <v>70.66</v>
      </c>
      <c r="N94" s="64">
        <v>42.4</v>
      </c>
      <c r="O94" s="64">
        <v>0</v>
      </c>
      <c r="P94" s="64">
        <v>1.1200000000000001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1" t="s">
        <v>2638</v>
      </c>
      <c r="B95" s="64">
        <v>9.14</v>
      </c>
      <c r="C95" s="64">
        <v>26.65</v>
      </c>
      <c r="D95" s="64">
        <v>20.79</v>
      </c>
      <c r="E95" s="6" t="s">
        <v>42</v>
      </c>
      <c r="F95" s="64">
        <v>5.24</v>
      </c>
      <c r="G95" s="64">
        <v>81.14</v>
      </c>
      <c r="H95" s="64">
        <v>34.75</v>
      </c>
      <c r="I95" s="64">
        <v>3.52</v>
      </c>
      <c r="J95" s="64">
        <v>0.19</v>
      </c>
      <c r="K95" s="64">
        <v>110.15</v>
      </c>
      <c r="L95" s="64">
        <v>20.350000000000001</v>
      </c>
      <c r="M95" s="64">
        <v>71.569999999999993</v>
      </c>
      <c r="N95" s="64">
        <v>42.3</v>
      </c>
      <c r="O95" s="64">
        <v>0</v>
      </c>
      <c r="P95" s="64">
        <v>1.0900000000000001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1" t="s">
        <v>2639</v>
      </c>
      <c r="B96" s="64">
        <v>9.67</v>
      </c>
      <c r="C96" s="64">
        <v>24.37</v>
      </c>
      <c r="D96" s="64">
        <v>20.03</v>
      </c>
      <c r="E96" s="6" t="s">
        <v>42</v>
      </c>
      <c r="F96" s="64">
        <v>4.42</v>
      </c>
      <c r="G96" s="64">
        <v>81.14</v>
      </c>
      <c r="H96" s="64">
        <v>34.75</v>
      </c>
      <c r="I96" s="64">
        <v>3.26</v>
      </c>
      <c r="J96" s="64">
        <v>0.14000000000000001</v>
      </c>
      <c r="K96" s="64">
        <v>108.2</v>
      </c>
      <c r="L96" s="64">
        <v>20.47</v>
      </c>
      <c r="M96" s="64">
        <v>70.11</v>
      </c>
      <c r="N96" s="64">
        <v>42.3</v>
      </c>
      <c r="O96" s="64">
        <v>0</v>
      </c>
      <c r="P96" s="64">
        <v>1.1000000000000001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2640</v>
      </c>
      <c r="B97" s="64">
        <v>9.5500000000000007</v>
      </c>
      <c r="C97" s="64">
        <v>23.48</v>
      </c>
      <c r="D97" s="64">
        <v>19.46</v>
      </c>
      <c r="E97" s="6" t="s">
        <v>42</v>
      </c>
      <c r="F97" s="64">
        <v>5.74</v>
      </c>
      <c r="G97" s="64">
        <v>79.819999999999993</v>
      </c>
      <c r="H97" s="64">
        <v>36.229999999999997</v>
      </c>
      <c r="I97" s="64">
        <v>3.52</v>
      </c>
      <c r="J97" s="64">
        <v>7.0000000000000007E-2</v>
      </c>
      <c r="K97" s="64">
        <v>129.02000000000001</v>
      </c>
      <c r="L97" s="64">
        <v>20.52</v>
      </c>
      <c r="M97" s="64">
        <v>68.95</v>
      </c>
      <c r="N97" s="64">
        <v>42.3</v>
      </c>
      <c r="O97" s="64">
        <v>0</v>
      </c>
      <c r="P97" s="64">
        <v>1.07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1" t="s">
        <v>2641</v>
      </c>
      <c r="B98" s="64">
        <v>9.76</v>
      </c>
      <c r="C98" s="64">
        <v>22.56</v>
      </c>
      <c r="D98" s="64">
        <v>19.149999999999999</v>
      </c>
      <c r="E98" s="6" t="s">
        <v>42</v>
      </c>
      <c r="F98" s="64">
        <v>4.54</v>
      </c>
      <c r="G98" s="64">
        <v>79.400000000000006</v>
      </c>
      <c r="H98" s="64">
        <v>36.229999999999997</v>
      </c>
      <c r="I98" s="64">
        <v>3.67</v>
      </c>
      <c r="J98" s="64">
        <v>0.09</v>
      </c>
      <c r="K98" s="64">
        <v>58.26</v>
      </c>
      <c r="L98" s="64">
        <v>20.39</v>
      </c>
      <c r="M98" s="64">
        <v>68.95</v>
      </c>
      <c r="N98" s="64">
        <v>42.5</v>
      </c>
      <c r="O98" s="64">
        <v>0</v>
      </c>
      <c r="P98" s="64">
        <v>1.08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1" t="s">
        <v>2642</v>
      </c>
      <c r="B99" s="64">
        <v>10.18</v>
      </c>
      <c r="C99" s="64">
        <v>22.28</v>
      </c>
      <c r="D99" s="64">
        <v>19.34</v>
      </c>
      <c r="E99" s="6" t="s">
        <v>42</v>
      </c>
      <c r="F99" s="64">
        <v>3.58</v>
      </c>
      <c r="G99" s="64">
        <v>79.400000000000006</v>
      </c>
      <c r="H99" s="64">
        <v>36.229999999999997</v>
      </c>
      <c r="I99" s="64">
        <v>3.68</v>
      </c>
      <c r="J99" s="64">
        <v>0.13</v>
      </c>
      <c r="K99" s="64">
        <v>114.04</v>
      </c>
      <c r="L99" s="64">
        <v>20.27</v>
      </c>
      <c r="M99" s="64">
        <v>66.39</v>
      </c>
      <c r="N99" s="64">
        <v>42.3</v>
      </c>
      <c r="O99" s="64">
        <v>0</v>
      </c>
      <c r="P99" s="64">
        <v>1.08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1" t="s">
        <v>2643</v>
      </c>
      <c r="B100" s="64">
        <v>9.86</v>
      </c>
      <c r="C100" s="64">
        <v>22.1</v>
      </c>
      <c r="D100" s="64">
        <v>18.989999999999998</v>
      </c>
      <c r="E100" s="6" t="s">
        <v>42</v>
      </c>
      <c r="F100" s="64">
        <v>5.68</v>
      </c>
      <c r="G100" s="64">
        <v>79.400000000000006</v>
      </c>
      <c r="H100" s="64">
        <v>36.229999999999997</v>
      </c>
      <c r="I100" s="64">
        <v>3.67</v>
      </c>
      <c r="J100" s="64">
        <v>0.36</v>
      </c>
      <c r="K100" s="64">
        <v>120.61</v>
      </c>
      <c r="L100" s="64">
        <v>20.28</v>
      </c>
      <c r="M100" s="64">
        <v>63.73</v>
      </c>
      <c r="N100" s="64">
        <v>42.2</v>
      </c>
      <c r="O100" s="64">
        <v>0</v>
      </c>
      <c r="P100" s="64">
        <v>1.01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2644</v>
      </c>
      <c r="B101" s="64">
        <v>9.08</v>
      </c>
      <c r="C101" s="64">
        <v>22.1</v>
      </c>
      <c r="D101" s="64">
        <v>18.37</v>
      </c>
      <c r="E101" s="6" t="s">
        <v>42</v>
      </c>
      <c r="F101" s="64">
        <v>6.78</v>
      </c>
      <c r="G101" s="64">
        <v>75.819999999999993</v>
      </c>
      <c r="H101" s="64">
        <v>32.950000000000003</v>
      </c>
      <c r="I101" s="64">
        <v>3.33</v>
      </c>
      <c r="J101" s="64">
        <v>0.16</v>
      </c>
      <c r="K101" s="64">
        <v>134.46</v>
      </c>
      <c r="L101" s="64">
        <v>20.190000000000001</v>
      </c>
      <c r="M101" s="64">
        <v>63.15</v>
      </c>
      <c r="N101" s="64">
        <v>42.3</v>
      </c>
      <c r="O101" s="64">
        <v>0</v>
      </c>
      <c r="P101" s="64">
        <v>1.01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1" t="s">
        <v>2645</v>
      </c>
      <c r="B102" s="64">
        <v>8.76</v>
      </c>
      <c r="C102" s="64">
        <v>21.99</v>
      </c>
      <c r="D102" s="64">
        <v>18.05</v>
      </c>
      <c r="E102" s="6" t="s">
        <v>42</v>
      </c>
      <c r="F102" s="64">
        <v>7.35</v>
      </c>
      <c r="G102" s="64">
        <v>74.67</v>
      </c>
      <c r="H102" s="64">
        <v>32.950000000000003</v>
      </c>
      <c r="I102" s="64">
        <v>3.2</v>
      </c>
      <c r="J102" s="64">
        <v>0.28000000000000003</v>
      </c>
      <c r="K102" s="64">
        <v>116.51</v>
      </c>
      <c r="L102" s="64">
        <v>20.09</v>
      </c>
      <c r="M102" s="64">
        <v>62.8</v>
      </c>
      <c r="N102" s="64">
        <v>42.3</v>
      </c>
      <c r="O102" s="64">
        <v>0</v>
      </c>
      <c r="P102" s="64">
        <v>1.02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1" t="s">
        <v>2646</v>
      </c>
      <c r="B103" s="64">
        <v>8.8800000000000008</v>
      </c>
      <c r="C103" s="64">
        <v>21.72</v>
      </c>
      <c r="D103" s="64">
        <v>18</v>
      </c>
      <c r="E103" s="6" t="s">
        <v>42</v>
      </c>
      <c r="F103" s="64">
        <v>6.51</v>
      </c>
      <c r="G103" s="64">
        <v>74.67</v>
      </c>
      <c r="H103" s="64">
        <v>32.950000000000003</v>
      </c>
      <c r="I103" s="64">
        <v>3.18</v>
      </c>
      <c r="J103" s="64">
        <v>0.31</v>
      </c>
      <c r="K103" s="64">
        <v>139.75</v>
      </c>
      <c r="L103" s="64">
        <v>20.04</v>
      </c>
      <c r="M103" s="64">
        <v>63.68</v>
      </c>
      <c r="N103" s="64">
        <v>42.3</v>
      </c>
      <c r="O103" s="64">
        <v>0</v>
      </c>
      <c r="P103" s="64">
        <v>1.02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1" t="s">
        <v>2647</v>
      </c>
      <c r="B104" s="64">
        <v>8.6999999999999993</v>
      </c>
      <c r="C104" s="64">
        <v>23.53</v>
      </c>
      <c r="D104" s="64">
        <v>18.809999999999999</v>
      </c>
      <c r="E104" s="64">
        <v>5.99</v>
      </c>
      <c r="F104" s="64">
        <v>6</v>
      </c>
      <c r="G104" s="64">
        <v>74.67</v>
      </c>
      <c r="H104" s="64">
        <v>32.950000000000003</v>
      </c>
      <c r="I104" s="64">
        <v>3.15</v>
      </c>
      <c r="J104" s="64">
        <v>0.27</v>
      </c>
      <c r="K104" s="64">
        <v>284.64</v>
      </c>
      <c r="L104" s="64">
        <v>19.66</v>
      </c>
      <c r="M104" s="64">
        <v>67.75</v>
      </c>
      <c r="N104" s="64">
        <v>42.8</v>
      </c>
      <c r="O104" s="64">
        <v>0</v>
      </c>
      <c r="P104" s="64">
        <v>1.02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1.47</v>
      </c>
      <c r="C106" s="67">
        <f>MIN(C9:C104)</f>
        <v>14.72</v>
      </c>
      <c r="D106" s="67">
        <f t="shared" ref="D106:Q106" si="0">MIN(D9:D104)</f>
        <v>13.97</v>
      </c>
      <c r="E106" s="67">
        <f t="shared" si="0"/>
        <v>0.28000000000000003</v>
      </c>
      <c r="F106" s="67">
        <f t="shared" si="0"/>
        <v>2.65</v>
      </c>
      <c r="G106" s="67">
        <f t="shared" si="0"/>
        <v>0</v>
      </c>
      <c r="H106" s="67">
        <f t="shared" si="0"/>
        <v>19.78</v>
      </c>
      <c r="I106" s="67">
        <f t="shared" si="0"/>
        <v>0.21</v>
      </c>
      <c r="J106" s="67">
        <f t="shared" si="0"/>
        <v>0.06</v>
      </c>
      <c r="K106" s="67">
        <f t="shared" si="0"/>
        <v>0.26</v>
      </c>
      <c r="L106" s="67">
        <f t="shared" si="0"/>
        <v>16.23</v>
      </c>
      <c r="M106" s="67">
        <f t="shared" si="0"/>
        <v>37.03</v>
      </c>
      <c r="N106" s="67">
        <f t="shared" si="0"/>
        <v>42.2</v>
      </c>
      <c r="O106" s="67">
        <f t="shared" si="0"/>
        <v>0</v>
      </c>
      <c r="P106" s="67">
        <f t="shared" si="0"/>
        <v>0.06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23.56</v>
      </c>
      <c r="C107" s="66">
        <f t="shared" ref="C107:Q107" si="1">MAX(C9:C104)</f>
        <v>56.93</v>
      </c>
      <c r="D107" s="66">
        <f t="shared" si="1"/>
        <v>41.31</v>
      </c>
      <c r="E107" s="66">
        <f t="shared" si="1"/>
        <v>39.49</v>
      </c>
      <c r="F107" s="66">
        <f t="shared" si="1"/>
        <v>36.24</v>
      </c>
      <c r="G107" s="66">
        <f t="shared" si="1"/>
        <v>91.5</v>
      </c>
      <c r="H107" s="66">
        <f t="shared" si="1"/>
        <v>38.86</v>
      </c>
      <c r="I107" s="66">
        <f t="shared" si="1"/>
        <v>4.21</v>
      </c>
      <c r="J107" s="66">
        <f t="shared" si="1"/>
        <v>1.95</v>
      </c>
      <c r="K107" s="66">
        <f t="shared" si="1"/>
        <v>355.16</v>
      </c>
      <c r="L107" s="66">
        <f t="shared" si="1"/>
        <v>144.94</v>
      </c>
      <c r="M107" s="66">
        <f t="shared" si="1"/>
        <v>96.94</v>
      </c>
      <c r="N107" s="66">
        <f t="shared" si="1"/>
        <v>536.79999999999995</v>
      </c>
      <c r="O107" s="66">
        <f t="shared" si="1"/>
        <v>0</v>
      </c>
      <c r="P107" s="66">
        <f t="shared" si="1"/>
        <v>1.34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10.25329411764706</v>
      </c>
      <c r="C108" s="67">
        <f t="shared" ref="C108:Q108" si="2">AVERAGE(C9:C104)</f>
        <v>26.882470588235293</v>
      </c>
      <c r="D108" s="67">
        <f t="shared" si="2"/>
        <v>21.805529411764702</v>
      </c>
      <c r="E108" s="67">
        <f t="shared" si="2"/>
        <v>6.650882352941176</v>
      </c>
      <c r="F108" s="67">
        <f t="shared" si="2"/>
        <v>6.7447126436781595</v>
      </c>
      <c r="G108" s="67">
        <f t="shared" si="2"/>
        <v>72.618390804597681</v>
      </c>
      <c r="H108" s="67">
        <f t="shared" si="2"/>
        <v>31.571609195402289</v>
      </c>
      <c r="I108" s="67">
        <f t="shared" si="2"/>
        <v>3.2054117647058815</v>
      </c>
      <c r="J108" s="67">
        <f t="shared" si="2"/>
        <v>0.35643678160919545</v>
      </c>
      <c r="K108" s="67">
        <f t="shared" si="2"/>
        <v>188.62103448275869</v>
      </c>
      <c r="L108" s="67">
        <f t="shared" si="2"/>
        <v>22.854942528735638</v>
      </c>
      <c r="M108" s="67">
        <f t="shared" si="2"/>
        <v>68.532183908045965</v>
      </c>
      <c r="N108" s="67">
        <f t="shared" si="2"/>
        <v>154.6471264367816</v>
      </c>
      <c r="O108" s="67">
        <f t="shared" si="2"/>
        <v>0</v>
      </c>
      <c r="P108" s="67">
        <f t="shared" si="2"/>
        <v>0.92523255813953476</v>
      </c>
      <c r="Q108" s="67">
        <f t="shared" si="2"/>
        <v>9.5064285714285681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5.7114939227081036</v>
      </c>
      <c r="C109" s="67">
        <f t="shared" ref="C109:Q109" si="3">STDEV(C9:C104)</f>
        <v>9.7122882284791032</v>
      </c>
      <c r="D109" s="67">
        <f t="shared" si="3"/>
        <v>5.1542200707590453</v>
      </c>
      <c r="E109" s="67">
        <f t="shared" si="3"/>
        <v>5.6616549279575539</v>
      </c>
      <c r="F109" s="67">
        <f t="shared" si="3"/>
        <v>5.3971156894496355</v>
      </c>
      <c r="G109" s="67">
        <f t="shared" si="3"/>
        <v>14.344033268353739</v>
      </c>
      <c r="H109" s="67">
        <f t="shared" si="3"/>
        <v>4.9414739523992024</v>
      </c>
      <c r="I109" s="67">
        <f t="shared" si="3"/>
        <v>0.79566317493974081</v>
      </c>
      <c r="J109" s="67">
        <f t="shared" si="3"/>
        <v>0.33407622376120194</v>
      </c>
      <c r="K109" s="67">
        <f t="shared" si="3"/>
        <v>122.10254498075729</v>
      </c>
      <c r="L109" s="67">
        <f t="shared" si="3"/>
        <v>13.745036894852072</v>
      </c>
      <c r="M109" s="67">
        <f t="shared" si="3"/>
        <v>20.358620163029979</v>
      </c>
      <c r="N109" s="67">
        <f t="shared" si="3"/>
        <v>180.9719731860597</v>
      </c>
      <c r="O109" s="67">
        <f t="shared" si="3"/>
        <v>0</v>
      </c>
      <c r="P109" s="67">
        <f t="shared" si="3"/>
        <v>0.20798601052608215</v>
      </c>
      <c r="Q109" s="67">
        <f t="shared" si="3"/>
        <v>0.12319680461689794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COUNT(B9:B104)+11</f>
        <v>96</v>
      </c>
      <c r="C110" s="66">
        <f t="shared" ref="C110:D110" si="4">COUNT(C9:C104)+11</f>
        <v>96</v>
      </c>
      <c r="D110" s="66">
        <f t="shared" si="4"/>
        <v>96</v>
      </c>
      <c r="E110" s="66">
        <f>COUNT(E9:E104)+28</f>
        <v>96</v>
      </c>
      <c r="F110" s="66">
        <f>COUNT(F9:F104)+9</f>
        <v>96</v>
      </c>
      <c r="G110" s="66">
        <f t="shared" ref="G110:O110" si="5">COUNT(G9:G104)+9</f>
        <v>96</v>
      </c>
      <c r="H110" s="66">
        <f t="shared" si="5"/>
        <v>96</v>
      </c>
      <c r="I110" s="66">
        <f>COUNT(I9:I104)+11</f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COUNT(P9:P104)+10</f>
        <v>96</v>
      </c>
      <c r="Q110" s="66">
        <f>COUNT(Q9:Q104)+12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2648</v>
      </c>
      <c r="B9" s="64">
        <v>9.7799999999999994</v>
      </c>
      <c r="C9" s="64">
        <v>25.5</v>
      </c>
      <c r="D9" s="64">
        <v>20.7</v>
      </c>
      <c r="E9" s="64">
        <v>6.14</v>
      </c>
      <c r="F9" s="64">
        <v>4.3499999999999996</v>
      </c>
      <c r="G9" s="64">
        <v>70.650000000000006</v>
      </c>
      <c r="H9" s="64">
        <v>29.75</v>
      </c>
      <c r="I9" s="64">
        <v>3.12</v>
      </c>
      <c r="J9" s="64">
        <v>0.13</v>
      </c>
      <c r="K9" s="64">
        <v>277.29000000000002</v>
      </c>
      <c r="L9" s="64">
        <v>19.190000000000001</v>
      </c>
      <c r="M9" s="64">
        <v>71.7</v>
      </c>
      <c r="N9" s="64">
        <v>42.6</v>
      </c>
      <c r="O9" s="64">
        <v>0</v>
      </c>
      <c r="P9" s="64">
        <v>1.06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1" t="s">
        <v>2649</v>
      </c>
      <c r="B10" s="64">
        <v>9.66</v>
      </c>
      <c r="C10" s="64">
        <v>23.78</v>
      </c>
      <c r="D10" s="64">
        <v>19.72</v>
      </c>
      <c r="E10" s="64">
        <v>5.95</v>
      </c>
      <c r="F10" s="64">
        <v>4.96</v>
      </c>
      <c r="G10" s="64">
        <v>69.349999999999994</v>
      </c>
      <c r="H10" s="64">
        <v>29.1</v>
      </c>
      <c r="I10" s="64">
        <v>3.12</v>
      </c>
      <c r="J10" s="64">
        <v>0.21</v>
      </c>
      <c r="K10" s="64">
        <v>306.83</v>
      </c>
      <c r="L10" s="64">
        <v>18.82</v>
      </c>
      <c r="M10" s="64">
        <v>76.010000000000005</v>
      </c>
      <c r="N10" s="64">
        <v>42.7</v>
      </c>
      <c r="O10" s="64">
        <v>0</v>
      </c>
      <c r="P10" s="64">
        <v>1.06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1" t="s">
        <v>2650</v>
      </c>
      <c r="B11" s="64">
        <v>9.9499999999999993</v>
      </c>
      <c r="C11" s="64">
        <v>23.2</v>
      </c>
      <c r="D11" s="64">
        <v>19.64</v>
      </c>
      <c r="E11" s="64">
        <v>5.48</v>
      </c>
      <c r="F11" s="64">
        <v>4.3</v>
      </c>
      <c r="G11" s="64">
        <v>69.349999999999994</v>
      </c>
      <c r="H11" s="64">
        <v>29.1</v>
      </c>
      <c r="I11" s="64">
        <v>3.12</v>
      </c>
      <c r="J11" s="64">
        <v>0.2</v>
      </c>
      <c r="K11" s="64">
        <v>272.95999999999998</v>
      </c>
      <c r="L11" s="64">
        <v>18.5</v>
      </c>
      <c r="M11" s="64">
        <v>78.61</v>
      </c>
      <c r="N11" s="64">
        <v>42.4</v>
      </c>
      <c r="O11" s="64">
        <v>0</v>
      </c>
      <c r="P11" s="64">
        <v>1.07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1" t="s">
        <v>2651</v>
      </c>
      <c r="B12" s="64">
        <v>10.28</v>
      </c>
      <c r="C12" s="64">
        <v>21.33</v>
      </c>
      <c r="D12" s="64">
        <v>18.920000000000002</v>
      </c>
      <c r="E12" s="64">
        <v>5.27</v>
      </c>
      <c r="F12" s="64">
        <v>4.07</v>
      </c>
      <c r="G12" s="64">
        <v>69.349999999999994</v>
      </c>
      <c r="H12" s="64">
        <v>29.1</v>
      </c>
      <c r="I12" s="64">
        <v>3.13</v>
      </c>
      <c r="J12" s="64">
        <v>0.19</v>
      </c>
      <c r="K12" s="64">
        <v>334.12</v>
      </c>
      <c r="L12" s="64">
        <v>18.260000000000002</v>
      </c>
      <c r="M12" s="64">
        <v>80.209999999999994</v>
      </c>
      <c r="N12" s="64">
        <v>42.6</v>
      </c>
      <c r="O12" s="64">
        <v>0</v>
      </c>
      <c r="P12" s="64">
        <v>1.06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1" t="s">
        <v>2652</v>
      </c>
      <c r="B13" s="64">
        <v>11</v>
      </c>
      <c r="C13" s="64">
        <v>19.829999999999998</v>
      </c>
      <c r="D13" s="64">
        <v>18.72</v>
      </c>
      <c r="E13" s="64">
        <v>4.9000000000000004</v>
      </c>
      <c r="F13" s="64">
        <v>3.15</v>
      </c>
      <c r="G13" s="64">
        <v>71.53</v>
      </c>
      <c r="H13" s="64">
        <v>31.28</v>
      </c>
      <c r="I13" s="64">
        <v>3.15</v>
      </c>
      <c r="J13" s="64">
        <v>0.19</v>
      </c>
      <c r="K13" s="64">
        <v>320.8</v>
      </c>
      <c r="L13" s="64">
        <v>17.91</v>
      </c>
      <c r="M13" s="64">
        <v>83.94</v>
      </c>
      <c r="N13" s="64">
        <v>42.6</v>
      </c>
      <c r="O13" s="64">
        <v>0</v>
      </c>
      <c r="P13" s="64">
        <v>1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1" t="s">
        <v>2653</v>
      </c>
      <c r="B14" s="64">
        <v>11.31</v>
      </c>
      <c r="C14" s="64">
        <v>19.170000000000002</v>
      </c>
      <c r="D14" s="64">
        <v>18.63</v>
      </c>
      <c r="E14" s="64">
        <v>4.9800000000000004</v>
      </c>
      <c r="F14" s="64">
        <v>2.89</v>
      </c>
      <c r="G14" s="64">
        <v>72.239999999999995</v>
      </c>
      <c r="H14" s="64">
        <v>31.28</v>
      </c>
      <c r="I14" s="64">
        <v>3.17</v>
      </c>
      <c r="J14" s="64">
        <v>0.2</v>
      </c>
      <c r="K14" s="64">
        <v>335.18</v>
      </c>
      <c r="L14" s="64">
        <v>17.649999999999999</v>
      </c>
      <c r="M14" s="64">
        <v>87.98</v>
      </c>
      <c r="N14" s="64">
        <v>42.6</v>
      </c>
      <c r="O14" s="64">
        <v>0</v>
      </c>
      <c r="P14" s="64">
        <v>1.02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1" t="s">
        <v>2654</v>
      </c>
      <c r="B15" s="64">
        <v>11.41</v>
      </c>
      <c r="C15" s="64">
        <v>19.18</v>
      </c>
      <c r="D15" s="64">
        <v>18.71</v>
      </c>
      <c r="E15" s="64">
        <v>5.25</v>
      </c>
      <c r="F15" s="64">
        <v>2.92</v>
      </c>
      <c r="G15" s="64">
        <v>72.239999999999995</v>
      </c>
      <c r="H15" s="64">
        <v>31.28</v>
      </c>
      <c r="I15" s="64">
        <v>3.18</v>
      </c>
      <c r="J15" s="64">
        <v>0.18</v>
      </c>
      <c r="K15" s="64">
        <v>328.99</v>
      </c>
      <c r="L15" s="64">
        <v>17.489999999999998</v>
      </c>
      <c r="M15" s="64">
        <v>86.58</v>
      </c>
      <c r="N15" s="64">
        <v>42.4</v>
      </c>
      <c r="O15" s="64">
        <v>0</v>
      </c>
      <c r="P15" s="64">
        <v>1.01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1" t="s">
        <v>2655</v>
      </c>
      <c r="B16" s="64">
        <v>11.64</v>
      </c>
      <c r="C16" s="64">
        <v>19.059999999999999</v>
      </c>
      <c r="D16" s="64">
        <v>18.829999999999998</v>
      </c>
      <c r="E16" s="64">
        <v>5.09</v>
      </c>
      <c r="F16" s="64">
        <v>2.71</v>
      </c>
      <c r="G16" s="64">
        <v>72.239999999999995</v>
      </c>
      <c r="H16" s="64">
        <v>31.28</v>
      </c>
      <c r="I16" s="64">
        <v>3.18</v>
      </c>
      <c r="J16" s="64">
        <v>0.17</v>
      </c>
      <c r="K16" s="64">
        <v>307.36</v>
      </c>
      <c r="L16" s="64">
        <v>17.41</v>
      </c>
      <c r="M16" s="64">
        <v>90.58</v>
      </c>
      <c r="N16" s="64">
        <v>42.3</v>
      </c>
      <c r="O16" s="64">
        <v>0</v>
      </c>
      <c r="P16" s="64">
        <v>1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1" t="s">
        <v>2656</v>
      </c>
      <c r="B17" s="64">
        <v>12</v>
      </c>
      <c r="C17" s="64">
        <v>18.78</v>
      </c>
      <c r="D17" s="64">
        <v>18.97</v>
      </c>
      <c r="E17" s="64">
        <v>4.59</v>
      </c>
      <c r="F17" s="64">
        <v>2.73</v>
      </c>
      <c r="G17" s="64">
        <v>75.099999999999994</v>
      </c>
      <c r="H17" s="64">
        <v>30.86</v>
      </c>
      <c r="I17" s="64">
        <v>3.17</v>
      </c>
      <c r="J17" s="64">
        <v>0.21</v>
      </c>
      <c r="K17" s="64">
        <v>339.2</v>
      </c>
      <c r="L17" s="64">
        <v>17.47</v>
      </c>
      <c r="M17" s="64">
        <v>90.59</v>
      </c>
      <c r="N17" s="64">
        <v>42.1</v>
      </c>
      <c r="O17" s="64">
        <v>0</v>
      </c>
      <c r="P17" s="64">
        <v>1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1" t="s">
        <v>2657</v>
      </c>
      <c r="B18" s="64">
        <v>12.15</v>
      </c>
      <c r="C18" s="64">
        <v>18.66</v>
      </c>
      <c r="D18" s="64">
        <v>19.03</v>
      </c>
      <c r="E18" s="64">
        <v>4.62</v>
      </c>
      <c r="F18" s="64">
        <v>2.85</v>
      </c>
      <c r="G18" s="64">
        <v>76.03</v>
      </c>
      <c r="H18" s="64">
        <v>30.86</v>
      </c>
      <c r="I18" s="64">
        <v>3.17</v>
      </c>
      <c r="J18" s="64">
        <v>0.14000000000000001</v>
      </c>
      <c r="K18" s="64">
        <v>311.97000000000003</v>
      </c>
      <c r="L18" s="64">
        <v>17.66</v>
      </c>
      <c r="M18" s="64">
        <v>83.58</v>
      </c>
      <c r="N18" s="64">
        <v>42.3</v>
      </c>
      <c r="O18" s="64">
        <v>0</v>
      </c>
      <c r="P18" s="64">
        <v>0.98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1" t="s">
        <v>2658</v>
      </c>
      <c r="B19" s="64">
        <v>12.03</v>
      </c>
      <c r="C19" s="64">
        <v>18.59</v>
      </c>
      <c r="D19" s="64">
        <v>18.899999999999999</v>
      </c>
      <c r="E19" s="64">
        <v>4.26</v>
      </c>
      <c r="F19" s="64">
        <v>2.63</v>
      </c>
      <c r="G19" s="64">
        <v>76.03</v>
      </c>
      <c r="H19" s="64">
        <v>30.86</v>
      </c>
      <c r="I19" s="64">
        <v>3.16</v>
      </c>
      <c r="J19" s="64">
        <v>0.22</v>
      </c>
      <c r="K19" s="64">
        <v>331.27</v>
      </c>
      <c r="L19" s="64">
        <v>17.579999999999998</v>
      </c>
      <c r="M19" s="64">
        <v>86.44</v>
      </c>
      <c r="N19" s="64">
        <v>42.5</v>
      </c>
      <c r="O19" s="64">
        <v>0</v>
      </c>
      <c r="P19" s="64">
        <v>0.97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1" t="s">
        <v>2659</v>
      </c>
      <c r="B20" s="64">
        <v>12.08</v>
      </c>
      <c r="C20" s="64">
        <v>18.25</v>
      </c>
      <c r="D20" s="64">
        <v>18.760000000000002</v>
      </c>
      <c r="E20" s="64">
        <v>4.54</v>
      </c>
      <c r="F20" s="64">
        <v>2.62</v>
      </c>
      <c r="G20" s="64">
        <v>76.03</v>
      </c>
      <c r="H20" s="64">
        <v>30.86</v>
      </c>
      <c r="I20" s="64">
        <v>3.13</v>
      </c>
      <c r="J20" s="64">
        <v>0.16</v>
      </c>
      <c r="K20" s="64">
        <v>308.5</v>
      </c>
      <c r="L20" s="64">
        <v>17.309999999999999</v>
      </c>
      <c r="M20" s="64">
        <v>85.75</v>
      </c>
      <c r="N20" s="64">
        <v>42.3</v>
      </c>
      <c r="O20" s="64">
        <v>0</v>
      </c>
      <c r="P20" s="64">
        <v>0.95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1" t="s">
        <v>2660</v>
      </c>
      <c r="B21" s="64">
        <v>11.96</v>
      </c>
      <c r="C21" s="64">
        <v>18.190000000000001</v>
      </c>
      <c r="D21" s="64">
        <v>18.64</v>
      </c>
      <c r="E21" s="64">
        <v>4.54</v>
      </c>
      <c r="F21" s="64">
        <v>2.59</v>
      </c>
      <c r="G21" s="64">
        <v>69.849999999999994</v>
      </c>
      <c r="H21" s="64">
        <v>29.81</v>
      </c>
      <c r="I21" s="64">
        <v>3.1</v>
      </c>
      <c r="J21" s="64">
        <v>0.12</v>
      </c>
      <c r="K21" s="64">
        <v>328.35</v>
      </c>
      <c r="L21" s="64">
        <v>17.22</v>
      </c>
      <c r="M21" s="64">
        <v>86.45</v>
      </c>
      <c r="N21" s="64">
        <v>42.3</v>
      </c>
      <c r="O21" s="64">
        <v>0</v>
      </c>
      <c r="P21" s="64">
        <v>0.95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1" t="s">
        <v>2661</v>
      </c>
      <c r="B22" s="64">
        <v>11.78</v>
      </c>
      <c r="C22" s="64">
        <v>18.05</v>
      </c>
      <c r="D22" s="64">
        <v>18.420000000000002</v>
      </c>
      <c r="E22" s="64">
        <v>4.49</v>
      </c>
      <c r="F22" s="64">
        <v>2.59</v>
      </c>
      <c r="G22" s="64">
        <v>67.849999999999994</v>
      </c>
      <c r="H22" s="64">
        <v>29.81</v>
      </c>
      <c r="I22" s="64">
        <v>3.06</v>
      </c>
      <c r="J22" s="64">
        <v>0.16</v>
      </c>
      <c r="K22" s="64">
        <v>315.49</v>
      </c>
      <c r="L22" s="64">
        <v>17.190000000000001</v>
      </c>
      <c r="M22" s="64">
        <v>87.15</v>
      </c>
      <c r="N22" s="64">
        <v>42.1</v>
      </c>
      <c r="O22" s="64">
        <v>0</v>
      </c>
      <c r="P22" s="64">
        <v>0.94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1" t="s">
        <v>2662</v>
      </c>
      <c r="B23" s="64">
        <v>11.72</v>
      </c>
      <c r="C23" s="64">
        <v>17.98</v>
      </c>
      <c r="D23" s="64">
        <v>18.329999999999998</v>
      </c>
      <c r="E23" s="64">
        <v>4.34</v>
      </c>
      <c r="F23" s="64">
        <v>2.69</v>
      </c>
      <c r="G23" s="64">
        <v>67.849999999999994</v>
      </c>
      <c r="H23" s="64">
        <v>29.81</v>
      </c>
      <c r="I23" s="64">
        <v>3.02</v>
      </c>
      <c r="J23" s="64">
        <v>0.25</v>
      </c>
      <c r="K23" s="64">
        <v>331.01</v>
      </c>
      <c r="L23" s="64">
        <v>17.010000000000002</v>
      </c>
      <c r="M23" s="64">
        <v>91.95</v>
      </c>
      <c r="N23" s="64">
        <v>42.5</v>
      </c>
      <c r="O23" s="64">
        <v>0</v>
      </c>
      <c r="P23" s="64">
        <v>0.93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1" t="s">
        <v>2663</v>
      </c>
      <c r="B24" s="64">
        <v>11.69</v>
      </c>
      <c r="C24" s="64">
        <v>18.53</v>
      </c>
      <c r="D24" s="64">
        <v>18.600000000000001</v>
      </c>
      <c r="E24" s="64">
        <v>4.24</v>
      </c>
      <c r="F24" s="64">
        <v>2.95</v>
      </c>
      <c r="G24" s="64">
        <v>67.849999999999994</v>
      </c>
      <c r="H24" s="64">
        <v>29.81</v>
      </c>
      <c r="I24" s="64">
        <v>3</v>
      </c>
      <c r="J24" s="64">
        <v>0.21</v>
      </c>
      <c r="K24" s="64">
        <v>329.75</v>
      </c>
      <c r="L24" s="64">
        <v>16.96</v>
      </c>
      <c r="M24" s="64">
        <v>88.45</v>
      </c>
      <c r="N24" s="64">
        <v>42.2</v>
      </c>
      <c r="O24" s="64">
        <v>0</v>
      </c>
      <c r="P24" s="64">
        <v>0.93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1" t="s">
        <v>2664</v>
      </c>
      <c r="B25" s="64">
        <v>11.31</v>
      </c>
      <c r="C25" s="64">
        <v>19.09</v>
      </c>
      <c r="D25" s="64">
        <v>18.579999999999998</v>
      </c>
      <c r="E25" s="64">
        <v>4.47</v>
      </c>
      <c r="F25" s="64">
        <v>3.74</v>
      </c>
      <c r="G25" s="64">
        <v>126.34</v>
      </c>
      <c r="H25" s="64">
        <v>28.23</v>
      </c>
      <c r="I25" s="64">
        <v>2.98</v>
      </c>
      <c r="J25" s="64">
        <v>0.14000000000000001</v>
      </c>
      <c r="K25" s="64">
        <v>325.62</v>
      </c>
      <c r="L25" s="64">
        <v>17.100000000000001</v>
      </c>
      <c r="M25" s="64">
        <v>85.51</v>
      </c>
      <c r="N25" s="64">
        <v>42.2</v>
      </c>
      <c r="O25" s="64">
        <v>0</v>
      </c>
      <c r="P25" s="64">
        <v>0.91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1" t="s">
        <v>2665</v>
      </c>
      <c r="B26" s="64">
        <v>11.25</v>
      </c>
      <c r="C26" s="64">
        <v>19.05</v>
      </c>
      <c r="D26" s="64">
        <v>18.510000000000002</v>
      </c>
      <c r="E26" s="64">
        <v>4.43</v>
      </c>
      <c r="F26" s="64">
        <v>3.44</v>
      </c>
      <c r="G26" s="64">
        <v>145.26</v>
      </c>
      <c r="H26" s="64">
        <v>28.23</v>
      </c>
      <c r="I26" s="64">
        <v>2.95</v>
      </c>
      <c r="J26" s="64">
        <v>0</v>
      </c>
      <c r="K26" s="64">
        <v>212.49</v>
      </c>
      <c r="L26" s="64">
        <v>17.010000000000002</v>
      </c>
      <c r="M26" s="64">
        <v>85.17</v>
      </c>
      <c r="N26" s="64">
        <v>42.2</v>
      </c>
      <c r="O26" s="64">
        <v>0</v>
      </c>
      <c r="P26" s="64">
        <v>0.93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1" t="s">
        <v>2666</v>
      </c>
      <c r="B27" s="64">
        <v>11.19</v>
      </c>
      <c r="C27" s="64">
        <v>19.260000000000002</v>
      </c>
      <c r="D27" s="64">
        <v>18.579999999999998</v>
      </c>
      <c r="E27" s="64">
        <v>4.5999999999999996</v>
      </c>
      <c r="F27" s="64">
        <v>3.01</v>
      </c>
      <c r="G27" s="64">
        <v>145.26</v>
      </c>
      <c r="H27" s="64">
        <v>28.23</v>
      </c>
      <c r="I27" s="64">
        <v>2.92</v>
      </c>
      <c r="J27" s="64">
        <v>0.21</v>
      </c>
      <c r="K27" s="64">
        <v>296.76</v>
      </c>
      <c r="L27" s="64">
        <v>16.68</v>
      </c>
      <c r="M27" s="64">
        <v>94.12</v>
      </c>
      <c r="N27" s="64">
        <v>42.4</v>
      </c>
      <c r="O27" s="64">
        <v>0</v>
      </c>
      <c r="P27" s="64">
        <v>0.92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1" t="s">
        <v>2667</v>
      </c>
      <c r="B28" s="64">
        <v>11.24</v>
      </c>
      <c r="C28" s="64">
        <v>19.39</v>
      </c>
      <c r="D28" s="64">
        <v>18.68</v>
      </c>
      <c r="E28" s="64">
        <v>4.38</v>
      </c>
      <c r="F28" s="64">
        <v>2.97</v>
      </c>
      <c r="G28" s="64">
        <v>145.26</v>
      </c>
      <c r="H28" s="64">
        <v>28.23</v>
      </c>
      <c r="I28" s="64">
        <v>2.91</v>
      </c>
      <c r="J28" s="64">
        <v>0.2</v>
      </c>
      <c r="K28" s="64">
        <v>281.60000000000002</v>
      </c>
      <c r="L28" s="64">
        <v>16.53</v>
      </c>
      <c r="M28" s="64">
        <v>94.15</v>
      </c>
      <c r="N28" s="64">
        <v>42.5</v>
      </c>
      <c r="O28" s="64">
        <v>0</v>
      </c>
      <c r="P28" s="64">
        <v>0.92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1" t="s">
        <v>2668</v>
      </c>
      <c r="B29" s="64">
        <v>11.33</v>
      </c>
      <c r="C29" s="64">
        <v>19.37</v>
      </c>
      <c r="D29" s="64">
        <v>18.75</v>
      </c>
      <c r="E29" s="64">
        <v>4.33</v>
      </c>
      <c r="F29" s="64">
        <v>2.72</v>
      </c>
      <c r="G29" s="64">
        <v>83.98</v>
      </c>
      <c r="H29" s="64">
        <v>29.85</v>
      </c>
      <c r="I29" s="64">
        <v>3.24</v>
      </c>
      <c r="J29" s="64">
        <v>0.21</v>
      </c>
      <c r="K29" s="64">
        <v>327.56</v>
      </c>
      <c r="L29" s="64">
        <v>16.43</v>
      </c>
      <c r="M29" s="64">
        <v>93.4</v>
      </c>
      <c r="N29" s="64">
        <v>42.2</v>
      </c>
      <c r="O29" s="64">
        <v>0</v>
      </c>
      <c r="P29" s="64">
        <v>0.91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1" t="s">
        <v>2669</v>
      </c>
      <c r="B30" s="64">
        <v>11.82</v>
      </c>
      <c r="C30" s="64">
        <v>18.48</v>
      </c>
      <c r="D30" s="64">
        <v>18.670000000000002</v>
      </c>
      <c r="E30" s="64">
        <v>4.42</v>
      </c>
      <c r="F30" s="64">
        <v>2.91</v>
      </c>
      <c r="G30" s="64">
        <v>64.16</v>
      </c>
      <c r="H30" s="64">
        <v>29.85</v>
      </c>
      <c r="I30" s="64">
        <v>3.36</v>
      </c>
      <c r="J30" s="64">
        <v>0.21</v>
      </c>
      <c r="K30" s="64">
        <v>325.08999999999997</v>
      </c>
      <c r="L30" s="64">
        <v>16.63</v>
      </c>
      <c r="M30" s="64">
        <v>89.88</v>
      </c>
      <c r="N30" s="64">
        <v>42.2</v>
      </c>
      <c r="O30" s="64">
        <v>0</v>
      </c>
      <c r="P30" s="64">
        <v>0.9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1" t="s">
        <v>2670</v>
      </c>
      <c r="B31" s="64">
        <v>12.43</v>
      </c>
      <c r="C31" s="64">
        <v>18.11</v>
      </c>
      <c r="D31" s="64">
        <v>18.97</v>
      </c>
      <c r="E31" s="64">
        <v>4.59</v>
      </c>
      <c r="F31" s="64">
        <v>3.15</v>
      </c>
      <c r="G31" s="64">
        <v>64.16</v>
      </c>
      <c r="H31" s="64">
        <v>29.85</v>
      </c>
      <c r="I31" s="64">
        <v>3.33</v>
      </c>
      <c r="J31" s="64">
        <v>0.13</v>
      </c>
      <c r="K31" s="64">
        <v>83.94</v>
      </c>
      <c r="L31" s="64">
        <v>16.809999999999999</v>
      </c>
      <c r="M31" s="64">
        <v>87.26</v>
      </c>
      <c r="N31" s="64">
        <v>42.1</v>
      </c>
      <c r="O31" s="64">
        <v>0</v>
      </c>
      <c r="P31" s="64">
        <v>0.86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1" t="s">
        <v>2671</v>
      </c>
      <c r="B32" s="64">
        <v>12.49</v>
      </c>
      <c r="C32" s="64">
        <v>18.12</v>
      </c>
      <c r="D32" s="64">
        <v>19.02</v>
      </c>
      <c r="E32" s="64">
        <v>4.26</v>
      </c>
      <c r="F32" s="64">
        <v>2.99</v>
      </c>
      <c r="G32" s="64">
        <v>64.16</v>
      </c>
      <c r="H32" s="64">
        <v>29.85</v>
      </c>
      <c r="I32" s="64">
        <v>3.31</v>
      </c>
      <c r="J32" s="64">
        <v>0.17</v>
      </c>
      <c r="K32" s="64">
        <v>298.18</v>
      </c>
      <c r="L32" s="64">
        <v>16.8</v>
      </c>
      <c r="M32" s="64">
        <v>86.88</v>
      </c>
      <c r="N32" s="64">
        <v>42.3</v>
      </c>
      <c r="O32" s="64">
        <v>0</v>
      </c>
      <c r="P32" s="64">
        <v>0.83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1" t="s">
        <v>2672</v>
      </c>
      <c r="B33" s="64">
        <v>12.63</v>
      </c>
      <c r="C33" s="64">
        <v>18.23</v>
      </c>
      <c r="D33" s="64">
        <v>19.2</v>
      </c>
      <c r="E33" s="64">
        <v>4.4000000000000004</v>
      </c>
      <c r="F33" s="64">
        <v>3.11</v>
      </c>
      <c r="G33" s="64">
        <v>55.57</v>
      </c>
      <c r="H33" s="64">
        <v>30.16</v>
      </c>
      <c r="I33" s="64">
        <v>3.32</v>
      </c>
      <c r="J33" s="64">
        <v>0.2</v>
      </c>
      <c r="K33" s="64">
        <v>291.55</v>
      </c>
      <c r="L33" s="64">
        <v>16.670000000000002</v>
      </c>
      <c r="M33" s="64">
        <v>88.27</v>
      </c>
      <c r="N33" s="64">
        <v>43.5</v>
      </c>
      <c r="O33" s="64">
        <v>0</v>
      </c>
      <c r="P33" s="64">
        <v>0.83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1" t="s">
        <v>2673</v>
      </c>
      <c r="B34" s="64">
        <v>12.9</v>
      </c>
      <c r="C34" s="64">
        <v>18.399999999999999</v>
      </c>
      <c r="D34" s="64">
        <v>19.5</v>
      </c>
      <c r="E34" s="64">
        <v>4.4000000000000004</v>
      </c>
      <c r="F34" s="64">
        <v>2.72</v>
      </c>
      <c r="G34" s="64">
        <v>52.8</v>
      </c>
      <c r="H34" s="64">
        <v>30.16</v>
      </c>
      <c r="I34" s="64">
        <v>3.32</v>
      </c>
      <c r="J34" s="64">
        <v>0.05</v>
      </c>
      <c r="K34" s="64">
        <v>234.8</v>
      </c>
      <c r="L34" s="64">
        <v>16.61</v>
      </c>
      <c r="M34" s="64">
        <v>88.95</v>
      </c>
      <c r="N34" s="64">
        <v>48.9</v>
      </c>
      <c r="O34" s="64">
        <v>0</v>
      </c>
      <c r="P34" s="64">
        <v>0.83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1" t="s">
        <v>2674</v>
      </c>
      <c r="B35" s="64">
        <v>12.93</v>
      </c>
      <c r="C35" s="64">
        <v>18.5</v>
      </c>
      <c r="D35" s="64">
        <v>19.57</v>
      </c>
      <c r="E35" s="64">
        <v>4.24</v>
      </c>
      <c r="F35" s="64">
        <v>2.91</v>
      </c>
      <c r="G35" s="64">
        <v>52.8</v>
      </c>
      <c r="H35" s="64">
        <v>30.16</v>
      </c>
      <c r="I35" s="64">
        <v>3.32</v>
      </c>
      <c r="J35" s="64">
        <v>0.14000000000000001</v>
      </c>
      <c r="K35" s="64">
        <v>306.14999999999998</v>
      </c>
      <c r="L35" s="64">
        <v>16.690000000000001</v>
      </c>
      <c r="M35" s="64">
        <v>89.22</v>
      </c>
      <c r="N35" s="64">
        <v>60.2</v>
      </c>
      <c r="O35" s="64">
        <v>0</v>
      </c>
      <c r="P35" s="64">
        <v>0.81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1" t="s">
        <v>2675</v>
      </c>
      <c r="B36" s="64">
        <v>13.16</v>
      </c>
      <c r="C36" s="64">
        <v>18.559999999999999</v>
      </c>
      <c r="D36" s="64">
        <v>19.79</v>
      </c>
      <c r="E36" s="64">
        <v>3.93</v>
      </c>
      <c r="F36" s="64">
        <v>2.75</v>
      </c>
      <c r="G36" s="64">
        <v>52.8</v>
      </c>
      <c r="H36" s="64">
        <v>30.16</v>
      </c>
      <c r="I36" s="64">
        <v>3.31</v>
      </c>
      <c r="J36" s="64">
        <v>0.03</v>
      </c>
      <c r="K36" s="64">
        <v>248.46</v>
      </c>
      <c r="L36" s="64">
        <v>16.920000000000002</v>
      </c>
      <c r="M36" s="64">
        <v>88.07</v>
      </c>
      <c r="N36" s="64">
        <v>75.400000000000006</v>
      </c>
      <c r="O36" s="64">
        <v>0</v>
      </c>
      <c r="P36" s="64">
        <v>0.81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1" t="s">
        <v>2676</v>
      </c>
      <c r="B37" s="64">
        <v>13.6</v>
      </c>
      <c r="C37" s="64">
        <v>18.309999999999999</v>
      </c>
      <c r="D37" s="64">
        <v>20.010000000000002</v>
      </c>
      <c r="E37" s="64">
        <v>4.1900000000000004</v>
      </c>
      <c r="F37" s="64">
        <v>2.61</v>
      </c>
      <c r="G37" s="64">
        <v>59.83</v>
      </c>
      <c r="H37" s="64">
        <v>27.66</v>
      </c>
      <c r="I37" s="64">
        <v>3.3</v>
      </c>
      <c r="J37" s="64">
        <v>0.21</v>
      </c>
      <c r="K37" s="64">
        <v>355.43</v>
      </c>
      <c r="L37" s="64">
        <v>17.45</v>
      </c>
      <c r="M37" s="64">
        <v>83.25</v>
      </c>
      <c r="N37" s="64">
        <v>93.6</v>
      </c>
      <c r="O37" s="64">
        <v>0</v>
      </c>
      <c r="P37" s="64">
        <v>0.82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1" t="s">
        <v>2677</v>
      </c>
      <c r="B38" s="64">
        <v>14.19</v>
      </c>
      <c r="C38" s="64">
        <v>18.37</v>
      </c>
      <c r="D38" s="64">
        <v>20.51</v>
      </c>
      <c r="E38" s="64">
        <v>4.4800000000000004</v>
      </c>
      <c r="F38" s="64">
        <v>2.68</v>
      </c>
      <c r="G38" s="64">
        <v>62.11</v>
      </c>
      <c r="H38" s="64">
        <v>27.66</v>
      </c>
      <c r="I38" s="64">
        <v>3.31</v>
      </c>
      <c r="J38" s="64">
        <v>7.0000000000000007E-2</v>
      </c>
      <c r="K38" s="64">
        <v>104.2</v>
      </c>
      <c r="L38" s="64">
        <v>17.96</v>
      </c>
      <c r="M38" s="64">
        <v>76.66</v>
      </c>
      <c r="N38" s="64">
        <v>133.1</v>
      </c>
      <c r="O38" s="64">
        <v>0</v>
      </c>
      <c r="P38" s="64">
        <v>0.87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1" t="s">
        <v>2678</v>
      </c>
      <c r="B39" s="64">
        <v>14.52</v>
      </c>
      <c r="C39" s="64">
        <v>18.260000000000002</v>
      </c>
      <c r="D39" s="64">
        <v>20.73</v>
      </c>
      <c r="E39" s="64">
        <v>4.26</v>
      </c>
      <c r="F39" s="64">
        <v>2.99</v>
      </c>
      <c r="G39" s="64">
        <v>62.11</v>
      </c>
      <c r="H39" s="64">
        <v>27.66</v>
      </c>
      <c r="I39" s="64">
        <v>3.33</v>
      </c>
      <c r="J39" s="64">
        <v>0.06</v>
      </c>
      <c r="K39" s="64">
        <v>354.48</v>
      </c>
      <c r="L39" s="64">
        <v>19.09</v>
      </c>
      <c r="M39" s="64">
        <v>67.63</v>
      </c>
      <c r="N39" s="64">
        <v>176</v>
      </c>
      <c r="O39" s="64">
        <v>0</v>
      </c>
      <c r="P39" s="64">
        <v>0.87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1" t="s">
        <v>2679</v>
      </c>
      <c r="B40" s="64">
        <v>14.65</v>
      </c>
      <c r="C40" s="64">
        <v>17.75</v>
      </c>
      <c r="D40" s="64">
        <v>20.57</v>
      </c>
      <c r="E40" s="64">
        <v>5.04</v>
      </c>
      <c r="F40" s="64">
        <v>2.92</v>
      </c>
      <c r="G40" s="64">
        <v>62.11</v>
      </c>
      <c r="H40" s="64">
        <v>27.66</v>
      </c>
      <c r="I40" s="64">
        <v>3.36</v>
      </c>
      <c r="J40" s="64">
        <v>0.1</v>
      </c>
      <c r="K40" s="64">
        <v>90.61</v>
      </c>
      <c r="L40" s="64">
        <v>19.899999999999999</v>
      </c>
      <c r="M40" s="64">
        <v>61.78</v>
      </c>
      <c r="N40" s="64">
        <v>211.6</v>
      </c>
      <c r="O40" s="64">
        <v>0</v>
      </c>
      <c r="P40" s="64">
        <v>0.88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1" t="s">
        <v>2680</v>
      </c>
      <c r="B41" s="64">
        <v>15.05</v>
      </c>
      <c r="C41" s="64">
        <v>18.489999999999998</v>
      </c>
      <c r="D41" s="64">
        <v>21.27</v>
      </c>
      <c r="E41" s="64">
        <v>4.76</v>
      </c>
      <c r="F41" s="64">
        <v>3.32</v>
      </c>
      <c r="G41" s="64">
        <v>54.81</v>
      </c>
      <c r="H41" s="64">
        <v>26.19</v>
      </c>
      <c r="I41" s="64">
        <v>3.4</v>
      </c>
      <c r="J41" s="64">
        <v>0.2</v>
      </c>
      <c r="K41" s="64">
        <v>98.46</v>
      </c>
      <c r="L41" s="64">
        <v>20.5</v>
      </c>
      <c r="M41" s="64">
        <v>57.41</v>
      </c>
      <c r="N41" s="64">
        <v>246.7</v>
      </c>
      <c r="O41" s="64">
        <v>0</v>
      </c>
      <c r="P41" s="64">
        <v>0.92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1" t="s">
        <v>2681</v>
      </c>
      <c r="B42" s="64">
        <v>15.33</v>
      </c>
      <c r="C42" s="64">
        <v>18.84</v>
      </c>
      <c r="D42" s="64">
        <v>21.67</v>
      </c>
      <c r="E42" s="64">
        <v>4.83</v>
      </c>
      <c r="F42" s="64">
        <v>3.48</v>
      </c>
      <c r="G42" s="64">
        <v>52.45</v>
      </c>
      <c r="H42" s="64">
        <v>26.19</v>
      </c>
      <c r="I42" s="64">
        <v>3.42</v>
      </c>
      <c r="J42" s="64">
        <v>0.15</v>
      </c>
      <c r="K42" s="64">
        <v>120.57</v>
      </c>
      <c r="L42" s="64">
        <v>21.02</v>
      </c>
      <c r="M42" s="64">
        <v>56.36</v>
      </c>
      <c r="N42" s="64">
        <v>277.7</v>
      </c>
      <c r="O42" s="64">
        <v>0</v>
      </c>
      <c r="P42" s="64">
        <v>0.94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1" t="s">
        <v>2682</v>
      </c>
      <c r="B43" s="64">
        <v>15.08</v>
      </c>
      <c r="C43" s="64">
        <v>18.54</v>
      </c>
      <c r="D43" s="64">
        <v>21.32</v>
      </c>
      <c r="E43" s="64">
        <v>5.41</v>
      </c>
      <c r="F43" s="64">
        <v>3.72</v>
      </c>
      <c r="G43" s="64">
        <v>52.45</v>
      </c>
      <c r="H43" s="64">
        <v>26.19</v>
      </c>
      <c r="I43" s="64">
        <v>3.44</v>
      </c>
      <c r="J43" s="64">
        <v>0.44</v>
      </c>
      <c r="K43" s="64">
        <v>121.4</v>
      </c>
      <c r="L43" s="64">
        <v>21.33</v>
      </c>
      <c r="M43" s="64">
        <v>54.96</v>
      </c>
      <c r="N43" s="64">
        <v>310.10000000000002</v>
      </c>
      <c r="O43" s="64">
        <v>0</v>
      </c>
      <c r="P43" s="64">
        <v>0.95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1" t="s">
        <v>2683</v>
      </c>
      <c r="B44" s="64">
        <v>14.77</v>
      </c>
      <c r="C44" s="64">
        <v>18.18</v>
      </c>
      <c r="D44" s="64">
        <v>20.89</v>
      </c>
      <c r="E44" s="64">
        <v>5.58</v>
      </c>
      <c r="F44" s="64">
        <v>4.08</v>
      </c>
      <c r="G44" s="64">
        <v>52.45</v>
      </c>
      <c r="H44" s="64">
        <v>26.19</v>
      </c>
      <c r="I44" s="64">
        <v>3.45</v>
      </c>
      <c r="J44" s="64">
        <v>1.28</v>
      </c>
      <c r="K44" s="64">
        <v>122.16</v>
      </c>
      <c r="L44" s="64">
        <v>21.22</v>
      </c>
      <c r="M44" s="64">
        <v>52.49</v>
      </c>
      <c r="N44" s="64">
        <v>357.5</v>
      </c>
      <c r="O44" s="64">
        <v>0</v>
      </c>
      <c r="P44" s="64">
        <v>0.95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2684</v>
      </c>
      <c r="B45" s="64">
        <v>13.82</v>
      </c>
      <c r="C45" s="64">
        <v>19.27</v>
      </c>
      <c r="D45" s="64">
        <v>20.69</v>
      </c>
      <c r="E45" s="64">
        <v>6.34</v>
      </c>
      <c r="F45" s="64">
        <v>5.2</v>
      </c>
      <c r="G45" s="64">
        <v>56.56</v>
      </c>
      <c r="H45" s="64">
        <v>26.54</v>
      </c>
      <c r="I45" s="64">
        <v>3.46</v>
      </c>
      <c r="J45" s="64">
        <v>0.23</v>
      </c>
      <c r="K45" s="64">
        <v>346.53</v>
      </c>
      <c r="L45" s="64">
        <v>22.83</v>
      </c>
      <c r="M45" s="64">
        <v>44.75</v>
      </c>
      <c r="N45" s="64">
        <v>388.2</v>
      </c>
      <c r="O45" s="64">
        <v>0</v>
      </c>
      <c r="P45" s="64">
        <v>0.95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1" t="s">
        <v>2685</v>
      </c>
      <c r="B46" s="64">
        <v>14.61</v>
      </c>
      <c r="C46" s="64">
        <v>18.989999999999998</v>
      </c>
      <c r="D46" s="64">
        <v>21.18</v>
      </c>
      <c r="E46" s="64">
        <v>5.79</v>
      </c>
      <c r="F46" s="64">
        <v>4.38</v>
      </c>
      <c r="G46" s="64">
        <v>57.89</v>
      </c>
      <c r="H46" s="64">
        <v>26.54</v>
      </c>
      <c r="I46" s="64">
        <v>3.46</v>
      </c>
      <c r="J46" s="64">
        <v>0.51</v>
      </c>
      <c r="K46" s="64">
        <v>112.03</v>
      </c>
      <c r="L46" s="64">
        <v>23.59</v>
      </c>
      <c r="M46" s="64">
        <v>43.58</v>
      </c>
      <c r="N46" s="64">
        <v>420.9</v>
      </c>
      <c r="O46" s="64">
        <v>0</v>
      </c>
      <c r="P46" s="64">
        <v>0.96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1" t="s">
        <v>2686</v>
      </c>
      <c r="B47" s="64">
        <v>14.61</v>
      </c>
      <c r="C47" s="64">
        <v>19.11</v>
      </c>
      <c r="D47" s="64">
        <v>21.24</v>
      </c>
      <c r="E47" s="64">
        <v>5.72</v>
      </c>
      <c r="F47" s="64">
        <v>4.22</v>
      </c>
      <c r="G47" s="64">
        <v>57.89</v>
      </c>
      <c r="H47" s="64">
        <v>26.54</v>
      </c>
      <c r="I47" s="64">
        <v>3.45</v>
      </c>
      <c r="J47" s="64">
        <v>0.35</v>
      </c>
      <c r="K47" s="64">
        <v>116.32</v>
      </c>
      <c r="L47" s="64">
        <v>23.63</v>
      </c>
      <c r="M47" s="64">
        <v>42.36</v>
      </c>
      <c r="N47" s="64">
        <v>445.3</v>
      </c>
      <c r="O47" s="64">
        <v>0</v>
      </c>
      <c r="P47" s="64">
        <v>0.95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1" t="s">
        <v>2687</v>
      </c>
      <c r="B48" s="64">
        <v>14.38</v>
      </c>
      <c r="C48" s="64">
        <v>19.13</v>
      </c>
      <c r="D48" s="64">
        <v>21.07</v>
      </c>
      <c r="E48" s="64">
        <v>5.43</v>
      </c>
      <c r="F48" s="64">
        <v>3.77</v>
      </c>
      <c r="G48" s="64">
        <v>57.89</v>
      </c>
      <c r="H48" s="64">
        <v>26.54</v>
      </c>
      <c r="I48" s="64">
        <v>3.44</v>
      </c>
      <c r="J48" s="64">
        <v>0.98</v>
      </c>
      <c r="K48" s="64">
        <v>120.75</v>
      </c>
      <c r="L48" s="64">
        <v>23.63</v>
      </c>
      <c r="M48" s="64">
        <v>41.4</v>
      </c>
      <c r="N48" s="64">
        <v>472.8</v>
      </c>
      <c r="O48" s="64">
        <v>0</v>
      </c>
      <c r="P48" s="64">
        <v>0.9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1" t="s">
        <v>2688</v>
      </c>
      <c r="B49" s="64">
        <v>13.43</v>
      </c>
      <c r="C49" s="64">
        <v>19.239999999999998</v>
      </c>
      <c r="D49" s="64">
        <v>20.36</v>
      </c>
      <c r="E49" s="64">
        <v>5.85</v>
      </c>
      <c r="F49" s="64">
        <v>4.37</v>
      </c>
      <c r="G49" s="64">
        <v>60.04</v>
      </c>
      <c r="H49" s="64">
        <v>27.86</v>
      </c>
      <c r="I49" s="64">
        <v>3.41</v>
      </c>
      <c r="J49" s="64">
        <v>0.4</v>
      </c>
      <c r="K49" s="64">
        <v>119.36</v>
      </c>
      <c r="L49" s="64">
        <v>24.26</v>
      </c>
      <c r="M49" s="64">
        <v>41.53</v>
      </c>
      <c r="N49" s="64">
        <v>485.9</v>
      </c>
      <c r="O49" s="64">
        <v>0</v>
      </c>
      <c r="P49" s="64">
        <v>0.86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1" t="s">
        <v>2689</v>
      </c>
      <c r="B50" s="64">
        <v>13.45</v>
      </c>
      <c r="C50" s="64">
        <v>19.55</v>
      </c>
      <c r="D50" s="64">
        <v>20.54</v>
      </c>
      <c r="E50" s="64">
        <v>5.6</v>
      </c>
      <c r="F50" s="64">
        <v>3.34</v>
      </c>
      <c r="G50" s="64">
        <v>60.74</v>
      </c>
      <c r="H50" s="64">
        <v>27.86</v>
      </c>
      <c r="I50" s="64">
        <v>3.39</v>
      </c>
      <c r="J50" s="64">
        <v>0.27</v>
      </c>
      <c r="K50" s="64">
        <v>344.19</v>
      </c>
      <c r="L50" s="64">
        <v>25.82</v>
      </c>
      <c r="M50" s="64">
        <v>36.630000000000003</v>
      </c>
      <c r="N50" s="64">
        <v>496.2</v>
      </c>
      <c r="O50" s="64">
        <v>0</v>
      </c>
      <c r="P50" s="64">
        <v>0.86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1" t="s">
        <v>2690</v>
      </c>
      <c r="B51" s="64">
        <v>13.22</v>
      </c>
      <c r="C51" s="64">
        <v>20.29</v>
      </c>
      <c r="D51" s="64">
        <v>20.74</v>
      </c>
      <c r="E51" s="64">
        <v>5.76</v>
      </c>
      <c r="F51" s="64">
        <v>3.47</v>
      </c>
      <c r="G51" s="64">
        <v>60.74</v>
      </c>
      <c r="H51" s="64">
        <v>27.86</v>
      </c>
      <c r="I51" s="64">
        <v>3.38</v>
      </c>
      <c r="J51" s="64">
        <v>0.33</v>
      </c>
      <c r="K51" s="64">
        <v>108.12</v>
      </c>
      <c r="L51" s="64">
        <v>26.18</v>
      </c>
      <c r="M51" s="64">
        <v>35.39</v>
      </c>
      <c r="N51" s="64">
        <v>506.3</v>
      </c>
      <c r="O51" s="64">
        <v>0</v>
      </c>
      <c r="P51" s="64">
        <v>0.85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1" t="s">
        <v>2691</v>
      </c>
      <c r="B52" s="64">
        <v>12.44</v>
      </c>
      <c r="C52" s="64">
        <v>20.98</v>
      </c>
      <c r="D52" s="64">
        <v>20.47</v>
      </c>
      <c r="E52" s="64">
        <v>6.27</v>
      </c>
      <c r="F52" s="64">
        <v>4.0199999999999996</v>
      </c>
      <c r="G52" s="64">
        <v>60.74</v>
      </c>
      <c r="H52" s="64">
        <v>27.86</v>
      </c>
      <c r="I52" s="64">
        <v>3.35</v>
      </c>
      <c r="J52" s="64">
        <v>0.2</v>
      </c>
      <c r="K52" s="64">
        <v>79.09</v>
      </c>
      <c r="L52" s="64">
        <v>25.83</v>
      </c>
      <c r="M52" s="64">
        <v>36.130000000000003</v>
      </c>
      <c r="N52" s="64">
        <v>507</v>
      </c>
      <c r="O52" s="64">
        <v>0</v>
      </c>
      <c r="P52" s="64">
        <v>0.83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1" t="s">
        <v>2692</v>
      </c>
      <c r="B53" s="64">
        <v>12.12</v>
      </c>
      <c r="C53" s="64">
        <v>20.96</v>
      </c>
      <c r="D53" s="64">
        <v>20.22</v>
      </c>
      <c r="E53" s="64">
        <v>5.72</v>
      </c>
      <c r="F53" s="64">
        <v>3.67</v>
      </c>
      <c r="G53" s="64">
        <v>57.54</v>
      </c>
      <c r="H53" s="64">
        <v>27.7</v>
      </c>
      <c r="I53" s="64">
        <v>3.33</v>
      </c>
      <c r="J53" s="64">
        <v>1.03</v>
      </c>
      <c r="K53" s="64">
        <v>114.87</v>
      </c>
      <c r="L53" s="64">
        <v>25.54</v>
      </c>
      <c r="M53" s="64">
        <v>35.32</v>
      </c>
      <c r="N53" s="64">
        <v>517.9</v>
      </c>
      <c r="O53" s="64">
        <v>0</v>
      </c>
      <c r="P53" s="64">
        <v>0.84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1" t="s">
        <v>2693</v>
      </c>
      <c r="B54" s="64">
        <v>11.99</v>
      </c>
      <c r="C54" s="64">
        <v>20.75</v>
      </c>
      <c r="D54" s="64">
        <v>20</v>
      </c>
      <c r="E54" s="64">
        <v>5.93</v>
      </c>
      <c r="F54" s="64">
        <v>4.63</v>
      </c>
      <c r="G54" s="64">
        <v>56.5</v>
      </c>
      <c r="H54" s="64">
        <v>27.7</v>
      </c>
      <c r="I54" s="64">
        <v>3.3</v>
      </c>
      <c r="J54" s="64">
        <v>0.64</v>
      </c>
      <c r="K54" s="64">
        <v>106.12</v>
      </c>
      <c r="L54" s="64">
        <v>25.62</v>
      </c>
      <c r="M54" s="64">
        <v>35.94</v>
      </c>
      <c r="N54" s="64">
        <v>518.29999999999995</v>
      </c>
      <c r="O54" s="64">
        <v>0</v>
      </c>
      <c r="P54" s="64">
        <v>0.83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1" t="s">
        <v>2694</v>
      </c>
      <c r="B55" s="64">
        <v>11.32</v>
      </c>
      <c r="C55" s="64">
        <v>21.14</v>
      </c>
      <c r="D55" s="64">
        <v>19.66</v>
      </c>
      <c r="E55" s="64">
        <v>6.54</v>
      </c>
      <c r="F55" s="64">
        <v>3.86</v>
      </c>
      <c r="G55" s="64">
        <v>56.5</v>
      </c>
      <c r="H55" s="64">
        <v>27.7</v>
      </c>
      <c r="I55" s="64">
        <v>3.26</v>
      </c>
      <c r="J55" s="64">
        <v>0.88</v>
      </c>
      <c r="K55" s="64">
        <v>120.91</v>
      </c>
      <c r="L55" s="64">
        <v>25.92</v>
      </c>
      <c r="M55" s="64">
        <v>35.61</v>
      </c>
      <c r="N55" s="64">
        <v>510.6</v>
      </c>
      <c r="O55" s="64">
        <v>0</v>
      </c>
      <c r="P55" s="64">
        <v>0.82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1" t="s">
        <v>2695</v>
      </c>
      <c r="B56" s="64">
        <v>10.25</v>
      </c>
      <c r="C56" s="64">
        <v>22.37</v>
      </c>
      <c r="D56" s="64">
        <v>19.45</v>
      </c>
      <c r="E56" s="64">
        <v>7.23</v>
      </c>
      <c r="F56" s="64">
        <v>4.8600000000000003</v>
      </c>
      <c r="G56" s="64">
        <v>56.5</v>
      </c>
      <c r="H56" s="64">
        <v>27.7</v>
      </c>
      <c r="I56" s="64">
        <v>3.21</v>
      </c>
      <c r="J56" s="64">
        <v>0.12</v>
      </c>
      <c r="K56" s="64">
        <v>85.4</v>
      </c>
      <c r="L56" s="64">
        <v>26.28</v>
      </c>
      <c r="M56" s="64">
        <v>34.72</v>
      </c>
      <c r="N56" s="64">
        <v>498.2</v>
      </c>
      <c r="O56" s="64">
        <v>0</v>
      </c>
      <c r="P56" s="64">
        <v>0.8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1" t="s">
        <v>2696</v>
      </c>
      <c r="B57" s="64">
        <v>9.16</v>
      </c>
      <c r="C57" s="64">
        <v>22.9</v>
      </c>
      <c r="D57" s="64">
        <v>18.850000000000001</v>
      </c>
      <c r="E57" s="64">
        <v>11.58</v>
      </c>
      <c r="F57" s="64">
        <v>9.0299999999999994</v>
      </c>
      <c r="G57" s="64">
        <v>41.79</v>
      </c>
      <c r="H57" s="64">
        <v>25.92</v>
      </c>
      <c r="I57" s="64">
        <v>3.15</v>
      </c>
      <c r="J57" s="64">
        <v>0.93</v>
      </c>
      <c r="K57" s="64">
        <v>123.71</v>
      </c>
      <c r="L57" s="64">
        <v>26.08</v>
      </c>
      <c r="M57" s="64">
        <v>35.78</v>
      </c>
      <c r="N57" s="64">
        <v>492.2</v>
      </c>
      <c r="O57" s="64">
        <v>0</v>
      </c>
      <c r="P57" s="64">
        <v>0.76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1" t="s">
        <v>2697</v>
      </c>
      <c r="B58" s="64">
        <v>7.96</v>
      </c>
      <c r="C58" s="64">
        <v>25.19</v>
      </c>
      <c r="D58" s="64">
        <v>19.079999999999998</v>
      </c>
      <c r="E58" s="64">
        <v>14.43</v>
      </c>
      <c r="F58" s="64">
        <v>10.92</v>
      </c>
      <c r="G58" s="64">
        <v>37.04</v>
      </c>
      <c r="H58" s="64">
        <v>25.92</v>
      </c>
      <c r="I58" s="64">
        <v>3.12</v>
      </c>
      <c r="J58" s="64">
        <v>0.27</v>
      </c>
      <c r="K58" s="64">
        <v>103.81</v>
      </c>
      <c r="L58" s="64">
        <v>26.69</v>
      </c>
      <c r="M58" s="64">
        <v>34.869999999999997</v>
      </c>
      <c r="N58" s="64">
        <v>473.3</v>
      </c>
      <c r="O58" s="64">
        <v>0</v>
      </c>
      <c r="P58" s="64">
        <v>0.78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1" t="s">
        <v>2698</v>
      </c>
      <c r="B59" s="64">
        <v>9.1300000000000008</v>
      </c>
      <c r="C59" s="64">
        <v>23.27</v>
      </c>
      <c r="D59" s="64">
        <v>19.02</v>
      </c>
      <c r="E59" s="64">
        <v>19.71</v>
      </c>
      <c r="F59" s="64">
        <v>12.4</v>
      </c>
      <c r="G59" s="64">
        <v>37.04</v>
      </c>
      <c r="H59" s="64">
        <v>25.92</v>
      </c>
      <c r="I59" s="64">
        <v>3.09</v>
      </c>
      <c r="J59" s="64">
        <v>0.14000000000000001</v>
      </c>
      <c r="K59" s="64">
        <v>66.959999999999994</v>
      </c>
      <c r="L59" s="64">
        <v>27.06</v>
      </c>
      <c r="M59" s="64">
        <v>33.549999999999997</v>
      </c>
      <c r="N59" s="64">
        <v>456.5</v>
      </c>
      <c r="O59" s="64">
        <v>0</v>
      </c>
      <c r="P59" s="64">
        <v>0.81</v>
      </c>
      <c r="Q59" s="64">
        <v>9.59</v>
      </c>
      <c r="R59" s="198"/>
      <c r="S59" s="198"/>
      <c r="T59" s="198"/>
      <c r="U59" s="198"/>
    </row>
    <row r="60" spans="1:21" s="12" customFormat="1" x14ac:dyDescent="0.25">
      <c r="A60" s="211" t="s">
        <v>2699</v>
      </c>
      <c r="B60" s="64">
        <v>7.36</v>
      </c>
      <c r="C60" s="64">
        <v>23.76</v>
      </c>
      <c r="D60" s="64">
        <v>17.86</v>
      </c>
      <c r="E60" s="64">
        <v>15.8</v>
      </c>
      <c r="F60" s="64">
        <v>15.37</v>
      </c>
      <c r="G60" s="64">
        <v>37.04</v>
      </c>
      <c r="H60" s="64">
        <v>25.92</v>
      </c>
      <c r="I60" s="64">
        <v>3.08</v>
      </c>
      <c r="J60" s="64">
        <v>0.45</v>
      </c>
      <c r="K60" s="64">
        <v>108.26</v>
      </c>
      <c r="L60" s="64">
        <v>26.69</v>
      </c>
      <c r="M60" s="64">
        <v>34.85</v>
      </c>
      <c r="N60" s="64">
        <v>429.7</v>
      </c>
      <c r="O60" s="64">
        <v>0</v>
      </c>
      <c r="P60" s="64">
        <v>0.81</v>
      </c>
      <c r="Q60" s="64">
        <v>9.59</v>
      </c>
      <c r="R60" s="198"/>
      <c r="S60" s="198"/>
      <c r="T60" s="198"/>
      <c r="U60" s="198"/>
    </row>
    <row r="61" spans="1:21" s="12" customFormat="1" x14ac:dyDescent="0.25">
      <c r="A61" s="211" t="s">
        <v>2700</v>
      </c>
      <c r="B61" s="64">
        <v>7.03</v>
      </c>
      <c r="C61" s="64">
        <v>23.92</v>
      </c>
      <c r="D61" s="64">
        <v>17.670000000000002</v>
      </c>
      <c r="E61" s="64">
        <v>22.62</v>
      </c>
      <c r="F61" s="64">
        <v>15.48</v>
      </c>
      <c r="G61" s="64">
        <v>52.21</v>
      </c>
      <c r="H61" s="64">
        <v>26.04</v>
      </c>
      <c r="I61" s="64">
        <v>3.08</v>
      </c>
      <c r="J61" s="64">
        <v>0.84</v>
      </c>
      <c r="K61" s="64">
        <v>115.8</v>
      </c>
      <c r="L61" s="64">
        <v>26.08</v>
      </c>
      <c r="M61" s="64">
        <v>36.49</v>
      </c>
      <c r="N61" s="64">
        <v>396.7</v>
      </c>
      <c r="O61" s="64">
        <v>0</v>
      </c>
      <c r="P61" s="64">
        <v>0.76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1" t="s">
        <v>2701</v>
      </c>
      <c r="B62" s="64">
        <v>6.91</v>
      </c>
      <c r="C62" s="64">
        <v>25.03</v>
      </c>
      <c r="D62" s="64">
        <v>18.16</v>
      </c>
      <c r="E62" s="64">
        <v>19.54</v>
      </c>
      <c r="F62" s="64">
        <v>12.37</v>
      </c>
      <c r="G62" s="64">
        <v>57.12</v>
      </c>
      <c r="H62" s="64">
        <v>26.04</v>
      </c>
      <c r="I62" s="64">
        <v>3.06</v>
      </c>
      <c r="J62" s="64">
        <v>0.43</v>
      </c>
      <c r="K62" s="64">
        <v>348.63</v>
      </c>
      <c r="L62" s="64">
        <v>26.94</v>
      </c>
      <c r="M62" s="64">
        <v>34.46</v>
      </c>
      <c r="N62" s="64">
        <v>380.9</v>
      </c>
      <c r="O62" s="64">
        <v>0</v>
      </c>
      <c r="P62" s="64">
        <v>0.87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1" t="s">
        <v>2702</v>
      </c>
      <c r="B63" s="64">
        <v>7.4</v>
      </c>
      <c r="C63" s="64">
        <v>26.5</v>
      </c>
      <c r="D63" s="64">
        <v>19.32</v>
      </c>
      <c r="E63" s="64">
        <v>22.58</v>
      </c>
      <c r="F63" s="64">
        <v>13.58</v>
      </c>
      <c r="G63" s="64">
        <v>57.12</v>
      </c>
      <c r="H63" s="64">
        <v>26.04</v>
      </c>
      <c r="I63" s="64">
        <v>3.03</v>
      </c>
      <c r="J63" s="64">
        <v>0.31</v>
      </c>
      <c r="K63" s="64">
        <v>40.630000000000003</v>
      </c>
      <c r="L63" s="64">
        <v>26.63</v>
      </c>
      <c r="M63" s="64">
        <v>35.950000000000003</v>
      </c>
      <c r="N63" s="64">
        <v>359.9</v>
      </c>
      <c r="O63" s="64">
        <v>0</v>
      </c>
      <c r="P63" s="64">
        <v>0.83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1" t="s">
        <v>2703</v>
      </c>
      <c r="B64" s="64">
        <v>5.53</v>
      </c>
      <c r="C64" s="64">
        <v>23.67</v>
      </c>
      <c r="D64" s="64">
        <v>16.34</v>
      </c>
      <c r="E64" s="64">
        <v>22.57</v>
      </c>
      <c r="F64" s="64">
        <v>19.91</v>
      </c>
      <c r="G64" s="64">
        <v>57.12</v>
      </c>
      <c r="H64" s="64">
        <v>26.04</v>
      </c>
      <c r="I64" s="64">
        <v>3</v>
      </c>
      <c r="J64" s="64">
        <v>0.91</v>
      </c>
      <c r="K64" s="64">
        <v>116.21</v>
      </c>
      <c r="L64" s="64">
        <v>25.95</v>
      </c>
      <c r="M64" s="64">
        <v>35.72</v>
      </c>
      <c r="N64" s="64">
        <v>245.9</v>
      </c>
      <c r="O64" s="64">
        <v>0</v>
      </c>
      <c r="P64" s="64">
        <v>0.74</v>
      </c>
      <c r="Q64" s="64">
        <v>9.59</v>
      </c>
      <c r="R64" s="198"/>
      <c r="S64" s="198"/>
      <c r="T64" s="198"/>
      <c r="U64" s="198"/>
    </row>
    <row r="65" spans="1:21" s="12" customFormat="1" x14ac:dyDescent="0.25">
      <c r="A65" s="211" t="s">
        <v>2704</v>
      </c>
      <c r="B65" s="64">
        <v>5.52</v>
      </c>
      <c r="C65" s="64">
        <v>23.62</v>
      </c>
      <c r="D65" s="64">
        <v>16.309999999999999</v>
      </c>
      <c r="E65" s="64">
        <v>13.39</v>
      </c>
      <c r="F65" s="64">
        <v>5.48</v>
      </c>
      <c r="G65" s="64">
        <v>56.67</v>
      </c>
      <c r="H65" s="64">
        <v>24.89</v>
      </c>
      <c r="I65" s="64">
        <v>2.97</v>
      </c>
      <c r="J65" s="64">
        <v>0.83</v>
      </c>
      <c r="K65" s="64">
        <v>118.27</v>
      </c>
      <c r="L65" s="64">
        <v>25.46</v>
      </c>
      <c r="M65" s="64">
        <v>37.46</v>
      </c>
      <c r="N65" s="64">
        <v>179.6</v>
      </c>
      <c r="O65" s="64">
        <v>0</v>
      </c>
      <c r="P65" s="64">
        <v>0.79</v>
      </c>
      <c r="Q65" s="64">
        <v>9.57</v>
      </c>
      <c r="R65" s="198"/>
      <c r="S65" s="198"/>
      <c r="T65" s="198"/>
      <c r="U65" s="198"/>
    </row>
    <row r="66" spans="1:21" s="12" customFormat="1" x14ac:dyDescent="0.25">
      <c r="A66" s="211" t="s">
        <v>2705</v>
      </c>
      <c r="B66" s="64">
        <v>5.68</v>
      </c>
      <c r="C66" s="64">
        <v>25.41</v>
      </c>
      <c r="D66" s="64">
        <v>17.37</v>
      </c>
      <c r="E66" s="64">
        <v>12.75</v>
      </c>
      <c r="F66" s="64">
        <v>12.63</v>
      </c>
      <c r="G66" s="64">
        <v>56.52</v>
      </c>
      <c r="H66" s="64">
        <v>24.89</v>
      </c>
      <c r="I66" s="64">
        <v>2.94</v>
      </c>
      <c r="J66" s="64">
        <v>0.52</v>
      </c>
      <c r="K66" s="64">
        <v>107.27</v>
      </c>
      <c r="L66" s="64">
        <v>25.67</v>
      </c>
      <c r="M66" s="64">
        <v>37.869999999999997</v>
      </c>
      <c r="N66" s="64">
        <v>175.8</v>
      </c>
      <c r="O66" s="64">
        <v>0</v>
      </c>
      <c r="P66" s="64">
        <v>0.74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1" t="s">
        <v>2706</v>
      </c>
      <c r="B67" s="64">
        <v>4.91</v>
      </c>
      <c r="C67" s="64">
        <v>27.22</v>
      </c>
      <c r="D67" s="64">
        <v>17.7</v>
      </c>
      <c r="E67" s="64">
        <v>14.67</v>
      </c>
      <c r="F67" s="64">
        <v>15.53</v>
      </c>
      <c r="G67" s="64">
        <v>56.52</v>
      </c>
      <c r="H67" s="64">
        <v>24.89</v>
      </c>
      <c r="I67" s="64">
        <v>2.9</v>
      </c>
      <c r="J67" s="64">
        <v>0.42</v>
      </c>
      <c r="K67" s="64">
        <v>122.52</v>
      </c>
      <c r="L67" s="64">
        <v>25.58</v>
      </c>
      <c r="M67" s="64">
        <v>39.119999999999997</v>
      </c>
      <c r="N67" s="64">
        <v>145.30000000000001</v>
      </c>
      <c r="O67" s="64">
        <v>0</v>
      </c>
      <c r="P67" s="64">
        <v>0.72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11" t="s">
        <v>2707</v>
      </c>
      <c r="B68" s="64">
        <v>6.68</v>
      </c>
      <c r="C68" s="64">
        <v>26.3</v>
      </c>
      <c r="D68" s="64">
        <v>18.63</v>
      </c>
      <c r="E68" s="64">
        <v>17.190000000000001</v>
      </c>
      <c r="F68" s="64">
        <v>10.23</v>
      </c>
      <c r="G68" s="64">
        <v>56.52</v>
      </c>
      <c r="H68" s="64">
        <v>24.89</v>
      </c>
      <c r="I68" s="64">
        <v>2.86</v>
      </c>
      <c r="J68" s="64">
        <v>0.97</v>
      </c>
      <c r="K68" s="64">
        <v>341.5</v>
      </c>
      <c r="L68" s="64">
        <v>25.95</v>
      </c>
      <c r="M68" s="64">
        <v>38.03</v>
      </c>
      <c r="N68" s="64">
        <v>131.4</v>
      </c>
      <c r="O68" s="64">
        <v>0</v>
      </c>
      <c r="P68" s="64">
        <v>0.77</v>
      </c>
      <c r="Q68" s="64">
        <v>9.5399999999999991</v>
      </c>
      <c r="R68" s="198"/>
      <c r="S68" s="198"/>
      <c r="T68" s="198"/>
      <c r="U68" s="198"/>
    </row>
    <row r="69" spans="1:21" s="12" customFormat="1" x14ac:dyDescent="0.25">
      <c r="A69" s="211" t="s">
        <v>2708</v>
      </c>
      <c r="B69" s="64">
        <v>6.2</v>
      </c>
      <c r="C69" s="64">
        <v>30.93</v>
      </c>
      <c r="D69" s="64">
        <v>20.67</v>
      </c>
      <c r="E69" s="64">
        <v>19.82</v>
      </c>
      <c r="F69" s="64">
        <v>14.47</v>
      </c>
      <c r="G69" s="64">
        <v>57.91</v>
      </c>
      <c r="H69" s="64">
        <v>24.73</v>
      </c>
      <c r="I69" s="64">
        <v>2.83</v>
      </c>
      <c r="J69" s="64">
        <v>0.28999999999999998</v>
      </c>
      <c r="K69" s="64">
        <v>332.55</v>
      </c>
      <c r="L69" s="64">
        <v>25.96</v>
      </c>
      <c r="M69" s="64">
        <v>37.75</v>
      </c>
      <c r="N69" s="64">
        <v>118.3</v>
      </c>
      <c r="O69" s="64">
        <v>0</v>
      </c>
      <c r="P69" s="64">
        <v>0.82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1" t="s">
        <v>2709</v>
      </c>
      <c r="B70" s="64">
        <v>4.66</v>
      </c>
      <c r="C70" s="64">
        <v>28.92</v>
      </c>
      <c r="D70" s="64">
        <v>18.39</v>
      </c>
      <c r="E70" s="64">
        <v>25.31</v>
      </c>
      <c r="F70" s="64">
        <v>14.69</v>
      </c>
      <c r="G70" s="64">
        <v>58.37</v>
      </c>
      <c r="H70" s="64">
        <v>24.73</v>
      </c>
      <c r="I70" s="64">
        <v>2.81</v>
      </c>
      <c r="J70" s="64">
        <v>0.21</v>
      </c>
      <c r="K70" s="64">
        <v>127.84</v>
      </c>
      <c r="L70" s="64">
        <v>25.44</v>
      </c>
      <c r="M70" s="64">
        <v>38.479999999999997</v>
      </c>
      <c r="N70" s="64">
        <v>108.5</v>
      </c>
      <c r="O70" s="64">
        <v>0</v>
      </c>
      <c r="P70" s="64">
        <v>0.74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11" t="s">
        <v>2710</v>
      </c>
      <c r="B71" s="64">
        <v>5.2</v>
      </c>
      <c r="C71" s="64">
        <v>32.380000000000003</v>
      </c>
      <c r="D71" s="64">
        <v>20.62</v>
      </c>
      <c r="E71" s="64">
        <v>23.18</v>
      </c>
      <c r="F71" s="64">
        <v>11.69</v>
      </c>
      <c r="G71" s="64">
        <v>58.37</v>
      </c>
      <c r="H71" s="64">
        <v>24.73</v>
      </c>
      <c r="I71" s="64">
        <v>2.82</v>
      </c>
      <c r="J71" s="64">
        <v>0.09</v>
      </c>
      <c r="K71" s="64">
        <v>113.51</v>
      </c>
      <c r="L71" s="64">
        <v>25.12</v>
      </c>
      <c r="M71" s="64">
        <v>40</v>
      </c>
      <c r="N71" s="64">
        <v>97.4</v>
      </c>
      <c r="O71" s="64">
        <v>0</v>
      </c>
      <c r="P71" s="64">
        <v>0.77</v>
      </c>
      <c r="Q71" s="64">
        <v>9.5299999999999994</v>
      </c>
      <c r="R71" s="198"/>
      <c r="S71" s="198"/>
      <c r="T71" s="198"/>
      <c r="U71" s="198"/>
    </row>
    <row r="72" spans="1:21" s="12" customFormat="1" x14ac:dyDescent="0.25">
      <c r="A72" s="211" t="s">
        <v>2711</v>
      </c>
      <c r="B72" s="64">
        <v>4.12</v>
      </c>
      <c r="C72" s="64">
        <v>29.55</v>
      </c>
      <c r="D72" s="64">
        <v>18.28</v>
      </c>
      <c r="E72" s="64">
        <v>15.55</v>
      </c>
      <c r="F72" s="64">
        <v>12.88</v>
      </c>
      <c r="G72" s="64">
        <v>58.37</v>
      </c>
      <c r="H72" s="64">
        <v>24.73</v>
      </c>
      <c r="I72" s="64">
        <v>2.8</v>
      </c>
      <c r="J72" s="64">
        <v>0.17</v>
      </c>
      <c r="K72" s="64">
        <v>98.87</v>
      </c>
      <c r="L72" s="64">
        <v>24.89</v>
      </c>
      <c r="M72" s="64">
        <v>39.64</v>
      </c>
      <c r="N72" s="64">
        <v>87.8</v>
      </c>
      <c r="O72" s="64">
        <v>0</v>
      </c>
      <c r="P72" s="64">
        <v>0.76</v>
      </c>
      <c r="Q72" s="64">
        <v>9.5399999999999991</v>
      </c>
      <c r="R72" s="198"/>
      <c r="S72" s="198"/>
      <c r="T72" s="198"/>
      <c r="U72" s="198"/>
    </row>
    <row r="73" spans="1:21" s="12" customFormat="1" x14ac:dyDescent="0.25">
      <c r="A73" s="211" t="s">
        <v>2712</v>
      </c>
      <c r="B73" s="64">
        <v>4.3600000000000003</v>
      </c>
      <c r="C73" s="64">
        <v>25.43</v>
      </c>
      <c r="D73" s="64">
        <v>16.329999999999998</v>
      </c>
      <c r="E73" s="64">
        <v>22.95</v>
      </c>
      <c r="F73" s="64">
        <v>15.56</v>
      </c>
      <c r="G73" s="64">
        <v>52.81</v>
      </c>
      <c r="H73" s="64">
        <v>25.54</v>
      </c>
      <c r="I73" s="64">
        <v>2.78</v>
      </c>
      <c r="J73" s="64">
        <v>0.73</v>
      </c>
      <c r="K73" s="64">
        <v>115.53</v>
      </c>
      <c r="L73" s="64">
        <v>24.56</v>
      </c>
      <c r="M73" s="64">
        <v>40.26</v>
      </c>
      <c r="N73" s="64">
        <v>77.900000000000006</v>
      </c>
      <c r="O73" s="64">
        <v>0</v>
      </c>
      <c r="P73" s="64">
        <v>0.71</v>
      </c>
      <c r="Q73" s="64">
        <v>9.5299999999999994</v>
      </c>
      <c r="R73" s="198"/>
      <c r="S73" s="198"/>
      <c r="T73" s="198"/>
      <c r="U73" s="198"/>
    </row>
    <row r="74" spans="1:21" s="12" customFormat="1" x14ac:dyDescent="0.25">
      <c r="A74" s="211" t="s">
        <v>2713</v>
      </c>
      <c r="B74" s="64">
        <v>4.46</v>
      </c>
      <c r="C74" s="64">
        <v>28.04</v>
      </c>
      <c r="D74" s="64">
        <v>17.77</v>
      </c>
      <c r="E74" s="64">
        <v>21.37</v>
      </c>
      <c r="F74" s="64">
        <v>15.59</v>
      </c>
      <c r="G74" s="64">
        <v>51.01</v>
      </c>
      <c r="H74" s="64">
        <v>25.54</v>
      </c>
      <c r="I74" s="64">
        <v>2.77</v>
      </c>
      <c r="J74" s="64">
        <v>0.36</v>
      </c>
      <c r="K74" s="64">
        <v>117.84</v>
      </c>
      <c r="L74" s="64">
        <v>24.32</v>
      </c>
      <c r="M74" s="64">
        <v>41.18</v>
      </c>
      <c r="N74" s="64">
        <v>68.5</v>
      </c>
      <c r="O74" s="64">
        <v>0</v>
      </c>
      <c r="P74" s="64">
        <v>0.72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1" t="s">
        <v>2714</v>
      </c>
      <c r="B75" s="64">
        <v>4.84</v>
      </c>
      <c r="C75" s="64">
        <v>33.22</v>
      </c>
      <c r="D75" s="64">
        <v>20.78</v>
      </c>
      <c r="E75" s="64">
        <v>33.43</v>
      </c>
      <c r="F75" s="64">
        <v>19.21</v>
      </c>
      <c r="G75" s="64">
        <v>51.01</v>
      </c>
      <c r="H75" s="64">
        <v>25.54</v>
      </c>
      <c r="I75" s="64">
        <v>2.75</v>
      </c>
      <c r="J75" s="64">
        <v>0.1</v>
      </c>
      <c r="K75" s="64">
        <v>144.13</v>
      </c>
      <c r="L75" s="64">
        <v>24.05</v>
      </c>
      <c r="M75" s="64">
        <v>42.78</v>
      </c>
      <c r="N75" s="64">
        <v>59.6</v>
      </c>
      <c r="O75" s="64">
        <v>0</v>
      </c>
      <c r="P75" s="64">
        <v>0.78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1" t="s">
        <v>2715</v>
      </c>
      <c r="B76" s="64">
        <v>4.0599999999999996</v>
      </c>
      <c r="C76" s="64">
        <v>29.66</v>
      </c>
      <c r="D76" s="64">
        <v>18.29</v>
      </c>
      <c r="E76" s="64">
        <v>34.36</v>
      </c>
      <c r="F76" s="64">
        <v>20.47</v>
      </c>
      <c r="G76" s="64">
        <v>51.01</v>
      </c>
      <c r="H76" s="64">
        <v>25.54</v>
      </c>
      <c r="I76" s="64">
        <v>2.73</v>
      </c>
      <c r="J76" s="64">
        <v>0.17</v>
      </c>
      <c r="K76" s="64">
        <v>90.6</v>
      </c>
      <c r="L76" s="64">
        <v>23.7</v>
      </c>
      <c r="M76" s="64">
        <v>44.04</v>
      </c>
      <c r="N76" s="64">
        <v>51.8</v>
      </c>
      <c r="O76" s="64">
        <v>0</v>
      </c>
      <c r="P76" s="64">
        <v>0.79</v>
      </c>
      <c r="Q76" s="64">
        <v>9.51</v>
      </c>
      <c r="R76" s="198"/>
      <c r="S76" s="198"/>
      <c r="T76" s="198"/>
      <c r="U76" s="198"/>
    </row>
    <row r="77" spans="1:21" s="12" customFormat="1" x14ac:dyDescent="0.25">
      <c r="A77" s="211" t="s">
        <v>2716</v>
      </c>
      <c r="B77" s="64">
        <v>4.3</v>
      </c>
      <c r="C77" s="64">
        <v>37.74</v>
      </c>
      <c r="D77" s="64">
        <v>22.7</v>
      </c>
      <c r="E77" s="64">
        <v>31.38</v>
      </c>
      <c r="F77" s="64">
        <v>17.37</v>
      </c>
      <c r="G77" s="64">
        <v>54.9</v>
      </c>
      <c r="H77" s="64">
        <v>25.78</v>
      </c>
      <c r="I77" s="64">
        <v>2.74</v>
      </c>
      <c r="J77" s="64">
        <v>0.24</v>
      </c>
      <c r="K77" s="64">
        <v>92.9</v>
      </c>
      <c r="L77" s="64">
        <v>23.34</v>
      </c>
      <c r="M77" s="64">
        <v>45.86</v>
      </c>
      <c r="N77" s="64">
        <v>46.5</v>
      </c>
      <c r="O77" s="64">
        <v>0</v>
      </c>
      <c r="P77" s="64">
        <v>0.94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1" t="s">
        <v>2717</v>
      </c>
      <c r="B78" s="64">
        <v>4.95</v>
      </c>
      <c r="C78" s="64">
        <v>39.35</v>
      </c>
      <c r="D78" s="64">
        <v>24.07</v>
      </c>
      <c r="E78" s="64">
        <v>28.29</v>
      </c>
      <c r="F78" s="64">
        <v>13.73</v>
      </c>
      <c r="G78" s="64">
        <v>56.15</v>
      </c>
      <c r="H78" s="64">
        <v>25.78</v>
      </c>
      <c r="I78" s="64">
        <v>2.78</v>
      </c>
      <c r="J78" s="64">
        <v>0.21</v>
      </c>
      <c r="K78" s="64">
        <v>87.96</v>
      </c>
      <c r="L78" s="64">
        <v>22.83</v>
      </c>
      <c r="M78" s="64">
        <v>49.02</v>
      </c>
      <c r="N78" s="64">
        <v>44.3</v>
      </c>
      <c r="O78" s="64">
        <v>0</v>
      </c>
      <c r="P78" s="64">
        <v>1.07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1" t="s">
        <v>2718</v>
      </c>
      <c r="B79" s="64">
        <v>6.32</v>
      </c>
      <c r="C79" s="64">
        <v>41.43</v>
      </c>
      <c r="D79" s="64">
        <v>26.26</v>
      </c>
      <c r="E79" s="64">
        <v>26.36</v>
      </c>
      <c r="F79" s="64">
        <v>11.27</v>
      </c>
      <c r="G79" s="64">
        <v>56.15</v>
      </c>
      <c r="H79" s="64">
        <v>25.78</v>
      </c>
      <c r="I79" s="64">
        <v>2.82</v>
      </c>
      <c r="J79" s="64">
        <v>0.27</v>
      </c>
      <c r="K79" s="64">
        <v>88.72</v>
      </c>
      <c r="L79" s="64">
        <v>22.5</v>
      </c>
      <c r="M79" s="64">
        <v>51.09</v>
      </c>
      <c r="N79" s="64">
        <v>43.8</v>
      </c>
      <c r="O79" s="64">
        <v>0</v>
      </c>
      <c r="P79" s="64">
        <v>1.1299999999999999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1" t="s">
        <v>2719</v>
      </c>
      <c r="B80" s="64">
        <v>7.21</v>
      </c>
      <c r="C80" s="64">
        <v>41.54</v>
      </c>
      <c r="D80" s="64">
        <v>27.03</v>
      </c>
      <c r="E80" s="64">
        <v>24.99</v>
      </c>
      <c r="F80" s="64">
        <v>9.2799999999999994</v>
      </c>
      <c r="G80" s="64">
        <v>56.15</v>
      </c>
      <c r="H80" s="64">
        <v>25.78</v>
      </c>
      <c r="I80" s="64">
        <v>2.86</v>
      </c>
      <c r="J80" s="64">
        <v>0.15</v>
      </c>
      <c r="K80" s="64">
        <v>69</v>
      </c>
      <c r="L80" s="64">
        <v>22.26</v>
      </c>
      <c r="M80" s="64">
        <v>52.55</v>
      </c>
      <c r="N80" s="64">
        <v>43.8</v>
      </c>
      <c r="O80" s="64">
        <v>0</v>
      </c>
      <c r="P80" s="64">
        <v>1.23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1" t="s">
        <v>2720</v>
      </c>
      <c r="B81" s="64">
        <v>15.14</v>
      </c>
      <c r="C81" s="64">
        <v>41.98</v>
      </c>
      <c r="D81" s="64">
        <v>33.61</v>
      </c>
      <c r="E81" s="64">
        <v>26.69</v>
      </c>
      <c r="F81" s="64">
        <v>7.12</v>
      </c>
      <c r="G81" s="64">
        <v>69.099999999999994</v>
      </c>
      <c r="H81" s="64">
        <v>29.82</v>
      </c>
      <c r="I81" s="64">
        <v>2.91</v>
      </c>
      <c r="J81" s="64">
        <v>0.15</v>
      </c>
      <c r="K81" s="64">
        <v>46.9</v>
      </c>
      <c r="L81" s="64">
        <v>22.12</v>
      </c>
      <c r="M81" s="64">
        <v>53.78</v>
      </c>
      <c r="N81" s="64">
        <v>43.8</v>
      </c>
      <c r="O81" s="64">
        <v>0</v>
      </c>
      <c r="P81" s="64">
        <v>1.47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1" t="s">
        <v>2721</v>
      </c>
      <c r="B82" s="64">
        <v>7.56</v>
      </c>
      <c r="C82" s="64">
        <v>35.51</v>
      </c>
      <c r="D82" s="64">
        <v>24.15</v>
      </c>
      <c r="E82" s="64">
        <v>20.68</v>
      </c>
      <c r="F82" s="64">
        <v>5.77</v>
      </c>
      <c r="G82" s="64">
        <v>73.290000000000006</v>
      </c>
      <c r="H82" s="64">
        <v>29.82</v>
      </c>
      <c r="I82" s="64">
        <v>2.97</v>
      </c>
      <c r="J82" s="64">
        <v>0.2</v>
      </c>
      <c r="K82" s="64">
        <v>93.96</v>
      </c>
      <c r="L82" s="64">
        <v>21.89</v>
      </c>
      <c r="M82" s="64">
        <v>55.35</v>
      </c>
      <c r="N82" s="64">
        <v>43.8</v>
      </c>
      <c r="O82" s="64">
        <v>0</v>
      </c>
      <c r="P82" s="64">
        <v>1.25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1" t="s">
        <v>2722</v>
      </c>
      <c r="B83" s="64">
        <v>7.89</v>
      </c>
      <c r="C83" s="64">
        <v>29.44</v>
      </c>
      <c r="D83" s="64">
        <v>21.25</v>
      </c>
      <c r="E83" s="64">
        <v>10.94</v>
      </c>
      <c r="F83" s="64">
        <v>3.08</v>
      </c>
      <c r="G83" s="64">
        <v>73.290000000000006</v>
      </c>
      <c r="H83" s="64">
        <v>29.82</v>
      </c>
      <c r="I83" s="64">
        <v>3.07</v>
      </c>
      <c r="J83" s="64">
        <v>0.15</v>
      </c>
      <c r="K83" s="64">
        <v>39.090000000000003</v>
      </c>
      <c r="L83" s="64">
        <v>21.64</v>
      </c>
      <c r="M83" s="64">
        <v>56.71</v>
      </c>
      <c r="N83" s="64">
        <v>43.8</v>
      </c>
      <c r="O83" s="64">
        <v>0</v>
      </c>
      <c r="P83" s="64">
        <v>1.0900000000000001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1" t="s">
        <v>2723</v>
      </c>
      <c r="B84" s="64">
        <v>8.14</v>
      </c>
      <c r="C84" s="64">
        <v>32.99</v>
      </c>
      <c r="D84" s="64">
        <v>23.3</v>
      </c>
      <c r="E84" s="64">
        <v>11.07</v>
      </c>
      <c r="F84" s="64">
        <v>5.24</v>
      </c>
      <c r="G84" s="64">
        <v>73.290000000000006</v>
      </c>
      <c r="H84" s="64">
        <v>29.82</v>
      </c>
      <c r="I84" s="64">
        <v>2.84</v>
      </c>
      <c r="J84" s="64">
        <v>0.18</v>
      </c>
      <c r="K84" s="64">
        <v>68.180000000000007</v>
      </c>
      <c r="L84" s="64">
        <v>21.48</v>
      </c>
      <c r="M84" s="64">
        <v>57.03</v>
      </c>
      <c r="N84" s="64">
        <v>43.6</v>
      </c>
      <c r="O84" s="64">
        <v>0</v>
      </c>
      <c r="P84" s="64">
        <v>1.1299999999999999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1" t="s">
        <v>2724</v>
      </c>
      <c r="B85" s="64">
        <v>7.17</v>
      </c>
      <c r="C85" s="64">
        <v>31.49</v>
      </c>
      <c r="D85" s="64">
        <v>21.74</v>
      </c>
      <c r="E85" s="64">
        <v>13.87</v>
      </c>
      <c r="F85" s="64">
        <v>6.98</v>
      </c>
      <c r="G85" s="64">
        <v>88.24</v>
      </c>
      <c r="H85" s="64">
        <v>32.729999999999997</v>
      </c>
      <c r="I85" s="64">
        <v>2.85</v>
      </c>
      <c r="J85" s="64">
        <v>0.09</v>
      </c>
      <c r="K85" s="64">
        <v>71.930000000000007</v>
      </c>
      <c r="L85" s="64">
        <v>21.5</v>
      </c>
      <c r="M85" s="64">
        <v>56.01</v>
      </c>
      <c r="N85" s="64">
        <v>43.7</v>
      </c>
      <c r="O85" s="64">
        <v>0</v>
      </c>
      <c r="P85" s="64">
        <v>1.0900000000000001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1" t="s">
        <v>2725</v>
      </c>
      <c r="B86" s="64">
        <v>8.1</v>
      </c>
      <c r="C86" s="64">
        <v>29.01</v>
      </c>
      <c r="D86" s="64">
        <v>21.19</v>
      </c>
      <c r="E86" s="64">
        <v>9.23</v>
      </c>
      <c r="F86" s="64">
        <v>4.0999999999999996</v>
      </c>
      <c r="G86" s="64">
        <v>93.07</v>
      </c>
      <c r="H86" s="64">
        <v>32.729999999999997</v>
      </c>
      <c r="I86" s="64">
        <v>2.94</v>
      </c>
      <c r="J86" s="64">
        <v>0.1</v>
      </c>
      <c r="K86" s="64">
        <v>25.85</v>
      </c>
      <c r="L86" s="64">
        <v>21.37</v>
      </c>
      <c r="M86" s="64">
        <v>55.78</v>
      </c>
      <c r="N86" s="64">
        <v>43.6</v>
      </c>
      <c r="O86" s="64">
        <v>0</v>
      </c>
      <c r="P86" s="64">
        <v>1.0900000000000001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1" t="s">
        <v>2726</v>
      </c>
      <c r="B87" s="64">
        <v>9.82</v>
      </c>
      <c r="C87" s="64">
        <v>30.86</v>
      </c>
      <c r="D87" s="64">
        <v>23.53</v>
      </c>
      <c r="E87" s="64">
        <v>8.9600000000000009</v>
      </c>
      <c r="F87" s="64">
        <v>5.31</v>
      </c>
      <c r="G87" s="64">
        <v>93.07</v>
      </c>
      <c r="H87" s="64">
        <v>32.729999999999997</v>
      </c>
      <c r="I87" s="64">
        <v>3.02</v>
      </c>
      <c r="J87" s="64">
        <v>0.25</v>
      </c>
      <c r="K87" s="64">
        <v>304.02999999999997</v>
      </c>
      <c r="L87" s="64">
        <v>21.28</v>
      </c>
      <c r="M87" s="64">
        <v>55.75</v>
      </c>
      <c r="N87" s="64">
        <v>43.6</v>
      </c>
      <c r="O87" s="64">
        <v>0</v>
      </c>
      <c r="P87" s="64">
        <v>1.2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1" t="s">
        <v>2727</v>
      </c>
      <c r="B88" s="64">
        <v>10.27</v>
      </c>
      <c r="C88" s="64">
        <v>28.04</v>
      </c>
      <c r="D88" s="64">
        <v>22.42</v>
      </c>
      <c r="E88" s="64">
        <v>8.74</v>
      </c>
      <c r="F88" s="64">
        <v>4.43</v>
      </c>
      <c r="G88" s="64">
        <v>93.07</v>
      </c>
      <c r="H88" s="64">
        <v>32.729999999999997</v>
      </c>
      <c r="I88" s="64">
        <v>3.09</v>
      </c>
      <c r="J88" s="64">
        <v>0.11</v>
      </c>
      <c r="K88" s="64">
        <v>313.52</v>
      </c>
      <c r="L88" s="64">
        <v>21.02</v>
      </c>
      <c r="M88" s="64">
        <v>56.2</v>
      </c>
      <c r="N88" s="64">
        <v>43.7</v>
      </c>
      <c r="O88" s="64">
        <v>0</v>
      </c>
      <c r="P88" s="64">
        <v>1.1499999999999999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1" t="s">
        <v>2728</v>
      </c>
      <c r="B89" s="64">
        <v>9.58</v>
      </c>
      <c r="C89" s="64">
        <v>29.38</v>
      </c>
      <c r="D89" s="64">
        <v>22.57</v>
      </c>
      <c r="E89" s="64">
        <v>8.51</v>
      </c>
      <c r="F89" s="64">
        <v>5.27</v>
      </c>
      <c r="G89" s="64">
        <v>91.03</v>
      </c>
      <c r="H89" s="64">
        <v>35.83</v>
      </c>
      <c r="I89" s="64">
        <v>3.17</v>
      </c>
      <c r="J89" s="64">
        <v>0.06</v>
      </c>
      <c r="K89" s="64">
        <v>77.16</v>
      </c>
      <c r="L89" s="64">
        <v>21.01</v>
      </c>
      <c r="M89" s="64">
        <v>55.92</v>
      </c>
      <c r="N89" s="64">
        <v>43.5</v>
      </c>
      <c r="O89" s="64">
        <v>0</v>
      </c>
      <c r="P89" s="64">
        <v>1.19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1" t="s">
        <v>2729</v>
      </c>
      <c r="B90" s="64">
        <v>9.73</v>
      </c>
      <c r="C90" s="64">
        <v>25.49</v>
      </c>
      <c r="D90" s="64">
        <v>20.66</v>
      </c>
      <c r="E90" s="64">
        <v>7.48</v>
      </c>
      <c r="F90" s="64">
        <v>4.34</v>
      </c>
      <c r="G90" s="64">
        <v>90.37</v>
      </c>
      <c r="H90" s="64">
        <v>35.83</v>
      </c>
      <c r="I90" s="64">
        <v>3.23</v>
      </c>
      <c r="J90" s="64">
        <v>0.14000000000000001</v>
      </c>
      <c r="K90" s="64">
        <v>93.89</v>
      </c>
      <c r="L90" s="64">
        <v>20.95</v>
      </c>
      <c r="M90" s="64">
        <v>55.23</v>
      </c>
      <c r="N90" s="64">
        <v>43.5</v>
      </c>
      <c r="O90" s="64">
        <v>0</v>
      </c>
      <c r="P90" s="64">
        <v>1.1299999999999999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1" t="s">
        <v>2730</v>
      </c>
      <c r="B91" s="64">
        <v>9.41</v>
      </c>
      <c r="C91" s="64">
        <v>24.63</v>
      </c>
      <c r="D91" s="64">
        <v>19.96</v>
      </c>
      <c r="E91" s="64">
        <v>7.24</v>
      </c>
      <c r="F91" s="64">
        <v>4.01</v>
      </c>
      <c r="G91" s="64">
        <v>90.37</v>
      </c>
      <c r="H91" s="64">
        <v>35.83</v>
      </c>
      <c r="I91" s="64">
        <v>3.29</v>
      </c>
      <c r="J91" s="64">
        <v>0.04</v>
      </c>
      <c r="K91" s="64">
        <v>30.08</v>
      </c>
      <c r="L91" s="64">
        <v>20.88</v>
      </c>
      <c r="M91" s="64">
        <v>54.72</v>
      </c>
      <c r="N91" s="64">
        <v>43.6</v>
      </c>
      <c r="O91" s="64">
        <v>0</v>
      </c>
      <c r="P91" s="64">
        <v>1.1200000000000001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1" t="s">
        <v>2731</v>
      </c>
      <c r="B92" s="64">
        <v>10.82</v>
      </c>
      <c r="C92" s="64">
        <v>27.53</v>
      </c>
      <c r="D92" s="64">
        <v>22.6</v>
      </c>
      <c r="E92" s="64">
        <v>6.93</v>
      </c>
      <c r="F92" s="64">
        <v>3.76</v>
      </c>
      <c r="G92" s="64">
        <v>90.37</v>
      </c>
      <c r="H92" s="64">
        <v>35.83</v>
      </c>
      <c r="I92" s="64">
        <v>3.3</v>
      </c>
      <c r="J92" s="64">
        <v>0.06</v>
      </c>
      <c r="K92" s="64">
        <v>6</v>
      </c>
      <c r="L92" s="64">
        <v>20.69</v>
      </c>
      <c r="M92" s="64">
        <v>55.69</v>
      </c>
      <c r="N92" s="64">
        <v>43.8</v>
      </c>
      <c r="O92" s="64">
        <v>0</v>
      </c>
      <c r="P92" s="64">
        <v>1.19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1" t="s">
        <v>2732</v>
      </c>
      <c r="B93" s="64">
        <v>10.65</v>
      </c>
      <c r="C93" s="64">
        <v>30.84</v>
      </c>
      <c r="D93" s="64">
        <v>24.19</v>
      </c>
      <c r="E93" s="64">
        <v>9.2899999999999991</v>
      </c>
      <c r="F93" s="64">
        <v>6.02</v>
      </c>
      <c r="G93" s="64">
        <v>82.94</v>
      </c>
      <c r="H93" s="64">
        <v>33.72</v>
      </c>
      <c r="I93" s="64">
        <v>3.32</v>
      </c>
      <c r="J93" s="64">
        <v>0.11</v>
      </c>
      <c r="K93" s="64">
        <v>344.15</v>
      </c>
      <c r="L93" s="64">
        <v>20.5</v>
      </c>
      <c r="M93" s="64">
        <v>56.33</v>
      </c>
      <c r="N93" s="64">
        <v>43.7</v>
      </c>
      <c r="O93" s="64">
        <v>0</v>
      </c>
      <c r="P93" s="64">
        <v>1.3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1" t="s">
        <v>2733</v>
      </c>
      <c r="B94" s="64">
        <v>11.35</v>
      </c>
      <c r="C94" s="64">
        <v>30.58</v>
      </c>
      <c r="D94" s="64">
        <v>24.62</v>
      </c>
      <c r="E94" s="64">
        <v>9.2899999999999991</v>
      </c>
      <c r="F94" s="64">
        <v>4.99</v>
      </c>
      <c r="G94" s="64">
        <v>80.53</v>
      </c>
      <c r="H94" s="64">
        <v>33.72</v>
      </c>
      <c r="I94" s="64">
        <v>3.35</v>
      </c>
      <c r="J94" s="64">
        <v>7.0000000000000007E-2</v>
      </c>
      <c r="K94" s="64">
        <v>43.39</v>
      </c>
      <c r="L94" s="64">
        <v>20.329999999999998</v>
      </c>
      <c r="M94" s="64">
        <v>57.77</v>
      </c>
      <c r="N94" s="64">
        <v>43.7</v>
      </c>
      <c r="O94" s="64">
        <v>0</v>
      </c>
      <c r="P94" s="64">
        <v>1.31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1" t="s">
        <v>2734</v>
      </c>
      <c r="B95" s="64">
        <v>13.05</v>
      </c>
      <c r="C95" s="64">
        <v>30.01</v>
      </c>
      <c r="D95" s="64">
        <v>25.68</v>
      </c>
      <c r="E95" s="64">
        <v>9.24</v>
      </c>
      <c r="F95" s="64">
        <v>4.59</v>
      </c>
      <c r="G95" s="64">
        <v>80.53</v>
      </c>
      <c r="H95" s="64">
        <v>33.72</v>
      </c>
      <c r="I95" s="64">
        <v>3.4</v>
      </c>
      <c r="J95" s="64">
        <v>0.08</v>
      </c>
      <c r="K95" s="64">
        <v>311.77999999999997</v>
      </c>
      <c r="L95" s="64">
        <v>20.190000000000001</v>
      </c>
      <c r="M95" s="64">
        <v>59.43</v>
      </c>
      <c r="N95" s="64">
        <v>43.7</v>
      </c>
      <c r="O95" s="64">
        <v>0</v>
      </c>
      <c r="P95" s="64">
        <v>1.37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1" t="s">
        <v>2735</v>
      </c>
      <c r="B96" s="64">
        <v>15.65</v>
      </c>
      <c r="C96" s="64">
        <v>26.13</v>
      </c>
      <c r="D96" s="64">
        <v>25.74</v>
      </c>
      <c r="E96" s="64">
        <v>8.69</v>
      </c>
      <c r="F96" s="64">
        <v>4.5199999999999996</v>
      </c>
      <c r="G96" s="64">
        <v>80.53</v>
      </c>
      <c r="H96" s="64">
        <v>33.72</v>
      </c>
      <c r="I96" s="64">
        <v>3.42</v>
      </c>
      <c r="J96" s="64">
        <v>0.19</v>
      </c>
      <c r="K96" s="64">
        <v>302.97000000000003</v>
      </c>
      <c r="L96" s="64">
        <v>19.96</v>
      </c>
      <c r="M96" s="64">
        <v>61.16</v>
      </c>
      <c r="N96" s="64">
        <v>43.7</v>
      </c>
      <c r="O96" s="64">
        <v>0</v>
      </c>
      <c r="P96" s="64">
        <v>1.4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2736</v>
      </c>
      <c r="B97" s="64">
        <v>17.82</v>
      </c>
      <c r="C97" s="64">
        <v>21.37</v>
      </c>
      <c r="D97" s="64">
        <v>24.97</v>
      </c>
      <c r="E97" s="64">
        <v>8.25</v>
      </c>
      <c r="F97" s="64">
        <v>3.9</v>
      </c>
      <c r="G97" s="64">
        <v>79.06</v>
      </c>
      <c r="H97" s="64">
        <v>34.93</v>
      </c>
      <c r="I97" s="64">
        <v>3.45</v>
      </c>
      <c r="J97" s="64">
        <v>0.31</v>
      </c>
      <c r="K97" s="64">
        <v>291.33999999999997</v>
      </c>
      <c r="L97" s="64">
        <v>19.850000000000001</v>
      </c>
      <c r="M97" s="64">
        <v>60.44</v>
      </c>
      <c r="N97" s="64">
        <v>43.6</v>
      </c>
      <c r="O97" s="64">
        <v>0</v>
      </c>
      <c r="P97" s="64">
        <v>1.34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1" t="s">
        <v>2737</v>
      </c>
      <c r="B98" s="64">
        <v>13.96</v>
      </c>
      <c r="C98" s="64">
        <v>26.97</v>
      </c>
      <c r="D98" s="64">
        <v>24.83</v>
      </c>
      <c r="E98" s="64">
        <v>8.23</v>
      </c>
      <c r="F98" s="64">
        <v>4.72</v>
      </c>
      <c r="G98" s="64">
        <v>78.58</v>
      </c>
      <c r="H98" s="64">
        <v>34.93</v>
      </c>
      <c r="I98" s="64">
        <v>3.49</v>
      </c>
      <c r="J98" s="64">
        <v>0.28999999999999998</v>
      </c>
      <c r="K98" s="64">
        <v>290.48</v>
      </c>
      <c r="L98" s="64">
        <v>19.440000000000001</v>
      </c>
      <c r="M98" s="64">
        <v>59.98</v>
      </c>
      <c r="N98" s="64">
        <v>43.7</v>
      </c>
      <c r="O98" s="64">
        <v>0</v>
      </c>
      <c r="P98" s="64">
        <v>1.34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1" t="s">
        <v>2738</v>
      </c>
      <c r="B99" s="64">
        <v>14.13</v>
      </c>
      <c r="C99" s="64">
        <v>25.61</v>
      </c>
      <c r="D99" s="64">
        <v>24.25</v>
      </c>
      <c r="E99" s="64">
        <v>7.86</v>
      </c>
      <c r="F99" s="64">
        <v>4.0999999999999996</v>
      </c>
      <c r="G99" s="64">
        <v>78.58</v>
      </c>
      <c r="H99" s="64">
        <v>34.93</v>
      </c>
      <c r="I99" s="64">
        <v>3.84</v>
      </c>
      <c r="J99" s="64">
        <v>0.16</v>
      </c>
      <c r="K99" s="64">
        <v>291.57</v>
      </c>
      <c r="L99" s="64">
        <v>19.48</v>
      </c>
      <c r="M99" s="64">
        <v>59.72</v>
      </c>
      <c r="N99" s="64">
        <v>43.7</v>
      </c>
      <c r="O99" s="64">
        <v>0</v>
      </c>
      <c r="P99" s="64">
        <v>1.32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1" t="s">
        <v>2739</v>
      </c>
      <c r="B100" s="64">
        <v>13.69</v>
      </c>
      <c r="C100" s="64">
        <v>22.99</v>
      </c>
      <c r="D100" s="64">
        <v>22.53</v>
      </c>
      <c r="E100" s="64">
        <v>6.85</v>
      </c>
      <c r="F100" s="64">
        <v>3.93</v>
      </c>
      <c r="G100" s="64">
        <v>78.58</v>
      </c>
      <c r="H100" s="64">
        <v>34.93</v>
      </c>
      <c r="I100" s="64">
        <v>3.61</v>
      </c>
      <c r="J100" s="64">
        <v>0.05</v>
      </c>
      <c r="K100" s="64">
        <v>313.93</v>
      </c>
      <c r="L100" s="64">
        <v>19.489999999999998</v>
      </c>
      <c r="M100" s="64">
        <v>58.13</v>
      </c>
      <c r="N100" s="64">
        <v>43.6</v>
      </c>
      <c r="O100" s="64">
        <v>0</v>
      </c>
      <c r="P100" s="64">
        <v>1.3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2740</v>
      </c>
      <c r="B101" s="64">
        <v>13.49</v>
      </c>
      <c r="C101" s="64">
        <v>21.75</v>
      </c>
      <c r="D101" s="64">
        <v>21.72</v>
      </c>
      <c r="E101" s="64">
        <v>6.22</v>
      </c>
      <c r="F101" s="64">
        <v>3.03</v>
      </c>
      <c r="G101" s="64">
        <v>72.790000000000006</v>
      </c>
      <c r="H101" s="64">
        <v>32.67</v>
      </c>
      <c r="I101" s="64">
        <v>3.49</v>
      </c>
      <c r="J101" s="64">
        <v>0.03</v>
      </c>
      <c r="K101" s="64">
        <v>81.27</v>
      </c>
      <c r="L101" s="64">
        <v>19.48</v>
      </c>
      <c r="M101" s="64">
        <v>55.84</v>
      </c>
      <c r="N101" s="64">
        <v>43.6</v>
      </c>
      <c r="O101" s="64">
        <v>0</v>
      </c>
      <c r="P101" s="64">
        <v>1.26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1" t="s">
        <v>2741</v>
      </c>
      <c r="B102" s="64">
        <v>13.01</v>
      </c>
      <c r="C102" s="64">
        <v>21.34</v>
      </c>
      <c r="D102" s="64">
        <v>21.12</v>
      </c>
      <c r="E102" s="64">
        <v>6.27</v>
      </c>
      <c r="F102" s="64">
        <v>3.18</v>
      </c>
      <c r="G102" s="64">
        <v>70.91</v>
      </c>
      <c r="H102" s="64">
        <v>32.67</v>
      </c>
      <c r="I102" s="64">
        <v>3.81</v>
      </c>
      <c r="J102" s="64">
        <v>0.05</v>
      </c>
      <c r="K102" s="64">
        <v>69</v>
      </c>
      <c r="L102" s="64">
        <v>19.420000000000002</v>
      </c>
      <c r="M102" s="64">
        <v>55.27</v>
      </c>
      <c r="N102" s="64">
        <v>43.7</v>
      </c>
      <c r="O102" s="64">
        <v>0</v>
      </c>
      <c r="P102" s="64">
        <v>1.21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1" t="s">
        <v>2742</v>
      </c>
      <c r="B103" s="64">
        <v>12.56</v>
      </c>
      <c r="C103" s="64">
        <v>21.17</v>
      </c>
      <c r="D103" s="64">
        <v>20.67</v>
      </c>
      <c r="E103" s="64">
        <v>5.87</v>
      </c>
      <c r="F103" s="64">
        <v>3.07</v>
      </c>
      <c r="G103" s="64">
        <v>70.91</v>
      </c>
      <c r="H103" s="64">
        <v>32.67</v>
      </c>
      <c r="I103" s="64">
        <v>3.89</v>
      </c>
      <c r="J103" s="64">
        <v>0.21</v>
      </c>
      <c r="K103" s="64">
        <v>94.09</v>
      </c>
      <c r="L103" s="64">
        <v>19.37</v>
      </c>
      <c r="M103" s="64">
        <v>55.81</v>
      </c>
      <c r="N103" s="64">
        <v>43.5</v>
      </c>
      <c r="O103" s="64">
        <v>0</v>
      </c>
      <c r="P103" s="64">
        <v>1.18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1" t="s">
        <v>2743</v>
      </c>
      <c r="B104" s="64">
        <v>12.02</v>
      </c>
      <c r="C104" s="64">
        <v>21.22</v>
      </c>
      <c r="D104" s="64">
        <v>20.27</v>
      </c>
      <c r="E104" s="64">
        <v>5.54</v>
      </c>
      <c r="F104" s="64">
        <v>3</v>
      </c>
      <c r="G104" s="64">
        <v>70.91</v>
      </c>
      <c r="H104" s="64">
        <v>32.67</v>
      </c>
      <c r="I104" s="64">
        <v>3.51</v>
      </c>
      <c r="J104" s="64">
        <v>0.25</v>
      </c>
      <c r="K104" s="64">
        <v>106</v>
      </c>
      <c r="L104" s="64">
        <v>19.32</v>
      </c>
      <c r="M104" s="64">
        <v>54.85</v>
      </c>
      <c r="N104" s="64">
        <v>43.6</v>
      </c>
      <c r="O104" s="64">
        <v>0</v>
      </c>
      <c r="P104" s="64">
        <v>1.1499999999999999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4.0599999999999996</v>
      </c>
      <c r="C106" s="67">
        <f>MIN(C9:C104)</f>
        <v>17.75</v>
      </c>
      <c r="D106" s="67">
        <f t="shared" ref="D106:Q106" si="0">MIN(D9:D104)</f>
        <v>16.309999999999999</v>
      </c>
      <c r="E106" s="67">
        <f t="shared" si="0"/>
        <v>3.93</v>
      </c>
      <c r="F106" s="67">
        <f t="shared" si="0"/>
        <v>2.59</v>
      </c>
      <c r="G106" s="67">
        <f t="shared" si="0"/>
        <v>37.04</v>
      </c>
      <c r="H106" s="67">
        <f t="shared" si="0"/>
        <v>24.73</v>
      </c>
      <c r="I106" s="67">
        <f t="shared" si="0"/>
        <v>2.73</v>
      </c>
      <c r="J106" s="67">
        <f t="shared" si="0"/>
        <v>0</v>
      </c>
      <c r="K106" s="67">
        <f t="shared" si="0"/>
        <v>6</v>
      </c>
      <c r="L106" s="67">
        <f t="shared" si="0"/>
        <v>16.43</v>
      </c>
      <c r="M106" s="67">
        <f t="shared" si="0"/>
        <v>33.549999999999997</v>
      </c>
      <c r="N106" s="67">
        <f t="shared" si="0"/>
        <v>42.1</v>
      </c>
      <c r="O106" s="67">
        <f t="shared" si="0"/>
        <v>0</v>
      </c>
      <c r="P106" s="67">
        <f t="shared" si="0"/>
        <v>0.71</v>
      </c>
      <c r="Q106" s="67">
        <f t="shared" si="0"/>
        <v>9.51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17.82</v>
      </c>
      <c r="C107" s="66">
        <f t="shared" ref="C107:Q107" si="1">MAX(C9:C104)</f>
        <v>41.98</v>
      </c>
      <c r="D107" s="66">
        <f t="shared" si="1"/>
        <v>33.61</v>
      </c>
      <c r="E107" s="66">
        <f t="shared" si="1"/>
        <v>34.36</v>
      </c>
      <c r="F107" s="66">
        <f t="shared" si="1"/>
        <v>20.47</v>
      </c>
      <c r="G107" s="66">
        <f t="shared" si="1"/>
        <v>145.26</v>
      </c>
      <c r="H107" s="66">
        <f t="shared" si="1"/>
        <v>35.83</v>
      </c>
      <c r="I107" s="66">
        <f t="shared" si="1"/>
        <v>3.89</v>
      </c>
      <c r="J107" s="66">
        <f t="shared" si="1"/>
        <v>1.28</v>
      </c>
      <c r="K107" s="66">
        <f t="shared" si="1"/>
        <v>355.43</v>
      </c>
      <c r="L107" s="66">
        <f t="shared" si="1"/>
        <v>27.06</v>
      </c>
      <c r="M107" s="66">
        <f t="shared" si="1"/>
        <v>94.15</v>
      </c>
      <c r="N107" s="66">
        <f t="shared" si="1"/>
        <v>518.29999999999995</v>
      </c>
      <c r="O107" s="66">
        <f t="shared" si="1"/>
        <v>0</v>
      </c>
      <c r="P107" s="66">
        <f t="shared" si="1"/>
        <v>1.47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10.592812500000001</v>
      </c>
      <c r="C108" s="67">
        <f t="shared" ref="C108:Q108" si="2">AVERAGE(C9:C104)</f>
        <v>23.879895833333336</v>
      </c>
      <c r="D108" s="67">
        <f t="shared" si="2"/>
        <v>20.510416666666664</v>
      </c>
      <c r="E108" s="67">
        <f t="shared" si="2"/>
        <v>10.287708333333333</v>
      </c>
      <c r="F108" s="67">
        <f t="shared" si="2"/>
        <v>6.2563541666666644</v>
      </c>
      <c r="G108" s="67">
        <f t="shared" si="2"/>
        <v>68.356979166666619</v>
      </c>
      <c r="H108" s="67">
        <f t="shared" si="2"/>
        <v>29.083437499999988</v>
      </c>
      <c r="I108" s="67">
        <f t="shared" si="2"/>
        <v>3.1742708333333343</v>
      </c>
      <c r="J108" s="67">
        <f t="shared" si="2"/>
        <v>0.27520833333333328</v>
      </c>
      <c r="K108" s="67">
        <f t="shared" si="2"/>
        <v>191.20677083333331</v>
      </c>
      <c r="L108" s="67">
        <f t="shared" si="2"/>
        <v>21.234583333333337</v>
      </c>
      <c r="M108" s="67">
        <f t="shared" si="2"/>
        <v>59.588020833333353</v>
      </c>
      <c r="N108" s="67">
        <f t="shared" si="2"/>
        <v>151.89270833333333</v>
      </c>
      <c r="O108" s="67">
        <f t="shared" si="2"/>
        <v>0</v>
      </c>
      <c r="P108" s="67">
        <f t="shared" si="2"/>
        <v>0.97354166666666708</v>
      </c>
      <c r="Q108" s="67">
        <f t="shared" si="2"/>
        <v>9.6086458333333287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3.3030734342188222</v>
      </c>
      <c r="C109" s="67">
        <f t="shared" ref="C109:Q109" si="3">STDEV(C9:C104)</f>
        <v>6.0192696697735624</v>
      </c>
      <c r="D109" s="67">
        <f t="shared" si="3"/>
        <v>2.6311622073531375</v>
      </c>
      <c r="E109" s="67">
        <f t="shared" si="3"/>
        <v>7.8111571323085061</v>
      </c>
      <c r="F109" s="67">
        <f t="shared" si="3"/>
        <v>4.75248857132914</v>
      </c>
      <c r="G109" s="67">
        <f t="shared" si="3"/>
        <v>19.836288018615466</v>
      </c>
      <c r="H109" s="67">
        <f t="shared" si="3"/>
        <v>3.1692498956876745</v>
      </c>
      <c r="I109" s="67">
        <f t="shared" si="3"/>
        <v>0.25257722025745405</v>
      </c>
      <c r="J109" s="67">
        <f t="shared" si="3"/>
        <v>0.25780032733092079</v>
      </c>
      <c r="K109" s="67">
        <f t="shared" si="3"/>
        <v>113.39387542631907</v>
      </c>
      <c r="L109" s="67">
        <f t="shared" si="3"/>
        <v>3.4107767032302014</v>
      </c>
      <c r="M109" s="67">
        <f t="shared" si="3"/>
        <v>19.985688227739423</v>
      </c>
      <c r="N109" s="67">
        <f t="shared" si="3"/>
        <v>167.46090336791536</v>
      </c>
      <c r="O109" s="67">
        <f t="shared" si="3"/>
        <v>0</v>
      </c>
      <c r="P109" s="67">
        <f t="shared" si="3"/>
        <v>0.18412226582336283</v>
      </c>
      <c r="Q109" s="67">
        <f t="shared" si="3"/>
        <v>3.7853451255200669E-2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2744</v>
      </c>
      <c r="B9" s="64">
        <v>11.51</v>
      </c>
      <c r="C9" s="64">
        <v>21.31</v>
      </c>
      <c r="D9" s="64">
        <v>19.899999999999999</v>
      </c>
      <c r="E9" s="64">
        <v>5.67</v>
      </c>
      <c r="F9" s="64">
        <v>2.96</v>
      </c>
      <c r="G9" s="64">
        <v>61.06</v>
      </c>
      <c r="H9" s="64">
        <v>30.35</v>
      </c>
      <c r="I9" s="64">
        <v>3.36</v>
      </c>
      <c r="J9" s="64">
        <v>0.08</v>
      </c>
      <c r="K9" s="64">
        <v>98.69</v>
      </c>
      <c r="L9" s="64">
        <v>19.18</v>
      </c>
      <c r="M9" s="64">
        <v>54.57</v>
      </c>
      <c r="N9" s="64">
        <v>43.7</v>
      </c>
      <c r="O9" s="64">
        <v>0</v>
      </c>
      <c r="P9" s="64">
        <v>1.1399999999999999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1" t="s">
        <v>2745</v>
      </c>
      <c r="B10" s="64">
        <v>11.04</v>
      </c>
      <c r="C10" s="64">
        <v>21.45</v>
      </c>
      <c r="D10" s="64">
        <v>19.600000000000001</v>
      </c>
      <c r="E10" s="64">
        <v>5.97</v>
      </c>
      <c r="F10" s="64">
        <v>3.11</v>
      </c>
      <c r="G10" s="64">
        <v>57.87</v>
      </c>
      <c r="H10" s="64">
        <v>30.35</v>
      </c>
      <c r="I10" s="64">
        <v>3.33</v>
      </c>
      <c r="J10" s="64">
        <v>0.05</v>
      </c>
      <c r="K10" s="64">
        <v>89.96</v>
      </c>
      <c r="L10" s="64">
        <v>19.010000000000002</v>
      </c>
      <c r="M10" s="64">
        <v>55.35</v>
      </c>
      <c r="N10" s="64">
        <v>43.7</v>
      </c>
      <c r="O10" s="64">
        <v>0</v>
      </c>
      <c r="P10" s="64">
        <v>1.1200000000000001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1" t="s">
        <v>2746</v>
      </c>
      <c r="B11" s="64">
        <v>10.53</v>
      </c>
      <c r="C11" s="64">
        <v>21.53</v>
      </c>
      <c r="D11" s="64">
        <v>19.23</v>
      </c>
      <c r="E11" s="64">
        <v>5.86</v>
      </c>
      <c r="F11" s="64">
        <v>2.74</v>
      </c>
      <c r="G11" s="64">
        <v>57.87</v>
      </c>
      <c r="H11" s="64">
        <v>30.35</v>
      </c>
      <c r="I11" s="64">
        <v>3.3</v>
      </c>
      <c r="J11" s="64">
        <v>0.05</v>
      </c>
      <c r="K11" s="64">
        <v>230.7</v>
      </c>
      <c r="L11" s="64">
        <v>18.82</v>
      </c>
      <c r="M11" s="64">
        <v>57.51</v>
      </c>
      <c r="N11" s="64">
        <v>43.7</v>
      </c>
      <c r="O11" s="64">
        <v>0</v>
      </c>
      <c r="P11" s="64">
        <v>1.0900000000000001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1" t="s">
        <v>2747</v>
      </c>
      <c r="B12" s="64">
        <v>10.07</v>
      </c>
      <c r="C12" s="64">
        <v>21.65</v>
      </c>
      <c r="D12" s="64">
        <v>18.920000000000002</v>
      </c>
      <c r="E12" s="64">
        <v>5.36</v>
      </c>
      <c r="F12" s="64">
        <v>2.9</v>
      </c>
      <c r="G12" s="64">
        <v>57.87</v>
      </c>
      <c r="H12" s="64">
        <v>30.35</v>
      </c>
      <c r="I12" s="64">
        <v>3.26</v>
      </c>
      <c r="J12" s="64">
        <v>0.24</v>
      </c>
      <c r="K12" s="64">
        <v>293.05</v>
      </c>
      <c r="L12" s="64">
        <v>18.52</v>
      </c>
      <c r="M12" s="64">
        <v>59.52</v>
      </c>
      <c r="N12" s="64">
        <v>43.7</v>
      </c>
      <c r="O12" s="64">
        <v>0</v>
      </c>
      <c r="P12" s="64">
        <v>1.07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1" t="s">
        <v>2748</v>
      </c>
      <c r="B13" s="64">
        <v>9.7100000000000009</v>
      </c>
      <c r="C13" s="64">
        <v>21.71</v>
      </c>
      <c r="D13" s="64">
        <v>18.66</v>
      </c>
      <c r="E13" s="64">
        <v>5.33</v>
      </c>
      <c r="F13" s="64">
        <v>2.92</v>
      </c>
      <c r="G13" s="64">
        <v>58.21</v>
      </c>
      <c r="H13" s="64">
        <v>30.69</v>
      </c>
      <c r="I13" s="64">
        <v>3.23</v>
      </c>
      <c r="J13" s="64">
        <v>0.28000000000000003</v>
      </c>
      <c r="K13" s="64">
        <v>315.52</v>
      </c>
      <c r="L13" s="64">
        <v>18.43</v>
      </c>
      <c r="M13" s="64">
        <v>59.71</v>
      </c>
      <c r="N13" s="64">
        <v>43.6</v>
      </c>
      <c r="O13" s="64">
        <v>0</v>
      </c>
      <c r="P13" s="64">
        <v>1.01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1" t="s">
        <v>2749</v>
      </c>
      <c r="B14" s="64">
        <v>9.31</v>
      </c>
      <c r="C14" s="64">
        <v>21.84</v>
      </c>
      <c r="D14" s="64">
        <v>18.420000000000002</v>
      </c>
      <c r="E14" s="64">
        <v>5.62</v>
      </c>
      <c r="F14" s="64">
        <v>3.32</v>
      </c>
      <c r="G14" s="64">
        <v>58.32</v>
      </c>
      <c r="H14" s="64">
        <v>30.69</v>
      </c>
      <c r="I14" s="64">
        <v>3.2</v>
      </c>
      <c r="J14" s="64">
        <v>0.16</v>
      </c>
      <c r="K14" s="64">
        <v>286.81</v>
      </c>
      <c r="L14" s="64">
        <v>18.260000000000002</v>
      </c>
      <c r="M14" s="64">
        <v>60.51</v>
      </c>
      <c r="N14" s="64">
        <v>43.7</v>
      </c>
      <c r="O14" s="64">
        <v>0</v>
      </c>
      <c r="P14" s="64">
        <v>1.04</v>
      </c>
      <c r="Q14" s="64">
        <v>9.59</v>
      </c>
      <c r="R14" s="198"/>
      <c r="S14" s="198"/>
      <c r="T14" s="198"/>
      <c r="U14" s="198"/>
    </row>
    <row r="15" spans="1:21" s="12" customFormat="1" x14ac:dyDescent="0.25">
      <c r="A15" s="211" t="s">
        <v>2750</v>
      </c>
      <c r="B15" s="64">
        <v>8.85</v>
      </c>
      <c r="C15" s="64">
        <v>22.35</v>
      </c>
      <c r="D15" s="64">
        <v>18.309999999999999</v>
      </c>
      <c r="E15" s="64">
        <v>5.53</v>
      </c>
      <c r="F15" s="64">
        <v>3.11</v>
      </c>
      <c r="G15" s="64">
        <v>58.32</v>
      </c>
      <c r="H15" s="64">
        <v>30.69</v>
      </c>
      <c r="I15" s="64">
        <v>3.16</v>
      </c>
      <c r="J15" s="64">
        <v>0.13</v>
      </c>
      <c r="K15" s="64">
        <v>192.93</v>
      </c>
      <c r="L15" s="64">
        <v>17.98</v>
      </c>
      <c r="M15" s="64">
        <v>62.44</v>
      </c>
      <c r="N15" s="64">
        <v>43.7</v>
      </c>
      <c r="O15" s="64">
        <v>0</v>
      </c>
      <c r="P15" s="64">
        <v>1.02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1" t="s">
        <v>2751</v>
      </c>
      <c r="B16" s="64">
        <v>8.44</v>
      </c>
      <c r="C16" s="64">
        <v>21.94</v>
      </c>
      <c r="D16" s="64">
        <v>17.77</v>
      </c>
      <c r="E16" s="64">
        <v>5.2</v>
      </c>
      <c r="F16" s="64">
        <v>3.11</v>
      </c>
      <c r="G16" s="64">
        <v>58.32</v>
      </c>
      <c r="H16" s="64">
        <v>30.69</v>
      </c>
      <c r="I16" s="64">
        <v>3.12</v>
      </c>
      <c r="J16" s="64">
        <v>0.02</v>
      </c>
      <c r="K16" s="64">
        <v>138.34</v>
      </c>
      <c r="L16" s="64">
        <v>17.809999999999999</v>
      </c>
      <c r="M16" s="64">
        <v>64.34</v>
      </c>
      <c r="N16" s="64">
        <v>43.7</v>
      </c>
      <c r="O16" s="64">
        <v>0</v>
      </c>
      <c r="P16" s="64">
        <v>0.99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1" t="s">
        <v>2752</v>
      </c>
      <c r="B17" s="64">
        <v>8.11</v>
      </c>
      <c r="C17" s="64">
        <v>22.09</v>
      </c>
      <c r="D17" s="64">
        <v>17.59</v>
      </c>
      <c r="E17" s="64">
        <v>5.18</v>
      </c>
      <c r="F17" s="64">
        <v>3.07</v>
      </c>
      <c r="G17" s="64">
        <v>61.58</v>
      </c>
      <c r="H17" s="64">
        <v>28.45</v>
      </c>
      <c r="I17" s="64">
        <v>3.08</v>
      </c>
      <c r="J17" s="64">
        <v>0.12</v>
      </c>
      <c r="K17" s="64">
        <v>273.33</v>
      </c>
      <c r="L17" s="64">
        <v>17.68</v>
      </c>
      <c r="M17" s="64">
        <v>66.09</v>
      </c>
      <c r="N17" s="64">
        <v>43.6</v>
      </c>
      <c r="O17" s="64">
        <v>0</v>
      </c>
      <c r="P17" s="64">
        <v>0.98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1" t="s">
        <v>2753</v>
      </c>
      <c r="B18" s="64">
        <v>7.86</v>
      </c>
      <c r="C18" s="64">
        <v>21.96</v>
      </c>
      <c r="D18" s="64">
        <v>17.32</v>
      </c>
      <c r="E18" s="64">
        <v>5.41</v>
      </c>
      <c r="F18" s="64">
        <v>2.72</v>
      </c>
      <c r="G18" s="64">
        <v>62.63</v>
      </c>
      <c r="H18" s="64">
        <v>28.45</v>
      </c>
      <c r="I18" s="64">
        <v>3.06</v>
      </c>
      <c r="J18" s="64">
        <v>0.34</v>
      </c>
      <c r="K18" s="64">
        <v>338.49</v>
      </c>
      <c r="L18" s="64">
        <v>17.510000000000002</v>
      </c>
      <c r="M18" s="64">
        <v>68.760000000000005</v>
      </c>
      <c r="N18" s="64">
        <v>43.6</v>
      </c>
      <c r="O18" s="64">
        <v>0</v>
      </c>
      <c r="P18" s="64">
        <v>0.97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11" t="s">
        <v>2754</v>
      </c>
      <c r="B19" s="64">
        <v>7.57</v>
      </c>
      <c r="C19" s="64">
        <v>21.88</v>
      </c>
      <c r="D19" s="64">
        <v>17.04</v>
      </c>
      <c r="E19" s="64">
        <v>5.15</v>
      </c>
      <c r="F19" s="64">
        <v>2.88</v>
      </c>
      <c r="G19" s="64">
        <v>62.63</v>
      </c>
      <c r="H19" s="64">
        <v>28.45</v>
      </c>
      <c r="I19" s="64">
        <v>3.03</v>
      </c>
      <c r="J19" s="64">
        <v>7.0000000000000007E-2</v>
      </c>
      <c r="K19" s="64">
        <v>291.75</v>
      </c>
      <c r="L19" s="64">
        <v>17.559999999999999</v>
      </c>
      <c r="M19" s="64">
        <v>66.05</v>
      </c>
      <c r="N19" s="64">
        <v>43.4</v>
      </c>
      <c r="O19" s="64">
        <v>0</v>
      </c>
      <c r="P19" s="64">
        <v>0.95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1" t="s">
        <v>2755</v>
      </c>
      <c r="B20" s="64">
        <v>7.26</v>
      </c>
      <c r="C20" s="64">
        <v>22</v>
      </c>
      <c r="D20" s="64">
        <v>16.850000000000001</v>
      </c>
      <c r="E20" s="64">
        <v>5.04</v>
      </c>
      <c r="F20" s="64">
        <v>2.87</v>
      </c>
      <c r="G20" s="64">
        <v>62.63</v>
      </c>
      <c r="H20" s="64">
        <v>28.45</v>
      </c>
      <c r="I20" s="64">
        <v>2.99</v>
      </c>
      <c r="J20" s="64">
        <v>0.18</v>
      </c>
      <c r="K20" s="64">
        <v>332.25</v>
      </c>
      <c r="L20" s="64">
        <v>17.47</v>
      </c>
      <c r="M20" s="64">
        <v>67.5</v>
      </c>
      <c r="N20" s="64">
        <v>43.5</v>
      </c>
      <c r="O20" s="64">
        <v>0</v>
      </c>
      <c r="P20" s="64">
        <v>0.93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1" t="s">
        <v>2756</v>
      </c>
      <c r="B21" s="64">
        <v>7</v>
      </c>
      <c r="C21" s="64">
        <v>21.7</v>
      </c>
      <c r="D21" s="64">
        <v>16.489999999999998</v>
      </c>
      <c r="E21" s="64">
        <v>4.9400000000000004</v>
      </c>
      <c r="F21" s="64">
        <v>3.09</v>
      </c>
      <c r="G21" s="64">
        <v>59.98</v>
      </c>
      <c r="H21" s="64">
        <v>26.92</v>
      </c>
      <c r="I21" s="64">
        <v>2.95</v>
      </c>
      <c r="J21" s="64">
        <v>0.24</v>
      </c>
      <c r="K21" s="64">
        <v>299.25</v>
      </c>
      <c r="L21" s="64">
        <v>17.38</v>
      </c>
      <c r="M21" s="64">
        <v>67.650000000000006</v>
      </c>
      <c r="N21" s="64">
        <v>43.5</v>
      </c>
      <c r="O21" s="64">
        <v>0</v>
      </c>
      <c r="P21" s="64">
        <v>0.92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11" t="s">
        <v>2757</v>
      </c>
      <c r="B22" s="64">
        <v>6.76</v>
      </c>
      <c r="C22" s="64">
        <v>21.7</v>
      </c>
      <c r="D22" s="64">
        <v>16.3</v>
      </c>
      <c r="E22" s="64">
        <v>5.34</v>
      </c>
      <c r="F22" s="64">
        <v>3.04</v>
      </c>
      <c r="G22" s="64">
        <v>59.12</v>
      </c>
      <c r="H22" s="64">
        <v>26.92</v>
      </c>
      <c r="I22" s="64">
        <v>2.92</v>
      </c>
      <c r="J22" s="64">
        <v>0.16</v>
      </c>
      <c r="K22" s="64">
        <v>315.14999999999998</v>
      </c>
      <c r="L22" s="64">
        <v>17.27</v>
      </c>
      <c r="M22" s="64">
        <v>68.13</v>
      </c>
      <c r="N22" s="64">
        <v>43.5</v>
      </c>
      <c r="O22" s="64">
        <v>0</v>
      </c>
      <c r="P22" s="64">
        <v>0.91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1" t="s">
        <v>2758</v>
      </c>
      <c r="B23" s="64">
        <v>6.51</v>
      </c>
      <c r="C23" s="64">
        <v>21.64</v>
      </c>
      <c r="D23" s="64">
        <v>16.059999999999999</v>
      </c>
      <c r="E23" s="64">
        <v>5.01</v>
      </c>
      <c r="F23" s="64">
        <v>3.04</v>
      </c>
      <c r="G23" s="64">
        <v>59.12</v>
      </c>
      <c r="H23" s="64">
        <v>26.92</v>
      </c>
      <c r="I23" s="64">
        <v>2.9</v>
      </c>
      <c r="J23" s="64">
        <v>0.22</v>
      </c>
      <c r="K23" s="64">
        <v>276.39</v>
      </c>
      <c r="L23" s="64">
        <v>17.14</v>
      </c>
      <c r="M23" s="64">
        <v>69.599999999999994</v>
      </c>
      <c r="N23" s="64">
        <v>43.6</v>
      </c>
      <c r="O23" s="64">
        <v>0</v>
      </c>
      <c r="P23" s="64">
        <v>0.89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1" t="s">
        <v>2759</v>
      </c>
      <c r="B24" s="64">
        <v>6.33</v>
      </c>
      <c r="C24" s="64">
        <v>21.6</v>
      </c>
      <c r="D24" s="64">
        <v>15.9</v>
      </c>
      <c r="E24" s="64">
        <v>5.17</v>
      </c>
      <c r="F24" s="64">
        <v>2.97</v>
      </c>
      <c r="G24" s="64">
        <v>59.12</v>
      </c>
      <c r="H24" s="64">
        <v>26.92</v>
      </c>
      <c r="I24" s="64">
        <v>2.88</v>
      </c>
      <c r="J24" s="64">
        <v>0.16</v>
      </c>
      <c r="K24" s="64">
        <v>303.11</v>
      </c>
      <c r="L24" s="64">
        <v>16.86</v>
      </c>
      <c r="M24" s="64">
        <v>72.41</v>
      </c>
      <c r="N24" s="64">
        <v>43.7</v>
      </c>
      <c r="O24" s="64">
        <v>0</v>
      </c>
      <c r="P24" s="64">
        <v>0.88</v>
      </c>
      <c r="Q24" s="64">
        <v>9.51</v>
      </c>
      <c r="R24" s="198"/>
      <c r="S24" s="198"/>
      <c r="T24" s="198"/>
      <c r="U24" s="198"/>
    </row>
    <row r="25" spans="1:21" s="12" customFormat="1" x14ac:dyDescent="0.25">
      <c r="A25" s="211" t="s">
        <v>2760</v>
      </c>
      <c r="B25" s="64">
        <v>6.24</v>
      </c>
      <c r="C25" s="64">
        <v>21.41</v>
      </c>
      <c r="D25" s="64">
        <v>15.73</v>
      </c>
      <c r="E25" s="64">
        <v>5.19</v>
      </c>
      <c r="F25" s="64">
        <v>2.78</v>
      </c>
      <c r="G25" s="64">
        <v>61.12</v>
      </c>
      <c r="H25" s="64">
        <v>26.83</v>
      </c>
      <c r="I25" s="64">
        <v>3.2</v>
      </c>
      <c r="J25" s="64">
        <v>0.03</v>
      </c>
      <c r="K25" s="64">
        <v>201.68</v>
      </c>
      <c r="L25" s="64">
        <v>16.63</v>
      </c>
      <c r="M25" s="64">
        <v>74.66</v>
      </c>
      <c r="N25" s="64">
        <v>43.7</v>
      </c>
      <c r="O25" s="64">
        <v>0</v>
      </c>
      <c r="P25" s="64">
        <v>0.86</v>
      </c>
      <c r="Q25" s="64">
        <v>9.5</v>
      </c>
      <c r="R25" s="198"/>
      <c r="S25" s="198"/>
      <c r="T25" s="198"/>
      <c r="U25" s="198"/>
    </row>
    <row r="26" spans="1:21" s="12" customFormat="1" x14ac:dyDescent="0.25">
      <c r="A26" s="211" t="s">
        <v>2761</v>
      </c>
      <c r="B26" s="64">
        <v>6.17</v>
      </c>
      <c r="C26" s="64">
        <v>20.75</v>
      </c>
      <c r="D26" s="64">
        <v>15.33</v>
      </c>
      <c r="E26" s="64">
        <v>5.05</v>
      </c>
      <c r="F26" s="64">
        <v>3</v>
      </c>
      <c r="G26" s="64">
        <v>61.77</v>
      </c>
      <c r="H26" s="64">
        <v>26.83</v>
      </c>
      <c r="I26" s="64">
        <v>3.31</v>
      </c>
      <c r="J26" s="64">
        <v>0.28999999999999998</v>
      </c>
      <c r="K26" s="64">
        <v>303.95</v>
      </c>
      <c r="L26" s="64">
        <v>16.45</v>
      </c>
      <c r="M26" s="64">
        <v>77.27</v>
      </c>
      <c r="N26" s="64">
        <v>43.7</v>
      </c>
      <c r="O26" s="64">
        <v>0</v>
      </c>
      <c r="P26" s="64">
        <v>0.87</v>
      </c>
      <c r="Q26" s="64">
        <v>9.51</v>
      </c>
      <c r="R26" s="198"/>
      <c r="S26" s="198"/>
      <c r="T26" s="198"/>
      <c r="U26" s="198"/>
    </row>
    <row r="27" spans="1:21" s="12" customFormat="1" x14ac:dyDescent="0.25">
      <c r="A27" s="211" t="s">
        <v>2762</v>
      </c>
      <c r="B27" s="64">
        <v>6.22</v>
      </c>
      <c r="C27" s="64">
        <v>21.02</v>
      </c>
      <c r="D27" s="64">
        <v>15.51</v>
      </c>
      <c r="E27" s="64">
        <v>5.2</v>
      </c>
      <c r="F27" s="64">
        <v>2.96</v>
      </c>
      <c r="G27" s="64">
        <v>61.77</v>
      </c>
      <c r="H27" s="64">
        <v>26.83</v>
      </c>
      <c r="I27" s="64">
        <v>3.3</v>
      </c>
      <c r="J27" s="64">
        <v>0.22</v>
      </c>
      <c r="K27" s="64">
        <v>310.39999999999998</v>
      </c>
      <c r="L27" s="64">
        <v>16.3</v>
      </c>
      <c r="M27" s="64">
        <v>78.37</v>
      </c>
      <c r="N27" s="64">
        <v>43.6</v>
      </c>
      <c r="O27" s="64">
        <v>0</v>
      </c>
      <c r="P27" s="64">
        <v>0.89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1" t="s">
        <v>2763</v>
      </c>
      <c r="B28" s="64">
        <v>6.42</v>
      </c>
      <c r="C28" s="64">
        <v>21.25</v>
      </c>
      <c r="D28" s="64">
        <v>15.79</v>
      </c>
      <c r="E28" s="64">
        <v>4.8499999999999996</v>
      </c>
      <c r="F28" s="64">
        <v>2.91</v>
      </c>
      <c r="G28" s="64">
        <v>61.77</v>
      </c>
      <c r="H28" s="64">
        <v>26.83</v>
      </c>
      <c r="I28" s="64">
        <v>3.29</v>
      </c>
      <c r="J28" s="64">
        <v>0.26</v>
      </c>
      <c r="K28" s="64">
        <v>307.77</v>
      </c>
      <c r="L28" s="64">
        <v>16.190000000000001</v>
      </c>
      <c r="M28" s="64">
        <v>79.459999999999994</v>
      </c>
      <c r="N28" s="64">
        <v>43.5</v>
      </c>
      <c r="O28" s="64">
        <v>0</v>
      </c>
      <c r="P28" s="64">
        <v>0.9</v>
      </c>
      <c r="Q28" s="64">
        <v>9.52</v>
      </c>
      <c r="R28" s="198"/>
      <c r="S28" s="198"/>
      <c r="T28" s="198"/>
      <c r="U28" s="198"/>
    </row>
    <row r="29" spans="1:21" s="12" customFormat="1" x14ac:dyDescent="0.25">
      <c r="A29" s="211" t="s">
        <v>2764</v>
      </c>
      <c r="B29" s="64">
        <v>6.67</v>
      </c>
      <c r="C29" s="64">
        <v>21.33</v>
      </c>
      <c r="D29" s="64">
        <v>16.03</v>
      </c>
      <c r="E29" s="64">
        <v>5.1100000000000003</v>
      </c>
      <c r="F29" s="64">
        <v>2.87</v>
      </c>
      <c r="G29" s="64">
        <v>63.56</v>
      </c>
      <c r="H29" s="64">
        <v>26.91</v>
      </c>
      <c r="I29" s="64">
        <v>3.29</v>
      </c>
      <c r="J29" s="64">
        <v>0.13</v>
      </c>
      <c r="K29" s="64">
        <v>272.48</v>
      </c>
      <c r="L29" s="64">
        <v>16.11</v>
      </c>
      <c r="M29" s="64">
        <v>79.22</v>
      </c>
      <c r="N29" s="64">
        <v>43.4</v>
      </c>
      <c r="O29" s="64">
        <v>0</v>
      </c>
      <c r="P29" s="64">
        <v>0.9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1" t="s">
        <v>2765</v>
      </c>
      <c r="B30" s="64">
        <v>6.95</v>
      </c>
      <c r="C30" s="64">
        <v>21.13</v>
      </c>
      <c r="D30" s="64">
        <v>16.149999999999999</v>
      </c>
      <c r="E30" s="64">
        <v>5.33</v>
      </c>
      <c r="F30" s="64">
        <v>3.24</v>
      </c>
      <c r="G30" s="64">
        <v>64.14</v>
      </c>
      <c r="H30" s="64">
        <v>26.91</v>
      </c>
      <c r="I30" s="64">
        <v>3.29</v>
      </c>
      <c r="J30" s="64">
        <v>0.18</v>
      </c>
      <c r="K30" s="64">
        <v>286.52999999999997</v>
      </c>
      <c r="L30" s="64">
        <v>16.03</v>
      </c>
      <c r="M30" s="64">
        <v>79.67</v>
      </c>
      <c r="N30" s="64">
        <v>43.5</v>
      </c>
      <c r="O30" s="64">
        <v>0</v>
      </c>
      <c r="P30" s="64">
        <v>0.9</v>
      </c>
      <c r="Q30" s="64">
        <v>9.5500000000000007</v>
      </c>
      <c r="R30" s="198"/>
      <c r="S30" s="198"/>
      <c r="T30" s="198"/>
      <c r="U30" s="198"/>
    </row>
    <row r="31" spans="1:21" s="12" customFormat="1" x14ac:dyDescent="0.25">
      <c r="A31" s="211" t="s">
        <v>2766</v>
      </c>
      <c r="B31" s="64">
        <v>7.42</v>
      </c>
      <c r="C31" s="64">
        <v>21.14</v>
      </c>
      <c r="D31" s="64">
        <v>16.53</v>
      </c>
      <c r="E31" s="64">
        <v>5.07</v>
      </c>
      <c r="F31" s="64">
        <v>2.87</v>
      </c>
      <c r="G31" s="64">
        <v>64.14</v>
      </c>
      <c r="H31" s="64">
        <v>26.91</v>
      </c>
      <c r="I31" s="64">
        <v>3.28</v>
      </c>
      <c r="J31" s="64">
        <v>0.27</v>
      </c>
      <c r="K31" s="64">
        <v>292.22000000000003</v>
      </c>
      <c r="L31" s="64">
        <v>16.010000000000002</v>
      </c>
      <c r="M31" s="64">
        <v>80.14</v>
      </c>
      <c r="N31" s="64">
        <v>43.4</v>
      </c>
      <c r="O31" s="64">
        <v>0</v>
      </c>
      <c r="P31" s="64">
        <v>0.91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11" t="s">
        <v>2767</v>
      </c>
      <c r="B32" s="64">
        <v>7.95</v>
      </c>
      <c r="C32" s="64">
        <v>20.9</v>
      </c>
      <c r="D32" s="64">
        <v>16.829999999999998</v>
      </c>
      <c r="E32" s="64">
        <v>4.7699999999999996</v>
      </c>
      <c r="F32" s="64">
        <v>3.12</v>
      </c>
      <c r="G32" s="64">
        <v>64.14</v>
      </c>
      <c r="H32" s="64">
        <v>26.91</v>
      </c>
      <c r="I32" s="64">
        <v>3.28</v>
      </c>
      <c r="J32" s="64">
        <v>0.31</v>
      </c>
      <c r="K32" s="64">
        <v>309.45</v>
      </c>
      <c r="L32" s="64">
        <v>15.97</v>
      </c>
      <c r="M32" s="64">
        <v>79.88</v>
      </c>
      <c r="N32" s="64">
        <v>43.6</v>
      </c>
      <c r="O32" s="64">
        <v>0</v>
      </c>
      <c r="P32" s="64">
        <v>0.9</v>
      </c>
      <c r="Q32" s="64">
        <v>9.56</v>
      </c>
      <c r="R32" s="198"/>
      <c r="S32" s="198"/>
      <c r="T32" s="198"/>
      <c r="U32" s="198"/>
    </row>
    <row r="33" spans="1:21" s="12" customFormat="1" x14ac:dyDescent="0.25">
      <c r="A33" s="211" t="s">
        <v>2768</v>
      </c>
      <c r="B33" s="64">
        <v>8.42</v>
      </c>
      <c r="C33" s="64">
        <v>21.02</v>
      </c>
      <c r="D33" s="64">
        <v>17.27</v>
      </c>
      <c r="E33" s="64">
        <v>4.76</v>
      </c>
      <c r="F33" s="64">
        <v>3.05</v>
      </c>
      <c r="G33" s="64">
        <v>63.67</v>
      </c>
      <c r="H33" s="64">
        <v>28.66</v>
      </c>
      <c r="I33" s="64">
        <v>3.27</v>
      </c>
      <c r="J33" s="64">
        <v>0.24</v>
      </c>
      <c r="K33" s="64">
        <v>298.08999999999997</v>
      </c>
      <c r="L33" s="64">
        <v>15.92</v>
      </c>
      <c r="M33" s="64">
        <v>79.430000000000007</v>
      </c>
      <c r="N33" s="64">
        <v>44.7</v>
      </c>
      <c r="O33" s="64">
        <v>0</v>
      </c>
      <c r="P33" s="64">
        <v>0.9</v>
      </c>
      <c r="Q33" s="64">
        <v>9.56</v>
      </c>
      <c r="R33" s="198"/>
      <c r="S33" s="198"/>
      <c r="T33" s="198"/>
      <c r="U33" s="198"/>
    </row>
    <row r="34" spans="1:21" s="12" customFormat="1" x14ac:dyDescent="0.25">
      <c r="A34" s="211" t="s">
        <v>2769</v>
      </c>
      <c r="B34" s="64">
        <v>9</v>
      </c>
      <c r="C34" s="64">
        <v>20.94</v>
      </c>
      <c r="D34" s="64">
        <v>17.7</v>
      </c>
      <c r="E34" s="64">
        <v>5.08</v>
      </c>
      <c r="F34" s="64">
        <v>3.23</v>
      </c>
      <c r="G34" s="64">
        <v>63.52</v>
      </c>
      <c r="H34" s="64">
        <v>28.66</v>
      </c>
      <c r="I34" s="64">
        <v>3.27</v>
      </c>
      <c r="J34" s="64">
        <v>0.23</v>
      </c>
      <c r="K34" s="64">
        <v>311.49</v>
      </c>
      <c r="L34" s="64">
        <v>15.91</v>
      </c>
      <c r="M34" s="64">
        <v>79.33</v>
      </c>
      <c r="N34" s="64">
        <v>50.5</v>
      </c>
      <c r="O34" s="64">
        <v>0</v>
      </c>
      <c r="P34" s="64">
        <v>0.87</v>
      </c>
      <c r="Q34" s="64">
        <v>9.58</v>
      </c>
      <c r="R34" s="198"/>
      <c r="S34" s="198"/>
      <c r="T34" s="198"/>
      <c r="U34" s="198"/>
    </row>
    <row r="35" spans="1:21" s="12" customFormat="1" x14ac:dyDescent="0.25">
      <c r="A35" s="211" t="s">
        <v>2770</v>
      </c>
      <c r="B35" s="64">
        <v>9.69</v>
      </c>
      <c r="C35" s="64">
        <v>20.56</v>
      </c>
      <c r="D35" s="64">
        <v>18.05</v>
      </c>
      <c r="E35" s="64">
        <v>5.0599999999999996</v>
      </c>
      <c r="F35" s="64">
        <v>3</v>
      </c>
      <c r="G35" s="64">
        <v>63.52</v>
      </c>
      <c r="H35" s="64">
        <v>28.66</v>
      </c>
      <c r="I35" s="64">
        <v>3.25</v>
      </c>
      <c r="J35" s="64">
        <v>0.3</v>
      </c>
      <c r="K35" s="64">
        <v>305.37</v>
      </c>
      <c r="L35" s="64">
        <v>16.05</v>
      </c>
      <c r="M35" s="64">
        <v>77.56</v>
      </c>
      <c r="N35" s="64">
        <v>62.1</v>
      </c>
      <c r="O35" s="64">
        <v>0</v>
      </c>
      <c r="P35" s="64">
        <v>0.84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1" t="s">
        <v>2771</v>
      </c>
      <c r="B36" s="64">
        <v>10.17</v>
      </c>
      <c r="C36" s="64">
        <v>20.47</v>
      </c>
      <c r="D36" s="64">
        <v>18.39</v>
      </c>
      <c r="E36" s="64">
        <v>5.23</v>
      </c>
      <c r="F36" s="64">
        <v>2.93</v>
      </c>
      <c r="G36" s="64">
        <v>63.52</v>
      </c>
      <c r="H36" s="64">
        <v>28.66</v>
      </c>
      <c r="I36" s="64">
        <v>3.26</v>
      </c>
      <c r="J36" s="64">
        <v>0.14000000000000001</v>
      </c>
      <c r="K36" s="64">
        <v>297.11</v>
      </c>
      <c r="L36" s="64">
        <v>16.3</v>
      </c>
      <c r="M36" s="64">
        <v>75.62</v>
      </c>
      <c r="N36" s="64">
        <v>77</v>
      </c>
      <c r="O36" s="64">
        <v>0</v>
      </c>
      <c r="P36" s="64">
        <v>0.82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1" t="s">
        <v>2772</v>
      </c>
      <c r="B37" s="64">
        <v>10.44</v>
      </c>
      <c r="C37" s="64">
        <v>20.56</v>
      </c>
      <c r="D37" s="64">
        <v>18.649999999999999</v>
      </c>
      <c r="E37" s="64">
        <v>5.07</v>
      </c>
      <c r="F37" s="64">
        <v>3.52</v>
      </c>
      <c r="G37" s="64">
        <v>66.98</v>
      </c>
      <c r="H37" s="64">
        <v>28.59</v>
      </c>
      <c r="I37" s="64">
        <v>3.25</v>
      </c>
      <c r="J37" s="64">
        <v>0.24</v>
      </c>
      <c r="K37" s="64">
        <v>294.89</v>
      </c>
      <c r="L37" s="64">
        <v>16.54</v>
      </c>
      <c r="M37" s="64">
        <v>73.709999999999994</v>
      </c>
      <c r="N37" s="64">
        <v>96.2</v>
      </c>
      <c r="O37" s="64">
        <v>0</v>
      </c>
      <c r="P37" s="64">
        <v>0.78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1" t="s">
        <v>2773</v>
      </c>
      <c r="B38" s="64">
        <v>10.74</v>
      </c>
      <c r="C38" s="64">
        <v>20.58</v>
      </c>
      <c r="D38" s="64">
        <v>18.91</v>
      </c>
      <c r="E38" s="64">
        <v>4.7</v>
      </c>
      <c r="F38" s="64">
        <v>2.83</v>
      </c>
      <c r="G38" s="64">
        <v>68.099999999999994</v>
      </c>
      <c r="H38" s="64">
        <v>28.59</v>
      </c>
      <c r="I38" s="64">
        <v>3.26</v>
      </c>
      <c r="J38" s="64">
        <v>0.28999999999999998</v>
      </c>
      <c r="K38" s="64">
        <v>314.18</v>
      </c>
      <c r="L38" s="64">
        <v>17.11</v>
      </c>
      <c r="M38" s="64">
        <v>70.540000000000006</v>
      </c>
      <c r="N38" s="64">
        <v>143.80000000000001</v>
      </c>
      <c r="O38" s="64">
        <v>0</v>
      </c>
      <c r="P38" s="64">
        <v>0.82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1" t="s">
        <v>2774</v>
      </c>
      <c r="B39" s="64">
        <v>11.09</v>
      </c>
      <c r="C39" s="64">
        <v>20.64</v>
      </c>
      <c r="D39" s="64">
        <v>19.22</v>
      </c>
      <c r="E39" s="64">
        <v>4.6100000000000003</v>
      </c>
      <c r="F39" s="64">
        <v>2.82</v>
      </c>
      <c r="G39" s="64">
        <v>68.099999999999994</v>
      </c>
      <c r="H39" s="64">
        <v>28.59</v>
      </c>
      <c r="I39" s="64">
        <v>3.26</v>
      </c>
      <c r="J39" s="64">
        <v>0.21</v>
      </c>
      <c r="K39" s="64">
        <v>320.49</v>
      </c>
      <c r="L39" s="64">
        <v>18.420000000000002</v>
      </c>
      <c r="M39" s="64">
        <v>62.83</v>
      </c>
      <c r="N39" s="64">
        <v>203.2</v>
      </c>
      <c r="O39" s="64">
        <v>0</v>
      </c>
      <c r="P39" s="64">
        <v>0.82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1" t="s">
        <v>2775</v>
      </c>
      <c r="B40" s="64">
        <v>11.29</v>
      </c>
      <c r="C40" s="64">
        <v>20.78</v>
      </c>
      <c r="D40" s="64">
        <v>19.45</v>
      </c>
      <c r="E40" s="64">
        <v>3.45</v>
      </c>
      <c r="F40" s="64">
        <v>3.08</v>
      </c>
      <c r="G40" s="64">
        <v>68.099999999999994</v>
      </c>
      <c r="H40" s="64">
        <v>28.59</v>
      </c>
      <c r="I40" s="64">
        <v>3.25</v>
      </c>
      <c r="J40" s="64">
        <v>0.45</v>
      </c>
      <c r="K40" s="64">
        <v>334.65</v>
      </c>
      <c r="L40" s="64">
        <v>19.84</v>
      </c>
      <c r="M40" s="64">
        <v>55.69</v>
      </c>
      <c r="N40" s="64">
        <v>246.2</v>
      </c>
      <c r="O40" s="64">
        <v>0</v>
      </c>
      <c r="P40" s="64">
        <v>0.82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1" t="s">
        <v>2776</v>
      </c>
      <c r="B41" s="64">
        <v>11.49</v>
      </c>
      <c r="C41" s="64">
        <v>21.09</v>
      </c>
      <c r="D41" s="64">
        <v>19.77</v>
      </c>
      <c r="E41" s="64">
        <v>4.83</v>
      </c>
      <c r="F41" s="64">
        <v>2.84</v>
      </c>
      <c r="G41" s="64">
        <v>66.040000000000006</v>
      </c>
      <c r="H41" s="64">
        <v>26.78</v>
      </c>
      <c r="I41" s="64">
        <v>3.26</v>
      </c>
      <c r="J41" s="64">
        <v>0.3</v>
      </c>
      <c r="K41" s="64">
        <v>317.77</v>
      </c>
      <c r="L41" s="64">
        <v>21.03</v>
      </c>
      <c r="M41" s="64">
        <v>51.4</v>
      </c>
      <c r="N41" s="64">
        <v>288.39999999999998</v>
      </c>
      <c r="O41" s="64">
        <v>0</v>
      </c>
      <c r="P41" s="64">
        <v>0.82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1" t="s">
        <v>2777</v>
      </c>
      <c r="B42" s="64">
        <v>11.75</v>
      </c>
      <c r="C42" s="64">
        <v>21.1</v>
      </c>
      <c r="D42" s="64">
        <v>19.989999999999998</v>
      </c>
      <c r="E42" s="64">
        <v>4.7699999999999996</v>
      </c>
      <c r="F42" s="64">
        <v>2.68</v>
      </c>
      <c r="G42" s="64">
        <v>65.38</v>
      </c>
      <c r="H42" s="64">
        <v>26.78</v>
      </c>
      <c r="I42" s="64">
        <v>3.27</v>
      </c>
      <c r="J42" s="64">
        <v>0.06</v>
      </c>
      <c r="K42" s="64">
        <v>70.77</v>
      </c>
      <c r="L42" s="64">
        <v>21.89</v>
      </c>
      <c r="M42" s="64">
        <v>47.68</v>
      </c>
      <c r="N42" s="64">
        <v>335.6</v>
      </c>
      <c r="O42" s="64">
        <v>0</v>
      </c>
      <c r="P42" s="64">
        <v>0.83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1" t="s">
        <v>2778</v>
      </c>
      <c r="B43" s="64">
        <v>11.87</v>
      </c>
      <c r="C43" s="64">
        <v>20.81</v>
      </c>
      <c r="D43" s="64">
        <v>19.93</v>
      </c>
      <c r="E43" s="64">
        <v>4.87</v>
      </c>
      <c r="F43" s="64">
        <v>2.82</v>
      </c>
      <c r="G43" s="64">
        <v>65.38</v>
      </c>
      <c r="H43" s="64">
        <v>26.78</v>
      </c>
      <c r="I43" s="64">
        <v>3.28</v>
      </c>
      <c r="J43" s="64">
        <v>0.52</v>
      </c>
      <c r="K43" s="64">
        <v>114.7</v>
      </c>
      <c r="L43" s="64">
        <v>21.75</v>
      </c>
      <c r="M43" s="64">
        <v>49.36</v>
      </c>
      <c r="N43" s="64">
        <v>377.1</v>
      </c>
      <c r="O43" s="64">
        <v>0</v>
      </c>
      <c r="P43" s="64">
        <v>0.83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1" t="s">
        <v>2779</v>
      </c>
      <c r="B44" s="64">
        <v>11.63</v>
      </c>
      <c r="C44" s="64">
        <v>20.95</v>
      </c>
      <c r="D44" s="64">
        <v>19.809999999999999</v>
      </c>
      <c r="E44" s="64">
        <v>5.92</v>
      </c>
      <c r="F44" s="64">
        <v>3.75</v>
      </c>
      <c r="G44" s="64">
        <v>65.38</v>
      </c>
      <c r="H44" s="64">
        <v>26.78</v>
      </c>
      <c r="I44" s="64">
        <v>3.26</v>
      </c>
      <c r="J44" s="64">
        <v>1.06</v>
      </c>
      <c r="K44" s="64">
        <v>123.71</v>
      </c>
      <c r="L44" s="64">
        <v>21.56</v>
      </c>
      <c r="M44" s="64">
        <v>49.93</v>
      </c>
      <c r="N44" s="64">
        <v>415.7</v>
      </c>
      <c r="O44" s="64">
        <v>0</v>
      </c>
      <c r="P44" s="64">
        <v>0.83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2780</v>
      </c>
      <c r="B45" s="64">
        <v>10.96</v>
      </c>
      <c r="C45" s="64">
        <v>24.52</v>
      </c>
      <c r="D45" s="64">
        <v>21.14</v>
      </c>
      <c r="E45" s="64">
        <v>7.5</v>
      </c>
      <c r="F45" s="64">
        <v>4.8099999999999996</v>
      </c>
      <c r="G45" s="64">
        <v>55.75</v>
      </c>
      <c r="H45" s="64">
        <v>26.12</v>
      </c>
      <c r="I45" s="64">
        <v>3.26</v>
      </c>
      <c r="J45" s="64">
        <v>0.71</v>
      </c>
      <c r="K45" s="64">
        <v>115.18</v>
      </c>
      <c r="L45" s="64">
        <v>21.39</v>
      </c>
      <c r="M45" s="64">
        <v>46.73</v>
      </c>
      <c r="N45" s="64">
        <v>448</v>
      </c>
      <c r="O45" s="64">
        <v>0</v>
      </c>
      <c r="P45" s="64">
        <v>0.84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1" t="s">
        <v>2781</v>
      </c>
      <c r="B46" s="64">
        <v>9.2100000000000009</v>
      </c>
      <c r="C46" s="64">
        <v>24.78</v>
      </c>
      <c r="D46" s="64">
        <v>19.87</v>
      </c>
      <c r="E46" s="64">
        <v>7.84</v>
      </c>
      <c r="F46" s="64">
        <v>6.13</v>
      </c>
      <c r="G46" s="64">
        <v>52.63</v>
      </c>
      <c r="H46" s="64">
        <v>26.12</v>
      </c>
      <c r="I46" s="64">
        <v>3.24</v>
      </c>
      <c r="J46" s="64">
        <v>0.4</v>
      </c>
      <c r="K46" s="64">
        <v>119.85</v>
      </c>
      <c r="L46" s="64">
        <v>22.39</v>
      </c>
      <c r="M46" s="64">
        <v>42</v>
      </c>
      <c r="N46" s="64">
        <v>466.7</v>
      </c>
      <c r="O46" s="64">
        <v>0</v>
      </c>
      <c r="P46" s="64">
        <v>0.84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1" t="s">
        <v>2782</v>
      </c>
      <c r="B47" s="64">
        <v>4.88</v>
      </c>
      <c r="C47" s="64">
        <v>31</v>
      </c>
      <c r="D47" s="64">
        <v>19.649999999999999</v>
      </c>
      <c r="E47" s="64">
        <v>7.51</v>
      </c>
      <c r="F47" s="64">
        <v>8.5</v>
      </c>
      <c r="G47" s="64">
        <v>52.63</v>
      </c>
      <c r="H47" s="64">
        <v>26.12</v>
      </c>
      <c r="I47" s="64">
        <v>3.19</v>
      </c>
      <c r="J47" s="64">
        <v>0.53</v>
      </c>
      <c r="K47" s="64">
        <v>117.86</v>
      </c>
      <c r="L47" s="64">
        <v>22.91</v>
      </c>
      <c r="M47" s="64">
        <v>42.4</v>
      </c>
      <c r="N47" s="64">
        <v>473.1</v>
      </c>
      <c r="O47" s="64">
        <v>0</v>
      </c>
      <c r="P47" s="64">
        <v>0.83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1" t="s">
        <v>2783</v>
      </c>
      <c r="B48" s="64">
        <v>2.8</v>
      </c>
      <c r="C48" s="64">
        <v>34.65</v>
      </c>
      <c r="D48" s="64">
        <v>19.89</v>
      </c>
      <c r="E48" s="64">
        <v>6.06</v>
      </c>
      <c r="F48" s="64">
        <v>8.11</v>
      </c>
      <c r="G48" s="64">
        <v>52.63</v>
      </c>
      <c r="H48" s="64">
        <v>26.12</v>
      </c>
      <c r="I48" s="64">
        <v>2.96</v>
      </c>
      <c r="J48" s="64">
        <v>0.56999999999999995</v>
      </c>
      <c r="K48" s="64">
        <v>110.56</v>
      </c>
      <c r="L48" s="64">
        <v>23.17</v>
      </c>
      <c r="M48" s="64">
        <v>40.659999999999997</v>
      </c>
      <c r="N48" s="64">
        <v>492</v>
      </c>
      <c r="O48" s="64">
        <v>0</v>
      </c>
      <c r="P48" s="64">
        <v>0.84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1" t="s">
        <v>2784</v>
      </c>
      <c r="B49" s="64">
        <v>2.76</v>
      </c>
      <c r="C49" s="64">
        <v>35.229999999999997</v>
      </c>
      <c r="D49" s="64">
        <v>20.149999999999999</v>
      </c>
      <c r="E49" s="64">
        <v>6.54</v>
      </c>
      <c r="F49" s="64">
        <v>6.43</v>
      </c>
      <c r="G49" s="64">
        <v>52.63</v>
      </c>
      <c r="H49" s="64">
        <v>26.12</v>
      </c>
      <c r="I49" s="64">
        <v>2.57</v>
      </c>
      <c r="J49" s="64">
        <v>0.48</v>
      </c>
      <c r="K49" s="64">
        <v>104.92</v>
      </c>
      <c r="L49" s="64">
        <v>23.88</v>
      </c>
      <c r="M49" s="64">
        <v>37.51</v>
      </c>
      <c r="N49" s="64">
        <v>511.9</v>
      </c>
      <c r="O49" s="64">
        <v>0</v>
      </c>
      <c r="P49" s="64">
        <v>0.86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1" t="s">
        <v>2785</v>
      </c>
      <c r="B50" s="64">
        <v>3.7</v>
      </c>
      <c r="C50" s="64">
        <v>33.92</v>
      </c>
      <c r="D50" s="64">
        <v>20.22</v>
      </c>
      <c r="E50" s="64">
        <v>6.36</v>
      </c>
      <c r="F50" s="64">
        <v>4.68</v>
      </c>
      <c r="G50" s="64">
        <v>52.63</v>
      </c>
      <c r="H50" s="64">
        <v>26.12</v>
      </c>
      <c r="I50" s="64">
        <v>2.5</v>
      </c>
      <c r="J50" s="64">
        <v>0.63</v>
      </c>
      <c r="K50" s="64">
        <v>112.38</v>
      </c>
      <c r="L50" s="64">
        <v>23.58</v>
      </c>
      <c r="M50" s="64">
        <v>38.06</v>
      </c>
      <c r="N50" s="64">
        <v>528.20000000000005</v>
      </c>
      <c r="O50" s="64">
        <v>0</v>
      </c>
      <c r="P50" s="64">
        <v>0.86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1" t="s">
        <v>2786</v>
      </c>
      <c r="B51" s="64">
        <v>4.0199999999999996</v>
      </c>
      <c r="C51" s="64">
        <v>32.54</v>
      </c>
      <c r="D51" s="64">
        <v>19.760000000000002</v>
      </c>
      <c r="E51" s="64">
        <v>5.96</v>
      </c>
      <c r="F51" s="64">
        <v>4.0199999999999996</v>
      </c>
      <c r="G51" s="64">
        <v>52.63</v>
      </c>
      <c r="H51" s="64">
        <v>26.12</v>
      </c>
      <c r="I51" s="64">
        <v>2.57</v>
      </c>
      <c r="J51" s="64">
        <v>0.28000000000000003</v>
      </c>
      <c r="K51" s="64">
        <v>15.68</v>
      </c>
      <c r="L51" s="64">
        <v>24.67</v>
      </c>
      <c r="M51" s="64">
        <v>33.950000000000003</v>
      </c>
      <c r="N51" s="64">
        <v>541.6</v>
      </c>
      <c r="O51" s="64">
        <v>0</v>
      </c>
      <c r="P51" s="64">
        <v>0.84</v>
      </c>
      <c r="Q51" s="64">
        <v>9.59</v>
      </c>
      <c r="R51" s="198"/>
      <c r="S51" s="198"/>
      <c r="T51" s="198"/>
      <c r="U51" s="198"/>
    </row>
    <row r="52" spans="1:21" s="12" customFormat="1" x14ac:dyDescent="0.25">
      <c r="A52" s="211" t="s">
        <v>2787</v>
      </c>
      <c r="B52" s="64">
        <v>4.28</v>
      </c>
      <c r="C52" s="64">
        <v>31.01</v>
      </c>
      <c r="D52" s="64">
        <v>19.18</v>
      </c>
      <c r="E52" s="64">
        <v>7.93</v>
      </c>
      <c r="F52" s="64">
        <v>9.85</v>
      </c>
      <c r="G52" s="64">
        <v>52.63</v>
      </c>
      <c r="H52" s="64">
        <v>26.12</v>
      </c>
      <c r="I52" s="64">
        <v>2.62</v>
      </c>
      <c r="J52" s="64">
        <v>0.22</v>
      </c>
      <c r="K52" s="64">
        <v>109.18</v>
      </c>
      <c r="L52" s="64">
        <v>25.41</v>
      </c>
      <c r="M52" s="64">
        <v>32.01</v>
      </c>
      <c r="N52" s="64">
        <v>553.4</v>
      </c>
      <c r="O52" s="64">
        <v>0</v>
      </c>
      <c r="P52" s="64">
        <v>0.77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1" t="s">
        <v>2788</v>
      </c>
      <c r="B53" s="64">
        <v>3.27</v>
      </c>
      <c r="C53" s="64">
        <v>31.95</v>
      </c>
      <c r="D53" s="64">
        <v>18.02</v>
      </c>
      <c r="E53" s="64">
        <v>8.36</v>
      </c>
      <c r="F53" s="64">
        <v>12.13</v>
      </c>
      <c r="G53" s="64">
        <v>0</v>
      </c>
      <c r="H53" s="64">
        <v>0</v>
      </c>
      <c r="I53" s="64">
        <v>2.67</v>
      </c>
      <c r="J53" s="64">
        <v>0.28000000000000003</v>
      </c>
      <c r="K53" s="64">
        <v>9.32</v>
      </c>
      <c r="L53" s="64">
        <v>26.33</v>
      </c>
      <c r="M53" s="64">
        <v>30.33</v>
      </c>
      <c r="N53" s="64">
        <v>558.20000000000005</v>
      </c>
      <c r="O53" s="64">
        <v>0</v>
      </c>
      <c r="P53" s="64">
        <v>0.66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1" t="s">
        <v>2789</v>
      </c>
      <c r="B54" s="64">
        <v>2.48</v>
      </c>
      <c r="C54" s="64">
        <v>31.16</v>
      </c>
      <c r="D54" s="64">
        <v>17.8</v>
      </c>
      <c r="E54" s="64">
        <v>6.14</v>
      </c>
      <c r="F54" s="64">
        <v>6.17</v>
      </c>
      <c r="G54" s="64">
        <v>0</v>
      </c>
      <c r="H54" s="64">
        <v>0</v>
      </c>
      <c r="I54" s="64">
        <v>2.34</v>
      </c>
      <c r="J54" s="64">
        <v>0.17</v>
      </c>
      <c r="K54" s="64">
        <v>109.2</v>
      </c>
      <c r="L54" s="64">
        <v>25.53</v>
      </c>
      <c r="M54" s="64">
        <v>31.56</v>
      </c>
      <c r="N54" s="64">
        <v>554.5</v>
      </c>
      <c r="O54" s="64">
        <v>0</v>
      </c>
      <c r="P54" s="64">
        <v>0.66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1" t="s">
        <v>2790</v>
      </c>
      <c r="B55" s="64">
        <v>2.66</v>
      </c>
      <c r="C55" s="64">
        <v>30.67</v>
      </c>
      <c r="D55" s="64">
        <v>17.7</v>
      </c>
      <c r="E55" s="64">
        <v>5.43</v>
      </c>
      <c r="F55" s="64">
        <v>4.5599999999999996</v>
      </c>
      <c r="G55" s="64">
        <v>0</v>
      </c>
      <c r="H55" s="64">
        <v>0</v>
      </c>
      <c r="I55" s="64">
        <v>2.09</v>
      </c>
      <c r="J55" s="64">
        <v>0.57999999999999996</v>
      </c>
      <c r="K55" s="64">
        <v>353.23</v>
      </c>
      <c r="L55" s="64">
        <v>26.07</v>
      </c>
      <c r="M55" s="64">
        <v>30.44</v>
      </c>
      <c r="N55" s="64">
        <v>547.9</v>
      </c>
      <c r="O55" s="64">
        <v>0</v>
      </c>
      <c r="P55" s="64">
        <v>0.65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1" t="s">
        <v>2791</v>
      </c>
      <c r="B56" s="64">
        <v>3.01</v>
      </c>
      <c r="C56" s="64">
        <v>30.19</v>
      </c>
      <c r="D56" s="64">
        <v>17.73</v>
      </c>
      <c r="E56" s="64">
        <v>4.8099999999999996</v>
      </c>
      <c r="F56" s="64">
        <v>3.81</v>
      </c>
      <c r="G56" s="64">
        <v>0</v>
      </c>
      <c r="H56" s="64">
        <v>0</v>
      </c>
      <c r="I56" s="64">
        <v>2.0699999999999998</v>
      </c>
      <c r="J56" s="64">
        <v>0.81</v>
      </c>
      <c r="K56" s="64">
        <v>349.75</v>
      </c>
      <c r="L56" s="64">
        <v>27.17</v>
      </c>
      <c r="M56" s="64">
        <v>26.97</v>
      </c>
      <c r="N56" s="64">
        <v>547.20000000000005</v>
      </c>
      <c r="O56" s="64">
        <v>0</v>
      </c>
      <c r="P56" s="64">
        <v>0.64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1" t="s">
        <v>2792</v>
      </c>
      <c r="B57" s="64">
        <v>3.45</v>
      </c>
      <c r="C57" s="64">
        <v>29.79</v>
      </c>
      <c r="D57" s="64">
        <v>17.87</v>
      </c>
      <c r="E57" s="64">
        <v>5.1100000000000003</v>
      </c>
      <c r="F57" s="64">
        <v>3.54</v>
      </c>
      <c r="G57" s="64">
        <v>12.75</v>
      </c>
      <c r="H57" s="64">
        <v>4.9400000000000004</v>
      </c>
      <c r="I57" s="64">
        <v>2.12</v>
      </c>
      <c r="J57" s="64">
        <v>0.37</v>
      </c>
      <c r="K57" s="64">
        <v>44.81</v>
      </c>
      <c r="L57" s="64">
        <v>25.94</v>
      </c>
      <c r="M57" s="64">
        <v>29.55</v>
      </c>
      <c r="N57" s="64">
        <v>542.4</v>
      </c>
      <c r="O57" s="64">
        <v>0</v>
      </c>
      <c r="P57" s="64">
        <v>0.65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1" t="s">
        <v>2793</v>
      </c>
      <c r="B58" s="64">
        <v>3.85</v>
      </c>
      <c r="C58" s="64">
        <v>29.26</v>
      </c>
      <c r="D58" s="64">
        <v>17.920000000000002</v>
      </c>
      <c r="E58" s="64">
        <v>4.9800000000000004</v>
      </c>
      <c r="F58" s="64">
        <v>3.54</v>
      </c>
      <c r="G58" s="64">
        <v>67.489999999999995</v>
      </c>
      <c r="H58" s="64">
        <v>19.489999999999998</v>
      </c>
      <c r="I58" s="64">
        <v>2.17</v>
      </c>
      <c r="J58" s="64">
        <v>0.32</v>
      </c>
      <c r="K58" s="64">
        <v>47.64</v>
      </c>
      <c r="L58" s="64">
        <v>26.19</v>
      </c>
      <c r="M58" s="64">
        <v>29.19</v>
      </c>
      <c r="N58" s="64">
        <v>508.7</v>
      </c>
      <c r="O58" s="64">
        <v>0</v>
      </c>
      <c r="P58" s="64">
        <v>0.65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1" t="s">
        <v>2794</v>
      </c>
      <c r="B59" s="64">
        <v>4.1500000000000004</v>
      </c>
      <c r="C59" s="64">
        <v>28.84</v>
      </c>
      <c r="D59" s="64">
        <v>17.93</v>
      </c>
      <c r="E59" s="64">
        <v>4.82</v>
      </c>
      <c r="F59" s="64">
        <v>3.39</v>
      </c>
      <c r="G59" s="64">
        <v>67.489999999999995</v>
      </c>
      <c r="H59" s="64">
        <v>19.489999999999998</v>
      </c>
      <c r="I59" s="64">
        <v>2.19</v>
      </c>
      <c r="J59" s="64">
        <v>0.87</v>
      </c>
      <c r="K59" s="64">
        <v>346.19</v>
      </c>
      <c r="L59" s="64">
        <v>26.41</v>
      </c>
      <c r="M59" s="64">
        <v>28.09</v>
      </c>
      <c r="N59" s="64">
        <v>503.1</v>
      </c>
      <c r="O59" s="64">
        <v>0</v>
      </c>
      <c r="P59" s="64">
        <v>0.65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1" t="s">
        <v>2795</v>
      </c>
      <c r="B60" s="64">
        <v>4.3600000000000003</v>
      </c>
      <c r="C60" s="64">
        <v>28.59</v>
      </c>
      <c r="D60" s="64">
        <v>17.97</v>
      </c>
      <c r="E60" s="64">
        <v>4.7</v>
      </c>
      <c r="F60" s="64">
        <v>4.2</v>
      </c>
      <c r="G60" s="64">
        <v>67.489999999999995</v>
      </c>
      <c r="H60" s="64">
        <v>19.489999999999998</v>
      </c>
      <c r="I60" s="64">
        <v>2.2200000000000002</v>
      </c>
      <c r="J60" s="64">
        <v>0.22</v>
      </c>
      <c r="K60" s="64">
        <v>8.58</v>
      </c>
      <c r="L60" s="64">
        <v>26.4</v>
      </c>
      <c r="M60" s="64">
        <v>27.91</v>
      </c>
      <c r="N60" s="64">
        <v>467</v>
      </c>
      <c r="O60" s="64">
        <v>0</v>
      </c>
      <c r="P60" s="64">
        <v>0.65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1" t="s">
        <v>2796</v>
      </c>
      <c r="B61" s="64">
        <v>4.47</v>
      </c>
      <c r="C61" s="64">
        <v>27.56</v>
      </c>
      <c r="D61" s="64">
        <v>17.52</v>
      </c>
      <c r="E61" s="64">
        <v>4.59</v>
      </c>
      <c r="F61" s="64">
        <v>4.87</v>
      </c>
      <c r="G61" s="64">
        <v>66.540000000000006</v>
      </c>
      <c r="H61" s="64">
        <v>19.440000000000001</v>
      </c>
      <c r="I61" s="64">
        <v>2.23</v>
      </c>
      <c r="J61" s="64">
        <v>0.57999999999999996</v>
      </c>
      <c r="K61" s="64">
        <v>346.73</v>
      </c>
      <c r="L61" s="64">
        <v>26.69</v>
      </c>
      <c r="M61" s="64">
        <v>26.78</v>
      </c>
      <c r="N61" s="64">
        <v>422.3</v>
      </c>
      <c r="O61" s="64">
        <v>0</v>
      </c>
      <c r="P61" s="64">
        <v>0.6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1" t="s">
        <v>2797</v>
      </c>
      <c r="B62" s="64">
        <v>4.63</v>
      </c>
      <c r="C62" s="64">
        <v>27.03</v>
      </c>
      <c r="D62" s="64">
        <v>17.38</v>
      </c>
      <c r="E62" s="64">
        <v>4.7699999999999996</v>
      </c>
      <c r="F62" s="64">
        <v>4.54</v>
      </c>
      <c r="G62" s="64">
        <v>62.48</v>
      </c>
      <c r="H62" s="64">
        <v>19.28</v>
      </c>
      <c r="I62" s="64">
        <v>2.2400000000000002</v>
      </c>
      <c r="J62" s="64">
        <v>0.67</v>
      </c>
      <c r="K62" s="64">
        <v>324.07</v>
      </c>
      <c r="L62" s="64">
        <v>26.81</v>
      </c>
      <c r="M62" s="64">
        <v>25.98</v>
      </c>
      <c r="N62" s="64">
        <v>441.9</v>
      </c>
      <c r="O62" s="64">
        <v>0</v>
      </c>
      <c r="P62" s="64">
        <v>0.68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1" t="s">
        <v>2798</v>
      </c>
      <c r="B63" s="64">
        <v>4.76</v>
      </c>
      <c r="C63" s="64">
        <v>27.12</v>
      </c>
      <c r="D63" s="64">
        <v>17.52</v>
      </c>
      <c r="E63" s="64">
        <v>5.01</v>
      </c>
      <c r="F63" s="64">
        <v>3.52</v>
      </c>
      <c r="G63" s="64">
        <v>62.48</v>
      </c>
      <c r="H63" s="64">
        <v>19.28</v>
      </c>
      <c r="I63" s="64">
        <v>2.27</v>
      </c>
      <c r="J63" s="64">
        <v>0.74</v>
      </c>
      <c r="K63" s="64">
        <v>339.23</v>
      </c>
      <c r="L63" s="64">
        <v>26.44</v>
      </c>
      <c r="M63" s="64">
        <v>26.15</v>
      </c>
      <c r="N63" s="64">
        <v>409.2</v>
      </c>
      <c r="O63" s="64">
        <v>0</v>
      </c>
      <c r="P63" s="64">
        <v>0.73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1" t="s">
        <v>2799</v>
      </c>
      <c r="B64" s="64">
        <v>4.8099999999999996</v>
      </c>
      <c r="C64" s="64">
        <v>27.29</v>
      </c>
      <c r="D64" s="64">
        <v>17.66</v>
      </c>
      <c r="E64" s="64">
        <v>5</v>
      </c>
      <c r="F64" s="64">
        <v>5.4</v>
      </c>
      <c r="G64" s="64">
        <v>62.48</v>
      </c>
      <c r="H64" s="64">
        <v>19.28</v>
      </c>
      <c r="I64" s="64">
        <v>2.29</v>
      </c>
      <c r="J64" s="64">
        <v>0.64</v>
      </c>
      <c r="K64" s="64">
        <v>348.03</v>
      </c>
      <c r="L64" s="64">
        <v>25.68</v>
      </c>
      <c r="M64" s="64">
        <v>25.8</v>
      </c>
      <c r="N64" s="64">
        <v>251.5</v>
      </c>
      <c r="O64" s="64">
        <v>0</v>
      </c>
      <c r="P64" s="64">
        <v>0.72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1" t="s">
        <v>2800</v>
      </c>
      <c r="B65" s="64">
        <v>4.7699999999999996</v>
      </c>
      <c r="C65" s="64">
        <v>27.44</v>
      </c>
      <c r="D65" s="64">
        <v>17.7</v>
      </c>
      <c r="E65" s="64">
        <v>4.5</v>
      </c>
      <c r="F65" s="64">
        <v>6.24</v>
      </c>
      <c r="G65" s="64">
        <v>61.86</v>
      </c>
      <c r="H65" s="64">
        <v>19.399999999999999</v>
      </c>
      <c r="I65" s="64">
        <v>2.31</v>
      </c>
      <c r="J65" s="64">
        <v>0.35</v>
      </c>
      <c r="K65" s="64">
        <v>3.57</v>
      </c>
      <c r="L65" s="64">
        <v>25.24</v>
      </c>
      <c r="M65" s="64">
        <v>22.99</v>
      </c>
      <c r="N65" s="64">
        <v>135.30000000000001</v>
      </c>
      <c r="O65" s="64">
        <v>0</v>
      </c>
      <c r="P65" s="64">
        <v>0.69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1" t="s">
        <v>2801</v>
      </c>
      <c r="B66" s="64">
        <v>4.67</v>
      </c>
      <c r="C66" s="64">
        <v>27.47</v>
      </c>
      <c r="D66" s="64">
        <v>17.64</v>
      </c>
      <c r="E66" s="64">
        <v>4.45</v>
      </c>
      <c r="F66" s="64">
        <v>6.68</v>
      </c>
      <c r="G66" s="64">
        <v>59.2</v>
      </c>
      <c r="H66" s="64">
        <v>19.73</v>
      </c>
      <c r="I66" s="64">
        <v>2.33</v>
      </c>
      <c r="J66" s="64">
        <v>1.05</v>
      </c>
      <c r="K66" s="64">
        <v>344.38</v>
      </c>
      <c r="L66" s="64">
        <v>25.05</v>
      </c>
      <c r="M66" s="64">
        <v>21.44</v>
      </c>
      <c r="N66" s="64">
        <v>132.30000000000001</v>
      </c>
      <c r="O66" s="64">
        <v>0</v>
      </c>
      <c r="P66" s="64">
        <v>0.74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1" t="s">
        <v>2802</v>
      </c>
      <c r="B67" s="64">
        <v>4.68</v>
      </c>
      <c r="C67" s="64">
        <v>27.58</v>
      </c>
      <c r="D67" s="64">
        <v>17.7</v>
      </c>
      <c r="E67" s="64">
        <v>4.7300000000000004</v>
      </c>
      <c r="F67" s="64">
        <v>7.59</v>
      </c>
      <c r="G67" s="64">
        <v>59.2</v>
      </c>
      <c r="H67" s="64">
        <v>19.73</v>
      </c>
      <c r="I67" s="64">
        <v>2.34</v>
      </c>
      <c r="J67" s="64">
        <v>0.79</v>
      </c>
      <c r="K67" s="64">
        <v>335.33</v>
      </c>
      <c r="L67" s="64">
        <v>24.88</v>
      </c>
      <c r="M67" s="64">
        <v>21.71</v>
      </c>
      <c r="N67" s="64">
        <v>107.8</v>
      </c>
      <c r="O67" s="64">
        <v>0</v>
      </c>
      <c r="P67" s="64">
        <v>0.74</v>
      </c>
      <c r="Q67" s="64">
        <v>9.59</v>
      </c>
      <c r="R67" s="198"/>
      <c r="S67" s="198"/>
      <c r="T67" s="198"/>
      <c r="U67" s="198"/>
    </row>
    <row r="68" spans="1:21" s="12" customFormat="1" x14ac:dyDescent="0.25">
      <c r="A68" s="211" t="s">
        <v>2803</v>
      </c>
      <c r="B68" s="64">
        <v>4.54</v>
      </c>
      <c r="C68" s="64">
        <v>27.78</v>
      </c>
      <c r="D68" s="64">
        <v>17.690000000000001</v>
      </c>
      <c r="E68" s="64">
        <v>4.9000000000000004</v>
      </c>
      <c r="F68" s="64">
        <v>5.23</v>
      </c>
      <c r="G68" s="64">
        <v>59.2</v>
      </c>
      <c r="H68" s="64">
        <v>19.73</v>
      </c>
      <c r="I68" s="64">
        <v>2.34</v>
      </c>
      <c r="J68" s="64">
        <v>0.52</v>
      </c>
      <c r="K68" s="64">
        <v>336.65</v>
      </c>
      <c r="L68" s="64">
        <v>24.42</v>
      </c>
      <c r="M68" s="64">
        <v>20.55</v>
      </c>
      <c r="N68" s="64">
        <v>93.2</v>
      </c>
      <c r="O68" s="64">
        <v>0</v>
      </c>
      <c r="P68" s="64">
        <v>0.73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1" t="s">
        <v>2804</v>
      </c>
      <c r="B69" s="64">
        <v>4.32</v>
      </c>
      <c r="C69" s="64">
        <v>28.08</v>
      </c>
      <c r="D69" s="64">
        <v>17.670000000000002</v>
      </c>
      <c r="E69" s="64">
        <v>4.76</v>
      </c>
      <c r="F69" s="64">
        <v>3.76</v>
      </c>
      <c r="G69" s="64">
        <v>58.34</v>
      </c>
      <c r="H69" s="64">
        <v>19.579999999999998</v>
      </c>
      <c r="I69" s="64">
        <v>2.35</v>
      </c>
      <c r="J69" s="64">
        <v>1.06</v>
      </c>
      <c r="K69" s="64">
        <v>339.27</v>
      </c>
      <c r="L69" s="64">
        <v>24.22</v>
      </c>
      <c r="M69" s="64">
        <v>20.78</v>
      </c>
      <c r="N69" s="64">
        <v>85.9</v>
      </c>
      <c r="O69" s="64">
        <v>0</v>
      </c>
      <c r="P69" s="64">
        <v>0.71</v>
      </c>
      <c r="Q69" s="64">
        <v>9.56</v>
      </c>
      <c r="R69" s="198"/>
      <c r="S69" s="198"/>
      <c r="T69" s="198"/>
      <c r="U69" s="198"/>
    </row>
    <row r="70" spans="1:21" s="12" customFormat="1" x14ac:dyDescent="0.25">
      <c r="A70" s="211" t="s">
        <v>2805</v>
      </c>
      <c r="B70" s="64">
        <v>4.3</v>
      </c>
      <c r="C70" s="64">
        <v>27.99</v>
      </c>
      <c r="D70" s="64">
        <v>17.61</v>
      </c>
      <c r="E70" s="64">
        <v>4.7</v>
      </c>
      <c r="F70" s="64">
        <v>5.15</v>
      </c>
      <c r="G70" s="64">
        <v>54.65</v>
      </c>
      <c r="H70" s="64">
        <v>18.88</v>
      </c>
      <c r="I70" s="64">
        <v>2.34</v>
      </c>
      <c r="J70" s="64">
        <v>0.7</v>
      </c>
      <c r="K70" s="64">
        <v>338.24</v>
      </c>
      <c r="L70" s="64">
        <v>24.11</v>
      </c>
      <c r="M70" s="64">
        <v>21.69</v>
      </c>
      <c r="N70" s="64">
        <v>79.7</v>
      </c>
      <c r="O70" s="64">
        <v>0</v>
      </c>
      <c r="P70" s="64">
        <v>0.66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1" t="s">
        <v>2806</v>
      </c>
      <c r="B71" s="64">
        <v>4.38</v>
      </c>
      <c r="C71" s="64">
        <v>28.03</v>
      </c>
      <c r="D71" s="64">
        <v>17.7</v>
      </c>
      <c r="E71" s="64">
        <v>4.51</v>
      </c>
      <c r="F71" s="64">
        <v>4.9000000000000004</v>
      </c>
      <c r="G71" s="64">
        <v>54.65</v>
      </c>
      <c r="H71" s="64">
        <v>18.88</v>
      </c>
      <c r="I71" s="64">
        <v>2.31</v>
      </c>
      <c r="J71" s="64">
        <v>0.55000000000000004</v>
      </c>
      <c r="K71" s="64">
        <v>345.87</v>
      </c>
      <c r="L71" s="64">
        <v>23.83</v>
      </c>
      <c r="M71" s="64">
        <v>22.3</v>
      </c>
      <c r="N71" s="64">
        <v>73.8</v>
      </c>
      <c r="O71" s="64">
        <v>0</v>
      </c>
      <c r="P71" s="64">
        <v>0.66</v>
      </c>
      <c r="Q71" s="64">
        <v>9.5299999999999994</v>
      </c>
      <c r="R71" s="198"/>
      <c r="S71" s="198"/>
      <c r="T71" s="198"/>
      <c r="U71" s="198"/>
    </row>
    <row r="72" spans="1:21" s="12" customFormat="1" x14ac:dyDescent="0.25">
      <c r="A72" s="211" t="s">
        <v>2807</v>
      </c>
      <c r="B72" s="64">
        <v>4.46</v>
      </c>
      <c r="C72" s="64">
        <v>27.9</v>
      </c>
      <c r="D72" s="64">
        <v>17.690000000000001</v>
      </c>
      <c r="E72" s="64">
        <v>4.82</v>
      </c>
      <c r="F72" s="64">
        <v>4.5999999999999996</v>
      </c>
      <c r="G72" s="64">
        <v>54.65</v>
      </c>
      <c r="H72" s="64">
        <v>18.88</v>
      </c>
      <c r="I72" s="64">
        <v>2.31</v>
      </c>
      <c r="J72" s="64">
        <v>0.93</v>
      </c>
      <c r="K72" s="64">
        <v>340.34</v>
      </c>
      <c r="L72" s="64">
        <v>23.64</v>
      </c>
      <c r="M72" s="64">
        <v>21.96</v>
      </c>
      <c r="N72" s="64">
        <v>67</v>
      </c>
      <c r="O72" s="64">
        <v>0</v>
      </c>
      <c r="P72" s="64">
        <v>0.68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1" t="s">
        <v>2808</v>
      </c>
      <c r="B73" s="64">
        <v>4.5</v>
      </c>
      <c r="C73" s="64">
        <v>28.06</v>
      </c>
      <c r="D73" s="64">
        <v>17.809999999999999</v>
      </c>
      <c r="E73" s="64">
        <v>5.2</v>
      </c>
      <c r="F73" s="64">
        <v>4.82</v>
      </c>
      <c r="G73" s="64">
        <v>54.15</v>
      </c>
      <c r="H73" s="64">
        <v>18.57</v>
      </c>
      <c r="I73" s="64">
        <v>2.31</v>
      </c>
      <c r="J73" s="64">
        <v>0.43</v>
      </c>
      <c r="K73" s="64">
        <v>342.2</v>
      </c>
      <c r="L73" s="64">
        <v>23.31</v>
      </c>
      <c r="M73" s="64">
        <v>21.91</v>
      </c>
      <c r="N73" s="64">
        <v>59.8</v>
      </c>
      <c r="O73" s="64">
        <v>0</v>
      </c>
      <c r="P73" s="64">
        <v>0.66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1" t="s">
        <v>2809</v>
      </c>
      <c r="B74" s="64">
        <v>4.55</v>
      </c>
      <c r="C74" s="64">
        <v>28.11</v>
      </c>
      <c r="D74" s="64">
        <v>17.88</v>
      </c>
      <c r="E74" s="64">
        <v>4.8899999999999997</v>
      </c>
      <c r="F74" s="64">
        <v>4.62</v>
      </c>
      <c r="G74" s="64">
        <v>52.02</v>
      </c>
      <c r="H74" s="64">
        <v>17.649999999999999</v>
      </c>
      <c r="I74" s="64">
        <v>2.33</v>
      </c>
      <c r="J74" s="64">
        <v>0.12</v>
      </c>
      <c r="K74" s="64">
        <v>312.77</v>
      </c>
      <c r="L74" s="64">
        <v>22.79</v>
      </c>
      <c r="M74" s="64">
        <v>24.49</v>
      </c>
      <c r="N74" s="64">
        <v>53.5</v>
      </c>
      <c r="O74" s="64">
        <v>0</v>
      </c>
      <c r="P74" s="64">
        <v>0.68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1" t="s">
        <v>2810</v>
      </c>
      <c r="B75" s="64">
        <v>4.66</v>
      </c>
      <c r="C75" s="64">
        <v>27.8</v>
      </c>
      <c r="D75" s="64">
        <v>17.809999999999999</v>
      </c>
      <c r="E75" s="64">
        <v>4.79</v>
      </c>
      <c r="F75" s="64">
        <v>4.46</v>
      </c>
      <c r="G75" s="64">
        <v>52.02</v>
      </c>
      <c r="H75" s="64">
        <v>17.649999999999999</v>
      </c>
      <c r="I75" s="64">
        <v>2.35</v>
      </c>
      <c r="J75" s="64">
        <v>0.2</v>
      </c>
      <c r="K75" s="64">
        <v>289.67</v>
      </c>
      <c r="L75" s="64">
        <v>22.39</v>
      </c>
      <c r="M75" s="64">
        <v>26.62</v>
      </c>
      <c r="N75" s="64">
        <v>47.1</v>
      </c>
      <c r="O75" s="64">
        <v>0</v>
      </c>
      <c r="P75" s="64">
        <v>0.68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1" t="s">
        <v>2811</v>
      </c>
      <c r="B76" s="64">
        <v>4.72</v>
      </c>
      <c r="C76" s="64">
        <v>27.53</v>
      </c>
      <c r="D76" s="64">
        <v>17.71</v>
      </c>
      <c r="E76" s="64">
        <v>4.7699999999999996</v>
      </c>
      <c r="F76" s="64">
        <v>4.12</v>
      </c>
      <c r="G76" s="64">
        <v>52.02</v>
      </c>
      <c r="H76" s="64">
        <v>17.649999999999999</v>
      </c>
      <c r="I76" s="64">
        <v>2.36</v>
      </c>
      <c r="J76" s="64">
        <v>0.1</v>
      </c>
      <c r="K76" s="64">
        <v>61.18</v>
      </c>
      <c r="L76" s="64">
        <v>22.02</v>
      </c>
      <c r="M76" s="64">
        <v>28.18</v>
      </c>
      <c r="N76" s="64">
        <v>39.9</v>
      </c>
      <c r="O76" s="64">
        <v>0</v>
      </c>
      <c r="P76" s="64">
        <v>0.7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1" t="s">
        <v>2812</v>
      </c>
      <c r="B77" s="64">
        <v>4.8099999999999996</v>
      </c>
      <c r="C77" s="64">
        <v>27.31</v>
      </c>
      <c r="D77" s="64">
        <v>17.66</v>
      </c>
      <c r="E77" s="64">
        <v>5.08</v>
      </c>
      <c r="F77" s="64">
        <v>3.94</v>
      </c>
      <c r="G77" s="64">
        <v>52.17</v>
      </c>
      <c r="H77" s="64">
        <v>18.73</v>
      </c>
      <c r="I77" s="64">
        <v>2.11</v>
      </c>
      <c r="J77" s="64">
        <v>0.22</v>
      </c>
      <c r="K77" s="64">
        <v>72.12</v>
      </c>
      <c r="L77" s="64">
        <v>21.5</v>
      </c>
      <c r="M77" s="64">
        <v>29.83</v>
      </c>
      <c r="N77" s="64">
        <v>34.6</v>
      </c>
      <c r="O77" s="64">
        <v>0</v>
      </c>
      <c r="P77" s="64">
        <v>0.82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1" t="s">
        <v>2813</v>
      </c>
      <c r="B78" s="64">
        <v>4.97</v>
      </c>
      <c r="C78" s="64">
        <v>27.11</v>
      </c>
      <c r="D78" s="64">
        <v>17.690000000000001</v>
      </c>
      <c r="E78" s="64">
        <v>4.76</v>
      </c>
      <c r="F78" s="64">
        <v>3.94</v>
      </c>
      <c r="G78" s="64">
        <v>52.8</v>
      </c>
      <c r="H78" s="64">
        <v>21.88</v>
      </c>
      <c r="I78" s="64">
        <v>2.04</v>
      </c>
      <c r="J78" s="64">
        <v>0.24</v>
      </c>
      <c r="K78" s="64">
        <v>57.57</v>
      </c>
      <c r="L78" s="64">
        <v>21.06</v>
      </c>
      <c r="M78" s="64">
        <v>31.52</v>
      </c>
      <c r="N78" s="64">
        <v>32</v>
      </c>
      <c r="O78" s="64">
        <v>0</v>
      </c>
      <c r="P78" s="64">
        <v>0.73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1" t="s">
        <v>2814</v>
      </c>
      <c r="B79" s="64">
        <v>5.0999999999999996</v>
      </c>
      <c r="C79" s="64">
        <v>26.28</v>
      </c>
      <c r="D79" s="64">
        <v>17.36</v>
      </c>
      <c r="E79" s="64">
        <v>4.74</v>
      </c>
      <c r="F79" s="64">
        <v>3.38</v>
      </c>
      <c r="G79" s="64">
        <v>52.8</v>
      </c>
      <c r="H79" s="64">
        <v>21.88</v>
      </c>
      <c r="I79" s="64">
        <v>2.08</v>
      </c>
      <c r="J79" s="64">
        <v>0.13</v>
      </c>
      <c r="K79" s="64">
        <v>50.36</v>
      </c>
      <c r="L79" s="64">
        <v>20.81</v>
      </c>
      <c r="M79" s="64">
        <v>32.4</v>
      </c>
      <c r="N79" s="64">
        <v>31.4</v>
      </c>
      <c r="O79" s="64">
        <v>0</v>
      </c>
      <c r="P79" s="64">
        <v>0.72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1" t="s">
        <v>2815</v>
      </c>
      <c r="B80" s="64">
        <v>4.93</v>
      </c>
      <c r="C80" s="64">
        <v>26.93</v>
      </c>
      <c r="D80" s="64">
        <v>17.57</v>
      </c>
      <c r="E80" s="64">
        <v>9.2200000000000006</v>
      </c>
      <c r="F80" s="64">
        <v>7.32</v>
      </c>
      <c r="G80" s="64">
        <v>52.8</v>
      </c>
      <c r="H80" s="64">
        <v>21.88</v>
      </c>
      <c r="I80" s="64">
        <v>2.1</v>
      </c>
      <c r="J80" s="64">
        <v>0.34</v>
      </c>
      <c r="K80" s="64">
        <v>79.13</v>
      </c>
      <c r="L80" s="64">
        <v>20.6</v>
      </c>
      <c r="M80" s="64">
        <v>32.29</v>
      </c>
      <c r="N80" s="64">
        <v>31.3</v>
      </c>
      <c r="O80" s="64">
        <v>0</v>
      </c>
      <c r="P80" s="64">
        <v>0.74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1" t="s">
        <v>2816</v>
      </c>
      <c r="B81" s="64">
        <v>4.63</v>
      </c>
      <c r="C81" s="64">
        <v>30.93</v>
      </c>
      <c r="D81" s="64">
        <v>19.41</v>
      </c>
      <c r="E81" s="64">
        <v>12.56</v>
      </c>
      <c r="F81" s="64">
        <v>7.63</v>
      </c>
      <c r="G81" s="64">
        <v>53.53</v>
      </c>
      <c r="H81" s="64">
        <v>22.95</v>
      </c>
      <c r="I81" s="64">
        <v>2.13</v>
      </c>
      <c r="J81" s="64">
        <v>0.14000000000000001</v>
      </c>
      <c r="K81" s="64">
        <v>77.67</v>
      </c>
      <c r="L81" s="64">
        <v>20.239999999999998</v>
      </c>
      <c r="M81" s="64">
        <v>33.42</v>
      </c>
      <c r="N81" s="64">
        <v>31.4</v>
      </c>
      <c r="O81" s="64">
        <v>0</v>
      </c>
      <c r="P81" s="64">
        <v>0.78</v>
      </c>
      <c r="Q81" s="64">
        <v>9.57</v>
      </c>
      <c r="R81" s="198"/>
      <c r="S81" s="198"/>
      <c r="T81" s="198"/>
      <c r="U81" s="198"/>
    </row>
    <row r="82" spans="1:26" s="12" customFormat="1" x14ac:dyDescent="0.25">
      <c r="A82" s="211" t="s">
        <v>2817</v>
      </c>
      <c r="B82" s="64">
        <v>4.75</v>
      </c>
      <c r="C82" s="64">
        <v>29.53</v>
      </c>
      <c r="D82" s="64">
        <v>18.77</v>
      </c>
      <c r="E82" s="64">
        <v>10.36</v>
      </c>
      <c r="F82" s="64">
        <v>7.49</v>
      </c>
      <c r="G82" s="64">
        <v>56.66</v>
      </c>
      <c r="H82" s="64">
        <v>26.09</v>
      </c>
      <c r="I82" s="64">
        <v>2.17</v>
      </c>
      <c r="J82" s="64">
        <v>0.17</v>
      </c>
      <c r="K82" s="64">
        <v>73.94</v>
      </c>
      <c r="L82" s="64">
        <v>19.850000000000001</v>
      </c>
      <c r="M82" s="64">
        <v>34.03</v>
      </c>
      <c r="N82" s="64">
        <v>31.4</v>
      </c>
      <c r="O82" s="64">
        <v>0</v>
      </c>
      <c r="P82" s="64">
        <v>0.82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1" t="s">
        <v>2818</v>
      </c>
      <c r="B83" s="64">
        <v>5.22</v>
      </c>
      <c r="C83" s="64">
        <v>30.19</v>
      </c>
      <c r="D83" s="64">
        <v>19.5</v>
      </c>
      <c r="E83" s="64">
        <v>8.36</v>
      </c>
      <c r="F83" s="64">
        <v>5.73</v>
      </c>
      <c r="G83" s="64">
        <v>56.66</v>
      </c>
      <c r="H83" s="64">
        <v>26.09</v>
      </c>
      <c r="I83" s="64">
        <v>2.19</v>
      </c>
      <c r="J83" s="64">
        <v>0.24</v>
      </c>
      <c r="K83" s="64">
        <v>41.35</v>
      </c>
      <c r="L83" s="64">
        <v>19.68</v>
      </c>
      <c r="M83" s="64">
        <v>34.159999999999997</v>
      </c>
      <c r="N83" s="64">
        <v>31.3</v>
      </c>
      <c r="O83" s="64">
        <v>0</v>
      </c>
      <c r="P83" s="64">
        <v>0.86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1" t="s">
        <v>2819</v>
      </c>
      <c r="B84" s="64">
        <v>5.37</v>
      </c>
      <c r="C84" s="64">
        <v>28.89</v>
      </c>
      <c r="D84" s="64">
        <v>18.940000000000001</v>
      </c>
      <c r="E84" s="64">
        <v>7.65</v>
      </c>
      <c r="F84" s="64">
        <v>6.31</v>
      </c>
      <c r="G84" s="64">
        <v>56.66</v>
      </c>
      <c r="H84" s="64">
        <v>26.09</v>
      </c>
      <c r="I84" s="64">
        <v>2.25</v>
      </c>
      <c r="J84" s="64">
        <v>0.54</v>
      </c>
      <c r="K84" s="64">
        <v>112.15</v>
      </c>
      <c r="L84" s="64">
        <v>19.760000000000002</v>
      </c>
      <c r="M84" s="64">
        <v>33.76</v>
      </c>
      <c r="N84" s="64">
        <v>30.8</v>
      </c>
      <c r="O84" s="64">
        <v>0</v>
      </c>
      <c r="P84" s="64">
        <v>0.84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1" t="s">
        <v>2820</v>
      </c>
      <c r="B85" s="64">
        <v>5.51</v>
      </c>
      <c r="C85" s="64">
        <v>26.4</v>
      </c>
      <c r="D85" s="64">
        <v>17.75</v>
      </c>
      <c r="E85" s="64">
        <v>7.07</v>
      </c>
      <c r="F85" s="64">
        <v>4.53</v>
      </c>
      <c r="G85" s="64">
        <v>57.96</v>
      </c>
      <c r="H85" s="64">
        <v>27.83</v>
      </c>
      <c r="I85" s="64">
        <v>2.31</v>
      </c>
      <c r="J85" s="64">
        <v>0.66</v>
      </c>
      <c r="K85" s="64">
        <v>112.7</v>
      </c>
      <c r="L85" s="64">
        <v>19.760000000000002</v>
      </c>
      <c r="M85" s="64">
        <v>33.24</v>
      </c>
      <c r="N85" s="64">
        <v>30.9</v>
      </c>
      <c r="O85" s="64">
        <v>0</v>
      </c>
      <c r="P85" s="64">
        <v>0.82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1" t="s">
        <v>2821</v>
      </c>
      <c r="B86" s="64">
        <v>5.58</v>
      </c>
      <c r="C86" s="64">
        <v>25.42</v>
      </c>
      <c r="D86" s="64">
        <v>17.29</v>
      </c>
      <c r="E86" s="64">
        <v>6.64</v>
      </c>
      <c r="F86" s="64">
        <v>6.15</v>
      </c>
      <c r="G86" s="64">
        <v>63.56</v>
      </c>
      <c r="H86" s="64">
        <v>35.75</v>
      </c>
      <c r="I86" s="64">
        <v>2.36</v>
      </c>
      <c r="J86" s="64">
        <v>0.47</v>
      </c>
      <c r="K86" s="64">
        <v>104.48</v>
      </c>
      <c r="L86" s="64">
        <v>19.66</v>
      </c>
      <c r="M86" s="64">
        <v>33.25</v>
      </c>
      <c r="N86" s="64">
        <v>31.1</v>
      </c>
      <c r="O86" s="64">
        <v>0</v>
      </c>
      <c r="P86" s="64">
        <v>0.86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1" t="s">
        <v>2822</v>
      </c>
      <c r="B87" s="64">
        <v>5.79</v>
      </c>
      <c r="C87" s="64">
        <v>24.54</v>
      </c>
      <c r="D87" s="64">
        <v>17</v>
      </c>
      <c r="E87" s="64">
        <v>5.88</v>
      </c>
      <c r="F87" s="64">
        <v>3.68</v>
      </c>
      <c r="G87" s="64">
        <v>63.56</v>
      </c>
      <c r="H87" s="64">
        <v>35.75</v>
      </c>
      <c r="I87" s="64">
        <v>2.39</v>
      </c>
      <c r="J87" s="64">
        <v>0.43</v>
      </c>
      <c r="K87" s="64">
        <v>111.73</v>
      </c>
      <c r="L87" s="64">
        <v>19.510000000000002</v>
      </c>
      <c r="M87" s="64">
        <v>33.549999999999997</v>
      </c>
      <c r="N87" s="64">
        <v>31.2</v>
      </c>
      <c r="O87" s="64">
        <v>0</v>
      </c>
      <c r="P87" s="64">
        <v>0.84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1" t="s">
        <v>2823</v>
      </c>
      <c r="B88" s="64">
        <v>5.72</v>
      </c>
      <c r="C88" s="64">
        <v>24.18</v>
      </c>
      <c r="D88" s="64">
        <v>16.760000000000002</v>
      </c>
      <c r="E88" s="64">
        <v>5.83</v>
      </c>
      <c r="F88" s="64">
        <v>3.04</v>
      </c>
      <c r="G88" s="64">
        <v>63.56</v>
      </c>
      <c r="H88" s="64">
        <v>35.75</v>
      </c>
      <c r="I88" s="64">
        <v>2.42</v>
      </c>
      <c r="J88" s="64">
        <v>0.21</v>
      </c>
      <c r="K88" s="64">
        <v>95.46</v>
      </c>
      <c r="L88" s="64">
        <v>19.149999999999999</v>
      </c>
      <c r="M88" s="64">
        <v>35.26</v>
      </c>
      <c r="N88" s="64">
        <v>31.4</v>
      </c>
      <c r="O88" s="64">
        <v>0</v>
      </c>
      <c r="P88" s="64">
        <v>0.8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1" t="s">
        <v>2824</v>
      </c>
      <c r="B89" s="64">
        <v>5.64</v>
      </c>
      <c r="C89" s="64">
        <v>24.13</v>
      </c>
      <c r="D89" s="64">
        <v>16.670000000000002</v>
      </c>
      <c r="E89" s="64">
        <v>5.69</v>
      </c>
      <c r="F89" s="64">
        <v>3.16</v>
      </c>
      <c r="G89" s="64">
        <v>63.17</v>
      </c>
      <c r="H89" s="64">
        <v>34.950000000000003</v>
      </c>
      <c r="I89" s="64">
        <v>2.4300000000000002</v>
      </c>
      <c r="J89" s="64">
        <v>0.34</v>
      </c>
      <c r="K89" s="64">
        <v>98.98</v>
      </c>
      <c r="L89" s="64">
        <v>18.95</v>
      </c>
      <c r="M89" s="64">
        <v>36.14</v>
      </c>
      <c r="N89" s="64">
        <v>31.3</v>
      </c>
      <c r="O89" s="64">
        <v>0</v>
      </c>
      <c r="P89" s="64">
        <v>0.79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1" t="s">
        <v>2825</v>
      </c>
      <c r="B90" s="64">
        <v>5.66</v>
      </c>
      <c r="C90" s="64">
        <v>24.04</v>
      </c>
      <c r="D90" s="64">
        <v>16.64</v>
      </c>
      <c r="E90" s="64">
        <v>5.69</v>
      </c>
      <c r="F90" s="64">
        <v>2.88</v>
      </c>
      <c r="G90" s="64">
        <v>61.5</v>
      </c>
      <c r="H90" s="64">
        <v>32.6</v>
      </c>
      <c r="I90" s="64">
        <v>2.4500000000000002</v>
      </c>
      <c r="J90" s="64">
        <v>0.37</v>
      </c>
      <c r="K90" s="64">
        <v>105.5</v>
      </c>
      <c r="L90" s="64">
        <v>18.78</v>
      </c>
      <c r="M90" s="64">
        <v>36.86</v>
      </c>
      <c r="N90" s="64">
        <v>31.3</v>
      </c>
      <c r="O90" s="64">
        <v>0</v>
      </c>
      <c r="P90" s="64">
        <v>0.78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11" t="s">
        <v>2826</v>
      </c>
      <c r="B91" s="64">
        <v>5.66</v>
      </c>
      <c r="C91" s="64">
        <v>24.05</v>
      </c>
      <c r="D91" s="64">
        <v>16.64</v>
      </c>
      <c r="E91" s="64">
        <v>5.41</v>
      </c>
      <c r="F91" s="64">
        <v>2.93</v>
      </c>
      <c r="G91" s="64">
        <v>61.5</v>
      </c>
      <c r="H91" s="64">
        <v>32.6</v>
      </c>
      <c r="I91" s="64">
        <v>2.48</v>
      </c>
      <c r="J91" s="64">
        <v>0.39</v>
      </c>
      <c r="K91" s="64">
        <v>100.92</v>
      </c>
      <c r="L91" s="64">
        <v>18.649999999999999</v>
      </c>
      <c r="M91" s="64">
        <v>37.61</v>
      </c>
      <c r="N91" s="64">
        <v>31.3</v>
      </c>
      <c r="O91" s="64">
        <v>0</v>
      </c>
      <c r="P91" s="64">
        <v>0.8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1" t="s">
        <v>2827</v>
      </c>
      <c r="B92" s="64">
        <v>5.69</v>
      </c>
      <c r="C92" s="64">
        <v>24.06</v>
      </c>
      <c r="D92" s="64">
        <v>16.68</v>
      </c>
      <c r="E92" s="64">
        <v>5.28</v>
      </c>
      <c r="F92" s="64">
        <v>2.91</v>
      </c>
      <c r="G92" s="64">
        <v>61.5</v>
      </c>
      <c r="H92" s="64">
        <v>32.6</v>
      </c>
      <c r="I92" s="64">
        <v>2.52</v>
      </c>
      <c r="J92" s="64">
        <v>0.39</v>
      </c>
      <c r="K92" s="64">
        <v>108.32</v>
      </c>
      <c r="L92" s="64">
        <v>18.43</v>
      </c>
      <c r="M92" s="64">
        <v>38.31</v>
      </c>
      <c r="N92" s="64">
        <v>31.3</v>
      </c>
      <c r="O92" s="64">
        <v>0</v>
      </c>
      <c r="P92" s="64">
        <v>0.8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1" t="s">
        <v>2828</v>
      </c>
      <c r="B93" s="64">
        <v>5.72</v>
      </c>
      <c r="C93" s="64">
        <v>24.07</v>
      </c>
      <c r="D93" s="64">
        <v>16.7</v>
      </c>
      <c r="E93" s="64">
        <v>4.6500000000000004</v>
      </c>
      <c r="F93" s="64">
        <v>3.04</v>
      </c>
      <c r="G93" s="64">
        <v>61.71</v>
      </c>
      <c r="H93" s="64">
        <v>32.51</v>
      </c>
      <c r="I93" s="64">
        <v>2.5499999999999998</v>
      </c>
      <c r="J93" s="64">
        <v>0.41</v>
      </c>
      <c r="K93" s="64">
        <v>122.36</v>
      </c>
      <c r="L93" s="64">
        <v>18.34</v>
      </c>
      <c r="M93" s="64">
        <v>38.409999999999997</v>
      </c>
      <c r="N93" s="64">
        <v>31.1</v>
      </c>
      <c r="O93" s="64">
        <v>0</v>
      </c>
      <c r="P93" s="64">
        <v>0.82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1" t="s">
        <v>2829</v>
      </c>
      <c r="B94" s="64">
        <v>5.78</v>
      </c>
      <c r="C94" s="64">
        <v>24.05</v>
      </c>
      <c r="D94" s="64">
        <v>16.739999999999998</v>
      </c>
      <c r="E94" s="64">
        <v>4.84</v>
      </c>
      <c r="F94" s="64">
        <v>2.85</v>
      </c>
      <c r="G94" s="64">
        <v>62.56</v>
      </c>
      <c r="H94" s="64">
        <v>32.26</v>
      </c>
      <c r="I94" s="64">
        <v>2.58</v>
      </c>
      <c r="J94" s="64">
        <v>0.12</v>
      </c>
      <c r="K94" s="64">
        <v>61.04</v>
      </c>
      <c r="L94" s="64">
        <v>18.07</v>
      </c>
      <c r="M94" s="64">
        <v>38.409999999999997</v>
      </c>
      <c r="N94" s="64">
        <v>31.4</v>
      </c>
      <c r="O94" s="64">
        <v>0</v>
      </c>
      <c r="P94" s="64">
        <v>0.83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1" t="s">
        <v>2830</v>
      </c>
      <c r="B95" s="64">
        <v>5.89</v>
      </c>
      <c r="C95" s="64">
        <v>24.08</v>
      </c>
      <c r="D95" s="64">
        <v>16.84</v>
      </c>
      <c r="E95" s="64">
        <v>5.24</v>
      </c>
      <c r="F95" s="64">
        <v>2.94</v>
      </c>
      <c r="G95" s="64">
        <v>62.56</v>
      </c>
      <c r="H95" s="64">
        <v>32.26</v>
      </c>
      <c r="I95" s="64">
        <v>2.61</v>
      </c>
      <c r="J95" s="64">
        <v>0.14000000000000001</v>
      </c>
      <c r="K95" s="64">
        <v>22.6</v>
      </c>
      <c r="L95" s="64">
        <v>17.93</v>
      </c>
      <c r="M95" s="64">
        <v>38.090000000000003</v>
      </c>
      <c r="N95" s="64">
        <v>31.4</v>
      </c>
      <c r="O95" s="64">
        <v>0</v>
      </c>
      <c r="P95" s="64">
        <v>0.83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1" t="s">
        <v>2831</v>
      </c>
      <c r="B96" s="64">
        <v>6.07</v>
      </c>
      <c r="C96" s="64">
        <v>24.06</v>
      </c>
      <c r="D96" s="64">
        <v>16.98</v>
      </c>
      <c r="E96" s="64">
        <v>5.32</v>
      </c>
      <c r="F96" s="64">
        <v>2.77</v>
      </c>
      <c r="G96" s="64">
        <v>62.56</v>
      </c>
      <c r="H96" s="64">
        <v>32.26</v>
      </c>
      <c r="I96" s="64">
        <v>2.65</v>
      </c>
      <c r="J96" s="64">
        <v>0.18</v>
      </c>
      <c r="K96" s="64">
        <v>359.41</v>
      </c>
      <c r="L96" s="64">
        <v>17.75</v>
      </c>
      <c r="M96" s="64">
        <v>39.56</v>
      </c>
      <c r="N96" s="64">
        <v>31.4</v>
      </c>
      <c r="O96" s="64">
        <v>0</v>
      </c>
      <c r="P96" s="64">
        <v>0.84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2832</v>
      </c>
      <c r="B97" s="64">
        <v>6.39</v>
      </c>
      <c r="C97" s="64">
        <v>23.52</v>
      </c>
      <c r="D97" s="64">
        <v>16.95</v>
      </c>
      <c r="E97" s="64">
        <v>5.0199999999999996</v>
      </c>
      <c r="F97" s="64">
        <v>2.75</v>
      </c>
      <c r="G97" s="64">
        <v>62.36</v>
      </c>
      <c r="H97" s="64">
        <v>31.78</v>
      </c>
      <c r="I97" s="64">
        <v>2.66</v>
      </c>
      <c r="J97" s="64">
        <v>0.03</v>
      </c>
      <c r="K97" s="64">
        <v>65.900000000000006</v>
      </c>
      <c r="L97" s="64">
        <v>17.57</v>
      </c>
      <c r="M97" s="64">
        <v>40.619999999999997</v>
      </c>
      <c r="N97" s="64">
        <v>31.4</v>
      </c>
      <c r="O97" s="64">
        <v>0</v>
      </c>
      <c r="P97" s="64">
        <v>0.85</v>
      </c>
      <c r="Q97" s="64">
        <v>9.5299999999999994</v>
      </c>
      <c r="R97" s="198"/>
      <c r="S97" s="198"/>
      <c r="T97" s="198"/>
      <c r="U97" s="198"/>
    </row>
    <row r="98" spans="1:33" s="12" customFormat="1" x14ac:dyDescent="0.25">
      <c r="A98" s="211" t="s">
        <v>2833</v>
      </c>
      <c r="B98" s="64">
        <v>6.51</v>
      </c>
      <c r="C98" s="64">
        <v>23.51</v>
      </c>
      <c r="D98" s="64">
        <v>17.04</v>
      </c>
      <c r="E98" s="64">
        <v>5.03</v>
      </c>
      <c r="F98" s="64">
        <v>3.17</v>
      </c>
      <c r="G98" s="64">
        <v>61.56</v>
      </c>
      <c r="H98" s="64">
        <v>30.35</v>
      </c>
      <c r="I98" s="64">
        <v>2.67</v>
      </c>
      <c r="J98" s="64">
        <v>0.11</v>
      </c>
      <c r="K98" s="64">
        <v>23.5</v>
      </c>
      <c r="L98" s="64">
        <v>17.3</v>
      </c>
      <c r="M98" s="64">
        <v>42.75</v>
      </c>
      <c r="N98" s="64">
        <v>31.4</v>
      </c>
      <c r="O98" s="64">
        <v>0</v>
      </c>
      <c r="P98" s="64">
        <v>0.89</v>
      </c>
      <c r="Q98" s="64">
        <v>9.57</v>
      </c>
      <c r="R98" s="198"/>
      <c r="S98" s="198"/>
      <c r="T98" s="198"/>
      <c r="U98" s="198"/>
    </row>
    <row r="99" spans="1:33" s="12" customFormat="1" x14ac:dyDescent="0.25">
      <c r="A99" s="211" t="s">
        <v>2834</v>
      </c>
      <c r="B99" s="64">
        <v>6.61</v>
      </c>
      <c r="C99" s="64">
        <v>23.62</v>
      </c>
      <c r="D99" s="64">
        <v>17.190000000000001</v>
      </c>
      <c r="E99" s="64">
        <v>4.84</v>
      </c>
      <c r="F99" s="64">
        <v>2.72</v>
      </c>
      <c r="G99" s="64">
        <v>61.56</v>
      </c>
      <c r="H99" s="64">
        <v>30.35</v>
      </c>
      <c r="I99" s="64">
        <v>2.68</v>
      </c>
      <c r="J99" s="64">
        <v>0.12</v>
      </c>
      <c r="K99" s="64">
        <v>47.59</v>
      </c>
      <c r="L99" s="64">
        <v>17.11</v>
      </c>
      <c r="M99" s="64">
        <v>44.57</v>
      </c>
      <c r="N99" s="64">
        <v>31.3</v>
      </c>
      <c r="O99" s="64">
        <v>0</v>
      </c>
      <c r="P99" s="64">
        <v>0.91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1" t="s">
        <v>2835</v>
      </c>
      <c r="B100" s="64">
        <v>6.65</v>
      </c>
      <c r="C100" s="64">
        <v>23.42</v>
      </c>
      <c r="D100" s="64">
        <v>17.11</v>
      </c>
      <c r="E100" s="64">
        <v>4.9400000000000004</v>
      </c>
      <c r="F100" s="64">
        <v>2.94</v>
      </c>
      <c r="G100" s="64">
        <v>61.56</v>
      </c>
      <c r="H100" s="64">
        <v>30.35</v>
      </c>
      <c r="I100" s="64">
        <v>2.68</v>
      </c>
      <c r="J100" s="64">
        <v>0.21</v>
      </c>
      <c r="K100" s="64">
        <v>78.150000000000006</v>
      </c>
      <c r="L100" s="64">
        <v>17.07</v>
      </c>
      <c r="M100" s="64">
        <v>43.86</v>
      </c>
      <c r="N100" s="64">
        <v>31.2</v>
      </c>
      <c r="O100" s="64">
        <v>0</v>
      </c>
      <c r="P100" s="64">
        <v>0.93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2836</v>
      </c>
      <c r="B101" s="64">
        <v>6.62</v>
      </c>
      <c r="C101" s="64">
        <v>23.47</v>
      </c>
      <c r="D101" s="64">
        <v>17.11</v>
      </c>
      <c r="E101" s="64">
        <v>4.9000000000000004</v>
      </c>
      <c r="F101" s="64">
        <v>3.03</v>
      </c>
      <c r="G101" s="64">
        <v>61.1</v>
      </c>
      <c r="H101" s="64">
        <v>29.69</v>
      </c>
      <c r="I101" s="64">
        <v>2.69</v>
      </c>
      <c r="J101" s="64">
        <v>0.19</v>
      </c>
      <c r="K101" s="64">
        <v>7.99</v>
      </c>
      <c r="L101" s="64">
        <v>17.010000000000002</v>
      </c>
      <c r="M101" s="64">
        <v>44.88</v>
      </c>
      <c r="N101" s="64">
        <v>31.3</v>
      </c>
      <c r="O101" s="64">
        <v>0</v>
      </c>
      <c r="P101" s="64">
        <v>0.92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1" t="s">
        <v>2837</v>
      </c>
      <c r="B102" s="64">
        <v>6.66</v>
      </c>
      <c r="C102" s="64">
        <v>23.5</v>
      </c>
      <c r="D102" s="64">
        <v>17.16</v>
      </c>
      <c r="E102" s="64">
        <v>5.3</v>
      </c>
      <c r="F102" s="64">
        <v>2.9</v>
      </c>
      <c r="G102" s="64">
        <v>59.27</v>
      </c>
      <c r="H102" s="64">
        <v>26.68</v>
      </c>
      <c r="I102" s="64">
        <v>2.68</v>
      </c>
      <c r="J102" s="64">
        <v>0.35</v>
      </c>
      <c r="K102" s="64">
        <v>337.34</v>
      </c>
      <c r="L102" s="64">
        <v>16.739999999999998</v>
      </c>
      <c r="M102" s="64">
        <v>46.73</v>
      </c>
      <c r="N102" s="64">
        <v>31.4</v>
      </c>
      <c r="O102" s="64">
        <v>0</v>
      </c>
      <c r="P102" s="64">
        <v>0.94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11" t="s">
        <v>2838</v>
      </c>
      <c r="B103" s="64">
        <v>6.8</v>
      </c>
      <c r="C103" s="64">
        <v>23.32</v>
      </c>
      <c r="D103" s="64">
        <v>17.170000000000002</v>
      </c>
      <c r="E103" s="64">
        <v>5.0199999999999996</v>
      </c>
      <c r="F103" s="64">
        <v>3.02</v>
      </c>
      <c r="G103" s="64">
        <v>59.27</v>
      </c>
      <c r="H103" s="64">
        <v>26.68</v>
      </c>
      <c r="I103" s="64">
        <v>2.67</v>
      </c>
      <c r="J103" s="64">
        <v>0.37</v>
      </c>
      <c r="K103" s="64">
        <v>331.4</v>
      </c>
      <c r="L103" s="64">
        <v>16.53</v>
      </c>
      <c r="M103" s="64">
        <v>48.52</v>
      </c>
      <c r="N103" s="64">
        <v>31.4</v>
      </c>
      <c r="O103" s="64">
        <v>0</v>
      </c>
      <c r="P103" s="64">
        <v>0.94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1" t="s">
        <v>2839</v>
      </c>
      <c r="B104" s="64">
        <v>6.97</v>
      </c>
      <c r="C104" s="64">
        <v>23.04</v>
      </c>
      <c r="D104" s="64">
        <v>17.170000000000002</v>
      </c>
      <c r="E104" s="64">
        <v>4.54</v>
      </c>
      <c r="F104" s="64">
        <v>3.06</v>
      </c>
      <c r="G104" s="64">
        <v>59.27</v>
      </c>
      <c r="H104" s="64">
        <v>26.68</v>
      </c>
      <c r="I104" s="64">
        <v>2.67</v>
      </c>
      <c r="J104" s="64">
        <v>0.27</v>
      </c>
      <c r="K104" s="64">
        <v>344.34</v>
      </c>
      <c r="L104" s="64">
        <v>16.36</v>
      </c>
      <c r="M104" s="64">
        <v>50.15</v>
      </c>
      <c r="N104" s="64">
        <v>31.4</v>
      </c>
      <c r="O104" s="64">
        <v>0</v>
      </c>
      <c r="P104" s="64">
        <v>0.93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2.48</v>
      </c>
      <c r="C106" s="67">
        <f>MIN(C9:C104)</f>
        <v>20.47</v>
      </c>
      <c r="D106" s="67">
        <f t="shared" ref="D106:Q106" si="0">MIN(D9:D104)</f>
        <v>15.33</v>
      </c>
      <c r="E106" s="67">
        <f t="shared" si="0"/>
        <v>3.45</v>
      </c>
      <c r="F106" s="67">
        <f t="shared" si="0"/>
        <v>2.68</v>
      </c>
      <c r="G106" s="67">
        <f t="shared" si="0"/>
        <v>0</v>
      </c>
      <c r="H106" s="67">
        <f t="shared" si="0"/>
        <v>0</v>
      </c>
      <c r="I106" s="67">
        <f t="shared" si="0"/>
        <v>2.04</v>
      </c>
      <c r="J106" s="67">
        <f t="shared" si="0"/>
        <v>0.02</v>
      </c>
      <c r="K106" s="67">
        <f t="shared" si="0"/>
        <v>3.57</v>
      </c>
      <c r="L106" s="67">
        <f t="shared" si="0"/>
        <v>15.91</v>
      </c>
      <c r="M106" s="67">
        <f t="shared" si="0"/>
        <v>20.55</v>
      </c>
      <c r="N106" s="67">
        <f t="shared" si="0"/>
        <v>30.8</v>
      </c>
      <c r="O106" s="67">
        <f t="shared" si="0"/>
        <v>0</v>
      </c>
      <c r="P106" s="67">
        <f t="shared" si="0"/>
        <v>0.6</v>
      </c>
      <c r="Q106" s="67">
        <f t="shared" si="0"/>
        <v>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11.87</v>
      </c>
      <c r="C107" s="66">
        <f t="shared" ref="C107:Q107" si="1">MAX(C9:C104)</f>
        <v>35.229999999999997</v>
      </c>
      <c r="D107" s="66">
        <f t="shared" si="1"/>
        <v>21.14</v>
      </c>
      <c r="E107" s="66">
        <f t="shared" si="1"/>
        <v>12.56</v>
      </c>
      <c r="F107" s="66">
        <f t="shared" si="1"/>
        <v>12.13</v>
      </c>
      <c r="G107" s="66">
        <f t="shared" si="1"/>
        <v>68.099999999999994</v>
      </c>
      <c r="H107" s="66">
        <f t="shared" si="1"/>
        <v>35.75</v>
      </c>
      <c r="I107" s="66">
        <f t="shared" si="1"/>
        <v>3.36</v>
      </c>
      <c r="J107" s="66">
        <f t="shared" si="1"/>
        <v>1.06</v>
      </c>
      <c r="K107" s="66">
        <f t="shared" si="1"/>
        <v>359.41</v>
      </c>
      <c r="L107" s="66">
        <f t="shared" si="1"/>
        <v>27.17</v>
      </c>
      <c r="M107" s="66">
        <f t="shared" si="1"/>
        <v>80.14</v>
      </c>
      <c r="N107" s="66">
        <f t="shared" si="1"/>
        <v>558.20000000000005</v>
      </c>
      <c r="O107" s="66">
        <f t="shared" si="1"/>
        <v>0</v>
      </c>
      <c r="P107" s="66">
        <f t="shared" si="1"/>
        <v>1.1399999999999999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6.4920833333333334</v>
      </c>
      <c r="C108" s="67">
        <f t="shared" ref="C108:Q108" si="2">AVERAGE(C9:C104)</f>
        <v>25.055208333333336</v>
      </c>
      <c r="D108" s="67">
        <f t="shared" si="2"/>
        <v>17.826875000000005</v>
      </c>
      <c r="E108" s="67">
        <f t="shared" si="2"/>
        <v>5.5312499999999964</v>
      </c>
      <c r="F108" s="67">
        <f t="shared" si="2"/>
        <v>4.0909374999999999</v>
      </c>
      <c r="G108" s="67">
        <f t="shared" si="2"/>
        <v>57.039583333333404</v>
      </c>
      <c r="H108" s="67">
        <f t="shared" si="2"/>
        <v>25.083020833333332</v>
      </c>
      <c r="I108" s="67">
        <f t="shared" si="2"/>
        <v>2.7204166666666674</v>
      </c>
      <c r="J108" s="67">
        <f t="shared" si="2"/>
        <v>0.34250000000000003</v>
      </c>
      <c r="K108" s="67">
        <f t="shared" si="2"/>
        <v>203.01333333333335</v>
      </c>
      <c r="L108" s="67">
        <f t="shared" si="2"/>
        <v>20.333541666666665</v>
      </c>
      <c r="M108" s="67">
        <f t="shared" si="2"/>
        <v>45.945416666666667</v>
      </c>
      <c r="N108" s="67">
        <f t="shared" si="2"/>
        <v>156.36458333333323</v>
      </c>
      <c r="O108" s="67">
        <f t="shared" si="2"/>
        <v>0</v>
      </c>
      <c r="P108" s="67">
        <f t="shared" si="2"/>
        <v>0.82708333333333306</v>
      </c>
      <c r="Q108" s="67">
        <f t="shared" si="2"/>
        <v>9.563854166666669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2.457577290819335</v>
      </c>
      <c r="C109" s="67">
        <f t="shared" ref="C109:Q109" si="3">STDEV(C9:C104)</f>
        <v>3.8131382238302414</v>
      </c>
      <c r="D109" s="67">
        <f t="shared" si="3"/>
        <v>1.2195731026189365</v>
      </c>
      <c r="E109" s="67">
        <f t="shared" si="3"/>
        <v>1.3083032402394696</v>
      </c>
      <c r="F109" s="67">
        <f t="shared" si="3"/>
        <v>1.7602051783064523</v>
      </c>
      <c r="G109" s="67">
        <f t="shared" si="3"/>
        <v>13.639691068940504</v>
      </c>
      <c r="H109" s="67">
        <f t="shared" si="3"/>
        <v>7.3441614647700915</v>
      </c>
      <c r="I109" s="67">
        <f t="shared" si="3"/>
        <v>0.438257114312602</v>
      </c>
      <c r="J109" s="67">
        <f t="shared" si="3"/>
        <v>0.24240462041801117</v>
      </c>
      <c r="K109" s="67">
        <f t="shared" si="3"/>
        <v>122.50083803508547</v>
      </c>
      <c r="L109" s="67">
        <f t="shared" si="3"/>
        <v>3.4815788853748288</v>
      </c>
      <c r="M109" s="67">
        <f t="shared" si="3"/>
        <v>18.743728490332401</v>
      </c>
      <c r="N109" s="67">
        <f t="shared" si="3"/>
        <v>187.65302470204054</v>
      </c>
      <c r="O109" s="67">
        <f t="shared" si="3"/>
        <v>0</v>
      </c>
      <c r="P109" s="67">
        <f t="shared" si="3"/>
        <v>0.11547537141533427</v>
      </c>
      <c r="Q109" s="67">
        <f t="shared" si="3"/>
        <v>3.6313540802489101E-2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: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2840</v>
      </c>
      <c r="B9" s="64">
        <v>7.05</v>
      </c>
      <c r="C9" s="64">
        <v>22.85</v>
      </c>
      <c r="D9" s="64">
        <v>17.13</v>
      </c>
      <c r="E9" s="64">
        <v>4.2699999999999996</v>
      </c>
      <c r="F9" s="64">
        <v>3.12</v>
      </c>
      <c r="G9" s="64">
        <v>59.13</v>
      </c>
      <c r="H9" s="64">
        <v>25.74</v>
      </c>
      <c r="I9" s="64">
        <v>2.66</v>
      </c>
      <c r="J9" s="64">
        <v>0.4</v>
      </c>
      <c r="K9" s="64">
        <v>328.88</v>
      </c>
      <c r="L9" s="64">
        <v>16.12</v>
      </c>
      <c r="M9" s="64">
        <v>52.64</v>
      </c>
      <c r="N9" s="64">
        <v>31.4</v>
      </c>
      <c r="O9" s="64">
        <v>0</v>
      </c>
      <c r="P9" s="64">
        <v>0.89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1" t="s">
        <v>2841</v>
      </c>
      <c r="B10" s="64">
        <v>7.21</v>
      </c>
      <c r="C10" s="64">
        <v>22.69</v>
      </c>
      <c r="D10" s="64">
        <v>17.170000000000002</v>
      </c>
      <c r="E10" s="64">
        <v>3.94</v>
      </c>
      <c r="F10" s="64">
        <v>2.92</v>
      </c>
      <c r="G10" s="64">
        <v>58.56</v>
      </c>
      <c r="H10" s="64">
        <v>22.99</v>
      </c>
      <c r="I10" s="64">
        <v>2.65</v>
      </c>
      <c r="J10" s="64">
        <v>0.41</v>
      </c>
      <c r="K10" s="64">
        <v>328.04</v>
      </c>
      <c r="L10" s="64">
        <v>15.77</v>
      </c>
      <c r="M10" s="64">
        <v>55.99</v>
      </c>
      <c r="N10" s="64">
        <v>31.4</v>
      </c>
      <c r="O10" s="64">
        <v>0</v>
      </c>
      <c r="P10" s="64">
        <v>0.86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1" t="s">
        <v>2842</v>
      </c>
      <c r="B11" s="64">
        <v>7.3</v>
      </c>
      <c r="C11" s="64">
        <v>22.81</v>
      </c>
      <c r="D11" s="64">
        <v>17.309999999999999</v>
      </c>
      <c r="E11" s="64">
        <v>4.12</v>
      </c>
      <c r="F11" s="64">
        <v>3.08</v>
      </c>
      <c r="G11" s="64">
        <v>58.56</v>
      </c>
      <c r="H11" s="64">
        <v>22.99</v>
      </c>
      <c r="I11" s="64">
        <v>2.63</v>
      </c>
      <c r="J11" s="64">
        <v>0.27</v>
      </c>
      <c r="K11" s="64">
        <v>335.66</v>
      </c>
      <c r="L11" s="64">
        <v>15.83</v>
      </c>
      <c r="M11" s="64">
        <v>53.6</v>
      </c>
      <c r="N11" s="64">
        <v>31.2</v>
      </c>
      <c r="O11" s="64">
        <v>0</v>
      </c>
      <c r="P11" s="64">
        <v>0.84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1" t="s">
        <v>2843</v>
      </c>
      <c r="B12" s="64">
        <v>7.21</v>
      </c>
      <c r="C12" s="64">
        <v>22.93</v>
      </c>
      <c r="D12" s="64">
        <v>17.3</v>
      </c>
      <c r="E12" s="64">
        <v>4.1399999999999997</v>
      </c>
      <c r="F12" s="64">
        <v>2.96</v>
      </c>
      <c r="G12" s="64">
        <v>58.56</v>
      </c>
      <c r="H12" s="64">
        <v>22.99</v>
      </c>
      <c r="I12" s="64">
        <v>2.62</v>
      </c>
      <c r="J12" s="64">
        <v>0.36</v>
      </c>
      <c r="K12" s="64">
        <v>348.6</v>
      </c>
      <c r="L12" s="64">
        <v>15.81</v>
      </c>
      <c r="M12" s="64">
        <v>53.81</v>
      </c>
      <c r="N12" s="64">
        <v>31.4</v>
      </c>
      <c r="O12" s="64">
        <v>0</v>
      </c>
      <c r="P12" s="64">
        <v>0.82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1" t="s">
        <v>2844</v>
      </c>
      <c r="B13" s="64">
        <v>7.08</v>
      </c>
      <c r="C13" s="64">
        <v>22.86</v>
      </c>
      <c r="D13" s="64">
        <v>17.16</v>
      </c>
      <c r="E13" s="64">
        <v>3.88</v>
      </c>
      <c r="F13" s="64">
        <v>2.87</v>
      </c>
      <c r="G13" s="64">
        <v>58.31</v>
      </c>
      <c r="H13" s="64">
        <v>24.16</v>
      </c>
      <c r="I13" s="64">
        <v>2.59</v>
      </c>
      <c r="J13" s="64">
        <v>0.11</v>
      </c>
      <c r="K13" s="64">
        <v>15.01</v>
      </c>
      <c r="L13" s="64">
        <v>15.51</v>
      </c>
      <c r="M13" s="64">
        <v>56.74</v>
      </c>
      <c r="N13" s="64">
        <v>31.6</v>
      </c>
      <c r="O13" s="64">
        <v>0</v>
      </c>
      <c r="P13" s="64">
        <v>0.78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1" t="s">
        <v>2845</v>
      </c>
      <c r="B14" s="64">
        <v>6.93</v>
      </c>
      <c r="C14" s="64">
        <v>22.79</v>
      </c>
      <c r="D14" s="64">
        <v>17</v>
      </c>
      <c r="E14" s="64">
        <v>4.0999999999999996</v>
      </c>
      <c r="F14" s="64">
        <v>2.84</v>
      </c>
      <c r="G14" s="64">
        <v>57.23</v>
      </c>
      <c r="H14" s="64">
        <v>27.59</v>
      </c>
      <c r="I14" s="64">
        <v>2.56</v>
      </c>
      <c r="J14" s="64">
        <v>0.21</v>
      </c>
      <c r="K14" s="64">
        <v>317.51</v>
      </c>
      <c r="L14" s="64">
        <v>15.18</v>
      </c>
      <c r="M14" s="64">
        <v>58.62</v>
      </c>
      <c r="N14" s="64">
        <v>31.5</v>
      </c>
      <c r="O14" s="64">
        <v>0</v>
      </c>
      <c r="P14" s="64">
        <v>0.79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1" t="s">
        <v>2846</v>
      </c>
      <c r="B15" s="64">
        <v>6.82</v>
      </c>
      <c r="C15" s="64">
        <v>22.69</v>
      </c>
      <c r="D15" s="64">
        <v>16.86</v>
      </c>
      <c r="E15" s="64">
        <v>3.73</v>
      </c>
      <c r="F15" s="64">
        <v>2.82</v>
      </c>
      <c r="G15" s="64">
        <v>57.23</v>
      </c>
      <c r="H15" s="64">
        <v>27.59</v>
      </c>
      <c r="I15" s="64">
        <v>2.5499999999999998</v>
      </c>
      <c r="J15" s="64">
        <v>0.3</v>
      </c>
      <c r="K15" s="64">
        <v>321.82</v>
      </c>
      <c r="L15" s="64">
        <v>14.75</v>
      </c>
      <c r="M15" s="64">
        <v>62.6</v>
      </c>
      <c r="N15" s="64">
        <v>31.5</v>
      </c>
      <c r="O15" s="64">
        <v>0</v>
      </c>
      <c r="P15" s="64">
        <v>0.78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1" t="s">
        <v>2847</v>
      </c>
      <c r="B16" s="64">
        <v>6.72</v>
      </c>
      <c r="C16" s="64">
        <v>22.71</v>
      </c>
      <c r="D16" s="64">
        <v>16.8</v>
      </c>
      <c r="E16" s="64">
        <v>3.71</v>
      </c>
      <c r="F16" s="64">
        <v>2.81</v>
      </c>
      <c r="G16" s="64">
        <v>57.23</v>
      </c>
      <c r="H16" s="64">
        <v>27.59</v>
      </c>
      <c r="I16" s="64">
        <v>2.52</v>
      </c>
      <c r="J16" s="64">
        <v>0.27</v>
      </c>
      <c r="K16" s="64">
        <v>338.85</v>
      </c>
      <c r="L16" s="64">
        <v>14.48</v>
      </c>
      <c r="M16" s="64">
        <v>65.7</v>
      </c>
      <c r="N16" s="64">
        <v>31.4</v>
      </c>
      <c r="O16" s="64">
        <v>0</v>
      </c>
      <c r="P16" s="64">
        <v>0.78</v>
      </c>
      <c r="Q16" s="64">
        <v>9.5299999999999994</v>
      </c>
      <c r="R16" s="198"/>
      <c r="S16" s="198"/>
      <c r="T16" s="198"/>
      <c r="U16" s="198"/>
    </row>
    <row r="17" spans="1:21" s="12" customFormat="1" x14ac:dyDescent="0.25">
      <c r="A17" s="211" t="s">
        <v>2848</v>
      </c>
      <c r="B17" s="64">
        <v>6.71</v>
      </c>
      <c r="C17" s="64">
        <v>22.49</v>
      </c>
      <c r="D17" s="64">
        <v>16.670000000000002</v>
      </c>
      <c r="E17" s="64">
        <v>3.95</v>
      </c>
      <c r="F17" s="64">
        <v>2.76</v>
      </c>
      <c r="G17" s="64">
        <v>57.5</v>
      </c>
      <c r="H17" s="64">
        <v>27.18</v>
      </c>
      <c r="I17" s="64">
        <v>2.4900000000000002</v>
      </c>
      <c r="J17" s="64">
        <v>0.09</v>
      </c>
      <c r="K17" s="64">
        <v>4.63</v>
      </c>
      <c r="L17" s="64">
        <v>14.35</v>
      </c>
      <c r="M17" s="64">
        <v>64.42</v>
      </c>
      <c r="N17" s="64">
        <v>31.3</v>
      </c>
      <c r="O17" s="64">
        <v>0</v>
      </c>
      <c r="P17" s="64">
        <v>0.76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11" t="s">
        <v>2849</v>
      </c>
      <c r="B18" s="64">
        <v>6.58</v>
      </c>
      <c r="C18" s="64">
        <v>22.07</v>
      </c>
      <c r="D18" s="64">
        <v>16.350000000000001</v>
      </c>
      <c r="E18" s="64">
        <v>4.04</v>
      </c>
      <c r="F18" s="64">
        <v>2.71</v>
      </c>
      <c r="G18" s="64">
        <v>58.58</v>
      </c>
      <c r="H18" s="64">
        <v>25.99</v>
      </c>
      <c r="I18" s="64">
        <v>2.48</v>
      </c>
      <c r="J18" s="64">
        <v>0.46</v>
      </c>
      <c r="K18" s="64">
        <v>342.69</v>
      </c>
      <c r="L18" s="64">
        <v>14.3</v>
      </c>
      <c r="M18" s="64">
        <v>66.47</v>
      </c>
      <c r="N18" s="64">
        <v>31</v>
      </c>
      <c r="O18" s="64">
        <v>0</v>
      </c>
      <c r="P18" s="64">
        <v>0.77</v>
      </c>
      <c r="Q18" s="64">
        <v>9.52</v>
      </c>
      <c r="R18" s="198"/>
      <c r="S18" s="198"/>
      <c r="T18" s="198"/>
      <c r="U18" s="198"/>
    </row>
    <row r="19" spans="1:21" s="12" customFormat="1" x14ac:dyDescent="0.25">
      <c r="A19" s="211" t="s">
        <v>2850</v>
      </c>
      <c r="B19" s="64">
        <v>6.52</v>
      </c>
      <c r="C19" s="64">
        <v>21.9</v>
      </c>
      <c r="D19" s="64">
        <v>16.21</v>
      </c>
      <c r="E19" s="64">
        <v>3.74</v>
      </c>
      <c r="F19" s="64">
        <v>2.6</v>
      </c>
      <c r="G19" s="64">
        <v>58.58</v>
      </c>
      <c r="H19" s="64">
        <v>25.99</v>
      </c>
      <c r="I19" s="64">
        <v>2.48</v>
      </c>
      <c r="J19" s="64">
        <v>0.45</v>
      </c>
      <c r="K19" s="64">
        <v>330.08</v>
      </c>
      <c r="L19" s="64">
        <v>14.37</v>
      </c>
      <c r="M19" s="64">
        <v>67.099999999999994</v>
      </c>
      <c r="N19" s="64">
        <v>31.2</v>
      </c>
      <c r="O19" s="64">
        <v>0</v>
      </c>
      <c r="P19" s="64">
        <v>0.8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1" t="s">
        <v>2851</v>
      </c>
      <c r="B20" s="64">
        <v>6.59</v>
      </c>
      <c r="C20" s="64">
        <v>22.04</v>
      </c>
      <c r="D20" s="64">
        <v>16.34</v>
      </c>
      <c r="E20" s="64">
        <v>4.16</v>
      </c>
      <c r="F20" s="64">
        <v>2.62</v>
      </c>
      <c r="G20" s="64">
        <v>58.58</v>
      </c>
      <c r="H20" s="64">
        <v>25.99</v>
      </c>
      <c r="I20" s="64">
        <v>2.79</v>
      </c>
      <c r="J20" s="64">
        <v>0.67</v>
      </c>
      <c r="K20" s="64">
        <v>339.79</v>
      </c>
      <c r="L20" s="64">
        <v>14.33</v>
      </c>
      <c r="M20" s="64">
        <v>67.959999999999994</v>
      </c>
      <c r="N20" s="64">
        <v>30.9</v>
      </c>
      <c r="O20" s="64">
        <v>0</v>
      </c>
      <c r="P20" s="64">
        <v>0.84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1" t="s">
        <v>2852</v>
      </c>
      <c r="B21" s="64">
        <v>6.7</v>
      </c>
      <c r="C21" s="64">
        <v>22.11</v>
      </c>
      <c r="D21" s="64">
        <v>16.47</v>
      </c>
      <c r="E21" s="64">
        <v>3.84</v>
      </c>
      <c r="F21" s="64">
        <v>2.58</v>
      </c>
      <c r="G21" s="64">
        <v>61.8</v>
      </c>
      <c r="H21" s="64">
        <v>27.11</v>
      </c>
      <c r="I21" s="64">
        <v>2.95</v>
      </c>
      <c r="J21" s="64">
        <v>0.57999999999999996</v>
      </c>
      <c r="K21" s="64">
        <v>339.58</v>
      </c>
      <c r="L21" s="64">
        <v>14.39</v>
      </c>
      <c r="M21" s="64">
        <v>67.22</v>
      </c>
      <c r="N21" s="64">
        <v>31.2</v>
      </c>
      <c r="O21" s="64">
        <v>0</v>
      </c>
      <c r="P21" s="64">
        <v>0.87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1" t="s">
        <v>2853</v>
      </c>
      <c r="B22" s="64">
        <v>6.72</v>
      </c>
      <c r="C22" s="64">
        <v>21.94</v>
      </c>
      <c r="D22" s="64">
        <v>16.399999999999999</v>
      </c>
      <c r="E22" s="64">
        <v>4.04</v>
      </c>
      <c r="F22" s="64">
        <v>2.46</v>
      </c>
      <c r="G22" s="64">
        <v>75.62</v>
      </c>
      <c r="H22" s="64">
        <v>32.200000000000003</v>
      </c>
      <c r="I22" s="64">
        <v>3.01</v>
      </c>
      <c r="J22" s="64">
        <v>0.36</v>
      </c>
      <c r="K22" s="64">
        <v>348.84</v>
      </c>
      <c r="L22" s="64">
        <v>14.27</v>
      </c>
      <c r="M22" s="64">
        <v>67.680000000000007</v>
      </c>
      <c r="N22" s="64">
        <v>31.2</v>
      </c>
      <c r="O22" s="64">
        <v>0</v>
      </c>
      <c r="P22" s="64">
        <v>0.91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1" t="s">
        <v>2854</v>
      </c>
      <c r="B23" s="64">
        <v>6.71</v>
      </c>
      <c r="C23" s="64">
        <v>21.73</v>
      </c>
      <c r="D23" s="64">
        <v>16.27</v>
      </c>
      <c r="E23" s="64">
        <v>4.1900000000000004</v>
      </c>
      <c r="F23" s="64">
        <v>2.75</v>
      </c>
      <c r="G23" s="64">
        <v>75.62</v>
      </c>
      <c r="H23" s="64">
        <v>32.200000000000003</v>
      </c>
      <c r="I23" s="64">
        <v>3.02</v>
      </c>
      <c r="J23" s="64">
        <v>0.22</v>
      </c>
      <c r="K23" s="64">
        <v>354.29</v>
      </c>
      <c r="L23" s="64">
        <v>14.16</v>
      </c>
      <c r="M23" s="64">
        <v>68.47</v>
      </c>
      <c r="N23" s="64">
        <v>31.3</v>
      </c>
      <c r="O23" s="64">
        <v>0</v>
      </c>
      <c r="P23" s="64">
        <v>0.92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1" t="s">
        <v>2855</v>
      </c>
      <c r="B24" s="64">
        <v>6.77</v>
      </c>
      <c r="C24" s="64">
        <v>21.56</v>
      </c>
      <c r="D24" s="64">
        <v>16.23</v>
      </c>
      <c r="E24" s="64">
        <v>4.1100000000000003</v>
      </c>
      <c r="F24" s="64">
        <v>2.78</v>
      </c>
      <c r="G24" s="64">
        <v>75.62</v>
      </c>
      <c r="H24" s="64">
        <v>32.200000000000003</v>
      </c>
      <c r="I24" s="64">
        <v>3.03</v>
      </c>
      <c r="J24" s="64">
        <v>0.61</v>
      </c>
      <c r="K24" s="64">
        <v>345.39</v>
      </c>
      <c r="L24" s="64">
        <v>14.11</v>
      </c>
      <c r="M24" s="64">
        <v>71.88</v>
      </c>
      <c r="N24" s="64">
        <v>31.1</v>
      </c>
      <c r="O24" s="64">
        <v>0</v>
      </c>
      <c r="P24" s="64">
        <v>0.93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1" t="s">
        <v>2856</v>
      </c>
      <c r="B25" s="64">
        <v>7.08</v>
      </c>
      <c r="C25" s="64">
        <v>21.47</v>
      </c>
      <c r="D25" s="64">
        <v>16.440000000000001</v>
      </c>
      <c r="E25" s="64">
        <v>3.99</v>
      </c>
      <c r="F25" s="64">
        <v>2.81</v>
      </c>
      <c r="G25" s="64">
        <v>77.78</v>
      </c>
      <c r="H25" s="64">
        <v>34.03</v>
      </c>
      <c r="I25" s="64">
        <v>3.05</v>
      </c>
      <c r="J25" s="64">
        <v>0.17</v>
      </c>
      <c r="K25" s="64">
        <v>39.43</v>
      </c>
      <c r="L25" s="64">
        <v>13.99</v>
      </c>
      <c r="M25" s="64">
        <v>74.89</v>
      </c>
      <c r="N25" s="64">
        <v>31.4</v>
      </c>
      <c r="O25" s="64">
        <v>0</v>
      </c>
      <c r="P25" s="64">
        <v>0.96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1" t="s">
        <v>2857</v>
      </c>
      <c r="B26" s="64">
        <v>7.44</v>
      </c>
      <c r="C26" s="64">
        <v>21.15</v>
      </c>
      <c r="D26" s="64">
        <v>16.559999999999999</v>
      </c>
      <c r="E26" s="64">
        <v>4.22</v>
      </c>
      <c r="F26" s="64">
        <v>3.15</v>
      </c>
      <c r="G26" s="64">
        <v>87.08</v>
      </c>
      <c r="H26" s="64">
        <v>39.409999999999997</v>
      </c>
      <c r="I26" s="64">
        <v>3.13</v>
      </c>
      <c r="J26" s="64">
        <v>0.23</v>
      </c>
      <c r="K26" s="64">
        <v>71.36</v>
      </c>
      <c r="L26" s="64">
        <v>13.78</v>
      </c>
      <c r="M26" s="64">
        <v>76.12</v>
      </c>
      <c r="N26" s="64">
        <v>31.4</v>
      </c>
      <c r="O26" s="64">
        <v>0</v>
      </c>
      <c r="P26" s="64">
        <v>0.95</v>
      </c>
      <c r="Q26" s="64">
        <v>9.58</v>
      </c>
      <c r="R26" s="198"/>
      <c r="S26" s="198"/>
      <c r="T26" s="198"/>
      <c r="U26" s="198"/>
    </row>
    <row r="27" spans="1:21" s="12" customFormat="1" x14ac:dyDescent="0.25">
      <c r="A27" s="211" t="s">
        <v>2858</v>
      </c>
      <c r="B27" s="64">
        <v>7.73</v>
      </c>
      <c r="C27" s="64">
        <v>20.87</v>
      </c>
      <c r="D27" s="64">
        <v>16.64</v>
      </c>
      <c r="E27" s="64">
        <v>3.98</v>
      </c>
      <c r="F27" s="64">
        <v>3.18</v>
      </c>
      <c r="G27" s="64">
        <v>87.08</v>
      </c>
      <c r="H27" s="64">
        <v>39.409999999999997</v>
      </c>
      <c r="I27" s="64">
        <v>3.29</v>
      </c>
      <c r="J27" s="64">
        <v>0.23</v>
      </c>
      <c r="K27" s="64">
        <v>14.46</v>
      </c>
      <c r="L27" s="64">
        <v>13.59</v>
      </c>
      <c r="M27" s="64">
        <v>78.34</v>
      </c>
      <c r="N27" s="64">
        <v>31.3</v>
      </c>
      <c r="O27" s="64">
        <v>0</v>
      </c>
      <c r="P27" s="64">
        <v>0.92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11" t="s">
        <v>2859</v>
      </c>
      <c r="B28" s="64">
        <v>8.1300000000000008</v>
      </c>
      <c r="C28" s="64">
        <v>20.58</v>
      </c>
      <c r="D28" s="64">
        <v>16.809999999999999</v>
      </c>
      <c r="E28" s="64">
        <v>4.3099999999999996</v>
      </c>
      <c r="F28" s="64">
        <v>3.14</v>
      </c>
      <c r="G28" s="64">
        <v>87.08</v>
      </c>
      <c r="H28" s="64">
        <v>39.409999999999997</v>
      </c>
      <c r="I28" s="64">
        <v>3.52</v>
      </c>
      <c r="J28" s="64">
        <v>0.44</v>
      </c>
      <c r="K28" s="64">
        <v>344.93</v>
      </c>
      <c r="L28" s="64">
        <v>13.61</v>
      </c>
      <c r="M28" s="64">
        <v>78.95</v>
      </c>
      <c r="N28" s="64">
        <v>31.1</v>
      </c>
      <c r="O28" s="64">
        <v>0</v>
      </c>
      <c r="P28" s="64">
        <v>0.9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1" t="s">
        <v>2860</v>
      </c>
      <c r="B29" s="64">
        <v>8.5399999999999991</v>
      </c>
      <c r="C29" s="64">
        <v>20.41</v>
      </c>
      <c r="D29" s="64">
        <v>17.05</v>
      </c>
      <c r="E29" s="64">
        <v>4.1500000000000004</v>
      </c>
      <c r="F29" s="64">
        <v>2.95</v>
      </c>
      <c r="G29" s="64">
        <v>90.39</v>
      </c>
      <c r="H29" s="64">
        <v>40.119999999999997</v>
      </c>
      <c r="I29" s="64">
        <v>3.71</v>
      </c>
      <c r="J29" s="64">
        <v>0.46</v>
      </c>
      <c r="K29" s="64">
        <v>339.89</v>
      </c>
      <c r="L29" s="64">
        <v>13.6</v>
      </c>
      <c r="M29" s="64">
        <v>78.86</v>
      </c>
      <c r="N29" s="64">
        <v>31.2</v>
      </c>
      <c r="O29" s="64">
        <v>0</v>
      </c>
      <c r="P29" s="64">
        <v>0.9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11" t="s">
        <v>2861</v>
      </c>
      <c r="B30" s="64">
        <v>8.9</v>
      </c>
      <c r="C30" s="64">
        <v>20.36</v>
      </c>
      <c r="D30" s="64">
        <v>17.309999999999999</v>
      </c>
      <c r="E30" s="64">
        <v>3.96</v>
      </c>
      <c r="F30" s="64">
        <v>3.1</v>
      </c>
      <c r="G30" s="64">
        <v>104.65</v>
      </c>
      <c r="H30" s="64">
        <v>42.21</v>
      </c>
      <c r="I30" s="64">
        <v>3.82</v>
      </c>
      <c r="J30" s="64">
        <v>0.12</v>
      </c>
      <c r="K30" s="64">
        <v>117.52</v>
      </c>
      <c r="L30" s="64">
        <v>13.38</v>
      </c>
      <c r="M30" s="64">
        <v>79.69</v>
      </c>
      <c r="N30" s="64">
        <v>31.4</v>
      </c>
      <c r="O30" s="64">
        <v>0</v>
      </c>
      <c r="P30" s="64">
        <v>0.91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1" t="s">
        <v>2862</v>
      </c>
      <c r="B31" s="64">
        <v>9.06</v>
      </c>
      <c r="C31" s="64">
        <v>20.27</v>
      </c>
      <c r="D31" s="64">
        <v>17.399999999999999</v>
      </c>
      <c r="E31" s="64">
        <v>3.85</v>
      </c>
      <c r="F31" s="64">
        <v>2.95</v>
      </c>
      <c r="G31" s="64">
        <v>104.65</v>
      </c>
      <c r="H31" s="64">
        <v>42.21</v>
      </c>
      <c r="I31" s="64">
        <v>3.85</v>
      </c>
      <c r="J31" s="64">
        <v>0.32</v>
      </c>
      <c r="K31" s="64">
        <v>288.83999999999997</v>
      </c>
      <c r="L31" s="64">
        <v>13.25</v>
      </c>
      <c r="M31" s="64">
        <v>80.34</v>
      </c>
      <c r="N31" s="64">
        <v>31.3</v>
      </c>
      <c r="O31" s="64">
        <v>0</v>
      </c>
      <c r="P31" s="64">
        <v>0.91</v>
      </c>
      <c r="Q31" s="64">
        <v>9.56</v>
      </c>
      <c r="R31" s="198"/>
      <c r="S31" s="198"/>
      <c r="T31" s="198"/>
      <c r="U31" s="198"/>
    </row>
    <row r="32" spans="1:21" s="12" customFormat="1" x14ac:dyDescent="0.25">
      <c r="A32" s="211" t="s">
        <v>2863</v>
      </c>
      <c r="B32" s="64">
        <v>9.1</v>
      </c>
      <c r="C32" s="64">
        <v>20.18</v>
      </c>
      <c r="D32" s="64">
        <v>17.38</v>
      </c>
      <c r="E32" s="64">
        <v>3.59</v>
      </c>
      <c r="F32" s="64">
        <v>2.79</v>
      </c>
      <c r="G32" s="64">
        <v>104.65</v>
      </c>
      <c r="H32" s="64">
        <v>42.21</v>
      </c>
      <c r="I32" s="64">
        <v>3.85</v>
      </c>
      <c r="J32" s="64">
        <v>0.14000000000000001</v>
      </c>
      <c r="K32" s="64">
        <v>276</v>
      </c>
      <c r="L32" s="64">
        <v>13.13</v>
      </c>
      <c r="M32" s="64">
        <v>80.790000000000006</v>
      </c>
      <c r="N32" s="64">
        <v>31.4</v>
      </c>
      <c r="O32" s="64">
        <v>0</v>
      </c>
      <c r="P32" s="64">
        <v>0.91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1" t="s">
        <v>2864</v>
      </c>
      <c r="B33" s="64">
        <v>9.15</v>
      </c>
      <c r="C33" s="64">
        <v>20.3</v>
      </c>
      <c r="D33" s="64">
        <v>17.489999999999998</v>
      </c>
      <c r="E33" s="64">
        <v>3.62</v>
      </c>
      <c r="F33" s="64">
        <v>2.86</v>
      </c>
      <c r="G33" s="64">
        <v>102.09</v>
      </c>
      <c r="H33" s="64">
        <v>41.46</v>
      </c>
      <c r="I33" s="64">
        <v>3.83</v>
      </c>
      <c r="J33" s="64">
        <v>0.13</v>
      </c>
      <c r="K33" s="64">
        <v>253.43</v>
      </c>
      <c r="L33" s="64">
        <v>12.98</v>
      </c>
      <c r="M33" s="64">
        <v>81.69</v>
      </c>
      <c r="N33" s="64">
        <v>32.700000000000003</v>
      </c>
      <c r="O33" s="64">
        <v>0</v>
      </c>
      <c r="P33" s="64">
        <v>0.9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1" t="s">
        <v>2865</v>
      </c>
      <c r="B34" s="64">
        <v>9.27</v>
      </c>
      <c r="C34" s="64">
        <v>20.23</v>
      </c>
      <c r="D34" s="64">
        <v>17.54</v>
      </c>
      <c r="E34" s="64">
        <v>3.53</v>
      </c>
      <c r="F34" s="64">
        <v>2.74</v>
      </c>
      <c r="G34" s="64">
        <v>91.85</v>
      </c>
      <c r="H34" s="64">
        <v>39.26</v>
      </c>
      <c r="I34" s="64">
        <v>3.79</v>
      </c>
      <c r="J34" s="64">
        <v>0.21</v>
      </c>
      <c r="K34" s="64">
        <v>299.93</v>
      </c>
      <c r="L34" s="64">
        <v>12.92</v>
      </c>
      <c r="M34" s="64">
        <v>83.13</v>
      </c>
      <c r="N34" s="64">
        <v>37.6</v>
      </c>
      <c r="O34" s="64">
        <v>0</v>
      </c>
      <c r="P34" s="64">
        <v>0.9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1" t="s">
        <v>2866</v>
      </c>
      <c r="B35" s="64">
        <v>9.7899999999999991</v>
      </c>
      <c r="C35" s="64">
        <v>20.13</v>
      </c>
      <c r="D35" s="64">
        <v>17.91</v>
      </c>
      <c r="E35" s="64">
        <v>3.78</v>
      </c>
      <c r="F35" s="64">
        <v>2.93</v>
      </c>
      <c r="G35" s="64">
        <v>91.85</v>
      </c>
      <c r="H35" s="64">
        <v>39.26</v>
      </c>
      <c r="I35" s="64">
        <v>3.76</v>
      </c>
      <c r="J35" s="64">
        <v>0.19</v>
      </c>
      <c r="K35" s="64">
        <v>270.32</v>
      </c>
      <c r="L35" s="64">
        <v>13.01</v>
      </c>
      <c r="M35" s="64">
        <v>83.25</v>
      </c>
      <c r="N35" s="64">
        <v>47.4</v>
      </c>
      <c r="O35" s="64">
        <v>0</v>
      </c>
      <c r="P35" s="64">
        <v>0.89</v>
      </c>
      <c r="Q35" s="64">
        <v>9.58</v>
      </c>
      <c r="R35" s="198"/>
      <c r="S35" s="198"/>
      <c r="T35" s="198"/>
      <c r="U35" s="198"/>
    </row>
    <row r="36" spans="1:21" s="12" customFormat="1" x14ac:dyDescent="0.25">
      <c r="A36" s="211" t="s">
        <v>2867</v>
      </c>
      <c r="B36" s="64">
        <v>10.3</v>
      </c>
      <c r="C36" s="64">
        <v>19.48</v>
      </c>
      <c r="D36" s="64">
        <v>17.98</v>
      </c>
      <c r="E36" s="64">
        <v>3.59</v>
      </c>
      <c r="F36" s="64">
        <v>3.02</v>
      </c>
      <c r="G36" s="64">
        <v>91.85</v>
      </c>
      <c r="H36" s="64">
        <v>39.26</v>
      </c>
      <c r="I36" s="64">
        <v>3.73</v>
      </c>
      <c r="J36" s="64">
        <v>0.14000000000000001</v>
      </c>
      <c r="K36" s="64">
        <v>262.05</v>
      </c>
      <c r="L36" s="64">
        <v>13.32</v>
      </c>
      <c r="M36" s="64">
        <v>81.709999999999994</v>
      </c>
      <c r="N36" s="64">
        <v>62</v>
      </c>
      <c r="O36" s="64">
        <v>0</v>
      </c>
      <c r="P36" s="64">
        <v>0.9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1" t="s">
        <v>2868</v>
      </c>
      <c r="B37" s="64">
        <v>10.72</v>
      </c>
      <c r="C37" s="64">
        <v>19.510000000000002</v>
      </c>
      <c r="D37" s="64">
        <v>18.329999999999998</v>
      </c>
      <c r="E37" s="64">
        <v>3.72</v>
      </c>
      <c r="F37" s="64">
        <v>2.93</v>
      </c>
      <c r="G37" s="64">
        <v>89.42</v>
      </c>
      <c r="H37" s="64">
        <v>38.99</v>
      </c>
      <c r="I37" s="64">
        <v>3.71</v>
      </c>
      <c r="J37" s="64">
        <v>0.25</v>
      </c>
      <c r="K37" s="64">
        <v>309.13</v>
      </c>
      <c r="L37" s="64">
        <v>13.82</v>
      </c>
      <c r="M37" s="64">
        <v>79.25</v>
      </c>
      <c r="N37" s="64">
        <v>78.8</v>
      </c>
      <c r="O37" s="64">
        <v>0</v>
      </c>
      <c r="P37" s="64">
        <v>0.9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1" t="s">
        <v>2869</v>
      </c>
      <c r="B38" s="64">
        <v>11.22</v>
      </c>
      <c r="C38" s="64">
        <v>19.78</v>
      </c>
      <c r="D38" s="64">
        <v>18.87</v>
      </c>
      <c r="E38" s="64">
        <v>3.74</v>
      </c>
      <c r="F38" s="64">
        <v>2.95</v>
      </c>
      <c r="G38" s="64">
        <v>79.7</v>
      </c>
      <c r="H38" s="64">
        <v>37.78</v>
      </c>
      <c r="I38" s="64">
        <v>3.71</v>
      </c>
      <c r="J38" s="64">
        <v>0.24</v>
      </c>
      <c r="K38" s="64">
        <v>323.72000000000003</v>
      </c>
      <c r="L38" s="64">
        <v>14.7</v>
      </c>
      <c r="M38" s="64">
        <v>74.37</v>
      </c>
      <c r="N38" s="64">
        <v>131.80000000000001</v>
      </c>
      <c r="O38" s="64">
        <v>0</v>
      </c>
      <c r="P38" s="64">
        <v>0.98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1" t="s">
        <v>2870</v>
      </c>
      <c r="B39" s="64">
        <v>11.86</v>
      </c>
      <c r="C39" s="64">
        <v>19.64</v>
      </c>
      <c r="D39" s="64">
        <v>19.309999999999999</v>
      </c>
      <c r="E39" s="64">
        <v>4.01</v>
      </c>
      <c r="F39" s="64">
        <v>2.81</v>
      </c>
      <c r="G39" s="64">
        <v>79.7</v>
      </c>
      <c r="H39" s="64">
        <v>37.78</v>
      </c>
      <c r="I39" s="64">
        <v>3.7</v>
      </c>
      <c r="J39" s="64">
        <v>0.06</v>
      </c>
      <c r="K39" s="64">
        <v>334.63</v>
      </c>
      <c r="L39" s="64">
        <v>16.350000000000001</v>
      </c>
      <c r="M39" s="64">
        <v>65.23</v>
      </c>
      <c r="N39" s="64">
        <v>205.7</v>
      </c>
      <c r="O39" s="64">
        <v>0</v>
      </c>
      <c r="P39" s="64">
        <v>1.01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1" t="s">
        <v>2871</v>
      </c>
      <c r="B40" s="64">
        <v>12.43</v>
      </c>
      <c r="C40" s="64">
        <v>19.670000000000002</v>
      </c>
      <c r="D40" s="64">
        <v>19.78</v>
      </c>
      <c r="E40" s="64">
        <v>5.31</v>
      </c>
      <c r="F40" s="64">
        <v>3.11</v>
      </c>
      <c r="G40" s="64">
        <v>79.7</v>
      </c>
      <c r="H40" s="64">
        <v>37.78</v>
      </c>
      <c r="I40" s="64">
        <v>3.7</v>
      </c>
      <c r="J40" s="64">
        <v>0.32</v>
      </c>
      <c r="K40" s="64">
        <v>333.22</v>
      </c>
      <c r="L40" s="64">
        <v>18.3</v>
      </c>
      <c r="M40" s="64">
        <v>55.76</v>
      </c>
      <c r="N40" s="64">
        <v>250.4</v>
      </c>
      <c r="O40" s="64">
        <v>0</v>
      </c>
      <c r="P40" s="64">
        <v>1.02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1" t="s">
        <v>2872</v>
      </c>
      <c r="B41" s="64">
        <v>12.99</v>
      </c>
      <c r="C41" s="64">
        <v>19.489999999999998</v>
      </c>
      <c r="D41" s="64">
        <v>20.14</v>
      </c>
      <c r="E41" s="64">
        <v>4.8</v>
      </c>
      <c r="F41" s="64">
        <v>3.13</v>
      </c>
      <c r="G41" s="64">
        <v>77.900000000000006</v>
      </c>
      <c r="H41" s="64">
        <v>36.840000000000003</v>
      </c>
      <c r="I41" s="64">
        <v>3.7</v>
      </c>
      <c r="J41" s="64">
        <v>0.26</v>
      </c>
      <c r="K41" s="64">
        <v>358.12</v>
      </c>
      <c r="L41" s="64">
        <v>19.36</v>
      </c>
      <c r="M41" s="64">
        <v>51.33</v>
      </c>
      <c r="N41" s="64">
        <v>294.60000000000002</v>
      </c>
      <c r="O41" s="64">
        <v>0</v>
      </c>
      <c r="P41" s="64">
        <v>1.02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1" t="s">
        <v>2873</v>
      </c>
      <c r="B42" s="64">
        <v>13.08</v>
      </c>
      <c r="C42" s="64">
        <v>19.72</v>
      </c>
      <c r="D42" s="64">
        <v>20.329999999999998</v>
      </c>
      <c r="E42" s="64">
        <v>4.57</v>
      </c>
      <c r="F42" s="64">
        <v>3.36</v>
      </c>
      <c r="G42" s="64">
        <v>70.709999999999994</v>
      </c>
      <c r="H42" s="64">
        <v>34.07</v>
      </c>
      <c r="I42" s="64">
        <v>3.71</v>
      </c>
      <c r="J42" s="64">
        <v>0.17</v>
      </c>
      <c r="K42" s="64">
        <v>28.63</v>
      </c>
      <c r="L42" s="64">
        <v>20.25</v>
      </c>
      <c r="M42" s="64">
        <v>48.25</v>
      </c>
      <c r="N42" s="64">
        <v>336.3</v>
      </c>
      <c r="O42" s="64">
        <v>0</v>
      </c>
      <c r="P42" s="64">
        <v>1.04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1" t="s">
        <v>2874</v>
      </c>
      <c r="B43" s="64">
        <v>13.2</v>
      </c>
      <c r="C43" s="64">
        <v>19.809999999999999</v>
      </c>
      <c r="D43" s="64">
        <v>20.48</v>
      </c>
      <c r="E43" s="64">
        <v>4.87</v>
      </c>
      <c r="F43" s="64">
        <v>3.16</v>
      </c>
      <c r="G43" s="64">
        <v>70.709999999999994</v>
      </c>
      <c r="H43" s="64">
        <v>34.07</v>
      </c>
      <c r="I43" s="64">
        <v>3.71</v>
      </c>
      <c r="J43" s="64">
        <v>0.46</v>
      </c>
      <c r="K43" s="64">
        <v>115.04</v>
      </c>
      <c r="L43" s="64">
        <v>20.09</v>
      </c>
      <c r="M43" s="64">
        <v>49.15</v>
      </c>
      <c r="N43" s="64">
        <v>371.9</v>
      </c>
      <c r="O43" s="64">
        <v>0</v>
      </c>
      <c r="P43" s="64">
        <v>1.02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1" t="s">
        <v>2875</v>
      </c>
      <c r="B44" s="64">
        <v>13.1</v>
      </c>
      <c r="C44" s="64">
        <v>20.02</v>
      </c>
      <c r="D44" s="64">
        <v>20.5</v>
      </c>
      <c r="E44" s="64">
        <v>4.59</v>
      </c>
      <c r="F44" s="64">
        <v>3.09</v>
      </c>
      <c r="G44" s="64">
        <v>70.709999999999994</v>
      </c>
      <c r="H44" s="64">
        <v>34.07</v>
      </c>
      <c r="I44" s="64">
        <v>3.7</v>
      </c>
      <c r="J44" s="64">
        <v>0.22</v>
      </c>
      <c r="K44" s="64">
        <v>99.28</v>
      </c>
      <c r="L44" s="64">
        <v>21.17</v>
      </c>
      <c r="M44" s="64">
        <v>45.01</v>
      </c>
      <c r="N44" s="64">
        <v>407.3</v>
      </c>
      <c r="O44" s="64">
        <v>0</v>
      </c>
      <c r="P44" s="64">
        <v>0.98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2876</v>
      </c>
      <c r="B45" s="64">
        <v>12.89</v>
      </c>
      <c r="C45" s="64">
        <v>20.14</v>
      </c>
      <c r="D45" s="64">
        <v>20.399999999999999</v>
      </c>
      <c r="E45" s="64">
        <v>4.83</v>
      </c>
      <c r="F45" s="64">
        <v>3.34</v>
      </c>
      <c r="G45" s="64">
        <v>69.459999999999994</v>
      </c>
      <c r="H45" s="64">
        <v>33.57</v>
      </c>
      <c r="I45" s="64">
        <v>3.67</v>
      </c>
      <c r="J45" s="64">
        <v>0.12</v>
      </c>
      <c r="K45" s="64">
        <v>47.59</v>
      </c>
      <c r="L45" s="64">
        <v>21.44</v>
      </c>
      <c r="M45" s="64">
        <v>44.39</v>
      </c>
      <c r="N45" s="64">
        <v>441</v>
      </c>
      <c r="O45" s="64">
        <v>0</v>
      </c>
      <c r="P45" s="64">
        <v>0.94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1" t="s">
        <v>2877</v>
      </c>
      <c r="B46" s="64">
        <v>12.64</v>
      </c>
      <c r="C46" s="64">
        <v>20.56</v>
      </c>
      <c r="D46" s="64">
        <v>20.41</v>
      </c>
      <c r="E46" s="64">
        <v>4.8600000000000003</v>
      </c>
      <c r="F46" s="64">
        <v>3.28</v>
      </c>
      <c r="G46" s="64">
        <v>64.099999999999994</v>
      </c>
      <c r="H46" s="64">
        <v>32.119999999999997</v>
      </c>
      <c r="I46" s="64">
        <v>3.62</v>
      </c>
      <c r="J46" s="64">
        <v>0.54</v>
      </c>
      <c r="K46" s="64">
        <v>126.95</v>
      </c>
      <c r="L46" s="64">
        <v>22.44</v>
      </c>
      <c r="M46" s="64">
        <v>39.729999999999997</v>
      </c>
      <c r="N46" s="64">
        <v>471.9</v>
      </c>
      <c r="O46" s="64">
        <v>0</v>
      </c>
      <c r="P46" s="64">
        <v>0.93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1" t="s">
        <v>2878</v>
      </c>
      <c r="B47" s="64">
        <v>12.25</v>
      </c>
      <c r="C47" s="64">
        <v>21.05</v>
      </c>
      <c r="D47" s="64">
        <v>20.36</v>
      </c>
      <c r="E47" s="64">
        <v>4.75</v>
      </c>
      <c r="F47" s="64">
        <v>3.14</v>
      </c>
      <c r="G47" s="64">
        <v>64.099999999999994</v>
      </c>
      <c r="H47" s="64">
        <v>32.119999999999997</v>
      </c>
      <c r="I47" s="64">
        <v>3.6</v>
      </c>
      <c r="J47" s="64">
        <v>0.68</v>
      </c>
      <c r="K47" s="64">
        <v>120.17</v>
      </c>
      <c r="L47" s="64">
        <v>22.24</v>
      </c>
      <c r="M47" s="64">
        <v>40.24</v>
      </c>
      <c r="N47" s="64">
        <v>493.1</v>
      </c>
      <c r="O47" s="64">
        <v>0</v>
      </c>
      <c r="P47" s="64">
        <v>0.91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1" t="s">
        <v>2879</v>
      </c>
      <c r="B48" s="64">
        <v>12</v>
      </c>
      <c r="C48" s="64">
        <v>21.59</v>
      </c>
      <c r="D48" s="64">
        <v>20.440000000000001</v>
      </c>
      <c r="E48" s="64">
        <v>4.9000000000000004</v>
      </c>
      <c r="F48" s="64">
        <v>3.12</v>
      </c>
      <c r="G48" s="64">
        <v>64.099999999999994</v>
      </c>
      <c r="H48" s="64">
        <v>32.119999999999997</v>
      </c>
      <c r="I48" s="64">
        <v>3.59</v>
      </c>
      <c r="J48" s="64">
        <v>0.32</v>
      </c>
      <c r="K48" s="64">
        <v>334.41</v>
      </c>
      <c r="L48" s="64">
        <v>23.43</v>
      </c>
      <c r="M48" s="64">
        <v>37.6</v>
      </c>
      <c r="N48" s="64">
        <v>506.7</v>
      </c>
      <c r="O48" s="64">
        <v>0</v>
      </c>
      <c r="P48" s="64">
        <v>0.9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1" t="s">
        <v>2880</v>
      </c>
      <c r="B49" s="64">
        <v>11.7</v>
      </c>
      <c r="C49" s="64">
        <v>22.04</v>
      </c>
      <c r="D49" s="64">
        <v>20.43</v>
      </c>
      <c r="E49" s="64">
        <v>4.93</v>
      </c>
      <c r="F49" s="64">
        <v>2.99</v>
      </c>
      <c r="G49" s="64">
        <v>64.05</v>
      </c>
      <c r="H49" s="64">
        <v>31.68</v>
      </c>
      <c r="I49" s="64">
        <v>3.57</v>
      </c>
      <c r="J49" s="64">
        <v>0.23</v>
      </c>
      <c r="K49" s="64">
        <v>81.84</v>
      </c>
      <c r="L49" s="64">
        <v>23.85</v>
      </c>
      <c r="M49" s="64">
        <v>36.659999999999997</v>
      </c>
      <c r="N49" s="64">
        <v>521.5</v>
      </c>
      <c r="O49" s="64">
        <v>0</v>
      </c>
      <c r="P49" s="64">
        <v>0.9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1" t="s">
        <v>2881</v>
      </c>
      <c r="B50" s="64">
        <v>11.21</v>
      </c>
      <c r="C50" s="64">
        <v>22.52</v>
      </c>
      <c r="D50" s="64">
        <v>20.3</v>
      </c>
      <c r="E50" s="64">
        <v>4.9800000000000004</v>
      </c>
      <c r="F50" s="64">
        <v>2.75</v>
      </c>
      <c r="G50" s="64">
        <v>63.85</v>
      </c>
      <c r="H50" s="64">
        <v>30.4</v>
      </c>
      <c r="I50" s="64">
        <v>3.55</v>
      </c>
      <c r="J50" s="64">
        <v>0.65</v>
      </c>
      <c r="K50" s="64">
        <v>122.21</v>
      </c>
      <c r="L50" s="64">
        <v>23.45</v>
      </c>
      <c r="M50" s="64">
        <v>37.24</v>
      </c>
      <c r="N50" s="64">
        <v>537.79999999999995</v>
      </c>
      <c r="O50" s="64">
        <v>0</v>
      </c>
      <c r="P50" s="64">
        <v>0.9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1" t="s">
        <v>2882</v>
      </c>
      <c r="B51" s="64">
        <v>10.55</v>
      </c>
      <c r="C51" s="64">
        <v>23.01</v>
      </c>
      <c r="D51" s="64">
        <v>20.02</v>
      </c>
      <c r="E51" s="64">
        <v>4.9400000000000004</v>
      </c>
      <c r="F51" s="64">
        <v>2.62</v>
      </c>
      <c r="G51" s="64">
        <v>63.85</v>
      </c>
      <c r="H51" s="64">
        <v>30.4</v>
      </c>
      <c r="I51" s="64">
        <v>3.52</v>
      </c>
      <c r="J51" s="64">
        <v>0.32</v>
      </c>
      <c r="K51" s="64">
        <v>109.1</v>
      </c>
      <c r="L51" s="64">
        <v>24.3</v>
      </c>
      <c r="M51" s="64">
        <v>35.619999999999997</v>
      </c>
      <c r="N51" s="64">
        <v>549.29999999999995</v>
      </c>
      <c r="O51" s="64">
        <v>0</v>
      </c>
      <c r="P51" s="64">
        <v>0.89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1" t="s">
        <v>2883</v>
      </c>
      <c r="B52" s="64">
        <v>9.85</v>
      </c>
      <c r="C52" s="64">
        <v>23.6</v>
      </c>
      <c r="D52" s="64">
        <v>19.77</v>
      </c>
      <c r="E52" s="64">
        <v>4.5999999999999996</v>
      </c>
      <c r="F52" s="64">
        <v>2.92</v>
      </c>
      <c r="G52" s="64">
        <v>63.85</v>
      </c>
      <c r="H52" s="64">
        <v>30.4</v>
      </c>
      <c r="I52" s="64">
        <v>3.49</v>
      </c>
      <c r="J52" s="64">
        <v>0.47</v>
      </c>
      <c r="K52" s="64">
        <v>108.36</v>
      </c>
      <c r="L52" s="64">
        <v>24.73</v>
      </c>
      <c r="M52" s="64">
        <v>35.21</v>
      </c>
      <c r="N52" s="64">
        <v>555.20000000000005</v>
      </c>
      <c r="O52" s="64">
        <v>0</v>
      </c>
      <c r="P52" s="64">
        <v>0.88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1" t="s">
        <v>2884</v>
      </c>
      <c r="B53" s="64">
        <v>9.25</v>
      </c>
      <c r="C53" s="64">
        <v>24</v>
      </c>
      <c r="D53" s="64">
        <v>19.5</v>
      </c>
      <c r="E53" s="64">
        <v>5.15</v>
      </c>
      <c r="F53" s="64">
        <v>2.71</v>
      </c>
      <c r="G53" s="64">
        <v>62.79</v>
      </c>
      <c r="H53" s="64">
        <v>30.07</v>
      </c>
      <c r="I53" s="64">
        <v>3.47</v>
      </c>
      <c r="J53" s="64">
        <v>1.1499999999999999</v>
      </c>
      <c r="K53" s="64">
        <v>119.35</v>
      </c>
      <c r="L53" s="64">
        <v>24.44</v>
      </c>
      <c r="M53" s="64">
        <v>35.54</v>
      </c>
      <c r="N53" s="64">
        <v>573.6</v>
      </c>
      <c r="O53" s="64">
        <v>0</v>
      </c>
      <c r="P53" s="64">
        <v>0.87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1" t="s">
        <v>2885</v>
      </c>
      <c r="B54" s="64">
        <v>8.9600000000000009</v>
      </c>
      <c r="C54" s="64">
        <v>25.09</v>
      </c>
      <c r="D54" s="64">
        <v>19.829999999999998</v>
      </c>
      <c r="E54" s="64">
        <v>4.96</v>
      </c>
      <c r="F54" s="64">
        <v>3.33</v>
      </c>
      <c r="G54" s="64">
        <v>58.57</v>
      </c>
      <c r="H54" s="64">
        <v>28.6</v>
      </c>
      <c r="I54" s="64">
        <v>3.42</v>
      </c>
      <c r="J54" s="64">
        <v>0.81</v>
      </c>
      <c r="K54" s="64">
        <v>114.32</v>
      </c>
      <c r="L54" s="64">
        <v>23.79</v>
      </c>
      <c r="M54" s="64">
        <v>37.090000000000003</v>
      </c>
      <c r="N54" s="64">
        <v>564.79999999999995</v>
      </c>
      <c r="O54" s="64">
        <v>0</v>
      </c>
      <c r="P54" s="64">
        <v>0.88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1" t="s">
        <v>2886</v>
      </c>
      <c r="B55" s="64">
        <v>8.01</v>
      </c>
      <c r="C55" s="64">
        <v>23.98</v>
      </c>
      <c r="D55" s="64">
        <v>18.489999999999998</v>
      </c>
      <c r="E55" s="64">
        <v>5.16</v>
      </c>
      <c r="F55" s="64">
        <v>3.99</v>
      </c>
      <c r="G55" s="64">
        <v>58.57</v>
      </c>
      <c r="H55" s="64">
        <v>28.6</v>
      </c>
      <c r="I55" s="64">
        <v>3.39</v>
      </c>
      <c r="J55" s="64">
        <v>1.1000000000000001</v>
      </c>
      <c r="K55" s="64">
        <v>117.9</v>
      </c>
      <c r="L55" s="64">
        <v>23.53</v>
      </c>
      <c r="M55" s="64">
        <v>37.64</v>
      </c>
      <c r="N55" s="64">
        <v>559.4</v>
      </c>
      <c r="O55" s="64">
        <v>0</v>
      </c>
      <c r="P55" s="64">
        <v>0.89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1" t="s">
        <v>2887</v>
      </c>
      <c r="B56" s="64">
        <v>7.06</v>
      </c>
      <c r="C56" s="64">
        <v>23.76</v>
      </c>
      <c r="D56" s="64">
        <v>17.61</v>
      </c>
      <c r="E56" s="64">
        <v>5.9</v>
      </c>
      <c r="F56" s="64">
        <v>4.83</v>
      </c>
      <c r="G56" s="64">
        <v>58.57</v>
      </c>
      <c r="H56" s="64">
        <v>28.6</v>
      </c>
      <c r="I56" s="64">
        <v>3.35</v>
      </c>
      <c r="J56" s="64">
        <v>0.37</v>
      </c>
      <c r="K56" s="64">
        <v>84.39</v>
      </c>
      <c r="L56" s="64">
        <v>24.51</v>
      </c>
      <c r="M56" s="64">
        <v>34.700000000000003</v>
      </c>
      <c r="N56" s="64">
        <v>562.20000000000005</v>
      </c>
      <c r="O56" s="64">
        <v>0</v>
      </c>
      <c r="P56" s="64">
        <v>0.87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1" t="s">
        <v>2888</v>
      </c>
      <c r="B57" s="64">
        <v>6.67</v>
      </c>
      <c r="C57" s="64">
        <v>24.2</v>
      </c>
      <c r="D57" s="64">
        <v>17.54</v>
      </c>
      <c r="E57" s="64">
        <v>6.26</v>
      </c>
      <c r="F57" s="64">
        <v>5.56</v>
      </c>
      <c r="G57" s="64">
        <v>56.56</v>
      </c>
      <c r="H57" s="64">
        <v>26.48</v>
      </c>
      <c r="I57" s="64">
        <v>3.27</v>
      </c>
      <c r="J57" s="64">
        <v>0.57999999999999996</v>
      </c>
      <c r="K57" s="64">
        <v>115.27</v>
      </c>
      <c r="L57" s="64">
        <v>25.2</v>
      </c>
      <c r="M57" s="64">
        <v>33.43</v>
      </c>
      <c r="N57" s="64">
        <v>556.1</v>
      </c>
      <c r="O57" s="64">
        <v>0</v>
      </c>
      <c r="P57" s="64">
        <v>0.87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1" t="s">
        <v>2889</v>
      </c>
      <c r="B58" s="64">
        <v>6.15</v>
      </c>
      <c r="C58" s="64">
        <v>24.62</v>
      </c>
      <c r="D58" s="64">
        <v>17.34</v>
      </c>
      <c r="E58" s="64">
        <v>5.29</v>
      </c>
      <c r="F58" s="64">
        <v>3.97</v>
      </c>
      <c r="G58" s="64">
        <v>48.54</v>
      </c>
      <c r="H58" s="64">
        <v>20.27</v>
      </c>
      <c r="I58" s="64">
        <v>3.21</v>
      </c>
      <c r="J58" s="64">
        <v>1.51</v>
      </c>
      <c r="K58" s="64">
        <v>128.35</v>
      </c>
      <c r="L58" s="64">
        <v>23.61</v>
      </c>
      <c r="M58" s="64">
        <v>35.92</v>
      </c>
      <c r="N58" s="64">
        <v>551</v>
      </c>
      <c r="O58" s="64">
        <v>0</v>
      </c>
      <c r="P58" s="64">
        <v>0.87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1" t="s">
        <v>2890</v>
      </c>
      <c r="B59" s="64">
        <v>5.61</v>
      </c>
      <c r="C59" s="64">
        <v>25</v>
      </c>
      <c r="D59" s="64">
        <v>17.100000000000001</v>
      </c>
      <c r="E59" s="64">
        <v>5.53</v>
      </c>
      <c r="F59" s="64">
        <v>4.7699999999999996</v>
      </c>
      <c r="G59" s="64">
        <v>48.54</v>
      </c>
      <c r="H59" s="64">
        <v>20.27</v>
      </c>
      <c r="I59" s="64">
        <v>3.17</v>
      </c>
      <c r="J59" s="64">
        <v>0.5</v>
      </c>
      <c r="K59" s="64">
        <v>24.44</v>
      </c>
      <c r="L59" s="64">
        <v>24.61</v>
      </c>
      <c r="M59" s="64">
        <v>34.08</v>
      </c>
      <c r="N59" s="64">
        <v>519.5</v>
      </c>
      <c r="O59" s="64">
        <v>0</v>
      </c>
      <c r="P59" s="64">
        <v>0.85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1" t="s">
        <v>2891</v>
      </c>
      <c r="B60" s="64">
        <v>6.4</v>
      </c>
      <c r="C60" s="64">
        <v>23.91</v>
      </c>
      <c r="D60" s="64">
        <v>17.16</v>
      </c>
      <c r="E60" s="64">
        <v>6.3</v>
      </c>
      <c r="F60" s="64">
        <v>6.65</v>
      </c>
      <c r="G60" s="64">
        <v>48.54</v>
      </c>
      <c r="H60" s="64">
        <v>20.27</v>
      </c>
      <c r="I60" s="64">
        <v>3.09</v>
      </c>
      <c r="J60" s="64">
        <v>0.34</v>
      </c>
      <c r="K60" s="64">
        <v>57.81</v>
      </c>
      <c r="L60" s="64">
        <v>25.88</v>
      </c>
      <c r="M60" s="64">
        <v>30.95</v>
      </c>
      <c r="N60" s="64">
        <v>501.3</v>
      </c>
      <c r="O60" s="64">
        <v>0</v>
      </c>
      <c r="P60" s="64">
        <v>0.83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1" t="s">
        <v>2892</v>
      </c>
      <c r="B61" s="64">
        <v>5.39</v>
      </c>
      <c r="C61" s="64">
        <v>23.81</v>
      </c>
      <c r="D61" s="64">
        <v>16.3</v>
      </c>
      <c r="E61" s="64">
        <v>6.47</v>
      </c>
      <c r="F61" s="64">
        <v>5.51</v>
      </c>
      <c r="G61" s="64">
        <v>47.7</v>
      </c>
      <c r="H61" s="64">
        <v>19.989999999999998</v>
      </c>
      <c r="I61" s="64">
        <v>3.02</v>
      </c>
      <c r="J61" s="64">
        <v>0.69</v>
      </c>
      <c r="K61" s="64">
        <v>106.54</v>
      </c>
      <c r="L61" s="64">
        <v>24.69</v>
      </c>
      <c r="M61" s="64">
        <v>33.56</v>
      </c>
      <c r="N61" s="64">
        <v>442</v>
      </c>
      <c r="O61" s="64">
        <v>0</v>
      </c>
      <c r="P61" s="64">
        <v>0.78</v>
      </c>
      <c r="Q61" s="64">
        <v>9.58</v>
      </c>
      <c r="R61" s="198"/>
      <c r="S61" s="198"/>
      <c r="T61" s="198"/>
      <c r="U61" s="198"/>
    </row>
    <row r="62" spans="1:21" s="12" customFormat="1" x14ac:dyDescent="0.25">
      <c r="A62" s="211" t="s">
        <v>2893</v>
      </c>
      <c r="B62" s="64">
        <v>4.71</v>
      </c>
      <c r="C62" s="64">
        <v>24.8</v>
      </c>
      <c r="D62" s="64">
        <v>16.27</v>
      </c>
      <c r="E62" s="64">
        <v>6.04</v>
      </c>
      <c r="F62" s="64">
        <v>4.63</v>
      </c>
      <c r="G62" s="64">
        <v>44.35</v>
      </c>
      <c r="H62" s="64">
        <v>19.170000000000002</v>
      </c>
      <c r="I62" s="64">
        <v>2.98</v>
      </c>
      <c r="J62" s="64">
        <v>1.57</v>
      </c>
      <c r="K62" s="64">
        <v>121.12</v>
      </c>
      <c r="L62" s="64">
        <v>24.16</v>
      </c>
      <c r="M62" s="64">
        <v>33.5</v>
      </c>
      <c r="N62" s="64">
        <v>462</v>
      </c>
      <c r="O62" s="64">
        <v>0</v>
      </c>
      <c r="P62" s="64">
        <v>0.77</v>
      </c>
      <c r="Q62" s="64">
        <v>9.5399999999999991</v>
      </c>
      <c r="R62" s="198"/>
      <c r="S62" s="198"/>
      <c r="T62" s="198"/>
      <c r="U62" s="198"/>
    </row>
    <row r="63" spans="1:21" s="12" customFormat="1" x14ac:dyDescent="0.25">
      <c r="A63" s="211" t="s">
        <v>2894</v>
      </c>
      <c r="B63" s="64">
        <v>4.6100000000000003</v>
      </c>
      <c r="C63" s="64">
        <v>25.51</v>
      </c>
      <c r="D63" s="64">
        <v>16.559999999999999</v>
      </c>
      <c r="E63" s="64">
        <v>6.19</v>
      </c>
      <c r="F63" s="64">
        <v>7.34</v>
      </c>
      <c r="G63" s="64">
        <v>44.35</v>
      </c>
      <c r="H63" s="64">
        <v>19.170000000000002</v>
      </c>
      <c r="I63" s="64">
        <v>2.94</v>
      </c>
      <c r="J63" s="64">
        <v>0.32</v>
      </c>
      <c r="K63" s="64">
        <v>28.75</v>
      </c>
      <c r="L63" s="64">
        <v>24.65</v>
      </c>
      <c r="M63" s="64">
        <v>32.82</v>
      </c>
      <c r="N63" s="64">
        <v>438.1</v>
      </c>
      <c r="O63" s="64">
        <v>0</v>
      </c>
      <c r="P63" s="64">
        <v>0.73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11" t="s">
        <v>2895</v>
      </c>
      <c r="B64" s="64">
        <v>4.0199999999999996</v>
      </c>
      <c r="C64" s="64">
        <v>25.05</v>
      </c>
      <c r="D64" s="64">
        <v>15.85</v>
      </c>
      <c r="E64" s="64">
        <v>6.37</v>
      </c>
      <c r="F64" s="64">
        <v>6.39</v>
      </c>
      <c r="G64" s="64">
        <v>44.35</v>
      </c>
      <c r="H64" s="64">
        <v>19.170000000000002</v>
      </c>
      <c r="I64" s="64">
        <v>2.89</v>
      </c>
      <c r="J64" s="64">
        <v>0.5</v>
      </c>
      <c r="K64" s="64">
        <v>117.1</v>
      </c>
      <c r="L64" s="64">
        <v>24.26</v>
      </c>
      <c r="M64" s="64">
        <v>33.630000000000003</v>
      </c>
      <c r="N64" s="64">
        <v>243.2</v>
      </c>
      <c r="O64" s="64">
        <v>0</v>
      </c>
      <c r="P64" s="64">
        <v>0.7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1" t="s">
        <v>2896</v>
      </c>
      <c r="B65" s="64">
        <v>3.82</v>
      </c>
      <c r="C65" s="64">
        <v>24.91</v>
      </c>
      <c r="D65" s="64">
        <v>15.61</v>
      </c>
      <c r="E65" s="64">
        <v>6.44</v>
      </c>
      <c r="F65" s="64">
        <v>5.0199999999999996</v>
      </c>
      <c r="G65" s="64">
        <v>44.35</v>
      </c>
      <c r="H65" s="64">
        <v>19.14</v>
      </c>
      <c r="I65" s="64">
        <v>2.83</v>
      </c>
      <c r="J65" s="64">
        <v>0.45</v>
      </c>
      <c r="K65" s="64">
        <v>97.9</v>
      </c>
      <c r="L65" s="64">
        <v>24.5</v>
      </c>
      <c r="M65" s="64">
        <v>33.229999999999997</v>
      </c>
      <c r="N65" s="64">
        <v>138.80000000000001</v>
      </c>
      <c r="O65" s="64">
        <v>0</v>
      </c>
      <c r="P65" s="64">
        <v>0.71</v>
      </c>
      <c r="Q65" s="64">
        <v>9.52</v>
      </c>
      <c r="R65" s="198"/>
      <c r="S65" s="198"/>
      <c r="T65" s="198"/>
      <c r="U65" s="198"/>
    </row>
    <row r="66" spans="1:21" s="12" customFormat="1" x14ac:dyDescent="0.25">
      <c r="A66" s="211" t="s">
        <v>2897</v>
      </c>
      <c r="B66" s="64">
        <v>3.91</v>
      </c>
      <c r="C66" s="64">
        <v>24.85</v>
      </c>
      <c r="D66" s="64">
        <v>15.66</v>
      </c>
      <c r="E66" s="64">
        <v>6.31</v>
      </c>
      <c r="F66" s="64">
        <v>6.36</v>
      </c>
      <c r="G66" s="64">
        <v>44.35</v>
      </c>
      <c r="H66" s="64">
        <v>19.07</v>
      </c>
      <c r="I66" s="64">
        <v>2.78</v>
      </c>
      <c r="J66" s="64">
        <v>1.06</v>
      </c>
      <c r="K66" s="64">
        <v>341.75</v>
      </c>
      <c r="L66" s="64">
        <v>24.32</v>
      </c>
      <c r="M66" s="64">
        <v>32.869999999999997</v>
      </c>
      <c r="N66" s="64">
        <v>159.19999999999999</v>
      </c>
      <c r="O66" s="64">
        <v>0</v>
      </c>
      <c r="P66" s="64">
        <v>0.71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1" t="s">
        <v>2898</v>
      </c>
      <c r="B67" s="64">
        <v>3.84</v>
      </c>
      <c r="C67" s="64">
        <v>25.78</v>
      </c>
      <c r="D67" s="64">
        <v>16.09</v>
      </c>
      <c r="E67" s="64">
        <v>6.19</v>
      </c>
      <c r="F67" s="64">
        <v>5.55</v>
      </c>
      <c r="G67" s="64">
        <v>44.35</v>
      </c>
      <c r="H67" s="64">
        <v>19.07</v>
      </c>
      <c r="I67" s="64">
        <v>2.75</v>
      </c>
      <c r="J67" s="64">
        <v>0.82</v>
      </c>
      <c r="K67" s="64">
        <v>347.87</v>
      </c>
      <c r="L67" s="64">
        <v>24.61</v>
      </c>
      <c r="M67" s="64">
        <v>31.91</v>
      </c>
      <c r="N67" s="64">
        <v>113.3</v>
      </c>
      <c r="O67" s="64">
        <v>0</v>
      </c>
      <c r="P67" s="64">
        <v>0.71</v>
      </c>
      <c r="Q67" s="64">
        <v>9.49</v>
      </c>
      <c r="R67" s="198"/>
      <c r="S67" s="198"/>
      <c r="T67" s="198"/>
      <c r="U67" s="198"/>
    </row>
    <row r="68" spans="1:21" s="12" customFormat="1" x14ac:dyDescent="0.25">
      <c r="A68" s="211" t="s">
        <v>2899</v>
      </c>
      <c r="B68" s="64">
        <v>3.57</v>
      </c>
      <c r="C68" s="64">
        <v>25.96</v>
      </c>
      <c r="D68" s="64">
        <v>15.97</v>
      </c>
      <c r="E68" s="64">
        <v>6.68</v>
      </c>
      <c r="F68" s="64">
        <v>5.92</v>
      </c>
      <c r="G68" s="64">
        <v>44.35</v>
      </c>
      <c r="H68" s="64">
        <v>19.07</v>
      </c>
      <c r="I68" s="64">
        <v>2.7</v>
      </c>
      <c r="J68" s="64">
        <v>0.68</v>
      </c>
      <c r="K68" s="64">
        <v>339.01</v>
      </c>
      <c r="L68" s="64">
        <v>24.25</v>
      </c>
      <c r="M68" s="64">
        <v>31.94</v>
      </c>
      <c r="N68" s="64">
        <v>98.3</v>
      </c>
      <c r="O68" s="64">
        <v>0</v>
      </c>
      <c r="P68" s="64">
        <v>0.72</v>
      </c>
      <c r="Q68" s="64">
        <v>9.49</v>
      </c>
      <c r="R68" s="198"/>
      <c r="S68" s="198"/>
      <c r="T68" s="198"/>
      <c r="U68" s="198"/>
    </row>
    <row r="69" spans="1:21" s="12" customFormat="1" x14ac:dyDescent="0.25">
      <c r="A69" s="211" t="s">
        <v>2900</v>
      </c>
      <c r="B69" s="64">
        <v>3.77</v>
      </c>
      <c r="C69" s="64">
        <v>26.58</v>
      </c>
      <c r="D69" s="64">
        <v>16.53</v>
      </c>
      <c r="E69" s="64">
        <v>7.88</v>
      </c>
      <c r="F69" s="64">
        <v>8.49</v>
      </c>
      <c r="G69" s="64">
        <v>44.18</v>
      </c>
      <c r="H69" s="64">
        <v>20.02</v>
      </c>
      <c r="I69" s="64">
        <v>2.65</v>
      </c>
      <c r="J69" s="64">
        <v>0.31</v>
      </c>
      <c r="K69" s="64">
        <v>115.05</v>
      </c>
      <c r="L69" s="64">
        <v>23.66</v>
      </c>
      <c r="M69" s="64">
        <v>32.82</v>
      </c>
      <c r="N69" s="64">
        <v>88.2</v>
      </c>
      <c r="O69" s="64">
        <v>0</v>
      </c>
      <c r="P69" s="64">
        <v>0.7</v>
      </c>
      <c r="Q69" s="64">
        <v>9.49</v>
      </c>
      <c r="R69" s="198"/>
      <c r="S69" s="198"/>
      <c r="T69" s="198"/>
      <c r="U69" s="198"/>
    </row>
    <row r="70" spans="1:21" s="12" customFormat="1" x14ac:dyDescent="0.25">
      <c r="A70" s="211" t="s">
        <v>2901</v>
      </c>
      <c r="B70" s="64">
        <v>3.81</v>
      </c>
      <c r="C70" s="64">
        <v>25.64</v>
      </c>
      <c r="D70" s="64">
        <v>15.99</v>
      </c>
      <c r="E70" s="64">
        <v>7.71</v>
      </c>
      <c r="F70" s="64">
        <v>8.5299999999999994</v>
      </c>
      <c r="G70" s="64">
        <v>44.1</v>
      </c>
      <c r="H70" s="64">
        <v>20.02</v>
      </c>
      <c r="I70" s="64">
        <v>2.64</v>
      </c>
      <c r="J70" s="64">
        <v>0.22</v>
      </c>
      <c r="K70" s="64">
        <v>77.38</v>
      </c>
      <c r="L70" s="64">
        <v>23.43</v>
      </c>
      <c r="M70" s="64">
        <v>33.79</v>
      </c>
      <c r="N70" s="64">
        <v>85.2</v>
      </c>
      <c r="O70" s="64">
        <v>0</v>
      </c>
      <c r="P70" s="64">
        <v>0.7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1" t="s">
        <v>2902</v>
      </c>
      <c r="B71" s="64">
        <v>4.63</v>
      </c>
      <c r="C71" s="64">
        <v>25.7</v>
      </c>
      <c r="D71" s="64">
        <v>16.68</v>
      </c>
      <c r="E71" s="64">
        <v>5.96</v>
      </c>
      <c r="F71" s="64">
        <v>3.96</v>
      </c>
      <c r="G71" s="64">
        <v>44.1</v>
      </c>
      <c r="H71" s="64">
        <v>20.02</v>
      </c>
      <c r="I71" s="64">
        <v>2.62</v>
      </c>
      <c r="J71" s="64">
        <v>1.1100000000000001</v>
      </c>
      <c r="K71" s="64">
        <v>344.61</v>
      </c>
      <c r="L71" s="64">
        <v>23.49</v>
      </c>
      <c r="M71" s="64">
        <v>32.94</v>
      </c>
      <c r="N71" s="64">
        <v>76.099999999999994</v>
      </c>
      <c r="O71" s="64">
        <v>0</v>
      </c>
      <c r="P71" s="64">
        <v>0.71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1" t="s">
        <v>2903</v>
      </c>
      <c r="B72" s="64">
        <v>4.92</v>
      </c>
      <c r="C72" s="64">
        <v>28.39</v>
      </c>
      <c r="D72" s="64">
        <v>18.32</v>
      </c>
      <c r="E72" s="64">
        <v>6.93</v>
      </c>
      <c r="F72" s="64">
        <v>5.09</v>
      </c>
      <c r="G72" s="64">
        <v>44.1</v>
      </c>
      <c r="H72" s="64">
        <v>20.02</v>
      </c>
      <c r="I72" s="64">
        <v>2.59</v>
      </c>
      <c r="J72" s="64">
        <v>0.36</v>
      </c>
      <c r="K72" s="64">
        <v>347.46</v>
      </c>
      <c r="L72" s="64">
        <v>23.36</v>
      </c>
      <c r="M72" s="64">
        <v>33.15</v>
      </c>
      <c r="N72" s="64">
        <v>68.599999999999994</v>
      </c>
      <c r="O72" s="64">
        <v>0</v>
      </c>
      <c r="P72" s="64">
        <v>0.71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11" t="s">
        <v>2904</v>
      </c>
      <c r="B73" s="64">
        <v>4.5999999999999996</v>
      </c>
      <c r="C73" s="64">
        <v>28.59</v>
      </c>
      <c r="D73" s="64">
        <v>18.170000000000002</v>
      </c>
      <c r="E73" s="64">
        <v>10.42</v>
      </c>
      <c r="F73" s="64">
        <v>5.15</v>
      </c>
      <c r="G73" s="64">
        <v>44.62</v>
      </c>
      <c r="H73" s="64">
        <v>19.77</v>
      </c>
      <c r="I73" s="64">
        <v>2.56</v>
      </c>
      <c r="J73" s="64">
        <v>0.28000000000000003</v>
      </c>
      <c r="K73" s="64">
        <v>359.5</v>
      </c>
      <c r="L73" s="64">
        <v>22.97</v>
      </c>
      <c r="M73" s="64">
        <v>34.020000000000003</v>
      </c>
      <c r="N73" s="64">
        <v>61.5</v>
      </c>
      <c r="O73" s="64">
        <v>0</v>
      </c>
      <c r="P73" s="64">
        <v>0.73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1" t="s">
        <v>2905</v>
      </c>
      <c r="B74" s="64">
        <v>5.83</v>
      </c>
      <c r="C74" s="64">
        <v>31.29</v>
      </c>
      <c r="D74" s="64">
        <v>20.56</v>
      </c>
      <c r="E74" s="64">
        <v>10.01</v>
      </c>
      <c r="F74" s="64">
        <v>5.21</v>
      </c>
      <c r="G74" s="64">
        <v>46.87</v>
      </c>
      <c r="H74" s="64">
        <v>19.03</v>
      </c>
      <c r="I74" s="64">
        <v>2.56</v>
      </c>
      <c r="J74" s="64">
        <v>0.35</v>
      </c>
      <c r="K74" s="64">
        <v>348.38</v>
      </c>
      <c r="L74" s="64">
        <v>22.68</v>
      </c>
      <c r="M74" s="64">
        <v>35.25</v>
      </c>
      <c r="N74" s="64">
        <v>54</v>
      </c>
      <c r="O74" s="64">
        <v>0</v>
      </c>
      <c r="P74" s="64">
        <v>0.75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1" t="s">
        <v>2906</v>
      </c>
      <c r="B75" s="64">
        <v>6.31</v>
      </c>
      <c r="C75" s="64">
        <v>28.67</v>
      </c>
      <c r="D75" s="64">
        <v>19.579999999999998</v>
      </c>
      <c r="E75" s="64">
        <v>7.6</v>
      </c>
      <c r="F75" s="64">
        <v>4.58</v>
      </c>
      <c r="G75" s="64">
        <v>46.87</v>
      </c>
      <c r="H75" s="64">
        <v>19.03</v>
      </c>
      <c r="I75" s="64">
        <v>2.5499999999999998</v>
      </c>
      <c r="J75" s="64">
        <v>0.74</v>
      </c>
      <c r="K75" s="64">
        <v>346.56</v>
      </c>
      <c r="L75" s="64">
        <v>22.46</v>
      </c>
      <c r="M75" s="64">
        <v>36.08</v>
      </c>
      <c r="N75" s="64">
        <v>46.9</v>
      </c>
      <c r="O75" s="64">
        <v>0</v>
      </c>
      <c r="P75" s="64">
        <v>0.78</v>
      </c>
      <c r="Q75" s="64">
        <v>9.51</v>
      </c>
      <c r="R75" s="198"/>
      <c r="S75" s="198"/>
      <c r="T75" s="198"/>
      <c r="U75" s="198"/>
    </row>
    <row r="76" spans="1:21" s="12" customFormat="1" x14ac:dyDescent="0.25">
      <c r="A76" s="211" t="s">
        <v>2907</v>
      </c>
      <c r="B76" s="64">
        <v>10.47</v>
      </c>
      <c r="C76" s="64">
        <v>29.31</v>
      </c>
      <c r="D76" s="64">
        <v>23.14</v>
      </c>
      <c r="E76" s="64">
        <v>6.43</v>
      </c>
      <c r="F76" s="64">
        <v>4.54</v>
      </c>
      <c r="G76" s="64">
        <v>46.87</v>
      </c>
      <c r="H76" s="64">
        <v>19.03</v>
      </c>
      <c r="I76" s="64">
        <v>2.56</v>
      </c>
      <c r="J76" s="64">
        <v>0.75</v>
      </c>
      <c r="K76" s="64">
        <v>350.53</v>
      </c>
      <c r="L76" s="64">
        <v>22.12</v>
      </c>
      <c r="M76" s="64">
        <v>37.6</v>
      </c>
      <c r="N76" s="64">
        <v>40</v>
      </c>
      <c r="O76" s="64">
        <v>0</v>
      </c>
      <c r="P76" s="64">
        <v>0.8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1" t="s">
        <v>2908</v>
      </c>
      <c r="B77" s="64">
        <v>7.27</v>
      </c>
      <c r="C77" s="64">
        <v>29.81</v>
      </c>
      <c r="D77" s="64">
        <v>20.95</v>
      </c>
      <c r="E77" s="64">
        <v>6.44</v>
      </c>
      <c r="F77" s="64">
        <v>4.5199999999999996</v>
      </c>
      <c r="G77" s="64">
        <v>48.04</v>
      </c>
      <c r="H77" s="64">
        <v>19.82</v>
      </c>
      <c r="I77" s="64">
        <v>2.61</v>
      </c>
      <c r="J77" s="64">
        <v>0.49</v>
      </c>
      <c r="K77" s="64">
        <v>347.1</v>
      </c>
      <c r="L77" s="64">
        <v>21.54</v>
      </c>
      <c r="M77" s="64">
        <v>39.950000000000003</v>
      </c>
      <c r="N77" s="64">
        <v>34.5</v>
      </c>
      <c r="O77" s="64">
        <v>0</v>
      </c>
      <c r="P77" s="64">
        <v>0.84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1" t="s">
        <v>2909</v>
      </c>
      <c r="B78" s="64">
        <v>9.1199999999999992</v>
      </c>
      <c r="C78" s="64">
        <v>30.34</v>
      </c>
      <c r="D78" s="64">
        <v>22.71</v>
      </c>
      <c r="E78" s="64">
        <v>6.16</v>
      </c>
      <c r="F78" s="64">
        <v>3.5</v>
      </c>
      <c r="G78" s="64">
        <v>52.71</v>
      </c>
      <c r="H78" s="64">
        <v>22.12</v>
      </c>
      <c r="I78" s="64">
        <v>2.74</v>
      </c>
      <c r="J78" s="64">
        <v>0.45</v>
      </c>
      <c r="K78" s="64">
        <v>349.39</v>
      </c>
      <c r="L78" s="64">
        <v>20.71</v>
      </c>
      <c r="M78" s="64">
        <v>42.82</v>
      </c>
      <c r="N78" s="64">
        <v>32.4</v>
      </c>
      <c r="O78" s="64">
        <v>0</v>
      </c>
      <c r="P78" s="64">
        <v>0.89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1" t="s">
        <v>2910</v>
      </c>
      <c r="B79" s="64">
        <v>12.15</v>
      </c>
      <c r="C79" s="64">
        <v>27.26</v>
      </c>
      <c r="D79" s="64">
        <v>23.53</v>
      </c>
      <c r="E79" s="64">
        <v>5.78</v>
      </c>
      <c r="F79" s="64">
        <v>3.27</v>
      </c>
      <c r="G79" s="64">
        <v>52.71</v>
      </c>
      <c r="H79" s="64">
        <v>22.12</v>
      </c>
      <c r="I79" s="64">
        <v>2.87</v>
      </c>
      <c r="J79" s="64">
        <v>0.45</v>
      </c>
      <c r="K79" s="64">
        <v>354.93</v>
      </c>
      <c r="L79" s="64">
        <v>20.22</v>
      </c>
      <c r="M79" s="64">
        <v>45.29</v>
      </c>
      <c r="N79" s="64">
        <v>31.8</v>
      </c>
      <c r="O79" s="64">
        <v>0</v>
      </c>
      <c r="P79" s="64">
        <v>0.95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1" t="s">
        <v>2911</v>
      </c>
      <c r="B80" s="64">
        <v>12.11</v>
      </c>
      <c r="C80" s="64">
        <v>28.92</v>
      </c>
      <c r="D80" s="64">
        <v>24.36</v>
      </c>
      <c r="E80" s="64">
        <v>5.55</v>
      </c>
      <c r="F80" s="64">
        <v>3.37</v>
      </c>
      <c r="G80" s="64">
        <v>52.71</v>
      </c>
      <c r="H80" s="64">
        <v>22.12</v>
      </c>
      <c r="I80" s="64">
        <v>3.05</v>
      </c>
      <c r="J80" s="64">
        <v>0.43</v>
      </c>
      <c r="K80" s="64">
        <v>348.02</v>
      </c>
      <c r="L80" s="64">
        <v>19.899999999999999</v>
      </c>
      <c r="M80" s="64">
        <v>46.2</v>
      </c>
      <c r="N80" s="64">
        <v>31.7</v>
      </c>
      <c r="O80" s="64">
        <v>0</v>
      </c>
      <c r="P80" s="64">
        <v>0.97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1" t="s">
        <v>2912</v>
      </c>
      <c r="B81" s="64">
        <v>15.99</v>
      </c>
      <c r="C81" s="64">
        <v>28.04</v>
      </c>
      <c r="D81" s="64">
        <v>27.01</v>
      </c>
      <c r="E81" s="64">
        <v>5.82</v>
      </c>
      <c r="F81" s="64">
        <v>2.88</v>
      </c>
      <c r="G81" s="64">
        <v>54.63</v>
      </c>
      <c r="H81" s="64">
        <v>22.61</v>
      </c>
      <c r="I81" s="64">
        <v>2.94</v>
      </c>
      <c r="J81" s="64">
        <v>0.18</v>
      </c>
      <c r="K81" s="64">
        <v>342.43</v>
      </c>
      <c r="L81" s="64">
        <v>19.68</v>
      </c>
      <c r="M81" s="64">
        <v>46.36</v>
      </c>
      <c r="N81" s="64">
        <v>31.5</v>
      </c>
      <c r="O81" s="64">
        <v>0</v>
      </c>
      <c r="P81" s="64">
        <v>1.1000000000000001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1" t="s">
        <v>2913</v>
      </c>
      <c r="B82" s="64">
        <v>18.66</v>
      </c>
      <c r="C82" s="64">
        <v>29.99</v>
      </c>
      <c r="D82" s="64">
        <v>30.17</v>
      </c>
      <c r="E82" s="64">
        <v>6.71</v>
      </c>
      <c r="F82" s="64">
        <v>3.51</v>
      </c>
      <c r="G82" s="64">
        <v>62.86</v>
      </c>
      <c r="H82" s="64">
        <v>24.06</v>
      </c>
      <c r="I82" s="64">
        <v>3.03</v>
      </c>
      <c r="J82" s="64">
        <v>0.28999999999999998</v>
      </c>
      <c r="K82" s="64">
        <v>358.85</v>
      </c>
      <c r="L82" s="64">
        <v>19.54</v>
      </c>
      <c r="M82" s="64">
        <v>47.21</v>
      </c>
      <c r="N82" s="64">
        <v>31.5</v>
      </c>
      <c r="O82" s="64">
        <v>0</v>
      </c>
      <c r="P82" s="64">
        <v>1.29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1" t="s">
        <v>2914</v>
      </c>
      <c r="B83" s="64">
        <v>16.78</v>
      </c>
      <c r="C83" s="64">
        <v>31.18</v>
      </c>
      <c r="D83" s="64">
        <v>29.28</v>
      </c>
      <c r="E83" s="64">
        <v>6.94</v>
      </c>
      <c r="F83" s="64">
        <v>4.2300000000000004</v>
      </c>
      <c r="G83" s="64">
        <v>62.86</v>
      </c>
      <c r="H83" s="64">
        <v>24.06</v>
      </c>
      <c r="I83" s="64">
        <v>3.16</v>
      </c>
      <c r="J83" s="64">
        <v>0.19</v>
      </c>
      <c r="K83" s="64">
        <v>340.52</v>
      </c>
      <c r="L83" s="64">
        <v>19.32</v>
      </c>
      <c r="M83" s="64">
        <v>47.87</v>
      </c>
      <c r="N83" s="64">
        <v>31.4</v>
      </c>
      <c r="O83" s="64">
        <v>0</v>
      </c>
      <c r="P83" s="64">
        <v>1.34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1" t="s">
        <v>2915</v>
      </c>
      <c r="B84" s="64">
        <v>13.15</v>
      </c>
      <c r="C84" s="64">
        <v>31.31</v>
      </c>
      <c r="D84" s="64">
        <v>26.45</v>
      </c>
      <c r="E84" s="64">
        <v>7.35</v>
      </c>
      <c r="F84" s="64">
        <v>6.33</v>
      </c>
      <c r="G84" s="64">
        <v>62.86</v>
      </c>
      <c r="H84" s="64">
        <v>24.06</v>
      </c>
      <c r="I84" s="64">
        <v>3.31</v>
      </c>
      <c r="J84" s="64">
        <v>0.19</v>
      </c>
      <c r="K84" s="64">
        <v>61.59</v>
      </c>
      <c r="L84" s="64">
        <v>19.329999999999998</v>
      </c>
      <c r="M84" s="64">
        <v>46.89</v>
      </c>
      <c r="N84" s="64">
        <v>31.5</v>
      </c>
      <c r="O84" s="64">
        <v>0</v>
      </c>
      <c r="P84" s="64">
        <v>1.27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1" t="s">
        <v>2916</v>
      </c>
      <c r="B85" s="64">
        <v>15.15</v>
      </c>
      <c r="C85" s="64">
        <v>30.68</v>
      </c>
      <c r="D85" s="64">
        <v>27.72</v>
      </c>
      <c r="E85" s="64">
        <v>7.16</v>
      </c>
      <c r="F85" s="64">
        <v>4.4800000000000004</v>
      </c>
      <c r="G85" s="64">
        <v>63.47</v>
      </c>
      <c r="H85" s="64">
        <v>24.79</v>
      </c>
      <c r="I85" s="64">
        <v>3.49</v>
      </c>
      <c r="J85" s="64">
        <v>0.2</v>
      </c>
      <c r="K85" s="64">
        <v>94.19</v>
      </c>
      <c r="L85" s="64">
        <v>19.190000000000001</v>
      </c>
      <c r="M85" s="64">
        <v>47.91</v>
      </c>
      <c r="N85" s="64">
        <v>31.6</v>
      </c>
      <c r="O85" s="64">
        <v>0</v>
      </c>
      <c r="P85" s="64">
        <v>1.1499999999999999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1" t="s">
        <v>2917</v>
      </c>
      <c r="B86" s="64">
        <v>13.2</v>
      </c>
      <c r="C86" s="64">
        <v>29.08</v>
      </c>
      <c r="D86" s="64">
        <v>25.32</v>
      </c>
      <c r="E86" s="64">
        <v>7.49</v>
      </c>
      <c r="F86" s="64">
        <v>5.77</v>
      </c>
      <c r="G86" s="64">
        <v>66.11</v>
      </c>
      <c r="H86" s="64">
        <v>28.12</v>
      </c>
      <c r="I86" s="64">
        <v>3.57</v>
      </c>
      <c r="J86" s="64">
        <v>0.27</v>
      </c>
      <c r="K86" s="64">
        <v>46.71</v>
      </c>
      <c r="L86" s="64">
        <v>18.989999999999998</v>
      </c>
      <c r="M86" s="64">
        <v>49.39</v>
      </c>
      <c r="N86" s="64">
        <v>31.6</v>
      </c>
      <c r="O86" s="64">
        <v>0</v>
      </c>
      <c r="P86" s="64">
        <v>1.19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1" t="s">
        <v>2918</v>
      </c>
      <c r="B87" s="64">
        <v>17.899999999999999</v>
      </c>
      <c r="C87" s="64">
        <v>25.54</v>
      </c>
      <c r="D87" s="64">
        <v>27.24</v>
      </c>
      <c r="E87" s="64">
        <v>7.11</v>
      </c>
      <c r="F87" s="64">
        <v>4.96</v>
      </c>
      <c r="G87" s="64">
        <v>66.11</v>
      </c>
      <c r="H87" s="64">
        <v>28.12</v>
      </c>
      <c r="I87" s="64">
        <v>3.59</v>
      </c>
      <c r="J87" s="64">
        <v>0.27</v>
      </c>
      <c r="K87" s="64">
        <v>11.75</v>
      </c>
      <c r="L87" s="64">
        <v>18.64</v>
      </c>
      <c r="M87" s="64">
        <v>52.66</v>
      </c>
      <c r="N87" s="64">
        <v>31.6</v>
      </c>
      <c r="O87" s="64">
        <v>0</v>
      </c>
      <c r="P87" s="64">
        <v>1.31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1" t="s">
        <v>2919</v>
      </c>
      <c r="B88" s="64">
        <v>19.46</v>
      </c>
      <c r="C88" s="64">
        <v>24.06</v>
      </c>
      <c r="D88" s="64">
        <v>27.71</v>
      </c>
      <c r="E88" s="64">
        <v>5.81</v>
      </c>
      <c r="F88" s="64">
        <v>3.57</v>
      </c>
      <c r="G88" s="64">
        <v>66.11</v>
      </c>
      <c r="H88" s="64">
        <v>28.12</v>
      </c>
      <c r="I88" s="64">
        <v>3.62</v>
      </c>
      <c r="J88" s="64">
        <v>0.42</v>
      </c>
      <c r="K88" s="64">
        <v>117.27</v>
      </c>
      <c r="L88" s="64">
        <v>18.899999999999999</v>
      </c>
      <c r="M88" s="64">
        <v>51.77</v>
      </c>
      <c r="N88" s="64">
        <v>30.5</v>
      </c>
      <c r="O88" s="64">
        <v>0</v>
      </c>
      <c r="P88" s="64">
        <v>1.29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2920</v>
      </c>
      <c r="B89" s="64">
        <v>17.829999999999998</v>
      </c>
      <c r="C89" s="64">
        <v>20.82</v>
      </c>
      <c r="D89" s="64">
        <v>24.71</v>
      </c>
      <c r="E89" s="64">
        <v>6.24</v>
      </c>
      <c r="F89" s="64">
        <v>3.63</v>
      </c>
      <c r="G89" s="64">
        <v>66.650000000000006</v>
      </c>
      <c r="H89" s="64">
        <v>28.26</v>
      </c>
      <c r="I89" s="64">
        <v>3.7</v>
      </c>
      <c r="J89" s="64">
        <v>0.2</v>
      </c>
      <c r="K89" s="64">
        <v>350.66</v>
      </c>
      <c r="L89" s="64">
        <v>18.670000000000002</v>
      </c>
      <c r="M89" s="64">
        <v>54.34</v>
      </c>
      <c r="N89" s="64">
        <v>31.6</v>
      </c>
      <c r="O89" s="64">
        <v>0</v>
      </c>
      <c r="P89" s="64">
        <v>1.25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2921</v>
      </c>
      <c r="B90" s="64">
        <v>18.420000000000002</v>
      </c>
      <c r="C90" s="64">
        <v>20.7</v>
      </c>
      <c r="D90" s="64">
        <v>25.13</v>
      </c>
      <c r="E90" s="64">
        <v>5.6</v>
      </c>
      <c r="F90" s="64">
        <v>3.07</v>
      </c>
      <c r="G90" s="64">
        <v>68.81</v>
      </c>
      <c r="H90" s="64">
        <v>28.68</v>
      </c>
      <c r="I90" s="64">
        <v>4.1399999999999997</v>
      </c>
      <c r="J90" s="64">
        <v>0.28000000000000003</v>
      </c>
      <c r="K90" s="64">
        <v>344.06</v>
      </c>
      <c r="L90" s="64">
        <v>18.53</v>
      </c>
      <c r="M90" s="64">
        <v>53.74</v>
      </c>
      <c r="N90" s="64">
        <v>31.6</v>
      </c>
      <c r="O90" s="64">
        <v>0</v>
      </c>
      <c r="P90" s="64">
        <v>1.25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1" t="s">
        <v>2922</v>
      </c>
      <c r="B91" s="64">
        <v>20.100000000000001</v>
      </c>
      <c r="C91" s="64">
        <v>20.440000000000001</v>
      </c>
      <c r="D91" s="64">
        <v>26.34</v>
      </c>
      <c r="E91" s="64">
        <v>5.27</v>
      </c>
      <c r="F91" s="64">
        <v>2.87</v>
      </c>
      <c r="G91" s="64">
        <v>68.81</v>
      </c>
      <c r="H91" s="64">
        <v>28.68</v>
      </c>
      <c r="I91" s="64">
        <v>4.0199999999999996</v>
      </c>
      <c r="J91" s="64">
        <v>0.3</v>
      </c>
      <c r="K91" s="64">
        <v>267.52999999999997</v>
      </c>
      <c r="L91" s="64">
        <v>17.91</v>
      </c>
      <c r="M91" s="64">
        <v>60.3</v>
      </c>
      <c r="N91" s="64">
        <v>31.9</v>
      </c>
      <c r="O91" s="64">
        <v>0</v>
      </c>
      <c r="P91" s="64">
        <v>1.26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1" t="s">
        <v>2923</v>
      </c>
      <c r="B92" s="64">
        <v>21.59</v>
      </c>
      <c r="C92" s="64">
        <v>19.48</v>
      </c>
      <c r="D92" s="64">
        <v>27.03</v>
      </c>
      <c r="E92" s="64">
        <v>5.12</v>
      </c>
      <c r="F92" s="64">
        <v>3.02</v>
      </c>
      <c r="G92" s="64">
        <v>68.81</v>
      </c>
      <c r="H92" s="64">
        <v>28.68</v>
      </c>
      <c r="I92" s="64">
        <v>4.32</v>
      </c>
      <c r="J92" s="64">
        <v>0.33</v>
      </c>
      <c r="K92" s="64">
        <v>313.27999999999997</v>
      </c>
      <c r="L92" s="64">
        <v>17.39</v>
      </c>
      <c r="M92" s="64">
        <v>63.58</v>
      </c>
      <c r="N92" s="64">
        <v>31.5</v>
      </c>
      <c r="O92" s="64">
        <v>0</v>
      </c>
      <c r="P92" s="64">
        <v>1.28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1" t="s">
        <v>2924</v>
      </c>
      <c r="B93" s="64">
        <v>24.35</v>
      </c>
      <c r="C93" s="64">
        <v>18.3</v>
      </c>
      <c r="D93" s="64">
        <v>28.63</v>
      </c>
      <c r="E93" s="64">
        <v>5.0199999999999996</v>
      </c>
      <c r="F93" s="64">
        <v>2.85</v>
      </c>
      <c r="G93" s="64">
        <v>69.47</v>
      </c>
      <c r="H93" s="64">
        <v>29.71</v>
      </c>
      <c r="I93" s="64">
        <v>4.22</v>
      </c>
      <c r="J93" s="64">
        <v>0.42</v>
      </c>
      <c r="K93" s="64">
        <v>332.93</v>
      </c>
      <c r="L93" s="64">
        <v>17.2</v>
      </c>
      <c r="M93" s="64">
        <v>67.75</v>
      </c>
      <c r="N93" s="64">
        <v>31.7</v>
      </c>
      <c r="O93" s="64">
        <v>0</v>
      </c>
      <c r="P93" s="64">
        <v>1.33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1" t="s">
        <v>2925</v>
      </c>
      <c r="B94" s="64">
        <v>29.28</v>
      </c>
      <c r="C94" s="64">
        <v>15.97</v>
      </c>
      <c r="D94" s="64">
        <v>31.36</v>
      </c>
      <c r="E94" s="64">
        <v>4.99</v>
      </c>
      <c r="F94" s="64">
        <v>3.05</v>
      </c>
      <c r="G94" s="64">
        <v>72.3</v>
      </c>
      <c r="H94" s="64">
        <v>32.75</v>
      </c>
      <c r="I94" s="64">
        <v>4.2300000000000004</v>
      </c>
      <c r="J94" s="64">
        <v>0.23</v>
      </c>
      <c r="K94" s="64">
        <v>331.15</v>
      </c>
      <c r="L94" s="64">
        <v>16.84</v>
      </c>
      <c r="M94" s="64">
        <v>71.19</v>
      </c>
      <c r="N94" s="64">
        <v>31.7</v>
      </c>
      <c r="O94" s="64">
        <v>0</v>
      </c>
      <c r="P94" s="64">
        <v>1.42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1" t="s">
        <v>2926</v>
      </c>
      <c r="B95" s="64">
        <v>32.76</v>
      </c>
      <c r="C95" s="64">
        <v>14.34</v>
      </c>
      <c r="D95" s="64">
        <v>33.299999999999997</v>
      </c>
      <c r="E95" s="64">
        <v>5.0199999999999996</v>
      </c>
      <c r="F95" s="64">
        <v>2.82</v>
      </c>
      <c r="G95" s="64">
        <v>72.3</v>
      </c>
      <c r="H95" s="64">
        <v>32.75</v>
      </c>
      <c r="I95" s="64">
        <v>4.4000000000000004</v>
      </c>
      <c r="J95" s="64">
        <v>0.33</v>
      </c>
      <c r="K95" s="64">
        <v>305.77999999999997</v>
      </c>
      <c r="L95" s="64">
        <v>16.600000000000001</v>
      </c>
      <c r="M95" s="64">
        <v>71.91</v>
      </c>
      <c r="N95" s="64">
        <v>31.6</v>
      </c>
      <c r="O95" s="64">
        <v>0</v>
      </c>
      <c r="P95" s="64">
        <v>1.49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1" t="s">
        <v>2927</v>
      </c>
      <c r="B96" s="64">
        <v>36.39</v>
      </c>
      <c r="C96" s="64">
        <v>12.71</v>
      </c>
      <c r="D96" s="64">
        <v>35.36</v>
      </c>
      <c r="E96" s="64">
        <v>5.29</v>
      </c>
      <c r="F96" s="64">
        <v>2.92</v>
      </c>
      <c r="G96" s="64">
        <v>72.3</v>
      </c>
      <c r="H96" s="64">
        <v>32.75</v>
      </c>
      <c r="I96" s="64">
        <v>4.57</v>
      </c>
      <c r="J96" s="64">
        <v>0.27</v>
      </c>
      <c r="K96" s="64">
        <v>326.11</v>
      </c>
      <c r="L96" s="64">
        <v>16.03</v>
      </c>
      <c r="M96" s="64">
        <v>76.08</v>
      </c>
      <c r="N96" s="64">
        <v>31.7</v>
      </c>
      <c r="O96" s="64">
        <v>0</v>
      </c>
      <c r="P96" s="64">
        <v>1.57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2928</v>
      </c>
      <c r="B97" s="64">
        <v>40.21</v>
      </c>
      <c r="C97" s="64">
        <v>11</v>
      </c>
      <c r="D97" s="64">
        <v>37.53</v>
      </c>
      <c r="E97" s="64">
        <v>5.17</v>
      </c>
      <c r="F97" s="64">
        <v>2.86</v>
      </c>
      <c r="G97" s="64">
        <v>74.72</v>
      </c>
      <c r="H97" s="64">
        <v>33.51</v>
      </c>
      <c r="I97" s="64">
        <v>4.75</v>
      </c>
      <c r="J97" s="64">
        <v>0.3</v>
      </c>
      <c r="K97" s="64">
        <v>151.97</v>
      </c>
      <c r="L97" s="64">
        <v>15.9</v>
      </c>
      <c r="M97" s="64">
        <v>76.510000000000005</v>
      </c>
      <c r="N97" s="64">
        <v>31.5</v>
      </c>
      <c r="O97" s="64">
        <v>0</v>
      </c>
      <c r="P97" s="64">
        <v>1.66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1" t="s">
        <v>2929</v>
      </c>
      <c r="B98" s="64">
        <v>42.53</v>
      </c>
      <c r="C98" s="64">
        <v>9.84</v>
      </c>
      <c r="D98" s="64">
        <v>38.78</v>
      </c>
      <c r="E98" s="64">
        <v>5.32</v>
      </c>
      <c r="F98" s="64">
        <v>2.95</v>
      </c>
      <c r="G98" s="64">
        <v>84.41</v>
      </c>
      <c r="H98" s="64">
        <v>35.770000000000003</v>
      </c>
      <c r="I98" s="64">
        <v>4.95</v>
      </c>
      <c r="J98" s="64">
        <v>0.09</v>
      </c>
      <c r="K98" s="64">
        <v>119.39</v>
      </c>
      <c r="L98" s="64">
        <v>15.9</v>
      </c>
      <c r="M98" s="64">
        <v>75.12</v>
      </c>
      <c r="N98" s="64">
        <v>31.5</v>
      </c>
      <c r="O98" s="64">
        <v>0</v>
      </c>
      <c r="P98" s="64">
        <v>1.72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1" t="s">
        <v>2930</v>
      </c>
      <c r="B99" s="64">
        <v>43.98</v>
      </c>
      <c r="C99" s="64">
        <v>8.82</v>
      </c>
      <c r="D99" s="64">
        <v>39.42</v>
      </c>
      <c r="E99" s="64">
        <v>5.17</v>
      </c>
      <c r="F99" s="64">
        <v>2.72</v>
      </c>
      <c r="G99" s="64">
        <v>84.41</v>
      </c>
      <c r="H99" s="64">
        <v>35.770000000000003</v>
      </c>
      <c r="I99" s="64">
        <v>5.53</v>
      </c>
      <c r="J99" s="64">
        <v>0.23</v>
      </c>
      <c r="K99" s="64">
        <v>317.76</v>
      </c>
      <c r="L99" s="64">
        <v>15.98</v>
      </c>
      <c r="M99" s="64">
        <v>72.62</v>
      </c>
      <c r="N99" s="64">
        <v>31.4</v>
      </c>
      <c r="O99" s="64">
        <v>0</v>
      </c>
      <c r="P99" s="64">
        <v>1.74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1" t="s">
        <v>2931</v>
      </c>
      <c r="B100" s="64">
        <v>44.7</v>
      </c>
      <c r="C100" s="64">
        <v>8.23</v>
      </c>
      <c r="D100" s="64">
        <v>39.69</v>
      </c>
      <c r="E100" s="64">
        <v>5.0199999999999996</v>
      </c>
      <c r="F100" s="64">
        <v>2.88</v>
      </c>
      <c r="G100" s="64">
        <v>84.41</v>
      </c>
      <c r="H100" s="64">
        <v>35.770000000000003</v>
      </c>
      <c r="I100" s="64">
        <v>5.34</v>
      </c>
      <c r="J100" s="64">
        <v>0.17</v>
      </c>
      <c r="K100" s="64">
        <v>341.84</v>
      </c>
      <c r="L100" s="64">
        <v>15.89</v>
      </c>
      <c r="M100" s="64">
        <v>74.52</v>
      </c>
      <c r="N100" s="64">
        <v>31.6</v>
      </c>
      <c r="O100" s="64">
        <v>0</v>
      </c>
      <c r="P100" s="64">
        <v>1.79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2932</v>
      </c>
      <c r="B101" s="64">
        <v>45.41</v>
      </c>
      <c r="C101" s="64">
        <v>8.08</v>
      </c>
      <c r="D101" s="64">
        <v>40.18</v>
      </c>
      <c r="E101" s="64">
        <v>4.93</v>
      </c>
      <c r="F101" s="64">
        <v>2.7</v>
      </c>
      <c r="G101" s="64">
        <v>84.12</v>
      </c>
      <c r="H101" s="64">
        <v>36.19</v>
      </c>
      <c r="I101" s="64">
        <v>5.68</v>
      </c>
      <c r="J101" s="64">
        <v>0.11</v>
      </c>
      <c r="K101" s="64">
        <v>156.9</v>
      </c>
      <c r="L101" s="64">
        <v>15.9</v>
      </c>
      <c r="M101" s="64">
        <v>72.599999999999994</v>
      </c>
      <c r="N101" s="64">
        <v>31.4</v>
      </c>
      <c r="O101" s="64">
        <v>0</v>
      </c>
      <c r="P101" s="64">
        <v>1.84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1" t="s">
        <v>2933</v>
      </c>
      <c r="B102" s="64">
        <v>45.54</v>
      </c>
      <c r="C102" s="64">
        <v>8</v>
      </c>
      <c r="D102" s="64">
        <v>40.24</v>
      </c>
      <c r="E102" s="64">
        <v>5.32</v>
      </c>
      <c r="F102" s="64">
        <v>3.28</v>
      </c>
      <c r="G102" s="64">
        <v>82.98</v>
      </c>
      <c r="H102" s="64">
        <v>38.119999999999997</v>
      </c>
      <c r="I102" s="64">
        <v>5.48</v>
      </c>
      <c r="J102" s="64">
        <v>0.12</v>
      </c>
      <c r="K102" s="64">
        <v>324.11</v>
      </c>
      <c r="L102" s="64">
        <v>16.03</v>
      </c>
      <c r="M102" s="64">
        <v>71.25</v>
      </c>
      <c r="N102" s="64">
        <v>31.4</v>
      </c>
      <c r="O102" s="64">
        <v>0</v>
      </c>
      <c r="P102" s="64">
        <v>1.86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1" t="s">
        <v>2934</v>
      </c>
      <c r="B103" s="64">
        <v>44.71</v>
      </c>
      <c r="C103" s="64">
        <v>8.24</v>
      </c>
      <c r="D103" s="64">
        <v>39.700000000000003</v>
      </c>
      <c r="E103" s="64">
        <v>5.17</v>
      </c>
      <c r="F103" s="64">
        <v>3.21</v>
      </c>
      <c r="G103" s="64">
        <v>82.98</v>
      </c>
      <c r="H103" s="64">
        <v>38.119999999999997</v>
      </c>
      <c r="I103" s="64">
        <v>5.35</v>
      </c>
      <c r="J103" s="64">
        <v>0.23</v>
      </c>
      <c r="K103" s="64">
        <v>298.48</v>
      </c>
      <c r="L103" s="64">
        <v>15.98</v>
      </c>
      <c r="M103" s="64">
        <v>71.86</v>
      </c>
      <c r="N103" s="64">
        <v>31.4</v>
      </c>
      <c r="O103" s="64">
        <v>0</v>
      </c>
      <c r="P103" s="64">
        <v>1.84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1" t="s">
        <v>2935</v>
      </c>
      <c r="B104" s="64">
        <v>43.17</v>
      </c>
      <c r="C104" s="64">
        <v>8.5399999999999991</v>
      </c>
      <c r="D104" s="64">
        <v>38.630000000000003</v>
      </c>
      <c r="E104" s="64">
        <v>4.6399999999999997</v>
      </c>
      <c r="F104" s="64">
        <v>3.1</v>
      </c>
      <c r="G104" s="64">
        <v>82.98</v>
      </c>
      <c r="H104" s="64">
        <v>38.119999999999997</v>
      </c>
      <c r="I104" s="64">
        <v>5.31</v>
      </c>
      <c r="J104" s="64">
        <v>0.37</v>
      </c>
      <c r="K104" s="64">
        <v>302.61</v>
      </c>
      <c r="L104" s="64">
        <v>15.7</v>
      </c>
      <c r="M104" s="64">
        <v>76.489999999999995</v>
      </c>
      <c r="N104" s="64">
        <v>31.4</v>
      </c>
      <c r="O104" s="64">
        <v>0</v>
      </c>
      <c r="P104" s="64">
        <v>1.82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3.57</v>
      </c>
      <c r="C106" s="67">
        <f>MIN(C9:C104)</f>
        <v>8</v>
      </c>
      <c r="D106" s="67">
        <f t="shared" ref="D106:Q106" si="0">MIN(D9:D104)</f>
        <v>15.61</v>
      </c>
      <c r="E106" s="67">
        <f t="shared" si="0"/>
        <v>3.53</v>
      </c>
      <c r="F106" s="67">
        <f t="shared" si="0"/>
        <v>2.46</v>
      </c>
      <c r="G106" s="67">
        <f t="shared" si="0"/>
        <v>44.1</v>
      </c>
      <c r="H106" s="67">
        <f t="shared" si="0"/>
        <v>19.03</v>
      </c>
      <c r="I106" s="67">
        <f t="shared" si="0"/>
        <v>2.48</v>
      </c>
      <c r="J106" s="67">
        <f t="shared" si="0"/>
        <v>0.06</v>
      </c>
      <c r="K106" s="67">
        <f t="shared" si="0"/>
        <v>4.63</v>
      </c>
      <c r="L106" s="67">
        <f t="shared" si="0"/>
        <v>12.92</v>
      </c>
      <c r="M106" s="67">
        <f t="shared" si="0"/>
        <v>30.95</v>
      </c>
      <c r="N106" s="67">
        <f t="shared" si="0"/>
        <v>30.5</v>
      </c>
      <c r="O106" s="67">
        <f t="shared" si="0"/>
        <v>0</v>
      </c>
      <c r="P106" s="67">
        <f t="shared" si="0"/>
        <v>0.7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45.54</v>
      </c>
      <c r="C107" s="66">
        <f t="shared" ref="C107:Q107" si="1">MAX(C9:C104)</f>
        <v>31.31</v>
      </c>
      <c r="D107" s="66">
        <f t="shared" si="1"/>
        <v>40.24</v>
      </c>
      <c r="E107" s="66">
        <f t="shared" si="1"/>
        <v>10.42</v>
      </c>
      <c r="F107" s="66">
        <f t="shared" si="1"/>
        <v>8.5299999999999994</v>
      </c>
      <c r="G107" s="66">
        <f t="shared" si="1"/>
        <v>104.65</v>
      </c>
      <c r="H107" s="66">
        <f t="shared" si="1"/>
        <v>42.21</v>
      </c>
      <c r="I107" s="66">
        <f t="shared" si="1"/>
        <v>5.68</v>
      </c>
      <c r="J107" s="66">
        <f t="shared" si="1"/>
        <v>1.57</v>
      </c>
      <c r="K107" s="66">
        <f t="shared" si="1"/>
        <v>359.5</v>
      </c>
      <c r="L107" s="66">
        <f t="shared" si="1"/>
        <v>25.88</v>
      </c>
      <c r="M107" s="66">
        <f t="shared" si="1"/>
        <v>83.25</v>
      </c>
      <c r="N107" s="66">
        <f t="shared" si="1"/>
        <v>573.6</v>
      </c>
      <c r="O107" s="66">
        <f t="shared" si="1"/>
        <v>0</v>
      </c>
      <c r="P107" s="66">
        <f t="shared" si="1"/>
        <v>1.86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13.166979166666666</v>
      </c>
      <c r="C108" s="67">
        <f t="shared" ref="C108:Q108" si="2">AVERAGE(C9:C104)</f>
        <v>22.029895833333331</v>
      </c>
      <c r="D108" s="67">
        <f t="shared" si="2"/>
        <v>21.608125000000001</v>
      </c>
      <c r="E108" s="67">
        <f t="shared" si="2"/>
        <v>5.2575000000000012</v>
      </c>
      <c r="F108" s="67">
        <f t="shared" si="2"/>
        <v>3.7020833333333343</v>
      </c>
      <c r="G108" s="67">
        <f t="shared" si="2"/>
        <v>65.99791666666664</v>
      </c>
      <c r="H108" s="67">
        <f t="shared" si="2"/>
        <v>29.069166666666646</v>
      </c>
      <c r="I108" s="67">
        <f t="shared" si="2"/>
        <v>3.4226041666666664</v>
      </c>
      <c r="J108" s="67">
        <f t="shared" si="2"/>
        <v>0.39833333333333337</v>
      </c>
      <c r="K108" s="67">
        <f t="shared" si="2"/>
        <v>231.02989583333337</v>
      </c>
      <c r="L108" s="67">
        <f t="shared" si="2"/>
        <v>18.810416666666676</v>
      </c>
      <c r="M108" s="67">
        <f t="shared" si="2"/>
        <v>54.441041666666649</v>
      </c>
      <c r="N108" s="67">
        <f t="shared" si="2"/>
        <v>155.97812500000003</v>
      </c>
      <c r="O108" s="67">
        <f t="shared" si="2"/>
        <v>0</v>
      </c>
      <c r="P108" s="67">
        <f t="shared" si="2"/>
        <v>1.0089583333333334</v>
      </c>
      <c r="Q108" s="67">
        <f t="shared" si="2"/>
        <v>9.5990624999999987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11.013704393287451</v>
      </c>
      <c r="C109" s="67">
        <f t="shared" ref="C109:Q109" si="3">STDEV(C9:C104)</f>
        <v>5.3798952239438567</v>
      </c>
      <c r="D109" s="67">
        <f t="shared" si="3"/>
        <v>6.8815948751953906</v>
      </c>
      <c r="E109" s="67">
        <f t="shared" si="3"/>
        <v>1.3349472688186259</v>
      </c>
      <c r="F109" s="67">
        <f t="shared" si="3"/>
        <v>1.3131768764229428</v>
      </c>
      <c r="G109" s="67">
        <f t="shared" si="3"/>
        <v>15.886408153987764</v>
      </c>
      <c r="H109" s="67">
        <f t="shared" si="3"/>
        <v>7.0961578435342165</v>
      </c>
      <c r="I109" s="67">
        <f t="shared" si="3"/>
        <v>0.76850400785403805</v>
      </c>
      <c r="J109" s="67">
        <f t="shared" si="3"/>
        <v>0.28478492962295399</v>
      </c>
      <c r="K109" s="67">
        <f t="shared" si="3"/>
        <v>123.95834618294198</v>
      </c>
      <c r="L109" s="67">
        <f t="shared" si="3"/>
        <v>4.1001062673433646</v>
      </c>
      <c r="M109" s="67">
        <f t="shared" si="3"/>
        <v>17.191095398745645</v>
      </c>
      <c r="N109" s="67">
        <f t="shared" si="3"/>
        <v>195.19342428695791</v>
      </c>
      <c r="O109" s="67">
        <f t="shared" si="3"/>
        <v>0</v>
      </c>
      <c r="P109" s="67">
        <f t="shared" si="3"/>
        <v>0.30109442186329699</v>
      </c>
      <c r="Q109" s="67">
        <f t="shared" si="3"/>
        <v>6.1062144789679661E-2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97" zoomScale="85" zoomScaleNormal="85" workbookViewId="0">
      <selection activeCell="A103" sqref="A10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2936</v>
      </c>
      <c r="B9" s="64">
        <v>41.46</v>
      </c>
      <c r="C9" s="64">
        <v>9.02</v>
      </c>
      <c r="D9" s="64">
        <v>37.5</v>
      </c>
      <c r="E9" s="64">
        <v>5.53</v>
      </c>
      <c r="F9" s="64">
        <v>3.24</v>
      </c>
      <c r="G9" s="64">
        <v>82.18</v>
      </c>
      <c r="H9" s="64">
        <v>37.229999999999997</v>
      </c>
      <c r="I9" s="64">
        <v>5.25</v>
      </c>
      <c r="J9" s="64">
        <v>0.35</v>
      </c>
      <c r="K9" s="64">
        <v>292.60000000000002</v>
      </c>
      <c r="L9" s="64">
        <v>15.38</v>
      </c>
      <c r="M9" s="64">
        <v>78.849999999999994</v>
      </c>
      <c r="N9" s="64">
        <v>31.4</v>
      </c>
      <c r="O9" s="64">
        <v>0</v>
      </c>
      <c r="P9" s="64">
        <v>1.78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1" t="s">
        <v>2937</v>
      </c>
      <c r="B10" s="64">
        <v>39.770000000000003</v>
      </c>
      <c r="C10" s="64">
        <v>9.51</v>
      </c>
      <c r="D10" s="64">
        <v>36.39</v>
      </c>
      <c r="E10" s="64">
        <v>5.67</v>
      </c>
      <c r="F10" s="64">
        <v>3.18</v>
      </c>
      <c r="G10" s="64">
        <v>78.739999999999995</v>
      </c>
      <c r="H10" s="64">
        <v>34.590000000000003</v>
      </c>
      <c r="I10" s="64">
        <v>5.16</v>
      </c>
      <c r="J10" s="64">
        <v>0.38</v>
      </c>
      <c r="K10" s="64">
        <v>289.35000000000002</v>
      </c>
      <c r="L10" s="64">
        <v>15.17</v>
      </c>
      <c r="M10" s="64">
        <v>82.07</v>
      </c>
      <c r="N10" s="64">
        <v>31.4</v>
      </c>
      <c r="O10" s="64">
        <v>0</v>
      </c>
      <c r="P10" s="64">
        <v>1.77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1" t="s">
        <v>2938</v>
      </c>
      <c r="B11" s="64">
        <v>38.22</v>
      </c>
      <c r="C11" s="64">
        <v>9.8699999999999992</v>
      </c>
      <c r="D11" s="64">
        <v>35.340000000000003</v>
      </c>
      <c r="E11" s="64">
        <v>5.64</v>
      </c>
      <c r="F11" s="64">
        <v>3.21</v>
      </c>
      <c r="G11" s="64">
        <v>78.739999999999995</v>
      </c>
      <c r="H11" s="64">
        <v>34.590000000000003</v>
      </c>
      <c r="I11" s="64">
        <v>5.09</v>
      </c>
      <c r="J11" s="64">
        <v>0.4</v>
      </c>
      <c r="K11" s="64">
        <v>267.33</v>
      </c>
      <c r="L11" s="64">
        <v>15.01</v>
      </c>
      <c r="M11" s="64">
        <v>84.8</v>
      </c>
      <c r="N11" s="64">
        <v>31.4</v>
      </c>
      <c r="O11" s="64">
        <v>0</v>
      </c>
      <c r="P11" s="64">
        <v>1.71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1" t="s">
        <v>2939</v>
      </c>
      <c r="B12" s="64">
        <v>36.72</v>
      </c>
      <c r="C12" s="64">
        <v>10.029999999999999</v>
      </c>
      <c r="D12" s="64">
        <v>34.22</v>
      </c>
      <c r="E12" s="64">
        <v>5.54</v>
      </c>
      <c r="F12" s="64">
        <v>2.95</v>
      </c>
      <c r="G12" s="64">
        <v>78.739999999999995</v>
      </c>
      <c r="H12" s="64">
        <v>34.590000000000003</v>
      </c>
      <c r="I12" s="64">
        <v>5.01</v>
      </c>
      <c r="J12" s="64">
        <v>0.25</v>
      </c>
      <c r="K12" s="64">
        <v>283.27999999999997</v>
      </c>
      <c r="L12" s="64">
        <v>14.9</v>
      </c>
      <c r="M12" s="64">
        <v>86.15</v>
      </c>
      <c r="N12" s="64">
        <v>31.6</v>
      </c>
      <c r="O12" s="64">
        <v>0</v>
      </c>
      <c r="P12" s="64">
        <v>1.64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1" t="s">
        <v>2940</v>
      </c>
      <c r="B13" s="64">
        <v>34.99</v>
      </c>
      <c r="C13" s="64">
        <v>10.37</v>
      </c>
      <c r="D13" s="64">
        <v>33.01</v>
      </c>
      <c r="E13" s="64">
        <v>5.14</v>
      </c>
      <c r="F13" s="64">
        <v>3.24</v>
      </c>
      <c r="G13" s="64">
        <v>77.430000000000007</v>
      </c>
      <c r="H13" s="64">
        <v>34.49</v>
      </c>
      <c r="I13" s="64">
        <v>4.92</v>
      </c>
      <c r="J13" s="64">
        <v>0.26</v>
      </c>
      <c r="K13" s="64">
        <v>269.97000000000003</v>
      </c>
      <c r="L13" s="64">
        <v>14.85</v>
      </c>
      <c r="M13" s="64">
        <v>88.67</v>
      </c>
      <c r="N13" s="64">
        <v>31.2</v>
      </c>
      <c r="O13" s="64">
        <v>0</v>
      </c>
      <c r="P13" s="64">
        <v>1.53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1" t="s">
        <v>2941</v>
      </c>
      <c r="B14" s="64">
        <v>33.520000000000003</v>
      </c>
      <c r="C14" s="64">
        <v>10.57</v>
      </c>
      <c r="D14" s="64">
        <v>31.94</v>
      </c>
      <c r="E14" s="64">
        <v>4.96</v>
      </c>
      <c r="F14" s="64">
        <v>3.18</v>
      </c>
      <c r="G14" s="64">
        <v>71.77</v>
      </c>
      <c r="H14" s="64">
        <v>34.22</v>
      </c>
      <c r="I14" s="64">
        <v>5.27</v>
      </c>
      <c r="J14" s="64">
        <v>0.31</v>
      </c>
      <c r="K14" s="64">
        <v>290.42</v>
      </c>
      <c r="L14" s="64">
        <v>14.56</v>
      </c>
      <c r="M14" s="64">
        <v>90.13</v>
      </c>
      <c r="N14" s="64">
        <v>31.6</v>
      </c>
      <c r="O14" s="64">
        <v>0</v>
      </c>
      <c r="P14" s="64">
        <v>1.54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1" t="s">
        <v>2942</v>
      </c>
      <c r="B15" s="64">
        <v>32.26</v>
      </c>
      <c r="C15" s="64">
        <v>10.95</v>
      </c>
      <c r="D15" s="64">
        <v>31.13</v>
      </c>
      <c r="E15" s="64">
        <v>4.99</v>
      </c>
      <c r="F15" s="64">
        <v>3.06</v>
      </c>
      <c r="G15" s="64">
        <v>71.77</v>
      </c>
      <c r="H15" s="64">
        <v>34.22</v>
      </c>
      <c r="I15" s="64">
        <v>4.93</v>
      </c>
      <c r="J15" s="64">
        <v>0.28999999999999998</v>
      </c>
      <c r="K15" s="64">
        <v>307.81</v>
      </c>
      <c r="L15" s="64">
        <v>14.22</v>
      </c>
      <c r="M15" s="64">
        <v>92.75</v>
      </c>
      <c r="N15" s="64">
        <v>31.7</v>
      </c>
      <c r="O15" s="64">
        <v>0</v>
      </c>
      <c r="P15" s="64">
        <v>1.5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1" t="s">
        <v>2943</v>
      </c>
      <c r="B16" s="64">
        <v>30.99</v>
      </c>
      <c r="C16" s="64">
        <v>11.49</v>
      </c>
      <c r="D16" s="64">
        <v>30.39</v>
      </c>
      <c r="E16" s="64">
        <v>5.22</v>
      </c>
      <c r="F16" s="64">
        <v>2.83</v>
      </c>
      <c r="G16" s="64">
        <v>71.77</v>
      </c>
      <c r="H16" s="64">
        <v>34.22</v>
      </c>
      <c r="I16" s="64">
        <v>5.1100000000000003</v>
      </c>
      <c r="J16" s="64">
        <v>0.24</v>
      </c>
      <c r="K16" s="64">
        <v>316.77999999999997</v>
      </c>
      <c r="L16" s="64">
        <v>13.93</v>
      </c>
      <c r="M16" s="64">
        <v>96.73</v>
      </c>
      <c r="N16" s="64">
        <v>31.5</v>
      </c>
      <c r="O16" s="64">
        <v>0</v>
      </c>
      <c r="P16" s="64">
        <v>1.46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1" t="s">
        <v>2944</v>
      </c>
      <c r="B17" s="64">
        <v>30.19</v>
      </c>
      <c r="C17" s="64">
        <v>11.9</v>
      </c>
      <c r="D17" s="64">
        <v>29.97</v>
      </c>
      <c r="E17" s="64">
        <v>4.7699999999999996</v>
      </c>
      <c r="F17" s="64">
        <v>2.72</v>
      </c>
      <c r="G17" s="64">
        <v>71.73</v>
      </c>
      <c r="H17" s="64">
        <v>34.18</v>
      </c>
      <c r="I17" s="64">
        <v>5.19</v>
      </c>
      <c r="J17" s="64">
        <v>0.31</v>
      </c>
      <c r="K17" s="64">
        <v>307.82</v>
      </c>
      <c r="L17" s="64">
        <v>13.75</v>
      </c>
      <c r="M17" s="64">
        <v>98.08</v>
      </c>
      <c r="N17" s="64">
        <v>31.6</v>
      </c>
      <c r="O17" s="64">
        <v>0</v>
      </c>
      <c r="P17" s="64">
        <v>1.44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1" t="s">
        <v>2945</v>
      </c>
      <c r="B18" s="64">
        <v>29.59</v>
      </c>
      <c r="C18" s="64">
        <v>12.11</v>
      </c>
      <c r="D18" s="64">
        <v>29.59</v>
      </c>
      <c r="E18" s="64">
        <v>4.9800000000000004</v>
      </c>
      <c r="F18" s="64">
        <v>2.61</v>
      </c>
      <c r="G18" s="64">
        <v>71.56</v>
      </c>
      <c r="H18" s="64">
        <v>34.04</v>
      </c>
      <c r="I18" s="64">
        <v>5.12</v>
      </c>
      <c r="J18" s="64">
        <v>0.4</v>
      </c>
      <c r="K18" s="64">
        <v>320.08</v>
      </c>
      <c r="L18" s="64">
        <v>13.59</v>
      </c>
      <c r="M18" s="64">
        <v>98.13</v>
      </c>
      <c r="N18" s="64">
        <v>31.4</v>
      </c>
      <c r="O18" s="64">
        <v>0</v>
      </c>
      <c r="P18" s="64">
        <v>1.42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11" t="s">
        <v>2946</v>
      </c>
      <c r="B19" s="64">
        <v>28.71</v>
      </c>
      <c r="C19" s="64">
        <v>12.47</v>
      </c>
      <c r="D19" s="64">
        <v>29.07</v>
      </c>
      <c r="E19" s="64">
        <v>5.16</v>
      </c>
      <c r="F19" s="64">
        <v>2.78</v>
      </c>
      <c r="G19" s="64">
        <v>71.56</v>
      </c>
      <c r="H19" s="64">
        <v>34.04</v>
      </c>
      <c r="I19" s="64">
        <v>4.72</v>
      </c>
      <c r="J19" s="64">
        <v>0.11</v>
      </c>
      <c r="K19" s="64">
        <v>329</v>
      </c>
      <c r="L19" s="64">
        <v>13.44</v>
      </c>
      <c r="M19" s="64">
        <v>98.14</v>
      </c>
      <c r="N19" s="64">
        <v>31.4</v>
      </c>
      <c r="O19" s="64">
        <v>0</v>
      </c>
      <c r="P19" s="64">
        <v>1.39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1" t="s">
        <v>2947</v>
      </c>
      <c r="B20" s="64">
        <v>27.97</v>
      </c>
      <c r="C20" s="64">
        <v>12.72</v>
      </c>
      <c r="D20" s="64">
        <v>28.61</v>
      </c>
      <c r="E20" s="64">
        <v>5.22</v>
      </c>
      <c r="F20" s="64">
        <v>2.76</v>
      </c>
      <c r="G20" s="64">
        <v>71.56</v>
      </c>
      <c r="H20" s="64">
        <v>34.04</v>
      </c>
      <c r="I20" s="64">
        <v>4.55</v>
      </c>
      <c r="J20" s="64">
        <v>0.37</v>
      </c>
      <c r="K20" s="64">
        <v>328.92</v>
      </c>
      <c r="L20" s="64">
        <v>13.63</v>
      </c>
      <c r="M20" s="64">
        <v>98.14</v>
      </c>
      <c r="N20" s="64">
        <v>31.2</v>
      </c>
      <c r="O20" s="64">
        <v>0</v>
      </c>
      <c r="P20" s="64">
        <v>1.36</v>
      </c>
      <c r="Q20" s="64">
        <v>9.69</v>
      </c>
      <c r="R20" s="198"/>
      <c r="S20" s="198"/>
      <c r="T20" s="198"/>
      <c r="U20" s="198"/>
    </row>
    <row r="21" spans="1:21" s="12" customFormat="1" x14ac:dyDescent="0.25">
      <c r="A21" s="211" t="s">
        <v>2948</v>
      </c>
      <c r="B21" s="64">
        <v>27.02</v>
      </c>
      <c r="C21" s="64">
        <v>12.25</v>
      </c>
      <c r="D21" s="64">
        <v>27.61</v>
      </c>
      <c r="E21" s="64">
        <v>5.25</v>
      </c>
      <c r="F21" s="64">
        <v>2.76</v>
      </c>
      <c r="G21" s="64">
        <v>70.930000000000007</v>
      </c>
      <c r="H21" s="64">
        <v>33.76</v>
      </c>
      <c r="I21" s="64">
        <v>4.87</v>
      </c>
      <c r="J21" s="64">
        <v>0.34</v>
      </c>
      <c r="K21" s="64">
        <v>328.54</v>
      </c>
      <c r="L21" s="64">
        <v>13.65</v>
      </c>
      <c r="M21" s="64">
        <v>98.09</v>
      </c>
      <c r="N21" s="64">
        <v>31.4</v>
      </c>
      <c r="O21" s="64">
        <v>0</v>
      </c>
      <c r="P21" s="64">
        <v>1.33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1" t="s">
        <v>2949</v>
      </c>
      <c r="B22" s="64">
        <v>26.1</v>
      </c>
      <c r="C22" s="64">
        <v>12.64</v>
      </c>
      <c r="D22" s="64">
        <v>27.08</v>
      </c>
      <c r="E22" s="64">
        <v>4.7300000000000004</v>
      </c>
      <c r="F22" s="64">
        <v>2.54</v>
      </c>
      <c r="G22" s="64">
        <v>68.23</v>
      </c>
      <c r="H22" s="64">
        <v>32.49</v>
      </c>
      <c r="I22" s="64">
        <v>4.59</v>
      </c>
      <c r="J22" s="64">
        <v>0.38</v>
      </c>
      <c r="K22" s="64">
        <v>305.77999999999997</v>
      </c>
      <c r="L22" s="64">
        <v>13.62</v>
      </c>
      <c r="M22" s="64">
        <v>98.1</v>
      </c>
      <c r="N22" s="64">
        <v>31.3</v>
      </c>
      <c r="O22" s="64">
        <v>0</v>
      </c>
      <c r="P22" s="64">
        <v>1.37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1" t="s">
        <v>2950</v>
      </c>
      <c r="B23" s="64">
        <v>25.34</v>
      </c>
      <c r="C23" s="64">
        <v>13.06</v>
      </c>
      <c r="D23" s="64">
        <v>26.68</v>
      </c>
      <c r="E23" s="64">
        <v>4.79</v>
      </c>
      <c r="F23" s="64">
        <v>2.68</v>
      </c>
      <c r="G23" s="64">
        <v>68.23</v>
      </c>
      <c r="H23" s="64">
        <v>32.49</v>
      </c>
      <c r="I23" s="64">
        <v>4.83</v>
      </c>
      <c r="J23" s="64">
        <v>0.38</v>
      </c>
      <c r="K23" s="64">
        <v>298.55</v>
      </c>
      <c r="L23" s="64">
        <v>13.61</v>
      </c>
      <c r="M23" s="64">
        <v>98.1</v>
      </c>
      <c r="N23" s="64">
        <v>31.4</v>
      </c>
      <c r="O23" s="64">
        <v>0</v>
      </c>
      <c r="P23" s="64">
        <v>1.38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1" t="s">
        <v>2951</v>
      </c>
      <c r="B24" s="64">
        <v>24.88</v>
      </c>
      <c r="C24" s="64">
        <v>13.13</v>
      </c>
      <c r="D24" s="64">
        <v>26.35</v>
      </c>
      <c r="E24" s="64">
        <v>5.04</v>
      </c>
      <c r="F24" s="64">
        <v>2.93</v>
      </c>
      <c r="G24" s="64">
        <v>68.23</v>
      </c>
      <c r="H24" s="64">
        <v>32.49</v>
      </c>
      <c r="I24" s="64">
        <v>4.58</v>
      </c>
      <c r="J24" s="64">
        <v>0.27</v>
      </c>
      <c r="K24" s="64">
        <v>21.57</v>
      </c>
      <c r="L24" s="64">
        <v>13.66</v>
      </c>
      <c r="M24" s="64">
        <v>98.09</v>
      </c>
      <c r="N24" s="64">
        <v>31.4</v>
      </c>
      <c r="O24" s="64">
        <v>0</v>
      </c>
      <c r="P24" s="64">
        <v>1.38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1" t="s">
        <v>2952</v>
      </c>
      <c r="B25" s="64">
        <v>24.91</v>
      </c>
      <c r="C25" s="64">
        <v>12.94</v>
      </c>
      <c r="D25" s="64">
        <v>26.28</v>
      </c>
      <c r="E25" s="64">
        <v>5.27</v>
      </c>
      <c r="F25" s="64">
        <v>2.93</v>
      </c>
      <c r="G25" s="64">
        <v>69.81</v>
      </c>
      <c r="H25" s="64">
        <v>33.22</v>
      </c>
      <c r="I25" s="64">
        <v>4.46</v>
      </c>
      <c r="J25" s="64">
        <v>0.91</v>
      </c>
      <c r="K25" s="64">
        <v>347.09</v>
      </c>
      <c r="L25" s="64">
        <v>13.58</v>
      </c>
      <c r="M25" s="64">
        <v>98.04</v>
      </c>
      <c r="N25" s="64">
        <v>30.6</v>
      </c>
      <c r="O25" s="64">
        <v>0</v>
      </c>
      <c r="P25" s="64">
        <v>1.38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1" t="s">
        <v>2953</v>
      </c>
      <c r="B26" s="64">
        <v>24.82</v>
      </c>
      <c r="C26" s="64">
        <v>12.85</v>
      </c>
      <c r="D26" s="64">
        <v>26.16</v>
      </c>
      <c r="E26" s="64">
        <v>5.21</v>
      </c>
      <c r="F26" s="64">
        <v>3.04</v>
      </c>
      <c r="G26" s="64">
        <v>76.58</v>
      </c>
      <c r="H26" s="64">
        <v>35.39</v>
      </c>
      <c r="I26" s="64">
        <v>4.46</v>
      </c>
      <c r="J26" s="64">
        <v>0.8</v>
      </c>
      <c r="K26" s="64">
        <v>341.27</v>
      </c>
      <c r="L26" s="64">
        <v>13.83</v>
      </c>
      <c r="M26" s="64">
        <v>97.28</v>
      </c>
      <c r="N26" s="64">
        <v>31.2</v>
      </c>
      <c r="O26" s="64">
        <v>0</v>
      </c>
      <c r="P26" s="64">
        <v>1.39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1" t="s">
        <v>2954</v>
      </c>
      <c r="B27" s="64">
        <v>24.61</v>
      </c>
      <c r="C27" s="64">
        <v>13.01</v>
      </c>
      <c r="D27" s="64">
        <v>26.07</v>
      </c>
      <c r="E27" s="64">
        <v>5.08</v>
      </c>
      <c r="F27" s="64">
        <v>3.16</v>
      </c>
      <c r="G27" s="64">
        <v>76.58</v>
      </c>
      <c r="H27" s="64">
        <v>35.39</v>
      </c>
      <c r="I27" s="64">
        <v>4.4800000000000004</v>
      </c>
      <c r="J27" s="64">
        <v>0.21</v>
      </c>
      <c r="K27" s="64">
        <v>327.98</v>
      </c>
      <c r="L27" s="64">
        <v>13.73</v>
      </c>
      <c r="M27" s="64">
        <v>97.7</v>
      </c>
      <c r="N27" s="64">
        <v>31.6</v>
      </c>
      <c r="O27" s="64">
        <v>0</v>
      </c>
      <c r="P27" s="64">
        <v>1.42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1" t="s">
        <v>2955</v>
      </c>
      <c r="B28" s="64">
        <v>24.44</v>
      </c>
      <c r="C28" s="64">
        <v>12.81</v>
      </c>
      <c r="D28" s="64">
        <v>25.83</v>
      </c>
      <c r="E28" s="64">
        <v>5.16</v>
      </c>
      <c r="F28" s="64">
        <v>3.21</v>
      </c>
      <c r="G28" s="64">
        <v>76.58</v>
      </c>
      <c r="H28" s="64">
        <v>35.39</v>
      </c>
      <c r="I28" s="64">
        <v>4.8499999999999996</v>
      </c>
      <c r="J28" s="64">
        <v>0.39</v>
      </c>
      <c r="K28" s="64">
        <v>0.67</v>
      </c>
      <c r="L28" s="64">
        <v>13.61</v>
      </c>
      <c r="M28" s="64">
        <v>98</v>
      </c>
      <c r="N28" s="64">
        <v>31.4</v>
      </c>
      <c r="O28" s="64">
        <v>0</v>
      </c>
      <c r="P28" s="64">
        <v>1.44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1" t="s">
        <v>2956</v>
      </c>
      <c r="B29" s="64">
        <v>24.51</v>
      </c>
      <c r="C29" s="64">
        <v>12.25</v>
      </c>
      <c r="D29" s="64">
        <v>25.6</v>
      </c>
      <c r="E29" s="64">
        <v>5.54</v>
      </c>
      <c r="F29" s="64">
        <v>3.15</v>
      </c>
      <c r="G29" s="64">
        <v>93.42</v>
      </c>
      <c r="H29" s="64">
        <v>38.31</v>
      </c>
      <c r="I29" s="64">
        <v>5.0199999999999996</v>
      </c>
      <c r="J29" s="64">
        <v>0.22</v>
      </c>
      <c r="K29" s="64">
        <v>67.83</v>
      </c>
      <c r="L29" s="64">
        <v>13.58</v>
      </c>
      <c r="M29" s="64">
        <v>97.99</v>
      </c>
      <c r="N29" s="64">
        <v>31.5</v>
      </c>
      <c r="O29" s="64">
        <v>0</v>
      </c>
      <c r="P29" s="64">
        <v>1.44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1" t="s">
        <v>2957</v>
      </c>
      <c r="B30" s="64">
        <v>24.67</v>
      </c>
      <c r="C30" s="64">
        <v>12.17</v>
      </c>
      <c r="D30" s="64">
        <v>25.68</v>
      </c>
      <c r="E30" s="64">
        <v>5.38</v>
      </c>
      <c r="F30" s="64">
        <v>3.08</v>
      </c>
      <c r="G30" s="64">
        <v>165.73</v>
      </c>
      <c r="H30" s="64">
        <v>46.88</v>
      </c>
      <c r="I30" s="64">
        <v>5.09</v>
      </c>
      <c r="J30" s="64">
        <v>0.14000000000000001</v>
      </c>
      <c r="K30" s="64">
        <v>62.36</v>
      </c>
      <c r="L30" s="64">
        <v>13.49</v>
      </c>
      <c r="M30" s="64">
        <v>97.95</v>
      </c>
      <c r="N30" s="64">
        <v>31.4</v>
      </c>
      <c r="O30" s="64">
        <v>0</v>
      </c>
      <c r="P30" s="64">
        <v>1.43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1" t="s">
        <v>2958</v>
      </c>
      <c r="B31" s="64">
        <v>24.87</v>
      </c>
      <c r="C31" s="64">
        <v>12.26</v>
      </c>
      <c r="D31" s="64">
        <v>25.89</v>
      </c>
      <c r="E31" s="64">
        <v>5.19</v>
      </c>
      <c r="F31" s="64">
        <v>3.12</v>
      </c>
      <c r="G31" s="64">
        <v>165.73</v>
      </c>
      <c r="H31" s="64">
        <v>46.88</v>
      </c>
      <c r="I31" s="64">
        <v>4.75</v>
      </c>
      <c r="J31" s="64">
        <v>0.33</v>
      </c>
      <c r="K31" s="64">
        <v>247.39</v>
      </c>
      <c r="L31" s="64">
        <v>13.31</v>
      </c>
      <c r="M31" s="64">
        <v>98</v>
      </c>
      <c r="N31" s="64">
        <v>31.4</v>
      </c>
      <c r="O31" s="64">
        <v>0</v>
      </c>
      <c r="P31" s="64">
        <v>1.42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1" t="s">
        <v>2959</v>
      </c>
      <c r="B32" s="64">
        <v>25.59</v>
      </c>
      <c r="C32" s="64">
        <v>12.01</v>
      </c>
      <c r="D32" s="64">
        <v>26.33</v>
      </c>
      <c r="E32" s="64">
        <v>5.05</v>
      </c>
      <c r="F32" s="64">
        <v>3.18</v>
      </c>
      <c r="G32" s="64">
        <v>165.73</v>
      </c>
      <c r="H32" s="64">
        <v>46.88</v>
      </c>
      <c r="I32" s="64">
        <v>4.63</v>
      </c>
      <c r="J32" s="64">
        <v>0.31</v>
      </c>
      <c r="K32" s="64">
        <v>225.88</v>
      </c>
      <c r="L32" s="64">
        <v>13.15</v>
      </c>
      <c r="M32" s="64">
        <v>98</v>
      </c>
      <c r="N32" s="64">
        <v>31.5</v>
      </c>
      <c r="O32" s="64">
        <v>0</v>
      </c>
      <c r="P32" s="64">
        <v>1.42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1" t="s">
        <v>2960</v>
      </c>
      <c r="B33" s="64">
        <v>26.15</v>
      </c>
      <c r="C33" s="64">
        <v>11.84</v>
      </c>
      <c r="D33" s="64">
        <v>26.7</v>
      </c>
      <c r="E33" s="64">
        <v>5.22</v>
      </c>
      <c r="F33" s="64">
        <v>3.22</v>
      </c>
      <c r="G33" s="64">
        <v>157.44999999999999</v>
      </c>
      <c r="H33" s="64">
        <v>47.23</v>
      </c>
      <c r="I33" s="64">
        <v>4.6399999999999997</v>
      </c>
      <c r="J33" s="64">
        <v>0.3</v>
      </c>
      <c r="K33" s="64">
        <v>101.24</v>
      </c>
      <c r="L33" s="64">
        <v>13.18</v>
      </c>
      <c r="M33" s="64">
        <v>97.98</v>
      </c>
      <c r="N33" s="64">
        <v>32.5</v>
      </c>
      <c r="O33" s="64">
        <v>0</v>
      </c>
      <c r="P33" s="64">
        <v>1.42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1" t="s">
        <v>2961</v>
      </c>
      <c r="B34" s="64">
        <v>26.15</v>
      </c>
      <c r="C34" s="64">
        <v>11.89</v>
      </c>
      <c r="D34" s="64">
        <v>26.72</v>
      </c>
      <c r="E34" s="64">
        <v>5.2</v>
      </c>
      <c r="F34" s="64">
        <v>3.42</v>
      </c>
      <c r="G34" s="64">
        <v>124.34</v>
      </c>
      <c r="H34" s="64">
        <v>48.27</v>
      </c>
      <c r="I34" s="64">
        <v>4.6399999999999997</v>
      </c>
      <c r="J34" s="64">
        <v>0.42</v>
      </c>
      <c r="K34" s="64">
        <v>113.41</v>
      </c>
      <c r="L34" s="64">
        <v>13.3</v>
      </c>
      <c r="M34" s="64">
        <v>97.81</v>
      </c>
      <c r="N34" s="64">
        <v>35.700000000000003</v>
      </c>
      <c r="O34" s="64">
        <v>0</v>
      </c>
      <c r="P34" s="64">
        <v>1.43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1" t="s">
        <v>2962</v>
      </c>
      <c r="B35" s="64">
        <v>25.7</v>
      </c>
      <c r="C35" s="64">
        <v>11.98</v>
      </c>
      <c r="D35" s="64">
        <v>26.41</v>
      </c>
      <c r="E35" s="64">
        <v>5.1100000000000003</v>
      </c>
      <c r="F35" s="64">
        <v>3.04</v>
      </c>
      <c r="G35" s="64">
        <v>124.34</v>
      </c>
      <c r="H35" s="64">
        <v>48.27</v>
      </c>
      <c r="I35" s="64">
        <v>4.6500000000000004</v>
      </c>
      <c r="J35" s="64">
        <v>0.26</v>
      </c>
      <c r="K35" s="64">
        <v>99.65</v>
      </c>
      <c r="L35" s="64">
        <v>13.36</v>
      </c>
      <c r="M35" s="64">
        <v>98.02</v>
      </c>
      <c r="N35" s="64">
        <v>46.4</v>
      </c>
      <c r="O35" s="64">
        <v>0</v>
      </c>
      <c r="P35" s="64">
        <v>1.43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1" t="s">
        <v>2963</v>
      </c>
      <c r="B36" s="64">
        <v>25.52</v>
      </c>
      <c r="C36" s="64">
        <v>12.2</v>
      </c>
      <c r="D36" s="64">
        <v>26.37</v>
      </c>
      <c r="E36" s="64">
        <v>5.04</v>
      </c>
      <c r="F36" s="64">
        <v>3.32</v>
      </c>
      <c r="G36" s="64">
        <v>124.34</v>
      </c>
      <c r="H36" s="64">
        <v>48.27</v>
      </c>
      <c r="I36" s="64">
        <v>4.6500000000000004</v>
      </c>
      <c r="J36" s="64">
        <v>0.24</v>
      </c>
      <c r="K36" s="64">
        <v>13.7</v>
      </c>
      <c r="L36" s="64">
        <v>13.6</v>
      </c>
      <c r="M36" s="64">
        <v>97.93</v>
      </c>
      <c r="N36" s="64">
        <v>60.2</v>
      </c>
      <c r="O36" s="64">
        <v>0</v>
      </c>
      <c r="P36" s="64">
        <v>1.46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1" t="s">
        <v>2964</v>
      </c>
      <c r="B37" s="64">
        <v>26</v>
      </c>
      <c r="C37" s="64">
        <v>12.08</v>
      </c>
      <c r="D37" s="64">
        <v>26.7</v>
      </c>
      <c r="E37" s="64">
        <v>5.32</v>
      </c>
      <c r="F37" s="64">
        <v>3.19</v>
      </c>
      <c r="G37" s="64">
        <v>124.75</v>
      </c>
      <c r="H37" s="64">
        <v>49.06</v>
      </c>
      <c r="I37" s="64">
        <v>4.6900000000000004</v>
      </c>
      <c r="J37" s="64">
        <v>0.2</v>
      </c>
      <c r="K37" s="64">
        <v>141.79</v>
      </c>
      <c r="L37" s="64">
        <v>14.12</v>
      </c>
      <c r="M37" s="64">
        <v>95.64</v>
      </c>
      <c r="N37" s="64">
        <v>75.900000000000006</v>
      </c>
      <c r="O37" s="64">
        <v>0</v>
      </c>
      <c r="P37" s="64">
        <v>1.41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1" t="s">
        <v>2965</v>
      </c>
      <c r="B38" s="64">
        <v>27.18</v>
      </c>
      <c r="C38" s="64">
        <v>11.43</v>
      </c>
      <c r="D38" s="64">
        <v>27.31</v>
      </c>
      <c r="E38" s="64">
        <v>5.26</v>
      </c>
      <c r="F38" s="64">
        <v>3.17</v>
      </c>
      <c r="G38" s="64">
        <v>126.42</v>
      </c>
      <c r="H38" s="64">
        <v>52.67</v>
      </c>
      <c r="I38" s="64">
        <v>4.75</v>
      </c>
      <c r="J38" s="64">
        <v>0.26</v>
      </c>
      <c r="K38" s="64">
        <v>4.21</v>
      </c>
      <c r="L38" s="64">
        <v>14.95</v>
      </c>
      <c r="M38" s="64">
        <v>92.2</v>
      </c>
      <c r="N38" s="64">
        <v>122.7</v>
      </c>
      <c r="O38" s="64">
        <v>0</v>
      </c>
      <c r="P38" s="64">
        <v>1.53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1" t="s">
        <v>2966</v>
      </c>
      <c r="B39" s="64">
        <v>28.82</v>
      </c>
      <c r="C39" s="64">
        <v>10.41</v>
      </c>
      <c r="D39" s="64">
        <v>28.09</v>
      </c>
      <c r="E39" s="64">
        <v>5.33</v>
      </c>
      <c r="F39" s="64">
        <v>3.09</v>
      </c>
      <c r="G39" s="64">
        <v>126.42</v>
      </c>
      <c r="H39" s="64">
        <v>52.67</v>
      </c>
      <c r="I39" s="64">
        <v>4.82</v>
      </c>
      <c r="J39" s="64">
        <v>0.54</v>
      </c>
      <c r="K39" s="64">
        <v>343.47</v>
      </c>
      <c r="L39" s="64">
        <v>16.850000000000001</v>
      </c>
      <c r="M39" s="64">
        <v>79.989999999999995</v>
      </c>
      <c r="N39" s="64">
        <v>180.3</v>
      </c>
      <c r="O39" s="64">
        <v>0</v>
      </c>
      <c r="P39" s="64">
        <v>1.6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1" t="s">
        <v>2967</v>
      </c>
      <c r="B40" s="64">
        <v>29.84</v>
      </c>
      <c r="C40" s="64">
        <v>10.58</v>
      </c>
      <c r="D40" s="64">
        <v>29</v>
      </c>
      <c r="E40" s="64">
        <v>5.74</v>
      </c>
      <c r="F40" s="64">
        <v>2.94</v>
      </c>
      <c r="G40" s="64">
        <v>126.42</v>
      </c>
      <c r="H40" s="64">
        <v>52.67</v>
      </c>
      <c r="I40" s="64">
        <v>4.91</v>
      </c>
      <c r="J40" s="64">
        <v>0.32</v>
      </c>
      <c r="K40" s="64">
        <v>345.14</v>
      </c>
      <c r="L40" s="64">
        <v>18.489999999999998</v>
      </c>
      <c r="M40" s="64">
        <v>71.06</v>
      </c>
      <c r="N40" s="64">
        <v>220.1</v>
      </c>
      <c r="O40" s="64">
        <v>0</v>
      </c>
      <c r="P40" s="64">
        <v>1.67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1" t="s">
        <v>2968</v>
      </c>
      <c r="B41" s="64">
        <v>30.36</v>
      </c>
      <c r="C41" s="64">
        <v>10.84</v>
      </c>
      <c r="D41" s="64">
        <v>29.55</v>
      </c>
      <c r="E41" s="64">
        <v>5.99</v>
      </c>
      <c r="F41" s="64">
        <v>3.21</v>
      </c>
      <c r="G41" s="64">
        <v>125.02</v>
      </c>
      <c r="H41" s="64">
        <v>52.3</v>
      </c>
      <c r="I41" s="64">
        <v>4.97</v>
      </c>
      <c r="J41" s="64">
        <v>0.55000000000000004</v>
      </c>
      <c r="K41" s="64">
        <v>331.94</v>
      </c>
      <c r="L41" s="64">
        <v>20.329999999999998</v>
      </c>
      <c r="M41" s="64">
        <v>61.28</v>
      </c>
      <c r="N41" s="64">
        <v>274.89999999999998</v>
      </c>
      <c r="O41" s="64">
        <v>0</v>
      </c>
      <c r="P41" s="64">
        <v>1.72</v>
      </c>
      <c r="Q41" s="64">
        <v>9.69</v>
      </c>
      <c r="R41" s="198"/>
      <c r="S41" s="198"/>
      <c r="T41" s="198"/>
      <c r="U41" s="198"/>
    </row>
    <row r="42" spans="1:21" s="12" customFormat="1" x14ac:dyDescent="0.25">
      <c r="A42" s="211" t="s">
        <v>2969</v>
      </c>
      <c r="B42" s="64">
        <v>30.28</v>
      </c>
      <c r="C42" s="64">
        <v>11.12</v>
      </c>
      <c r="D42" s="64">
        <v>29.63</v>
      </c>
      <c r="E42" s="64">
        <v>6.2</v>
      </c>
      <c r="F42" s="64">
        <v>3.03</v>
      </c>
      <c r="G42" s="64">
        <v>119.41</v>
      </c>
      <c r="H42" s="64">
        <v>51.2</v>
      </c>
      <c r="I42" s="64">
        <v>4.99</v>
      </c>
      <c r="J42" s="64">
        <v>0.53</v>
      </c>
      <c r="K42" s="64">
        <v>331.86</v>
      </c>
      <c r="L42" s="64">
        <v>21.77</v>
      </c>
      <c r="M42" s="64">
        <v>54.1</v>
      </c>
      <c r="N42" s="64">
        <v>320.2</v>
      </c>
      <c r="O42" s="64">
        <v>0</v>
      </c>
      <c r="P42" s="64">
        <v>1.73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1" t="s">
        <v>2970</v>
      </c>
      <c r="B43" s="64">
        <v>29.86</v>
      </c>
      <c r="C43" s="64">
        <v>11.64</v>
      </c>
      <c r="D43" s="64">
        <v>29.57</v>
      </c>
      <c r="E43" s="64">
        <v>5.93</v>
      </c>
      <c r="F43" s="64">
        <v>3.21</v>
      </c>
      <c r="G43" s="64">
        <v>119.41</v>
      </c>
      <c r="H43" s="64">
        <v>51.2</v>
      </c>
      <c r="I43" s="64">
        <v>5.41</v>
      </c>
      <c r="J43" s="64">
        <v>0.87</v>
      </c>
      <c r="K43" s="64">
        <v>342.63</v>
      </c>
      <c r="L43" s="64">
        <v>22.57</v>
      </c>
      <c r="M43" s="64">
        <v>50.58</v>
      </c>
      <c r="N43" s="64">
        <v>362.4</v>
      </c>
      <c r="O43" s="64">
        <v>0</v>
      </c>
      <c r="P43" s="64">
        <v>1.73</v>
      </c>
      <c r="Q43" s="64">
        <v>9.67</v>
      </c>
      <c r="R43" s="198"/>
      <c r="S43" s="198"/>
      <c r="T43" s="198"/>
      <c r="U43" s="198"/>
    </row>
    <row r="44" spans="1:21" s="12" customFormat="1" x14ac:dyDescent="0.25">
      <c r="A44" s="211" t="s">
        <v>2971</v>
      </c>
      <c r="B44" s="64">
        <v>28.88</v>
      </c>
      <c r="C44" s="64">
        <v>12.87</v>
      </c>
      <c r="D44" s="64">
        <v>29.42</v>
      </c>
      <c r="E44" s="64">
        <v>6.18</v>
      </c>
      <c r="F44" s="64">
        <v>3.24</v>
      </c>
      <c r="G44" s="64">
        <v>119.41</v>
      </c>
      <c r="H44" s="64">
        <v>51.2</v>
      </c>
      <c r="I44" s="64">
        <v>5.5</v>
      </c>
      <c r="J44" s="64">
        <v>0.78</v>
      </c>
      <c r="K44" s="64">
        <v>338.41</v>
      </c>
      <c r="L44" s="64">
        <v>24.16</v>
      </c>
      <c r="M44" s="64">
        <v>44.23</v>
      </c>
      <c r="N44" s="64">
        <v>393.2</v>
      </c>
      <c r="O44" s="64">
        <v>0</v>
      </c>
      <c r="P44" s="64">
        <v>1.69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1" t="s">
        <v>2972</v>
      </c>
      <c r="B45" s="64">
        <v>28.29</v>
      </c>
      <c r="C45" s="64">
        <v>13.74</v>
      </c>
      <c r="D45" s="64">
        <v>29.4</v>
      </c>
      <c r="E45" s="64">
        <v>6.3</v>
      </c>
      <c r="F45" s="64">
        <v>3.04</v>
      </c>
      <c r="G45" s="64">
        <v>113.57</v>
      </c>
      <c r="H45" s="64">
        <v>49.5</v>
      </c>
      <c r="I45" s="64">
        <v>5.42</v>
      </c>
      <c r="J45" s="64">
        <v>0.4</v>
      </c>
      <c r="K45" s="64">
        <v>51</v>
      </c>
      <c r="L45" s="64">
        <v>24.26</v>
      </c>
      <c r="M45" s="64">
        <v>44.46</v>
      </c>
      <c r="N45" s="64">
        <v>428.4</v>
      </c>
      <c r="O45" s="64">
        <v>0</v>
      </c>
      <c r="P45" s="64">
        <v>1.66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1" t="s">
        <v>2973</v>
      </c>
      <c r="B46" s="64">
        <v>27.71</v>
      </c>
      <c r="C46" s="64">
        <v>14.31</v>
      </c>
      <c r="D46" s="64">
        <v>29.23</v>
      </c>
      <c r="E46" s="64">
        <v>6.31</v>
      </c>
      <c r="F46" s="64">
        <v>3.02</v>
      </c>
      <c r="G46" s="64">
        <v>90.25</v>
      </c>
      <c r="H46" s="64">
        <v>44.49</v>
      </c>
      <c r="I46" s="64">
        <v>5.34</v>
      </c>
      <c r="J46" s="64">
        <v>0.22</v>
      </c>
      <c r="K46" s="64">
        <v>116.52</v>
      </c>
      <c r="L46" s="64">
        <v>22.84</v>
      </c>
      <c r="M46" s="64">
        <v>49.83</v>
      </c>
      <c r="N46" s="64">
        <v>456.4</v>
      </c>
      <c r="O46" s="64">
        <v>0</v>
      </c>
      <c r="P46" s="64">
        <v>1.63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1" t="s">
        <v>2974</v>
      </c>
      <c r="B47" s="64">
        <v>26.91</v>
      </c>
      <c r="C47" s="64">
        <v>14.81</v>
      </c>
      <c r="D47" s="64">
        <v>28.86</v>
      </c>
      <c r="E47" s="64">
        <v>6.44</v>
      </c>
      <c r="F47" s="64">
        <v>3.29</v>
      </c>
      <c r="G47" s="64">
        <v>90.25</v>
      </c>
      <c r="H47" s="64">
        <v>44.49</v>
      </c>
      <c r="I47" s="64">
        <v>5.25</v>
      </c>
      <c r="J47" s="64">
        <v>0.31</v>
      </c>
      <c r="K47" s="64">
        <v>112.97</v>
      </c>
      <c r="L47" s="64">
        <v>23.48</v>
      </c>
      <c r="M47" s="64">
        <v>47.69</v>
      </c>
      <c r="N47" s="64">
        <v>482</v>
      </c>
      <c r="O47" s="64">
        <v>0</v>
      </c>
      <c r="P47" s="64">
        <v>1.56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1" t="s">
        <v>2975</v>
      </c>
      <c r="B48" s="64">
        <v>25.79</v>
      </c>
      <c r="C48" s="64">
        <v>15.28</v>
      </c>
      <c r="D48" s="64">
        <v>28.21</v>
      </c>
      <c r="E48" s="64">
        <v>6.48</v>
      </c>
      <c r="F48" s="64">
        <v>3.4</v>
      </c>
      <c r="G48" s="64">
        <v>90.25</v>
      </c>
      <c r="H48" s="64">
        <v>44.49</v>
      </c>
      <c r="I48" s="64">
        <v>5.15</v>
      </c>
      <c r="J48" s="64">
        <v>1.06</v>
      </c>
      <c r="K48" s="64">
        <v>120.17</v>
      </c>
      <c r="L48" s="64">
        <v>23.47</v>
      </c>
      <c r="M48" s="64">
        <v>47.72</v>
      </c>
      <c r="N48" s="64">
        <v>511.4</v>
      </c>
      <c r="O48" s="64">
        <v>0</v>
      </c>
      <c r="P48" s="64">
        <v>1.49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1" t="s">
        <v>2976</v>
      </c>
      <c r="B49" s="64">
        <v>24.86</v>
      </c>
      <c r="C49" s="64">
        <v>15.75</v>
      </c>
      <c r="D49" s="64">
        <v>27.71</v>
      </c>
      <c r="E49" s="64">
        <v>5.93</v>
      </c>
      <c r="F49" s="64">
        <v>3.08</v>
      </c>
      <c r="G49" s="64">
        <v>84.61</v>
      </c>
      <c r="H49" s="64">
        <v>42.89</v>
      </c>
      <c r="I49" s="64">
        <v>5.05</v>
      </c>
      <c r="J49" s="64">
        <v>0.69</v>
      </c>
      <c r="K49" s="64">
        <v>114.91</v>
      </c>
      <c r="L49" s="64">
        <v>23.2</v>
      </c>
      <c r="M49" s="64">
        <v>48.42</v>
      </c>
      <c r="N49" s="64">
        <v>531.4</v>
      </c>
      <c r="O49" s="64">
        <v>0</v>
      </c>
      <c r="P49" s="64">
        <v>1.43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1" t="s">
        <v>2977</v>
      </c>
      <c r="B50" s="64">
        <v>23.87</v>
      </c>
      <c r="C50" s="64">
        <v>16.3</v>
      </c>
      <c r="D50" s="64">
        <v>27.19</v>
      </c>
      <c r="E50" s="64">
        <v>6.06</v>
      </c>
      <c r="F50" s="64">
        <v>2.94</v>
      </c>
      <c r="G50" s="64">
        <v>60.38</v>
      </c>
      <c r="H50" s="64">
        <v>38.17</v>
      </c>
      <c r="I50" s="64">
        <v>4.99</v>
      </c>
      <c r="J50" s="64">
        <v>0.82</v>
      </c>
      <c r="K50" s="64">
        <v>122.09</v>
      </c>
      <c r="L50" s="64">
        <v>23.6</v>
      </c>
      <c r="M50" s="64">
        <v>46.78</v>
      </c>
      <c r="N50" s="64">
        <v>533.29999999999995</v>
      </c>
      <c r="O50" s="64">
        <v>0</v>
      </c>
      <c r="P50" s="64">
        <v>1.4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1" t="s">
        <v>2978</v>
      </c>
      <c r="B51" s="64">
        <v>22.08</v>
      </c>
      <c r="C51" s="64">
        <v>17.68</v>
      </c>
      <c r="D51" s="64">
        <v>26.48</v>
      </c>
      <c r="E51" s="64">
        <v>6.16</v>
      </c>
      <c r="F51" s="64">
        <v>2.91</v>
      </c>
      <c r="G51" s="64">
        <v>60.38</v>
      </c>
      <c r="H51" s="64">
        <v>38.17</v>
      </c>
      <c r="I51" s="64">
        <v>4.9400000000000004</v>
      </c>
      <c r="J51" s="64">
        <v>0.42</v>
      </c>
      <c r="K51" s="64">
        <v>341.42</v>
      </c>
      <c r="L51" s="64">
        <v>25.91</v>
      </c>
      <c r="M51" s="64">
        <v>38.25</v>
      </c>
      <c r="N51" s="64">
        <v>539.29999999999995</v>
      </c>
      <c r="O51" s="64">
        <v>0</v>
      </c>
      <c r="P51" s="64">
        <v>1.38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1" t="s">
        <v>2979</v>
      </c>
      <c r="B52" s="64">
        <v>20.65</v>
      </c>
      <c r="C52" s="64">
        <v>18.89</v>
      </c>
      <c r="D52" s="64">
        <v>25.97</v>
      </c>
      <c r="E52" s="64">
        <v>6.02</v>
      </c>
      <c r="F52" s="64">
        <v>3.04</v>
      </c>
      <c r="G52" s="64">
        <v>60.38</v>
      </c>
      <c r="H52" s="64">
        <v>38.17</v>
      </c>
      <c r="I52" s="64">
        <v>4.84</v>
      </c>
      <c r="J52" s="64">
        <v>1.1299999999999999</v>
      </c>
      <c r="K52" s="64">
        <v>120.37</v>
      </c>
      <c r="L52" s="64">
        <v>25.11</v>
      </c>
      <c r="M52" s="64">
        <v>38.020000000000003</v>
      </c>
      <c r="N52" s="64">
        <v>546.20000000000005</v>
      </c>
      <c r="O52" s="64">
        <v>0</v>
      </c>
      <c r="P52" s="64">
        <v>1.34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1" t="s">
        <v>2980</v>
      </c>
      <c r="B53" s="64">
        <v>19.36</v>
      </c>
      <c r="C53" s="64">
        <v>19.829999999999998</v>
      </c>
      <c r="D53" s="64">
        <v>25.42</v>
      </c>
      <c r="E53" s="64">
        <v>5.9</v>
      </c>
      <c r="F53" s="64">
        <v>2.8</v>
      </c>
      <c r="G53" s="64">
        <v>60.45</v>
      </c>
      <c r="H53" s="64">
        <v>37.159999999999997</v>
      </c>
      <c r="I53" s="64">
        <v>4.74</v>
      </c>
      <c r="J53" s="64">
        <v>0.79</v>
      </c>
      <c r="K53" s="64">
        <v>125.73</v>
      </c>
      <c r="L53" s="64">
        <v>24.29</v>
      </c>
      <c r="M53" s="64">
        <v>38.47</v>
      </c>
      <c r="N53" s="64">
        <v>559.4</v>
      </c>
      <c r="O53" s="64">
        <v>0</v>
      </c>
      <c r="P53" s="64">
        <v>1.3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11" t="s">
        <v>2981</v>
      </c>
      <c r="B54" s="64">
        <v>18.04</v>
      </c>
      <c r="C54" s="64">
        <v>20.46</v>
      </c>
      <c r="D54" s="64">
        <v>24.7</v>
      </c>
      <c r="E54" s="64">
        <v>5.95</v>
      </c>
      <c r="F54" s="64">
        <v>2.98</v>
      </c>
      <c r="G54" s="64">
        <v>60.77</v>
      </c>
      <c r="H54" s="64">
        <v>32.58</v>
      </c>
      <c r="I54" s="64">
        <v>4.66</v>
      </c>
      <c r="J54" s="64">
        <v>0.9</v>
      </c>
      <c r="K54" s="64">
        <v>124.74</v>
      </c>
      <c r="L54" s="64">
        <v>24.54</v>
      </c>
      <c r="M54" s="64">
        <v>39.36</v>
      </c>
      <c r="N54" s="64">
        <v>535.79999999999995</v>
      </c>
      <c r="O54" s="64">
        <v>0</v>
      </c>
      <c r="P54" s="64">
        <v>1.3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1" t="s">
        <v>2982</v>
      </c>
      <c r="B55" s="64">
        <v>15.05</v>
      </c>
      <c r="C55" s="64">
        <v>24.06</v>
      </c>
      <c r="D55" s="64">
        <v>24.18</v>
      </c>
      <c r="E55" s="64">
        <v>6.54</v>
      </c>
      <c r="F55" s="64">
        <v>3.35</v>
      </c>
      <c r="G55" s="64">
        <v>60.77</v>
      </c>
      <c r="H55" s="64">
        <v>32.58</v>
      </c>
      <c r="I55" s="64">
        <v>4.59</v>
      </c>
      <c r="J55" s="64">
        <v>0.15</v>
      </c>
      <c r="K55" s="64">
        <v>23.85</v>
      </c>
      <c r="L55" s="64">
        <v>25.5</v>
      </c>
      <c r="M55" s="64">
        <v>36.67</v>
      </c>
      <c r="N55" s="64">
        <v>519</v>
      </c>
      <c r="O55" s="64">
        <v>0</v>
      </c>
      <c r="P55" s="64">
        <v>1.23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1" t="s">
        <v>2983</v>
      </c>
      <c r="B56" s="64">
        <v>12.32</v>
      </c>
      <c r="C56" s="64">
        <v>26.52</v>
      </c>
      <c r="D56" s="64">
        <v>23.18</v>
      </c>
      <c r="E56" s="64">
        <v>6.04</v>
      </c>
      <c r="F56" s="64">
        <v>2.91</v>
      </c>
      <c r="G56" s="64">
        <v>60.77</v>
      </c>
      <c r="H56" s="64">
        <v>32.58</v>
      </c>
      <c r="I56" s="64">
        <v>4.43</v>
      </c>
      <c r="J56" s="64">
        <v>0.17</v>
      </c>
      <c r="K56" s="64">
        <v>99.02</v>
      </c>
      <c r="L56" s="64">
        <v>26.89</v>
      </c>
      <c r="M56" s="64">
        <v>33.83</v>
      </c>
      <c r="N56" s="64">
        <v>554.4</v>
      </c>
      <c r="O56" s="64">
        <v>0</v>
      </c>
      <c r="P56" s="64">
        <v>1.17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1" t="s">
        <v>2984</v>
      </c>
      <c r="B57" s="64">
        <v>10.210000000000001</v>
      </c>
      <c r="C57" s="64">
        <v>28.47</v>
      </c>
      <c r="D57" s="64">
        <v>22.6</v>
      </c>
      <c r="E57" s="64">
        <v>8.8800000000000008</v>
      </c>
      <c r="F57" s="64">
        <v>7.14</v>
      </c>
      <c r="G57" s="64">
        <v>53.85</v>
      </c>
      <c r="H57" s="64">
        <v>30.41</v>
      </c>
      <c r="I57" s="64">
        <v>4.2699999999999996</v>
      </c>
      <c r="J57" s="64">
        <v>0.18</v>
      </c>
      <c r="K57" s="64">
        <v>70.099999999999994</v>
      </c>
      <c r="L57" s="64">
        <v>26.37</v>
      </c>
      <c r="M57" s="64">
        <v>33.82</v>
      </c>
      <c r="N57" s="64">
        <v>525.5</v>
      </c>
      <c r="O57" s="64">
        <v>0</v>
      </c>
      <c r="P57" s="64">
        <v>1.04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1" t="s">
        <v>2985</v>
      </c>
      <c r="B58" s="64">
        <v>7.58</v>
      </c>
      <c r="C58" s="64">
        <v>28.41</v>
      </c>
      <c r="D58" s="64">
        <v>20.46</v>
      </c>
      <c r="E58" s="64">
        <v>7.25</v>
      </c>
      <c r="F58" s="64">
        <v>3.77</v>
      </c>
      <c r="G58" s="64">
        <v>24.14</v>
      </c>
      <c r="H58" s="64">
        <v>24.06</v>
      </c>
      <c r="I58" s="64">
        <v>4.16</v>
      </c>
      <c r="J58" s="64">
        <v>1.47</v>
      </c>
      <c r="K58" s="64">
        <v>329.2</v>
      </c>
      <c r="L58" s="64">
        <v>27.63</v>
      </c>
      <c r="M58" s="64">
        <v>30.56</v>
      </c>
      <c r="N58" s="64">
        <v>527.79999999999995</v>
      </c>
      <c r="O58" s="64">
        <v>0</v>
      </c>
      <c r="P58" s="64">
        <v>1.08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1" t="s">
        <v>2986</v>
      </c>
      <c r="B59" s="64">
        <v>5.3</v>
      </c>
      <c r="C59" s="64">
        <v>27.42</v>
      </c>
      <c r="D59" s="64">
        <v>18.11</v>
      </c>
      <c r="E59" s="64">
        <v>11.4</v>
      </c>
      <c r="F59" s="64">
        <v>14.19</v>
      </c>
      <c r="G59" s="64">
        <v>24.14</v>
      </c>
      <c r="H59" s="64">
        <v>24.06</v>
      </c>
      <c r="I59" s="64">
        <v>4.03</v>
      </c>
      <c r="J59" s="64">
        <v>0.61</v>
      </c>
      <c r="K59" s="64">
        <v>348.04</v>
      </c>
      <c r="L59" s="64">
        <v>28.04</v>
      </c>
      <c r="M59" s="64">
        <v>29.66</v>
      </c>
      <c r="N59" s="64">
        <v>501.6</v>
      </c>
      <c r="O59" s="64">
        <v>0</v>
      </c>
      <c r="P59" s="64">
        <v>0.89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1" t="s">
        <v>2987</v>
      </c>
      <c r="B60" s="64">
        <v>4.51</v>
      </c>
      <c r="C60" s="64">
        <v>29.61</v>
      </c>
      <c r="D60" s="64">
        <v>18.62</v>
      </c>
      <c r="E60" s="64">
        <v>9.74</v>
      </c>
      <c r="F60" s="64">
        <v>8.8800000000000008</v>
      </c>
      <c r="G60" s="64">
        <v>24.14</v>
      </c>
      <c r="H60" s="64">
        <v>24.06</v>
      </c>
      <c r="I60" s="64">
        <v>3.84</v>
      </c>
      <c r="J60" s="64">
        <v>1.1599999999999999</v>
      </c>
      <c r="K60" s="64">
        <v>332.49</v>
      </c>
      <c r="L60" s="64">
        <v>28.08</v>
      </c>
      <c r="M60" s="64">
        <v>29.54</v>
      </c>
      <c r="N60" s="64">
        <v>495</v>
      </c>
      <c r="O60" s="64">
        <v>0</v>
      </c>
      <c r="P60" s="64">
        <v>0.92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1" t="s">
        <v>2988</v>
      </c>
      <c r="B61" s="64">
        <v>3.22</v>
      </c>
      <c r="C61" s="64">
        <v>31.05</v>
      </c>
      <c r="D61" s="64">
        <v>18.34</v>
      </c>
      <c r="E61" s="64">
        <v>7.77</v>
      </c>
      <c r="F61" s="64">
        <v>8.98</v>
      </c>
      <c r="G61" s="64">
        <v>26.51</v>
      </c>
      <c r="H61" s="64">
        <v>23.6</v>
      </c>
      <c r="I61" s="64">
        <v>3.69</v>
      </c>
      <c r="J61" s="64">
        <v>1.27</v>
      </c>
      <c r="K61" s="64">
        <v>338.66</v>
      </c>
      <c r="L61" s="64">
        <v>28.49</v>
      </c>
      <c r="M61" s="64">
        <v>29.12</v>
      </c>
      <c r="N61" s="64">
        <v>418.6</v>
      </c>
      <c r="O61" s="64">
        <v>0</v>
      </c>
      <c r="P61" s="64">
        <v>0.84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1" t="s">
        <v>2989</v>
      </c>
      <c r="B62" s="64">
        <v>3.48</v>
      </c>
      <c r="C62" s="64">
        <v>31.58</v>
      </c>
      <c r="D62" s="64">
        <v>18.829999999999998</v>
      </c>
      <c r="E62" s="64">
        <v>8</v>
      </c>
      <c r="F62" s="64">
        <v>10.09</v>
      </c>
      <c r="G62" s="64">
        <v>36.700000000000003</v>
      </c>
      <c r="H62" s="64">
        <v>22.26</v>
      </c>
      <c r="I62" s="64">
        <v>3.41</v>
      </c>
      <c r="J62" s="64">
        <v>0.7</v>
      </c>
      <c r="K62" s="64">
        <v>338.68</v>
      </c>
      <c r="L62" s="64">
        <v>28.03</v>
      </c>
      <c r="M62" s="64">
        <v>29.38</v>
      </c>
      <c r="N62" s="64">
        <v>458.4</v>
      </c>
      <c r="O62" s="64">
        <v>0</v>
      </c>
      <c r="P62" s="64">
        <v>0.85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1" t="s">
        <v>2990</v>
      </c>
      <c r="B63" s="64">
        <v>4.0599999999999996</v>
      </c>
      <c r="C63" s="64">
        <v>32.83</v>
      </c>
      <c r="D63" s="64">
        <v>19.95</v>
      </c>
      <c r="E63" s="64">
        <v>7.81</v>
      </c>
      <c r="F63" s="64">
        <v>7</v>
      </c>
      <c r="G63" s="64">
        <v>36.700000000000003</v>
      </c>
      <c r="H63" s="64">
        <v>22.26</v>
      </c>
      <c r="I63" s="64">
        <v>3.27</v>
      </c>
      <c r="J63" s="64">
        <v>1.08</v>
      </c>
      <c r="K63" s="64">
        <v>339.84</v>
      </c>
      <c r="L63" s="64">
        <v>27.6</v>
      </c>
      <c r="M63" s="64">
        <v>29.02</v>
      </c>
      <c r="N63" s="64">
        <v>434.6</v>
      </c>
      <c r="O63" s="64">
        <v>0</v>
      </c>
      <c r="P63" s="64">
        <v>0.89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1" t="s">
        <v>2991</v>
      </c>
      <c r="B64" s="64">
        <v>4.21</v>
      </c>
      <c r="C64" s="64">
        <v>32.54</v>
      </c>
      <c r="D64" s="64">
        <v>19.920000000000002</v>
      </c>
      <c r="E64" s="64">
        <v>6.87</v>
      </c>
      <c r="F64" s="64">
        <v>3.93</v>
      </c>
      <c r="G64" s="64">
        <v>36.700000000000003</v>
      </c>
      <c r="H64" s="64">
        <v>22.26</v>
      </c>
      <c r="I64" s="64">
        <v>2.92</v>
      </c>
      <c r="J64" s="64">
        <v>0.68</v>
      </c>
      <c r="K64" s="64">
        <v>342.55</v>
      </c>
      <c r="L64" s="64">
        <v>26.77</v>
      </c>
      <c r="M64" s="64">
        <v>29.67</v>
      </c>
      <c r="N64" s="64">
        <v>245.6</v>
      </c>
      <c r="O64" s="64">
        <v>0</v>
      </c>
      <c r="P64" s="64">
        <v>0.89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1" t="s">
        <v>2992</v>
      </c>
      <c r="B65" s="64">
        <v>3.8</v>
      </c>
      <c r="C65" s="64">
        <v>31.64</v>
      </c>
      <c r="D65" s="64">
        <v>19.11</v>
      </c>
      <c r="E65" s="64">
        <v>7.34</v>
      </c>
      <c r="F65" s="64">
        <v>6.02</v>
      </c>
      <c r="G65" s="64">
        <v>40.729999999999997</v>
      </c>
      <c r="H65" s="64">
        <v>21.71</v>
      </c>
      <c r="I65" s="64">
        <v>3.08</v>
      </c>
      <c r="J65" s="64">
        <v>0.15</v>
      </c>
      <c r="K65" s="64">
        <v>8.77</v>
      </c>
      <c r="L65" s="64">
        <v>26.04</v>
      </c>
      <c r="M65" s="64">
        <v>31.12</v>
      </c>
      <c r="N65" s="64">
        <v>142</v>
      </c>
      <c r="O65" s="64">
        <v>0</v>
      </c>
      <c r="P65" s="64">
        <v>0.85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1" t="s">
        <v>2993</v>
      </c>
      <c r="B66" s="64">
        <v>4.34</v>
      </c>
      <c r="C66" s="64">
        <v>30.91</v>
      </c>
      <c r="D66" s="64">
        <v>19.170000000000002</v>
      </c>
      <c r="E66" s="64">
        <v>8.4</v>
      </c>
      <c r="F66" s="64">
        <v>6.93</v>
      </c>
      <c r="G66" s="64">
        <v>58.04</v>
      </c>
      <c r="H66" s="64">
        <v>20.12</v>
      </c>
      <c r="I66" s="64">
        <v>3.17</v>
      </c>
      <c r="J66" s="64">
        <v>0.64</v>
      </c>
      <c r="K66" s="64">
        <v>109.85</v>
      </c>
      <c r="L66" s="64">
        <v>24.97</v>
      </c>
      <c r="M66" s="64">
        <v>33.19</v>
      </c>
      <c r="N66" s="64">
        <v>159.19999999999999</v>
      </c>
      <c r="O66" s="64">
        <v>0</v>
      </c>
      <c r="P66" s="64">
        <v>0.83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1" t="s">
        <v>2994</v>
      </c>
      <c r="B67" s="64">
        <v>3.94</v>
      </c>
      <c r="C67" s="64">
        <v>29.11</v>
      </c>
      <c r="D67" s="64">
        <v>17.91</v>
      </c>
      <c r="E67" s="64">
        <v>7.53</v>
      </c>
      <c r="F67" s="64">
        <v>7.09</v>
      </c>
      <c r="G67" s="64">
        <v>58.04</v>
      </c>
      <c r="H67" s="64">
        <v>20.12</v>
      </c>
      <c r="I67" s="64">
        <v>3.16</v>
      </c>
      <c r="J67" s="64">
        <v>0.59</v>
      </c>
      <c r="K67" s="64">
        <v>125.46</v>
      </c>
      <c r="L67" s="64">
        <v>24.4</v>
      </c>
      <c r="M67" s="64">
        <v>33.72</v>
      </c>
      <c r="N67" s="64">
        <v>123.5</v>
      </c>
      <c r="O67" s="64">
        <v>0</v>
      </c>
      <c r="P67" s="64">
        <v>0.77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1" t="s">
        <v>2995</v>
      </c>
      <c r="B68" s="64">
        <v>3.65</v>
      </c>
      <c r="C68" s="64">
        <v>26.49</v>
      </c>
      <c r="D68" s="64">
        <v>16.309999999999999</v>
      </c>
      <c r="E68" s="64">
        <v>8.36</v>
      </c>
      <c r="F68" s="64">
        <v>9.09</v>
      </c>
      <c r="G68" s="64">
        <v>58.04</v>
      </c>
      <c r="H68" s="64">
        <v>20.12</v>
      </c>
      <c r="I68" s="64">
        <v>3.13</v>
      </c>
      <c r="J68" s="64">
        <v>0.79</v>
      </c>
      <c r="K68" s="64">
        <v>115.7</v>
      </c>
      <c r="L68" s="64">
        <v>24.36</v>
      </c>
      <c r="M68" s="64">
        <v>32.82</v>
      </c>
      <c r="N68" s="64">
        <v>104.5</v>
      </c>
      <c r="O68" s="64">
        <v>0</v>
      </c>
      <c r="P68" s="64">
        <v>0.73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1" t="s">
        <v>2996</v>
      </c>
      <c r="B69" s="64">
        <v>3.63</v>
      </c>
      <c r="C69" s="64">
        <v>25.98</v>
      </c>
      <c r="D69" s="64">
        <v>16.03</v>
      </c>
      <c r="E69" s="64">
        <v>7.94</v>
      </c>
      <c r="F69" s="64">
        <v>6.23</v>
      </c>
      <c r="G69" s="64">
        <v>54.24</v>
      </c>
      <c r="H69" s="64">
        <v>20.16</v>
      </c>
      <c r="I69" s="64">
        <v>3.08</v>
      </c>
      <c r="J69" s="64">
        <v>0.77</v>
      </c>
      <c r="K69" s="64">
        <v>141.29</v>
      </c>
      <c r="L69" s="64">
        <v>24.1</v>
      </c>
      <c r="M69" s="64">
        <v>33.21</v>
      </c>
      <c r="N69" s="64">
        <v>121</v>
      </c>
      <c r="O69" s="64">
        <v>0</v>
      </c>
      <c r="P69" s="64">
        <v>0.75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1" t="s">
        <v>2997</v>
      </c>
      <c r="B70" s="64">
        <v>5.12</v>
      </c>
      <c r="C70" s="64">
        <v>29.49</v>
      </c>
      <c r="D70" s="64">
        <v>19.059999999999999</v>
      </c>
      <c r="E70" s="64">
        <v>8.59</v>
      </c>
      <c r="F70" s="64">
        <v>9.26</v>
      </c>
      <c r="G70" s="64">
        <v>37.93</v>
      </c>
      <c r="H70" s="64">
        <v>20.329999999999998</v>
      </c>
      <c r="I70" s="64">
        <v>3.03</v>
      </c>
      <c r="J70" s="64">
        <v>0.24</v>
      </c>
      <c r="K70" s="64">
        <v>90.01</v>
      </c>
      <c r="L70" s="64">
        <v>24.49</v>
      </c>
      <c r="M70" s="64">
        <v>33.47</v>
      </c>
      <c r="N70" s="64">
        <v>114.4</v>
      </c>
      <c r="O70" s="64">
        <v>0</v>
      </c>
      <c r="P70" s="64">
        <v>0.77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1" t="s">
        <v>2998</v>
      </c>
      <c r="B71" s="64">
        <v>3.97</v>
      </c>
      <c r="C71" s="64">
        <v>25.62</v>
      </c>
      <c r="D71" s="64">
        <v>16.11</v>
      </c>
      <c r="E71" s="64">
        <v>8.4</v>
      </c>
      <c r="F71" s="64">
        <v>8.6199999999999992</v>
      </c>
      <c r="G71" s="64">
        <v>37.93</v>
      </c>
      <c r="H71" s="64">
        <v>20.329999999999998</v>
      </c>
      <c r="I71" s="64">
        <v>2.99</v>
      </c>
      <c r="J71" s="64">
        <v>0.7</v>
      </c>
      <c r="K71" s="64">
        <v>130.09</v>
      </c>
      <c r="L71" s="64">
        <v>24.37</v>
      </c>
      <c r="M71" s="64">
        <v>33.86</v>
      </c>
      <c r="N71" s="64">
        <v>97</v>
      </c>
      <c r="O71" s="64">
        <v>0</v>
      </c>
      <c r="P71" s="64">
        <v>0.73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1" t="s">
        <v>2999</v>
      </c>
      <c r="B72" s="64">
        <v>3.44</v>
      </c>
      <c r="C72" s="64">
        <v>22.67</v>
      </c>
      <c r="D72" s="64">
        <v>14.14</v>
      </c>
      <c r="E72" s="64">
        <v>9.25</v>
      </c>
      <c r="F72" s="64">
        <v>10.64</v>
      </c>
      <c r="G72" s="64">
        <v>37.93</v>
      </c>
      <c r="H72" s="64">
        <v>20.329999999999998</v>
      </c>
      <c r="I72" s="64">
        <v>2.96</v>
      </c>
      <c r="J72" s="64">
        <v>1.02</v>
      </c>
      <c r="K72" s="64">
        <v>116.57</v>
      </c>
      <c r="L72" s="64">
        <v>23.86</v>
      </c>
      <c r="M72" s="64">
        <v>34.99</v>
      </c>
      <c r="N72" s="64">
        <v>71.400000000000006</v>
      </c>
      <c r="O72" s="64">
        <v>0</v>
      </c>
      <c r="P72" s="64">
        <v>0.66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1" t="s">
        <v>3000</v>
      </c>
      <c r="B73" s="64">
        <v>3.56</v>
      </c>
      <c r="C73" s="64">
        <v>26.41</v>
      </c>
      <c r="D73" s="64">
        <v>16.190000000000001</v>
      </c>
      <c r="E73" s="64">
        <v>10.83</v>
      </c>
      <c r="F73" s="64">
        <v>15.25</v>
      </c>
      <c r="G73" s="64">
        <v>38.25</v>
      </c>
      <c r="H73" s="64">
        <v>19.739999999999998</v>
      </c>
      <c r="I73" s="64">
        <v>2.92</v>
      </c>
      <c r="J73" s="64">
        <v>0.47</v>
      </c>
      <c r="K73" s="64">
        <v>108.09</v>
      </c>
      <c r="L73" s="64">
        <v>23.57</v>
      </c>
      <c r="M73" s="64">
        <v>35.32</v>
      </c>
      <c r="N73" s="64">
        <v>55.6</v>
      </c>
      <c r="O73" s="64">
        <v>0</v>
      </c>
      <c r="P73" s="64">
        <v>0.69</v>
      </c>
      <c r="Q73" s="64">
        <v>9.58</v>
      </c>
      <c r="R73" s="198"/>
      <c r="S73" s="198"/>
      <c r="T73" s="198"/>
      <c r="U73" s="198"/>
    </row>
    <row r="74" spans="1:21" s="12" customFormat="1" x14ac:dyDescent="0.25">
      <c r="A74" s="211" t="s">
        <v>3001</v>
      </c>
      <c r="B74" s="64">
        <v>3.32</v>
      </c>
      <c r="C74" s="64">
        <v>23.22</v>
      </c>
      <c r="D74" s="64">
        <v>14.33</v>
      </c>
      <c r="E74" s="64">
        <v>13.5</v>
      </c>
      <c r="F74" s="64">
        <v>17.989999999999998</v>
      </c>
      <c r="G74" s="64">
        <v>39.61</v>
      </c>
      <c r="H74" s="64">
        <v>17.98</v>
      </c>
      <c r="I74" s="64">
        <v>2.87</v>
      </c>
      <c r="J74" s="64">
        <v>0.44</v>
      </c>
      <c r="K74" s="64">
        <v>111.55</v>
      </c>
      <c r="L74" s="64">
        <v>23.21</v>
      </c>
      <c r="M74" s="64">
        <v>36.53</v>
      </c>
      <c r="N74" s="64">
        <v>50.8</v>
      </c>
      <c r="O74" s="64">
        <v>0</v>
      </c>
      <c r="P74" s="64">
        <v>0.61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1" t="s">
        <v>3002</v>
      </c>
      <c r="B75" s="64">
        <v>5.93</v>
      </c>
      <c r="C75" s="64">
        <v>28.78</v>
      </c>
      <c r="D75" s="64">
        <v>19.329999999999998</v>
      </c>
      <c r="E75" s="64">
        <v>14.11</v>
      </c>
      <c r="F75" s="64">
        <v>14.69</v>
      </c>
      <c r="G75" s="64">
        <v>39.61</v>
      </c>
      <c r="H75" s="64">
        <v>17.98</v>
      </c>
      <c r="I75" s="64">
        <v>2.87</v>
      </c>
      <c r="J75" s="64">
        <v>0.26</v>
      </c>
      <c r="K75" s="64">
        <v>45.69</v>
      </c>
      <c r="L75" s="64">
        <v>22.87</v>
      </c>
      <c r="M75" s="64">
        <v>37.619999999999997</v>
      </c>
      <c r="N75" s="64">
        <v>43.6</v>
      </c>
      <c r="O75" s="64">
        <v>0</v>
      </c>
      <c r="P75" s="64">
        <v>0.77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1" t="s">
        <v>3003</v>
      </c>
      <c r="B76" s="64">
        <v>9.67</v>
      </c>
      <c r="C76" s="64">
        <v>35.61</v>
      </c>
      <c r="D76" s="64">
        <v>25.9</v>
      </c>
      <c r="E76" s="64">
        <v>12.65</v>
      </c>
      <c r="F76" s="64">
        <v>7.31</v>
      </c>
      <c r="G76" s="64">
        <v>39.61</v>
      </c>
      <c r="H76" s="64">
        <v>17.98</v>
      </c>
      <c r="I76" s="64">
        <v>2.85</v>
      </c>
      <c r="J76" s="64">
        <v>0.2</v>
      </c>
      <c r="K76" s="64">
        <v>35.950000000000003</v>
      </c>
      <c r="L76" s="64">
        <v>22.32</v>
      </c>
      <c r="M76" s="64">
        <v>42.66</v>
      </c>
      <c r="N76" s="64">
        <v>39</v>
      </c>
      <c r="O76" s="64">
        <v>0</v>
      </c>
      <c r="P76" s="64">
        <v>1.06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1" t="s">
        <v>3004</v>
      </c>
      <c r="B77" s="64">
        <v>17.36</v>
      </c>
      <c r="C77" s="64">
        <v>35.159999999999997</v>
      </c>
      <c r="D77" s="64">
        <v>31.83</v>
      </c>
      <c r="E77" s="64">
        <v>10.85</v>
      </c>
      <c r="F77" s="64">
        <v>4.79</v>
      </c>
      <c r="G77" s="64">
        <v>41.32</v>
      </c>
      <c r="H77" s="64">
        <v>18.55</v>
      </c>
      <c r="I77" s="64">
        <v>2.88</v>
      </c>
      <c r="J77" s="64">
        <v>0.34</v>
      </c>
      <c r="K77" s="64">
        <v>332.45</v>
      </c>
      <c r="L77" s="64">
        <v>21.52</v>
      </c>
      <c r="M77" s="64">
        <v>49.7</v>
      </c>
      <c r="N77" s="64">
        <v>34.299999999999997</v>
      </c>
      <c r="O77" s="64">
        <v>0</v>
      </c>
      <c r="P77" s="64">
        <v>1.32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1" t="s">
        <v>3005</v>
      </c>
      <c r="B78" s="64">
        <v>21.65</v>
      </c>
      <c r="C78" s="64">
        <v>32.020000000000003</v>
      </c>
      <c r="D78" s="64">
        <v>33.630000000000003</v>
      </c>
      <c r="E78" s="64">
        <v>9.8000000000000007</v>
      </c>
      <c r="F78" s="64">
        <v>3.99</v>
      </c>
      <c r="G78" s="64">
        <v>48.66</v>
      </c>
      <c r="H78" s="64">
        <v>20.239999999999998</v>
      </c>
      <c r="I78" s="64">
        <v>2.96</v>
      </c>
      <c r="J78" s="64">
        <v>0.36</v>
      </c>
      <c r="K78" s="64">
        <v>308.74</v>
      </c>
      <c r="L78" s="64">
        <v>20.58</v>
      </c>
      <c r="M78" s="64">
        <v>55.7</v>
      </c>
      <c r="N78" s="64">
        <v>32.4</v>
      </c>
      <c r="O78" s="64">
        <v>0</v>
      </c>
      <c r="P78" s="64">
        <v>1.31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1" t="s">
        <v>3006</v>
      </c>
      <c r="B79" s="64">
        <v>19.02</v>
      </c>
      <c r="C79" s="64">
        <v>26.5</v>
      </c>
      <c r="D79" s="64">
        <v>28.64</v>
      </c>
      <c r="E79" s="64">
        <v>8.73</v>
      </c>
      <c r="F79" s="64">
        <v>3.79</v>
      </c>
      <c r="G79" s="64">
        <v>48.66</v>
      </c>
      <c r="H79" s="64">
        <v>20.239999999999998</v>
      </c>
      <c r="I79" s="64">
        <v>2.74</v>
      </c>
      <c r="J79" s="64">
        <v>0.46</v>
      </c>
      <c r="K79" s="64">
        <v>343.72</v>
      </c>
      <c r="L79" s="64">
        <v>20.02</v>
      </c>
      <c r="M79" s="64">
        <v>63.97</v>
      </c>
      <c r="N79" s="64">
        <v>32</v>
      </c>
      <c r="O79" s="64">
        <v>0</v>
      </c>
      <c r="P79" s="64">
        <v>1.24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1" t="s">
        <v>3007</v>
      </c>
      <c r="B80" s="64">
        <v>15.11</v>
      </c>
      <c r="C80" s="64">
        <v>27.87</v>
      </c>
      <c r="D80" s="64">
        <v>26.22</v>
      </c>
      <c r="E80" s="64">
        <v>8.01</v>
      </c>
      <c r="F80" s="64">
        <v>4.08</v>
      </c>
      <c r="G80" s="64">
        <v>48.66</v>
      </c>
      <c r="H80" s="64">
        <v>20.239999999999998</v>
      </c>
      <c r="I80" s="64">
        <v>2.81</v>
      </c>
      <c r="J80" s="64">
        <v>0.22</v>
      </c>
      <c r="K80" s="64">
        <v>63.67</v>
      </c>
      <c r="L80" s="64">
        <v>19.53</v>
      </c>
      <c r="M80" s="64">
        <v>62.88</v>
      </c>
      <c r="N80" s="64">
        <v>31.8</v>
      </c>
      <c r="O80" s="64">
        <v>0</v>
      </c>
      <c r="P80" s="64">
        <v>1.32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1" t="s">
        <v>3008</v>
      </c>
      <c r="B81" s="64">
        <v>13.11</v>
      </c>
      <c r="C81" s="64">
        <v>25.92</v>
      </c>
      <c r="D81" s="64">
        <v>23.59</v>
      </c>
      <c r="E81" s="64">
        <v>7.94</v>
      </c>
      <c r="F81" s="64">
        <v>3.77</v>
      </c>
      <c r="G81" s="64">
        <v>55.39</v>
      </c>
      <c r="H81" s="64">
        <v>21.25</v>
      </c>
      <c r="I81" s="64">
        <v>2.99</v>
      </c>
      <c r="J81" s="64">
        <v>0.31</v>
      </c>
      <c r="K81" s="64">
        <v>3.56</v>
      </c>
      <c r="L81" s="64">
        <v>19.46</v>
      </c>
      <c r="M81" s="64">
        <v>63.5</v>
      </c>
      <c r="N81" s="64">
        <v>31.6</v>
      </c>
      <c r="O81" s="64">
        <v>0</v>
      </c>
      <c r="P81" s="64">
        <v>1.21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1" t="s">
        <v>3009</v>
      </c>
      <c r="B82" s="64">
        <v>14.93</v>
      </c>
      <c r="C82" s="64">
        <v>22.1</v>
      </c>
      <c r="D82" s="64">
        <v>23.06</v>
      </c>
      <c r="E82" s="64">
        <v>6.78</v>
      </c>
      <c r="F82" s="64">
        <v>3.13</v>
      </c>
      <c r="G82" s="64">
        <v>84.26</v>
      </c>
      <c r="H82" s="64">
        <v>24.22</v>
      </c>
      <c r="I82" s="64">
        <v>3.16</v>
      </c>
      <c r="J82" s="64">
        <v>0.32</v>
      </c>
      <c r="K82" s="64">
        <v>23.89</v>
      </c>
      <c r="L82" s="64">
        <v>19.29</v>
      </c>
      <c r="M82" s="64">
        <v>66.97</v>
      </c>
      <c r="N82" s="64">
        <v>31.6</v>
      </c>
      <c r="O82" s="64">
        <v>0</v>
      </c>
      <c r="P82" s="64">
        <v>1.1499999999999999</v>
      </c>
      <c r="Q82" s="64">
        <v>9.66</v>
      </c>
      <c r="R82" s="198"/>
      <c r="S82" s="198"/>
      <c r="T82" s="198"/>
      <c r="U82" s="198"/>
    </row>
    <row r="83" spans="1:26" s="12" customFormat="1" x14ac:dyDescent="0.25">
      <c r="A83" s="211" t="s">
        <v>3010</v>
      </c>
      <c r="B83" s="64">
        <v>22.43</v>
      </c>
      <c r="C83" s="64">
        <v>21.83</v>
      </c>
      <c r="D83" s="64">
        <v>28.93</v>
      </c>
      <c r="E83" s="64">
        <v>7.42</v>
      </c>
      <c r="F83" s="64">
        <v>2.72</v>
      </c>
      <c r="G83" s="64">
        <v>84.26</v>
      </c>
      <c r="H83" s="64">
        <v>24.22</v>
      </c>
      <c r="I83" s="64">
        <v>3.41</v>
      </c>
      <c r="J83" s="64">
        <v>0.33</v>
      </c>
      <c r="K83" s="64">
        <v>64.89</v>
      </c>
      <c r="L83" s="64">
        <v>19.45</v>
      </c>
      <c r="M83" s="64">
        <v>59.9</v>
      </c>
      <c r="N83" s="64">
        <v>31.4</v>
      </c>
      <c r="O83" s="64">
        <v>0</v>
      </c>
      <c r="P83" s="64">
        <v>1.36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1" t="s">
        <v>3011</v>
      </c>
      <c r="B84" s="64">
        <v>22.72</v>
      </c>
      <c r="C84" s="64">
        <v>21.45</v>
      </c>
      <c r="D84" s="64">
        <v>28.97</v>
      </c>
      <c r="E84" s="64">
        <v>7.08</v>
      </c>
      <c r="F84" s="64">
        <v>3.18</v>
      </c>
      <c r="G84" s="64">
        <v>84.26</v>
      </c>
      <c r="H84" s="64">
        <v>24.22</v>
      </c>
      <c r="I84" s="64">
        <v>3.78</v>
      </c>
      <c r="J84" s="64">
        <v>0.39</v>
      </c>
      <c r="K84" s="64">
        <v>80.34</v>
      </c>
      <c r="L84" s="64">
        <v>19.579999999999998</v>
      </c>
      <c r="M84" s="64">
        <v>55.64</v>
      </c>
      <c r="N84" s="64">
        <v>31.5</v>
      </c>
      <c r="O84" s="64">
        <v>0</v>
      </c>
      <c r="P84" s="64">
        <v>1.39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1" t="s">
        <v>3012</v>
      </c>
      <c r="B85" s="64">
        <v>21.7</v>
      </c>
      <c r="C85" s="64">
        <v>23.13</v>
      </c>
      <c r="D85" s="64">
        <v>29.02</v>
      </c>
      <c r="E85" s="64">
        <v>6.63</v>
      </c>
      <c r="F85" s="64">
        <v>3.15</v>
      </c>
      <c r="G85" s="64">
        <v>89.7</v>
      </c>
      <c r="H85" s="64">
        <v>25.84</v>
      </c>
      <c r="I85" s="64">
        <v>4.47</v>
      </c>
      <c r="J85" s="64">
        <v>0.18</v>
      </c>
      <c r="K85" s="64">
        <v>46.89</v>
      </c>
      <c r="L85" s="64">
        <v>19.579999999999998</v>
      </c>
      <c r="M85" s="64">
        <v>54.1</v>
      </c>
      <c r="N85" s="64">
        <v>31.6</v>
      </c>
      <c r="O85" s="64">
        <v>0</v>
      </c>
      <c r="P85" s="64">
        <v>1.41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1" t="s">
        <v>3013</v>
      </c>
      <c r="B86" s="64">
        <v>22.54</v>
      </c>
      <c r="C86" s="64">
        <v>20.51</v>
      </c>
      <c r="D86" s="64">
        <v>28.33</v>
      </c>
      <c r="E86" s="64">
        <v>6.83</v>
      </c>
      <c r="F86" s="64">
        <v>3.05</v>
      </c>
      <c r="G86" s="64">
        <v>113.04</v>
      </c>
      <c r="H86" s="64">
        <v>33.159999999999997</v>
      </c>
      <c r="I86" s="64">
        <v>4.9400000000000004</v>
      </c>
      <c r="J86" s="64">
        <v>0.32</v>
      </c>
      <c r="K86" s="64">
        <v>62.38</v>
      </c>
      <c r="L86" s="64">
        <v>19.309999999999999</v>
      </c>
      <c r="M86" s="64">
        <v>53.91</v>
      </c>
      <c r="N86" s="64">
        <v>31.5</v>
      </c>
      <c r="O86" s="64">
        <v>0</v>
      </c>
      <c r="P86" s="64">
        <v>1.49</v>
      </c>
      <c r="Q86" s="64">
        <v>9.67</v>
      </c>
      <c r="R86" s="198"/>
      <c r="S86" s="198"/>
      <c r="T86" s="198"/>
      <c r="U86" s="198"/>
    </row>
    <row r="87" spans="1:26" s="12" customFormat="1" x14ac:dyDescent="0.25">
      <c r="A87" s="211" t="s">
        <v>3014</v>
      </c>
      <c r="B87" s="64">
        <v>22.82</v>
      </c>
      <c r="C87" s="64">
        <v>20.56</v>
      </c>
      <c r="D87" s="64">
        <v>28.58</v>
      </c>
      <c r="E87" s="64">
        <v>6.3</v>
      </c>
      <c r="F87" s="64">
        <v>3.01</v>
      </c>
      <c r="G87" s="64">
        <v>113.04</v>
      </c>
      <c r="H87" s="64">
        <v>33.159999999999997</v>
      </c>
      <c r="I87" s="64">
        <v>4.75</v>
      </c>
      <c r="J87" s="64">
        <v>0.43</v>
      </c>
      <c r="K87" s="64">
        <v>86.47</v>
      </c>
      <c r="L87" s="64">
        <v>19.04</v>
      </c>
      <c r="M87" s="64">
        <v>53.79</v>
      </c>
      <c r="N87" s="64">
        <v>31.4</v>
      </c>
      <c r="O87" s="64">
        <v>0</v>
      </c>
      <c r="P87" s="64">
        <v>1.53</v>
      </c>
      <c r="Q87" s="64">
        <v>9.66</v>
      </c>
      <c r="R87" s="198"/>
      <c r="S87" s="198"/>
      <c r="T87" s="198"/>
      <c r="U87" s="198"/>
    </row>
    <row r="88" spans="1:26" s="12" customFormat="1" x14ac:dyDescent="0.25">
      <c r="A88" s="211" t="s">
        <v>3015</v>
      </c>
      <c r="B88" s="64">
        <v>22.88</v>
      </c>
      <c r="C88" s="64">
        <v>19.91</v>
      </c>
      <c r="D88" s="64">
        <v>28.29</v>
      </c>
      <c r="E88" s="64">
        <v>6.35</v>
      </c>
      <c r="F88" s="64">
        <v>2.89</v>
      </c>
      <c r="G88" s="64">
        <v>113.04</v>
      </c>
      <c r="H88" s="64">
        <v>33.159999999999997</v>
      </c>
      <c r="I88" s="64">
        <v>4.7699999999999996</v>
      </c>
      <c r="J88" s="64">
        <v>0.31</v>
      </c>
      <c r="K88" s="64">
        <v>125.71</v>
      </c>
      <c r="L88" s="64">
        <v>19.04</v>
      </c>
      <c r="M88" s="64">
        <v>54.75</v>
      </c>
      <c r="N88" s="64">
        <v>31.7</v>
      </c>
      <c r="O88" s="64">
        <v>0</v>
      </c>
      <c r="P88" s="64">
        <v>1.58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3016</v>
      </c>
      <c r="B89" s="64">
        <v>23.24</v>
      </c>
      <c r="C89" s="64">
        <v>19.670000000000002</v>
      </c>
      <c r="D89" s="64">
        <v>28.45</v>
      </c>
      <c r="E89" s="64">
        <v>6.44</v>
      </c>
      <c r="F89" s="64">
        <v>2.81</v>
      </c>
      <c r="G89" s="64">
        <v>110.69</v>
      </c>
      <c r="H89" s="64">
        <v>34.229999999999997</v>
      </c>
      <c r="I89" s="64">
        <v>5.29</v>
      </c>
      <c r="J89" s="64">
        <v>0.24</v>
      </c>
      <c r="K89" s="64">
        <v>342.29</v>
      </c>
      <c r="L89" s="64">
        <v>18.489999999999998</v>
      </c>
      <c r="M89" s="64">
        <v>61.54</v>
      </c>
      <c r="N89" s="64">
        <v>31.8</v>
      </c>
      <c r="O89" s="64">
        <v>0</v>
      </c>
      <c r="P89" s="64">
        <v>1.62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1" t="s">
        <v>3017</v>
      </c>
      <c r="B90" s="64">
        <v>24.22</v>
      </c>
      <c r="C90" s="64">
        <v>19.079999999999998</v>
      </c>
      <c r="D90" s="64">
        <v>28.93</v>
      </c>
      <c r="E90" s="64">
        <v>6.68</v>
      </c>
      <c r="F90" s="64">
        <v>2.68</v>
      </c>
      <c r="G90" s="64">
        <v>100.6</v>
      </c>
      <c r="H90" s="64">
        <v>37.36</v>
      </c>
      <c r="I90" s="64">
        <v>5.52</v>
      </c>
      <c r="J90" s="64">
        <v>0.31</v>
      </c>
      <c r="K90" s="64">
        <v>327.77</v>
      </c>
      <c r="L90" s="64">
        <v>18.190000000000001</v>
      </c>
      <c r="M90" s="64">
        <v>62.4</v>
      </c>
      <c r="N90" s="64">
        <v>31.5</v>
      </c>
      <c r="O90" s="64">
        <v>0</v>
      </c>
      <c r="P90" s="64">
        <v>1.67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1" t="s">
        <v>3018</v>
      </c>
      <c r="B91" s="64">
        <v>27.47</v>
      </c>
      <c r="C91" s="64">
        <v>17.47</v>
      </c>
      <c r="D91" s="64">
        <v>30.69</v>
      </c>
      <c r="E91" s="64">
        <v>6.6</v>
      </c>
      <c r="F91" s="64">
        <v>2.86</v>
      </c>
      <c r="G91" s="64">
        <v>100.6</v>
      </c>
      <c r="H91" s="64">
        <v>37.36</v>
      </c>
      <c r="I91" s="64">
        <v>5.62</v>
      </c>
      <c r="J91" s="64">
        <v>0.35</v>
      </c>
      <c r="K91" s="64">
        <v>351.47</v>
      </c>
      <c r="L91" s="64">
        <v>18.21</v>
      </c>
      <c r="M91" s="64">
        <v>64.52</v>
      </c>
      <c r="N91" s="64">
        <v>31.7</v>
      </c>
      <c r="O91" s="64">
        <v>0</v>
      </c>
      <c r="P91" s="64">
        <v>1.75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1" t="s">
        <v>3019</v>
      </c>
      <c r="B92" s="64">
        <v>31.71</v>
      </c>
      <c r="C92" s="64">
        <v>17.100000000000001</v>
      </c>
      <c r="D92" s="64">
        <v>33.9</v>
      </c>
      <c r="E92" s="64">
        <v>6.37</v>
      </c>
      <c r="F92" s="64">
        <v>2.97</v>
      </c>
      <c r="G92" s="64">
        <v>100.6</v>
      </c>
      <c r="H92" s="64">
        <v>37.36</v>
      </c>
      <c r="I92" s="64">
        <v>5.73</v>
      </c>
      <c r="J92" s="64">
        <v>0.19</v>
      </c>
      <c r="K92" s="64">
        <v>2.57</v>
      </c>
      <c r="L92" s="64">
        <v>18.07</v>
      </c>
      <c r="M92" s="64">
        <v>63.18</v>
      </c>
      <c r="N92" s="64">
        <v>31.6</v>
      </c>
      <c r="O92" s="64">
        <v>0</v>
      </c>
      <c r="P92" s="64">
        <v>1.88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11" t="s">
        <v>3020</v>
      </c>
      <c r="B93" s="64">
        <v>29.46</v>
      </c>
      <c r="C93" s="64">
        <v>19.91</v>
      </c>
      <c r="D93" s="64">
        <v>33.56</v>
      </c>
      <c r="E93" s="64">
        <v>7.18</v>
      </c>
      <c r="F93" s="64">
        <v>3.79</v>
      </c>
      <c r="G93" s="64">
        <v>100.11</v>
      </c>
      <c r="H93" s="64">
        <v>37.6</v>
      </c>
      <c r="I93" s="64">
        <v>5.96</v>
      </c>
      <c r="J93" s="64">
        <v>0.24</v>
      </c>
      <c r="K93" s="64">
        <v>91.47</v>
      </c>
      <c r="L93" s="64">
        <v>18.36</v>
      </c>
      <c r="M93" s="64">
        <v>55.07</v>
      </c>
      <c r="N93" s="64">
        <v>31.4</v>
      </c>
      <c r="O93" s="64">
        <v>0</v>
      </c>
      <c r="P93" s="64">
        <v>1.95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1" t="s">
        <v>3021</v>
      </c>
      <c r="B94" s="64">
        <v>28.03</v>
      </c>
      <c r="C94" s="64">
        <v>20.22</v>
      </c>
      <c r="D94" s="64">
        <v>32.58</v>
      </c>
      <c r="E94" s="64">
        <v>7.27</v>
      </c>
      <c r="F94" s="64">
        <v>4.32</v>
      </c>
      <c r="G94" s="64">
        <v>98.01</v>
      </c>
      <c r="H94" s="64">
        <v>38.299999999999997</v>
      </c>
      <c r="I94" s="64">
        <v>6.14</v>
      </c>
      <c r="J94" s="64">
        <v>0.17</v>
      </c>
      <c r="K94" s="64">
        <v>71.650000000000006</v>
      </c>
      <c r="L94" s="64">
        <v>18.48</v>
      </c>
      <c r="M94" s="64">
        <v>54.5</v>
      </c>
      <c r="N94" s="64">
        <v>31.3</v>
      </c>
      <c r="O94" s="64">
        <v>0</v>
      </c>
      <c r="P94" s="64">
        <v>1.96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1" t="s">
        <v>3022</v>
      </c>
      <c r="B95" s="64">
        <v>30.56</v>
      </c>
      <c r="C95" s="64">
        <v>20.48</v>
      </c>
      <c r="D95" s="64">
        <v>34.75</v>
      </c>
      <c r="E95" s="64">
        <v>6.81</v>
      </c>
      <c r="F95" s="64">
        <v>3.74</v>
      </c>
      <c r="G95" s="64">
        <v>98.01</v>
      </c>
      <c r="H95" s="64">
        <v>38.299999999999997</v>
      </c>
      <c r="I95" s="64">
        <v>6.21</v>
      </c>
      <c r="J95" s="64">
        <v>0.3</v>
      </c>
      <c r="K95" s="64">
        <v>96</v>
      </c>
      <c r="L95" s="64">
        <v>18.46</v>
      </c>
      <c r="M95" s="64">
        <v>54.94</v>
      </c>
      <c r="N95" s="64">
        <v>31.6</v>
      </c>
      <c r="O95" s="64">
        <v>0</v>
      </c>
      <c r="P95" s="64">
        <v>2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1" t="s">
        <v>3023</v>
      </c>
      <c r="B96" s="64">
        <v>31.22</v>
      </c>
      <c r="C96" s="64">
        <v>18.68</v>
      </c>
      <c r="D96" s="64">
        <v>34.33</v>
      </c>
      <c r="E96" s="64">
        <v>7.08</v>
      </c>
      <c r="F96" s="64">
        <v>3.32</v>
      </c>
      <c r="G96" s="64">
        <v>98.01</v>
      </c>
      <c r="H96" s="64">
        <v>38.299999999999997</v>
      </c>
      <c r="I96" s="64">
        <v>5.73</v>
      </c>
      <c r="J96" s="64">
        <v>0.37</v>
      </c>
      <c r="K96" s="64">
        <v>96.44</v>
      </c>
      <c r="L96" s="64">
        <v>18.329999999999998</v>
      </c>
      <c r="M96" s="64">
        <v>56.95</v>
      </c>
      <c r="N96" s="64">
        <v>31.7</v>
      </c>
      <c r="O96" s="64">
        <v>0</v>
      </c>
      <c r="P96" s="64">
        <v>2.02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3024</v>
      </c>
      <c r="B97" s="64">
        <v>27.9</v>
      </c>
      <c r="C97" s="64">
        <v>20.91</v>
      </c>
      <c r="D97" s="64">
        <v>32.83</v>
      </c>
      <c r="E97" s="64">
        <v>7.46</v>
      </c>
      <c r="F97" s="64">
        <v>3.67</v>
      </c>
      <c r="G97" s="64">
        <v>96.73</v>
      </c>
      <c r="H97" s="64">
        <v>38.56</v>
      </c>
      <c r="I97" s="64">
        <v>5.57</v>
      </c>
      <c r="J97" s="64">
        <v>0.17</v>
      </c>
      <c r="K97" s="64">
        <v>148.88999999999999</v>
      </c>
      <c r="L97" s="64">
        <v>18.12</v>
      </c>
      <c r="M97" s="64">
        <v>58.16</v>
      </c>
      <c r="N97" s="64">
        <v>31.6</v>
      </c>
      <c r="O97" s="64">
        <v>0</v>
      </c>
      <c r="P97" s="64">
        <v>2.0099999999999998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1" t="s">
        <v>3025</v>
      </c>
      <c r="B98" s="64">
        <v>27.68</v>
      </c>
      <c r="C98" s="64">
        <v>20.81</v>
      </c>
      <c r="D98" s="64">
        <v>32.61</v>
      </c>
      <c r="E98" s="64">
        <v>6.81</v>
      </c>
      <c r="F98" s="64">
        <v>3.69</v>
      </c>
      <c r="G98" s="64">
        <v>91.23</v>
      </c>
      <c r="H98" s="64">
        <v>39.31</v>
      </c>
      <c r="I98" s="64">
        <v>5.6</v>
      </c>
      <c r="J98" s="64">
        <v>0.32</v>
      </c>
      <c r="K98" s="64">
        <v>312.58</v>
      </c>
      <c r="L98" s="64">
        <v>17.98</v>
      </c>
      <c r="M98" s="64">
        <v>59.19</v>
      </c>
      <c r="N98" s="64">
        <v>31.8</v>
      </c>
      <c r="O98" s="64">
        <v>0</v>
      </c>
      <c r="P98" s="64">
        <v>1.98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1" t="s">
        <v>3026</v>
      </c>
      <c r="B99" s="64">
        <v>28.89</v>
      </c>
      <c r="C99" s="64">
        <v>18.25</v>
      </c>
      <c r="D99" s="64">
        <v>32.24</v>
      </c>
      <c r="E99" s="64">
        <v>6.65</v>
      </c>
      <c r="F99" s="64">
        <v>3.18</v>
      </c>
      <c r="G99" s="64">
        <v>91.23</v>
      </c>
      <c r="H99" s="64">
        <v>39.31</v>
      </c>
      <c r="I99" s="64">
        <v>6.07</v>
      </c>
      <c r="J99" s="64">
        <v>0.33</v>
      </c>
      <c r="K99" s="64">
        <v>305.49</v>
      </c>
      <c r="L99" s="64">
        <v>17.559999999999999</v>
      </c>
      <c r="M99" s="64">
        <v>69.569999999999993</v>
      </c>
      <c r="N99" s="64">
        <v>32</v>
      </c>
      <c r="O99" s="64">
        <v>0</v>
      </c>
      <c r="P99" s="64">
        <v>1.99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1" t="s">
        <v>3027</v>
      </c>
      <c r="B100" s="64">
        <v>31.83</v>
      </c>
      <c r="C100" s="64">
        <v>15.16</v>
      </c>
      <c r="D100" s="64">
        <v>32.979999999999997</v>
      </c>
      <c r="E100" s="64">
        <v>6.66</v>
      </c>
      <c r="F100" s="64">
        <v>3.06</v>
      </c>
      <c r="G100" s="64">
        <v>91.23</v>
      </c>
      <c r="H100" s="64">
        <v>39.31</v>
      </c>
      <c r="I100" s="64">
        <v>6.21</v>
      </c>
      <c r="J100" s="64">
        <v>0.27</v>
      </c>
      <c r="K100" s="64">
        <v>324.75</v>
      </c>
      <c r="L100" s="64">
        <v>17.04</v>
      </c>
      <c r="M100" s="64">
        <v>70.319999999999993</v>
      </c>
      <c r="N100" s="64">
        <v>31.9</v>
      </c>
      <c r="O100" s="64">
        <v>0</v>
      </c>
      <c r="P100" s="64">
        <v>1.98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3028</v>
      </c>
      <c r="B101" s="64">
        <v>34.159999999999997</v>
      </c>
      <c r="C101" s="64">
        <v>13.73</v>
      </c>
      <c r="D101" s="64">
        <v>34.11</v>
      </c>
      <c r="E101" s="64">
        <v>6.85</v>
      </c>
      <c r="F101" s="64">
        <v>2.91</v>
      </c>
      <c r="G101" s="64">
        <v>92.3</v>
      </c>
      <c r="H101" s="64">
        <v>39.32</v>
      </c>
      <c r="I101" s="64">
        <v>5.72</v>
      </c>
      <c r="J101" s="64">
        <v>0.08</v>
      </c>
      <c r="K101" s="64">
        <v>291.57</v>
      </c>
      <c r="L101" s="64">
        <v>16.72</v>
      </c>
      <c r="M101" s="64">
        <v>74.069999999999993</v>
      </c>
      <c r="N101" s="64">
        <v>31.7</v>
      </c>
      <c r="O101" s="64">
        <v>0</v>
      </c>
      <c r="P101" s="64">
        <v>1.96</v>
      </c>
      <c r="Q101" s="64">
        <v>9.69</v>
      </c>
      <c r="R101" s="198"/>
      <c r="S101" s="198"/>
      <c r="T101" s="198"/>
      <c r="U101" s="198"/>
    </row>
    <row r="102" spans="1:33" s="12" customFormat="1" x14ac:dyDescent="0.25">
      <c r="A102" s="211" t="s">
        <v>3029</v>
      </c>
      <c r="B102" s="64">
        <v>35.71</v>
      </c>
      <c r="C102" s="64">
        <v>12.68</v>
      </c>
      <c r="D102" s="64">
        <v>34.799999999999997</v>
      </c>
      <c r="E102" s="64">
        <v>6.38</v>
      </c>
      <c r="F102" s="64">
        <v>3.06</v>
      </c>
      <c r="G102" s="64">
        <v>96.58</v>
      </c>
      <c r="H102" s="64">
        <v>39.35</v>
      </c>
      <c r="I102" s="64">
        <v>5.57</v>
      </c>
      <c r="J102" s="64">
        <v>0.26</v>
      </c>
      <c r="K102" s="64">
        <v>14.73</v>
      </c>
      <c r="L102" s="64">
        <v>16.53</v>
      </c>
      <c r="M102" s="64">
        <v>76.209999999999994</v>
      </c>
      <c r="N102" s="64">
        <v>31.8</v>
      </c>
      <c r="O102" s="64">
        <v>0</v>
      </c>
      <c r="P102" s="64">
        <v>1.98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1" t="s">
        <v>3030</v>
      </c>
      <c r="B103" s="64">
        <v>37.26</v>
      </c>
      <c r="C103" s="64">
        <v>11.99</v>
      </c>
      <c r="D103" s="64">
        <v>35.68</v>
      </c>
      <c r="E103" s="64">
        <v>6.16</v>
      </c>
      <c r="F103" s="64">
        <v>3.27</v>
      </c>
      <c r="G103" s="64">
        <v>96.58</v>
      </c>
      <c r="H103" s="64">
        <v>39.35</v>
      </c>
      <c r="I103" s="64">
        <v>5.62</v>
      </c>
      <c r="J103" s="64">
        <v>0.05</v>
      </c>
      <c r="K103" s="64">
        <v>284.67</v>
      </c>
      <c r="L103" s="64">
        <v>16.329999999999998</v>
      </c>
      <c r="M103" s="64">
        <v>76.56</v>
      </c>
      <c r="N103" s="64">
        <v>31.5</v>
      </c>
      <c r="O103" s="64">
        <v>0</v>
      </c>
      <c r="P103" s="64">
        <v>1.99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1" t="s">
        <v>3031</v>
      </c>
      <c r="B104" s="64">
        <v>37.82</v>
      </c>
      <c r="C104" s="64">
        <v>11.6</v>
      </c>
      <c r="D104" s="64">
        <v>35.93</v>
      </c>
      <c r="E104" s="64">
        <v>5.57</v>
      </c>
      <c r="F104" s="64">
        <v>2.95</v>
      </c>
      <c r="G104" s="64">
        <v>96.58</v>
      </c>
      <c r="H104" s="64">
        <v>39.35</v>
      </c>
      <c r="I104" s="64">
        <v>5.67</v>
      </c>
      <c r="J104" s="64">
        <v>0.55000000000000004</v>
      </c>
      <c r="K104" s="64">
        <v>180.38</v>
      </c>
      <c r="L104" s="64">
        <v>16.600000000000001</v>
      </c>
      <c r="M104" s="64">
        <v>72.84</v>
      </c>
      <c r="N104" s="64">
        <v>31</v>
      </c>
      <c r="O104" s="64">
        <v>0</v>
      </c>
      <c r="P104" s="64">
        <v>1.98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3.22</v>
      </c>
      <c r="C106" s="67">
        <f>MIN(C9:C104)</f>
        <v>9.02</v>
      </c>
      <c r="D106" s="67">
        <f t="shared" ref="D106:Q106" si="0">MIN(D9:D104)</f>
        <v>14.14</v>
      </c>
      <c r="E106" s="67">
        <f t="shared" si="0"/>
        <v>4.7300000000000004</v>
      </c>
      <c r="F106" s="67">
        <f t="shared" si="0"/>
        <v>2.54</v>
      </c>
      <c r="G106" s="67">
        <f t="shared" si="0"/>
        <v>24.14</v>
      </c>
      <c r="H106" s="67">
        <f t="shared" si="0"/>
        <v>17.98</v>
      </c>
      <c r="I106" s="67">
        <f t="shared" si="0"/>
        <v>2.74</v>
      </c>
      <c r="J106" s="67">
        <f t="shared" si="0"/>
        <v>0.05</v>
      </c>
      <c r="K106" s="67">
        <f t="shared" si="0"/>
        <v>0.67</v>
      </c>
      <c r="L106" s="67">
        <f t="shared" si="0"/>
        <v>13.15</v>
      </c>
      <c r="M106" s="67">
        <f t="shared" si="0"/>
        <v>29.02</v>
      </c>
      <c r="N106" s="67">
        <f t="shared" si="0"/>
        <v>30.6</v>
      </c>
      <c r="O106" s="67">
        <f t="shared" si="0"/>
        <v>0</v>
      </c>
      <c r="P106" s="67">
        <f t="shared" si="0"/>
        <v>0.61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41.46</v>
      </c>
      <c r="C107" s="66">
        <f t="shared" ref="C107:Q107" si="1">MAX(C9:C104)</f>
        <v>35.61</v>
      </c>
      <c r="D107" s="66">
        <f t="shared" si="1"/>
        <v>37.5</v>
      </c>
      <c r="E107" s="66">
        <f t="shared" si="1"/>
        <v>14.11</v>
      </c>
      <c r="F107" s="66">
        <f t="shared" si="1"/>
        <v>17.989999999999998</v>
      </c>
      <c r="G107" s="66">
        <f t="shared" si="1"/>
        <v>165.73</v>
      </c>
      <c r="H107" s="66">
        <f t="shared" si="1"/>
        <v>52.67</v>
      </c>
      <c r="I107" s="66">
        <f t="shared" si="1"/>
        <v>6.21</v>
      </c>
      <c r="J107" s="66">
        <f t="shared" si="1"/>
        <v>1.47</v>
      </c>
      <c r="K107" s="66">
        <f t="shared" si="1"/>
        <v>351.47</v>
      </c>
      <c r="L107" s="66">
        <f t="shared" si="1"/>
        <v>28.49</v>
      </c>
      <c r="M107" s="66">
        <f t="shared" si="1"/>
        <v>98.14</v>
      </c>
      <c r="N107" s="66">
        <f t="shared" si="1"/>
        <v>559.4</v>
      </c>
      <c r="O107" s="66">
        <f t="shared" si="1"/>
        <v>0</v>
      </c>
      <c r="P107" s="66">
        <f t="shared" si="1"/>
        <v>2.02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22.147812500000004</v>
      </c>
      <c r="C108" s="67">
        <f t="shared" ref="C108:Q108" si="2">AVERAGE(C9:C104)</f>
        <v>18.660833333333333</v>
      </c>
      <c r="D108" s="67">
        <f t="shared" si="2"/>
        <v>27.047916666666662</v>
      </c>
      <c r="E108" s="67">
        <f t="shared" si="2"/>
        <v>6.7653124999999976</v>
      </c>
      <c r="F108" s="67">
        <f t="shared" si="2"/>
        <v>4.4094791666666673</v>
      </c>
      <c r="G108" s="67">
        <f t="shared" si="2"/>
        <v>80.834479166666668</v>
      </c>
      <c r="H108" s="67">
        <f t="shared" si="2"/>
        <v>34.222291666666663</v>
      </c>
      <c r="I108" s="67">
        <f t="shared" si="2"/>
        <v>4.5472916666666672</v>
      </c>
      <c r="J108" s="67">
        <f t="shared" si="2"/>
        <v>0.44031249999999988</v>
      </c>
      <c r="K108" s="67">
        <f t="shared" si="2"/>
        <v>192.94291666666666</v>
      </c>
      <c r="L108" s="67">
        <f t="shared" si="2"/>
        <v>19.42145833333332</v>
      </c>
      <c r="M108" s="67">
        <f t="shared" si="2"/>
        <v>63.566770833333294</v>
      </c>
      <c r="N108" s="67">
        <f t="shared" si="2"/>
        <v>153.04999999999998</v>
      </c>
      <c r="O108" s="67">
        <f t="shared" si="2"/>
        <v>0</v>
      </c>
      <c r="P108" s="67">
        <f t="shared" si="2"/>
        <v>1.4031249999999995</v>
      </c>
      <c r="Q108" s="67">
        <f t="shared" si="2"/>
        <v>9.6598958333333353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10.423413846581415</v>
      </c>
      <c r="C109" s="67">
        <f t="shared" ref="C109:Q109" si="3">STDEV(C9:C104)</f>
        <v>7.3684784784729676</v>
      </c>
      <c r="D109" s="67">
        <f t="shared" si="3"/>
        <v>5.4914936932001126</v>
      </c>
      <c r="E109" s="67">
        <f t="shared" si="3"/>
        <v>1.8686279532404559</v>
      </c>
      <c r="F109" s="67">
        <f t="shared" si="3"/>
        <v>2.9924812340937899</v>
      </c>
      <c r="G109" s="67">
        <f t="shared" si="3"/>
        <v>32.813413395641227</v>
      </c>
      <c r="H109" s="67">
        <f t="shared" si="3"/>
        <v>9.9828129649404662</v>
      </c>
      <c r="I109" s="67">
        <f t="shared" si="3"/>
        <v>0.96349853649320405</v>
      </c>
      <c r="J109" s="67">
        <f t="shared" si="3"/>
        <v>0.28668872951614094</v>
      </c>
      <c r="K109" s="67">
        <f t="shared" si="3"/>
        <v>123.85340699830483</v>
      </c>
      <c r="L109" s="67">
        <f t="shared" si="3"/>
        <v>4.7606644779831182</v>
      </c>
      <c r="M109" s="67">
        <f t="shared" si="3"/>
        <v>24.622467681487215</v>
      </c>
      <c r="N109" s="67">
        <f t="shared" si="3"/>
        <v>189.30214778996753</v>
      </c>
      <c r="O109" s="67">
        <f t="shared" si="3"/>
        <v>0</v>
      </c>
      <c r="P109" s="67">
        <f t="shared" si="3"/>
        <v>0.36787100857144217</v>
      </c>
      <c r="Q109" s="67">
        <f t="shared" si="3"/>
        <v>2.7586983645673465E-2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9" activePane="bottomLeft" state="frozen"/>
      <selection activeCell="N106" sqref="N106:P109"/>
      <selection pane="bottomLef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3032</v>
      </c>
      <c r="B9" s="64">
        <v>36.869999999999997</v>
      </c>
      <c r="C9" s="64">
        <v>11.9</v>
      </c>
      <c r="D9" s="64">
        <v>35.32</v>
      </c>
      <c r="E9" s="64">
        <v>6.13</v>
      </c>
      <c r="F9" s="64">
        <v>3.01</v>
      </c>
      <c r="G9" s="64">
        <v>97.37</v>
      </c>
      <c r="H9" s="64">
        <v>40.799999999999997</v>
      </c>
      <c r="I9" s="64">
        <v>6.19</v>
      </c>
      <c r="J9" s="64">
        <v>0.35</v>
      </c>
      <c r="K9" s="64">
        <v>200.05</v>
      </c>
      <c r="L9" s="64">
        <v>16.32</v>
      </c>
      <c r="M9" s="64">
        <v>77.09</v>
      </c>
      <c r="N9" s="64">
        <v>31.7</v>
      </c>
      <c r="O9" s="64">
        <v>0</v>
      </c>
      <c r="P9" s="64">
        <v>1.97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1" t="s">
        <v>3033</v>
      </c>
      <c r="B10" s="64">
        <v>35.76</v>
      </c>
      <c r="C10" s="64">
        <v>12.09</v>
      </c>
      <c r="D10" s="64">
        <v>34.54</v>
      </c>
      <c r="E10" s="64">
        <v>5.87</v>
      </c>
      <c r="F10" s="64">
        <v>2.81</v>
      </c>
      <c r="G10" s="64">
        <v>100.56</v>
      </c>
      <c r="H10" s="64">
        <v>45.07</v>
      </c>
      <c r="I10" s="64">
        <v>6.36</v>
      </c>
      <c r="J10" s="64">
        <v>0.15</v>
      </c>
      <c r="K10" s="64">
        <v>254.12</v>
      </c>
      <c r="L10" s="64">
        <v>15.84</v>
      </c>
      <c r="M10" s="64">
        <v>81.599999999999994</v>
      </c>
      <c r="N10" s="64">
        <v>31.9</v>
      </c>
      <c r="O10" s="64">
        <v>0</v>
      </c>
      <c r="P10" s="64">
        <v>1.95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1" t="s">
        <v>3034</v>
      </c>
      <c r="B11" s="64">
        <v>34.81</v>
      </c>
      <c r="C11" s="64">
        <v>12.12</v>
      </c>
      <c r="D11" s="64">
        <v>33.79</v>
      </c>
      <c r="E11" s="64">
        <v>5.78</v>
      </c>
      <c r="F11" s="64">
        <v>3</v>
      </c>
      <c r="G11" s="64">
        <v>100.56</v>
      </c>
      <c r="H11" s="64">
        <v>45.07</v>
      </c>
      <c r="I11" s="64">
        <v>6.34</v>
      </c>
      <c r="J11" s="64">
        <v>0.27</v>
      </c>
      <c r="K11" s="64">
        <v>294.61</v>
      </c>
      <c r="L11" s="64">
        <v>15.48</v>
      </c>
      <c r="M11" s="64">
        <v>84.38</v>
      </c>
      <c r="N11" s="64">
        <v>31.8</v>
      </c>
      <c r="O11" s="64">
        <v>0</v>
      </c>
      <c r="P11" s="64">
        <v>1.91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1" t="s">
        <v>3035</v>
      </c>
      <c r="B12" s="64">
        <v>34.32</v>
      </c>
      <c r="C12" s="64">
        <v>12.08</v>
      </c>
      <c r="D12" s="64">
        <v>33.369999999999997</v>
      </c>
      <c r="E12" s="64">
        <v>5.95</v>
      </c>
      <c r="F12" s="64">
        <v>2.75</v>
      </c>
      <c r="G12" s="64">
        <v>100.56</v>
      </c>
      <c r="H12" s="64">
        <v>45.07</v>
      </c>
      <c r="I12" s="64">
        <v>6.31</v>
      </c>
      <c r="J12" s="64">
        <v>0.09</v>
      </c>
      <c r="K12" s="64">
        <v>86.3</v>
      </c>
      <c r="L12" s="64">
        <v>15.35</v>
      </c>
      <c r="M12" s="64">
        <v>89.41</v>
      </c>
      <c r="N12" s="64">
        <v>31.5</v>
      </c>
      <c r="O12" s="64">
        <v>0</v>
      </c>
      <c r="P12" s="64">
        <v>1.89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1" t="s">
        <v>3036</v>
      </c>
      <c r="B13" s="64">
        <v>34.06</v>
      </c>
      <c r="C13" s="64">
        <v>11.23</v>
      </c>
      <c r="D13" s="64">
        <v>32.72</v>
      </c>
      <c r="E13" s="64">
        <v>5.83</v>
      </c>
      <c r="F13" s="64">
        <v>2.82</v>
      </c>
      <c r="G13" s="64">
        <v>100.38</v>
      </c>
      <c r="H13" s="64">
        <v>44.69</v>
      </c>
      <c r="I13" s="64">
        <v>6.27</v>
      </c>
      <c r="J13" s="64">
        <v>0.2</v>
      </c>
      <c r="K13" s="64">
        <v>226.5</v>
      </c>
      <c r="L13" s="64">
        <v>15.41</v>
      </c>
      <c r="M13" s="64">
        <v>88.87</v>
      </c>
      <c r="N13" s="64">
        <v>31.5</v>
      </c>
      <c r="O13" s="64">
        <v>0</v>
      </c>
      <c r="P13" s="64">
        <v>1.67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1" t="s">
        <v>3037</v>
      </c>
      <c r="B14" s="64">
        <v>33.61</v>
      </c>
      <c r="C14" s="64">
        <v>11.05</v>
      </c>
      <c r="D14" s="64">
        <v>32.26</v>
      </c>
      <c r="E14" s="64">
        <v>5.99</v>
      </c>
      <c r="F14" s="64">
        <v>3.01</v>
      </c>
      <c r="G14" s="64">
        <v>99.6</v>
      </c>
      <c r="H14" s="64">
        <v>43.59</v>
      </c>
      <c r="I14" s="64">
        <v>5.8</v>
      </c>
      <c r="J14" s="64">
        <v>0.2</v>
      </c>
      <c r="K14" s="64">
        <v>247.45</v>
      </c>
      <c r="L14" s="64">
        <v>15.3</v>
      </c>
      <c r="M14" s="64">
        <v>90.25</v>
      </c>
      <c r="N14" s="64">
        <v>31.7</v>
      </c>
      <c r="O14" s="64">
        <v>0</v>
      </c>
      <c r="P14" s="64">
        <v>1.79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1" t="s">
        <v>3038</v>
      </c>
      <c r="B15" s="64">
        <v>33.14</v>
      </c>
      <c r="C15" s="64">
        <v>11.38</v>
      </c>
      <c r="D15" s="64">
        <v>32.07</v>
      </c>
      <c r="E15" s="64">
        <v>5.75</v>
      </c>
      <c r="F15" s="64">
        <v>2.77</v>
      </c>
      <c r="G15" s="64">
        <v>99.6</v>
      </c>
      <c r="H15" s="64">
        <v>43.59</v>
      </c>
      <c r="I15" s="64">
        <v>6.12</v>
      </c>
      <c r="J15" s="64">
        <v>0.28000000000000003</v>
      </c>
      <c r="K15" s="64">
        <v>275.41000000000003</v>
      </c>
      <c r="L15" s="64">
        <v>15.15</v>
      </c>
      <c r="M15" s="64">
        <v>90.6</v>
      </c>
      <c r="N15" s="64">
        <v>31.7</v>
      </c>
      <c r="O15" s="64">
        <v>0</v>
      </c>
      <c r="P15" s="64">
        <v>1.82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1" t="s">
        <v>3039</v>
      </c>
      <c r="B16" s="64">
        <v>32.909999999999997</v>
      </c>
      <c r="C16" s="64">
        <v>11.45</v>
      </c>
      <c r="D16" s="64">
        <v>31.91</v>
      </c>
      <c r="E16" s="64">
        <v>6.07</v>
      </c>
      <c r="F16" s="64">
        <v>2.95</v>
      </c>
      <c r="G16" s="64">
        <v>99.6</v>
      </c>
      <c r="H16" s="64">
        <v>43.59</v>
      </c>
      <c r="I16" s="64">
        <v>6.27</v>
      </c>
      <c r="J16" s="64">
        <v>0.28000000000000003</v>
      </c>
      <c r="K16" s="64">
        <v>257.7</v>
      </c>
      <c r="L16" s="64">
        <v>14.93</v>
      </c>
      <c r="M16" s="64">
        <v>93.7</v>
      </c>
      <c r="N16" s="64">
        <v>31.7</v>
      </c>
      <c r="O16" s="64">
        <v>0</v>
      </c>
      <c r="P16" s="64">
        <v>1.8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1" t="s">
        <v>3040</v>
      </c>
      <c r="B17" s="64">
        <v>32.619999999999997</v>
      </c>
      <c r="C17" s="64">
        <v>11.38</v>
      </c>
      <c r="D17" s="64">
        <v>31.65</v>
      </c>
      <c r="E17" s="64">
        <v>6.04</v>
      </c>
      <c r="F17" s="64">
        <v>3</v>
      </c>
      <c r="G17" s="64">
        <v>100.32</v>
      </c>
      <c r="H17" s="64">
        <v>43.12</v>
      </c>
      <c r="I17" s="64">
        <v>5.78</v>
      </c>
      <c r="J17" s="64">
        <v>0.34</v>
      </c>
      <c r="K17" s="64">
        <v>281.77999999999997</v>
      </c>
      <c r="L17" s="64">
        <v>14.74</v>
      </c>
      <c r="M17" s="64">
        <v>96.46</v>
      </c>
      <c r="N17" s="64">
        <v>31.6</v>
      </c>
      <c r="O17" s="64">
        <v>0</v>
      </c>
      <c r="P17" s="64">
        <v>1.79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1" t="s">
        <v>3041</v>
      </c>
      <c r="B18" s="64">
        <v>32.18</v>
      </c>
      <c r="C18" s="64">
        <v>11.5</v>
      </c>
      <c r="D18" s="64">
        <v>31.36</v>
      </c>
      <c r="E18" s="64">
        <v>5.77</v>
      </c>
      <c r="F18" s="64">
        <v>3.07</v>
      </c>
      <c r="G18" s="64">
        <v>103.38</v>
      </c>
      <c r="H18" s="64">
        <v>41.73</v>
      </c>
      <c r="I18" s="64">
        <v>5.61</v>
      </c>
      <c r="J18" s="64">
        <v>0.31</v>
      </c>
      <c r="K18" s="64">
        <v>322.39999999999998</v>
      </c>
      <c r="L18" s="64">
        <v>14.51</v>
      </c>
      <c r="M18" s="64">
        <v>96.84</v>
      </c>
      <c r="N18" s="64">
        <v>31.6</v>
      </c>
      <c r="O18" s="64">
        <v>0</v>
      </c>
      <c r="P18" s="64">
        <v>1.8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1" t="s">
        <v>3042</v>
      </c>
      <c r="B19" s="64">
        <v>31.66</v>
      </c>
      <c r="C19" s="64">
        <v>11.48</v>
      </c>
      <c r="D19" s="64">
        <v>30.92</v>
      </c>
      <c r="E19" s="64">
        <v>6.09</v>
      </c>
      <c r="F19" s="64">
        <v>3.19</v>
      </c>
      <c r="G19" s="64">
        <v>103.38</v>
      </c>
      <c r="H19" s="64">
        <v>41.73</v>
      </c>
      <c r="I19" s="64">
        <v>6.06</v>
      </c>
      <c r="J19" s="64">
        <v>0.32</v>
      </c>
      <c r="K19" s="64">
        <v>300.92</v>
      </c>
      <c r="L19" s="64">
        <v>14.5</v>
      </c>
      <c r="M19" s="64">
        <v>92.01</v>
      </c>
      <c r="N19" s="64">
        <v>31.7</v>
      </c>
      <c r="O19" s="64">
        <v>0</v>
      </c>
      <c r="P19" s="64">
        <v>1.78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11" t="s">
        <v>3043</v>
      </c>
      <c r="B20" s="64">
        <v>31.08</v>
      </c>
      <c r="C20" s="64">
        <v>11.67</v>
      </c>
      <c r="D20" s="64">
        <v>30.56</v>
      </c>
      <c r="E20" s="64">
        <v>5.94</v>
      </c>
      <c r="F20" s="64">
        <v>3.12</v>
      </c>
      <c r="G20" s="64">
        <v>103.38</v>
      </c>
      <c r="H20" s="64">
        <v>41.73</v>
      </c>
      <c r="I20" s="64">
        <v>6.22</v>
      </c>
      <c r="J20" s="64">
        <v>0.34</v>
      </c>
      <c r="K20" s="64">
        <v>328.72</v>
      </c>
      <c r="L20" s="64">
        <v>14.59</v>
      </c>
      <c r="M20" s="64">
        <v>89.51</v>
      </c>
      <c r="N20" s="64">
        <v>31.5</v>
      </c>
      <c r="O20" s="64">
        <v>0</v>
      </c>
      <c r="P20" s="64">
        <v>1.77</v>
      </c>
      <c r="Q20" s="64">
        <v>9.6999999999999993</v>
      </c>
      <c r="R20" s="198"/>
      <c r="S20" s="198"/>
      <c r="T20" s="198"/>
      <c r="U20" s="198"/>
    </row>
    <row r="21" spans="1:21" s="12" customFormat="1" x14ac:dyDescent="0.25">
      <c r="A21" s="211" t="s">
        <v>3044</v>
      </c>
      <c r="B21" s="64">
        <v>30.45</v>
      </c>
      <c r="C21" s="64">
        <v>11.95</v>
      </c>
      <c r="D21" s="64">
        <v>30.2</v>
      </c>
      <c r="E21" s="64">
        <v>6.04</v>
      </c>
      <c r="F21" s="64">
        <v>2.99</v>
      </c>
      <c r="G21" s="64">
        <v>109.88</v>
      </c>
      <c r="H21" s="64">
        <v>43.58</v>
      </c>
      <c r="I21" s="64">
        <v>6.22</v>
      </c>
      <c r="J21" s="64">
        <v>0.31</v>
      </c>
      <c r="K21" s="64">
        <v>45.53</v>
      </c>
      <c r="L21" s="64">
        <v>14.64</v>
      </c>
      <c r="M21" s="64">
        <v>88.07</v>
      </c>
      <c r="N21" s="64">
        <v>31.4</v>
      </c>
      <c r="O21" s="64">
        <v>0</v>
      </c>
      <c r="P21" s="64">
        <v>1.75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11" t="s">
        <v>3045</v>
      </c>
      <c r="B22" s="64">
        <v>29.81</v>
      </c>
      <c r="C22" s="64">
        <v>11.8</v>
      </c>
      <c r="D22" s="64">
        <v>29.61</v>
      </c>
      <c r="E22" s="64">
        <v>5.88</v>
      </c>
      <c r="F22" s="64">
        <v>2.96</v>
      </c>
      <c r="G22" s="64">
        <v>135.88999999999999</v>
      </c>
      <c r="H22" s="64">
        <v>51.99</v>
      </c>
      <c r="I22" s="64">
        <v>6.21</v>
      </c>
      <c r="J22" s="64">
        <v>0.26</v>
      </c>
      <c r="K22" s="64">
        <v>88.21</v>
      </c>
      <c r="L22" s="64">
        <v>14.81</v>
      </c>
      <c r="M22" s="64">
        <v>85.3</v>
      </c>
      <c r="N22" s="64">
        <v>31.3</v>
      </c>
      <c r="O22" s="64">
        <v>0</v>
      </c>
      <c r="P22" s="64">
        <v>1.72</v>
      </c>
      <c r="Q22" s="64">
        <v>9.69</v>
      </c>
      <c r="R22" s="198"/>
      <c r="S22" s="198"/>
      <c r="T22" s="198"/>
      <c r="U22" s="198"/>
    </row>
    <row r="23" spans="1:21" s="12" customFormat="1" x14ac:dyDescent="0.25">
      <c r="A23" s="211" t="s">
        <v>3046</v>
      </c>
      <c r="B23" s="64">
        <v>28.95</v>
      </c>
      <c r="C23" s="64">
        <v>11.97</v>
      </c>
      <c r="D23" s="64">
        <v>29.01</v>
      </c>
      <c r="E23" s="64">
        <v>6.13</v>
      </c>
      <c r="F23" s="64">
        <v>3.04</v>
      </c>
      <c r="G23" s="64">
        <v>135.88999999999999</v>
      </c>
      <c r="H23" s="64">
        <v>51.99</v>
      </c>
      <c r="I23" s="64">
        <v>5.74</v>
      </c>
      <c r="J23" s="64">
        <v>0.17</v>
      </c>
      <c r="K23" s="64">
        <v>268.05</v>
      </c>
      <c r="L23" s="64">
        <v>14.72</v>
      </c>
      <c r="M23" s="64">
        <v>86.03</v>
      </c>
      <c r="N23" s="64">
        <v>31.4</v>
      </c>
      <c r="O23" s="64">
        <v>0</v>
      </c>
      <c r="P23" s="64">
        <v>1.69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1" t="s">
        <v>3047</v>
      </c>
      <c r="B24" s="64">
        <v>28.01</v>
      </c>
      <c r="C24" s="64">
        <v>12.27</v>
      </c>
      <c r="D24" s="64">
        <v>28.41</v>
      </c>
      <c r="E24" s="64">
        <v>6.32</v>
      </c>
      <c r="F24" s="64">
        <v>2.93</v>
      </c>
      <c r="G24" s="64">
        <v>135.88999999999999</v>
      </c>
      <c r="H24" s="64">
        <v>51.99</v>
      </c>
      <c r="I24" s="64">
        <v>5.56</v>
      </c>
      <c r="J24" s="64">
        <v>0.14000000000000001</v>
      </c>
      <c r="K24" s="64">
        <v>100.68</v>
      </c>
      <c r="L24" s="64">
        <v>14.7</v>
      </c>
      <c r="M24" s="64">
        <v>85.05</v>
      </c>
      <c r="N24" s="64">
        <v>31.4</v>
      </c>
      <c r="O24" s="64">
        <v>0</v>
      </c>
      <c r="P24" s="64">
        <v>1.67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1" t="s">
        <v>3048</v>
      </c>
      <c r="B25" s="64">
        <v>27.01</v>
      </c>
      <c r="C25" s="64">
        <v>12.7</v>
      </c>
      <c r="D25" s="64">
        <v>27.83</v>
      </c>
      <c r="E25" s="64">
        <v>5.9</v>
      </c>
      <c r="F25" s="64">
        <v>2.98</v>
      </c>
      <c r="G25" s="64">
        <v>133.97999999999999</v>
      </c>
      <c r="H25" s="64">
        <v>51.89</v>
      </c>
      <c r="I25" s="64">
        <v>5.56</v>
      </c>
      <c r="J25" s="64">
        <v>0.12</v>
      </c>
      <c r="K25" s="64">
        <v>96.05</v>
      </c>
      <c r="L25" s="64">
        <v>14.81</v>
      </c>
      <c r="M25" s="64">
        <v>82.77</v>
      </c>
      <c r="N25" s="64">
        <v>31.4</v>
      </c>
      <c r="O25" s="64">
        <v>0</v>
      </c>
      <c r="P25" s="64">
        <v>1.64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1" t="s">
        <v>3049</v>
      </c>
      <c r="B26" s="64">
        <v>26</v>
      </c>
      <c r="C26" s="64">
        <v>13.03</v>
      </c>
      <c r="D26" s="64">
        <v>27.2</v>
      </c>
      <c r="E26" s="64">
        <v>5.73</v>
      </c>
      <c r="F26" s="64">
        <v>2.91</v>
      </c>
      <c r="G26" s="64">
        <v>125.8</v>
      </c>
      <c r="H26" s="64">
        <v>51.6</v>
      </c>
      <c r="I26" s="64">
        <v>5.53</v>
      </c>
      <c r="J26" s="64">
        <v>0.09</v>
      </c>
      <c r="K26" s="64">
        <v>313.54000000000002</v>
      </c>
      <c r="L26" s="64">
        <v>14.87</v>
      </c>
      <c r="M26" s="64">
        <v>83.6</v>
      </c>
      <c r="N26" s="64">
        <v>31.4</v>
      </c>
      <c r="O26" s="64">
        <v>0</v>
      </c>
      <c r="P26" s="64">
        <v>1.61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1" t="s">
        <v>3050</v>
      </c>
      <c r="B27" s="64">
        <v>24.88</v>
      </c>
      <c r="C27" s="64">
        <v>13.53</v>
      </c>
      <c r="D27" s="64">
        <v>26.56</v>
      </c>
      <c r="E27" s="64">
        <v>5.9</v>
      </c>
      <c r="F27" s="64">
        <v>2.72</v>
      </c>
      <c r="G27" s="64">
        <v>125.8</v>
      </c>
      <c r="H27" s="64">
        <v>51.6</v>
      </c>
      <c r="I27" s="64">
        <v>5.47</v>
      </c>
      <c r="J27" s="64">
        <v>0.09</v>
      </c>
      <c r="K27" s="64">
        <v>20.14</v>
      </c>
      <c r="L27" s="64">
        <v>14.77</v>
      </c>
      <c r="M27" s="64">
        <v>84.85</v>
      </c>
      <c r="N27" s="64">
        <v>31.4</v>
      </c>
      <c r="O27" s="64">
        <v>0</v>
      </c>
      <c r="P27" s="64">
        <v>1.57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1" t="s">
        <v>3051</v>
      </c>
      <c r="B28" s="64">
        <v>23.83</v>
      </c>
      <c r="C28" s="64">
        <v>13.95</v>
      </c>
      <c r="D28" s="64">
        <v>25.94</v>
      </c>
      <c r="E28" s="64">
        <v>5.7</v>
      </c>
      <c r="F28" s="64">
        <v>3.08</v>
      </c>
      <c r="G28" s="64">
        <v>125.8</v>
      </c>
      <c r="H28" s="64">
        <v>51.6</v>
      </c>
      <c r="I28" s="64">
        <v>5.37</v>
      </c>
      <c r="J28" s="64">
        <v>0.09</v>
      </c>
      <c r="K28" s="64">
        <v>61.39</v>
      </c>
      <c r="L28" s="64">
        <v>14.65</v>
      </c>
      <c r="M28" s="64">
        <v>85.89</v>
      </c>
      <c r="N28" s="64">
        <v>31.5</v>
      </c>
      <c r="O28" s="64">
        <v>0</v>
      </c>
      <c r="P28" s="64">
        <v>1.52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1" t="s">
        <v>3052</v>
      </c>
      <c r="B29" s="64">
        <v>22.98</v>
      </c>
      <c r="C29" s="64">
        <v>14.34</v>
      </c>
      <c r="D29" s="64">
        <v>25.46</v>
      </c>
      <c r="E29" s="64">
        <v>5.93</v>
      </c>
      <c r="F29" s="64">
        <v>2.81</v>
      </c>
      <c r="G29" s="64">
        <v>121.52</v>
      </c>
      <c r="H29" s="64">
        <v>50.53</v>
      </c>
      <c r="I29" s="64">
        <v>5.27</v>
      </c>
      <c r="J29" s="64">
        <v>0.27</v>
      </c>
      <c r="K29" s="64">
        <v>327.71</v>
      </c>
      <c r="L29" s="64">
        <v>14.51</v>
      </c>
      <c r="M29" s="64">
        <v>88.59</v>
      </c>
      <c r="N29" s="64">
        <v>31.4</v>
      </c>
      <c r="O29" s="64">
        <v>0</v>
      </c>
      <c r="P29" s="64">
        <v>1.49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1" t="s">
        <v>3053</v>
      </c>
      <c r="B30" s="64">
        <v>22.3</v>
      </c>
      <c r="C30" s="64">
        <v>14.52</v>
      </c>
      <c r="D30" s="64">
        <v>25.01</v>
      </c>
      <c r="E30" s="64">
        <v>5.91</v>
      </c>
      <c r="F30" s="64">
        <v>2.7</v>
      </c>
      <c r="G30" s="64">
        <v>103.17</v>
      </c>
      <c r="H30" s="64">
        <v>47.4</v>
      </c>
      <c r="I30" s="64">
        <v>5.17</v>
      </c>
      <c r="J30" s="64">
        <v>0.25</v>
      </c>
      <c r="K30" s="64">
        <v>344.18</v>
      </c>
      <c r="L30" s="64">
        <v>14.55</v>
      </c>
      <c r="M30" s="64">
        <v>89.3</v>
      </c>
      <c r="N30" s="64">
        <v>31.4</v>
      </c>
      <c r="O30" s="64">
        <v>0</v>
      </c>
      <c r="P30" s="64">
        <v>1.45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1" t="s">
        <v>3054</v>
      </c>
      <c r="B31" s="64">
        <v>21.69</v>
      </c>
      <c r="C31" s="64">
        <v>13.95</v>
      </c>
      <c r="D31" s="64">
        <v>24.22</v>
      </c>
      <c r="E31" s="64">
        <v>5.59</v>
      </c>
      <c r="F31" s="64">
        <v>2.94</v>
      </c>
      <c r="G31" s="64">
        <v>103.17</v>
      </c>
      <c r="H31" s="64">
        <v>47.4</v>
      </c>
      <c r="I31" s="64">
        <v>5.0599999999999996</v>
      </c>
      <c r="J31" s="64">
        <v>0.17</v>
      </c>
      <c r="K31" s="64">
        <v>313.42</v>
      </c>
      <c r="L31" s="64">
        <v>14.52</v>
      </c>
      <c r="M31" s="64">
        <v>89.23</v>
      </c>
      <c r="N31" s="64">
        <v>31.3</v>
      </c>
      <c r="O31" s="64">
        <v>0</v>
      </c>
      <c r="P31" s="64">
        <v>1.42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1" t="s">
        <v>3055</v>
      </c>
      <c r="B32" s="64">
        <v>21.1</v>
      </c>
      <c r="C32" s="64">
        <v>14.67</v>
      </c>
      <c r="D32" s="64">
        <v>24.13</v>
      </c>
      <c r="E32" s="64">
        <v>5.71</v>
      </c>
      <c r="F32" s="64">
        <v>3.07</v>
      </c>
      <c r="G32" s="64">
        <v>103.17</v>
      </c>
      <c r="H32" s="64">
        <v>47.4</v>
      </c>
      <c r="I32" s="64">
        <v>4.97</v>
      </c>
      <c r="J32" s="64">
        <v>0.27</v>
      </c>
      <c r="K32" s="64">
        <v>328.27</v>
      </c>
      <c r="L32" s="64">
        <v>14.35</v>
      </c>
      <c r="M32" s="64">
        <v>90.77</v>
      </c>
      <c r="N32" s="64">
        <v>31.5</v>
      </c>
      <c r="O32" s="64">
        <v>0</v>
      </c>
      <c r="P32" s="64">
        <v>1.43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1" t="s">
        <v>3056</v>
      </c>
      <c r="B33" s="64">
        <v>20.62</v>
      </c>
      <c r="C33" s="64">
        <v>15.2</v>
      </c>
      <c r="D33" s="64">
        <v>24.02</v>
      </c>
      <c r="E33" s="64">
        <v>5.49</v>
      </c>
      <c r="F33" s="64">
        <v>2.92</v>
      </c>
      <c r="G33" s="64">
        <v>99.32</v>
      </c>
      <c r="H33" s="64">
        <v>45.76</v>
      </c>
      <c r="I33" s="64">
        <v>4.88</v>
      </c>
      <c r="J33" s="64">
        <v>0.56000000000000005</v>
      </c>
      <c r="K33" s="64">
        <v>345.77</v>
      </c>
      <c r="L33" s="64">
        <v>14.26</v>
      </c>
      <c r="M33" s="64">
        <v>92.6</v>
      </c>
      <c r="N33" s="64">
        <v>32.700000000000003</v>
      </c>
      <c r="O33" s="64">
        <v>0</v>
      </c>
      <c r="P33" s="64">
        <v>1.42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1" t="s">
        <v>3057</v>
      </c>
      <c r="B34" s="64">
        <v>20.38</v>
      </c>
      <c r="C34" s="64">
        <v>15.57</v>
      </c>
      <c r="D34" s="64">
        <v>24.02</v>
      </c>
      <c r="E34" s="64">
        <v>5.86</v>
      </c>
      <c r="F34" s="64">
        <v>2.82</v>
      </c>
      <c r="G34" s="64">
        <v>83.93</v>
      </c>
      <c r="H34" s="64">
        <v>40.93</v>
      </c>
      <c r="I34" s="64">
        <v>4.7699999999999996</v>
      </c>
      <c r="J34" s="64">
        <v>0.55000000000000004</v>
      </c>
      <c r="K34" s="64">
        <v>342.24</v>
      </c>
      <c r="L34" s="64">
        <v>14.25</v>
      </c>
      <c r="M34" s="64">
        <v>93.64</v>
      </c>
      <c r="N34" s="64">
        <v>37.4</v>
      </c>
      <c r="O34" s="64">
        <v>0</v>
      </c>
      <c r="P34" s="64">
        <v>1.4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1" t="s">
        <v>3058</v>
      </c>
      <c r="B35" s="64">
        <v>20.22</v>
      </c>
      <c r="C35" s="64">
        <v>15.51</v>
      </c>
      <c r="D35" s="64">
        <v>23.86</v>
      </c>
      <c r="E35" s="64">
        <v>5.7</v>
      </c>
      <c r="F35" s="64">
        <v>2.97</v>
      </c>
      <c r="G35" s="64">
        <v>83.93</v>
      </c>
      <c r="H35" s="64">
        <v>40.93</v>
      </c>
      <c r="I35" s="64">
        <v>4.66</v>
      </c>
      <c r="J35" s="64">
        <v>0.15</v>
      </c>
      <c r="K35" s="64">
        <v>297.05</v>
      </c>
      <c r="L35" s="64">
        <v>14.33</v>
      </c>
      <c r="M35" s="64">
        <v>92.37</v>
      </c>
      <c r="N35" s="64">
        <v>46.5</v>
      </c>
      <c r="O35" s="64">
        <v>0</v>
      </c>
      <c r="P35" s="64">
        <v>1.37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1" t="s">
        <v>3059</v>
      </c>
      <c r="B36" s="64">
        <v>19.96</v>
      </c>
      <c r="C36" s="64">
        <v>15.67</v>
      </c>
      <c r="D36" s="64">
        <v>23.74</v>
      </c>
      <c r="E36" s="64">
        <v>5.95</v>
      </c>
      <c r="F36" s="64">
        <v>3.06</v>
      </c>
      <c r="G36" s="64">
        <v>83.93</v>
      </c>
      <c r="H36" s="64">
        <v>40.93</v>
      </c>
      <c r="I36" s="64">
        <v>4.55</v>
      </c>
      <c r="J36" s="64">
        <v>0.17</v>
      </c>
      <c r="K36" s="64">
        <v>282.48</v>
      </c>
      <c r="L36" s="64">
        <v>14.44</v>
      </c>
      <c r="M36" s="64">
        <v>92.66</v>
      </c>
      <c r="N36" s="64">
        <v>65.900000000000006</v>
      </c>
      <c r="O36" s="64">
        <v>0</v>
      </c>
      <c r="P36" s="64">
        <v>1.33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1" t="s">
        <v>3060</v>
      </c>
      <c r="B37" s="64">
        <v>20.04</v>
      </c>
      <c r="C37" s="64">
        <v>15.68</v>
      </c>
      <c r="D37" s="64">
        <v>23.8</v>
      </c>
      <c r="E37" s="64">
        <v>5.78</v>
      </c>
      <c r="F37" s="64">
        <v>3.19</v>
      </c>
      <c r="G37" s="64">
        <v>82.33</v>
      </c>
      <c r="H37" s="64">
        <v>39.65</v>
      </c>
      <c r="I37" s="64">
        <v>4.4400000000000004</v>
      </c>
      <c r="J37" s="64">
        <v>0.4</v>
      </c>
      <c r="K37" s="64">
        <v>319.8</v>
      </c>
      <c r="L37" s="64">
        <v>14.95</v>
      </c>
      <c r="M37" s="64">
        <v>90.51</v>
      </c>
      <c r="N37" s="64">
        <v>78.900000000000006</v>
      </c>
      <c r="O37" s="64">
        <v>0</v>
      </c>
      <c r="P37" s="64">
        <v>1.28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1" t="s">
        <v>3061</v>
      </c>
      <c r="B38" s="64">
        <v>20.440000000000001</v>
      </c>
      <c r="C38" s="64">
        <v>15.35</v>
      </c>
      <c r="D38" s="64">
        <v>23.96</v>
      </c>
      <c r="E38" s="64">
        <v>5.86</v>
      </c>
      <c r="F38" s="64">
        <v>3.08</v>
      </c>
      <c r="G38" s="64">
        <v>75.94</v>
      </c>
      <c r="H38" s="64">
        <v>33.840000000000003</v>
      </c>
      <c r="I38" s="64">
        <v>4.34</v>
      </c>
      <c r="J38" s="64">
        <v>0.35</v>
      </c>
      <c r="K38" s="64">
        <v>328.56</v>
      </c>
      <c r="L38" s="64">
        <v>15.6</v>
      </c>
      <c r="M38" s="64">
        <v>86.61</v>
      </c>
      <c r="N38" s="64">
        <v>98.1</v>
      </c>
      <c r="O38" s="64">
        <v>0</v>
      </c>
      <c r="P38" s="64">
        <v>1.28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1" t="s">
        <v>3062</v>
      </c>
      <c r="B39" s="64">
        <v>21.01</v>
      </c>
      <c r="C39" s="64">
        <v>14.57</v>
      </c>
      <c r="D39" s="64">
        <v>24</v>
      </c>
      <c r="E39" s="64">
        <v>6.2</v>
      </c>
      <c r="F39" s="64">
        <v>3.35</v>
      </c>
      <c r="G39" s="64">
        <v>75.94</v>
      </c>
      <c r="H39" s="64">
        <v>33.840000000000003</v>
      </c>
      <c r="I39" s="64">
        <v>4.29</v>
      </c>
      <c r="J39" s="64">
        <v>0.11</v>
      </c>
      <c r="K39" s="64">
        <v>334.7</v>
      </c>
      <c r="L39" s="64">
        <v>16.41</v>
      </c>
      <c r="M39" s="64">
        <v>82.34</v>
      </c>
      <c r="N39" s="64">
        <v>142.69999999999999</v>
      </c>
      <c r="O39" s="64">
        <v>0</v>
      </c>
      <c r="P39" s="64">
        <v>1.23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1" t="s">
        <v>3063</v>
      </c>
      <c r="B40" s="64">
        <v>21.47</v>
      </c>
      <c r="C40" s="64">
        <v>14.64</v>
      </c>
      <c r="D40" s="64">
        <v>24.4</v>
      </c>
      <c r="E40" s="64">
        <v>5.46</v>
      </c>
      <c r="F40" s="64">
        <v>3.17</v>
      </c>
      <c r="G40" s="64">
        <v>75.94</v>
      </c>
      <c r="H40" s="64">
        <v>33.840000000000003</v>
      </c>
      <c r="I40" s="64">
        <v>4.2300000000000004</v>
      </c>
      <c r="J40" s="64">
        <v>0.69</v>
      </c>
      <c r="K40" s="64">
        <v>339.16</v>
      </c>
      <c r="L40" s="64">
        <v>18.559999999999999</v>
      </c>
      <c r="M40" s="64">
        <v>69.599999999999994</v>
      </c>
      <c r="N40" s="64">
        <v>231.5</v>
      </c>
      <c r="O40" s="64">
        <v>0</v>
      </c>
      <c r="P40" s="64">
        <v>1.1599999999999999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1" t="s">
        <v>3064</v>
      </c>
      <c r="B41" s="64">
        <v>21.96</v>
      </c>
      <c r="C41" s="64">
        <v>14.91</v>
      </c>
      <c r="D41" s="64">
        <v>24.94</v>
      </c>
      <c r="E41" s="64">
        <v>5.45</v>
      </c>
      <c r="F41" s="64">
        <v>3.28</v>
      </c>
      <c r="G41" s="64">
        <v>74.489999999999995</v>
      </c>
      <c r="H41" s="64">
        <v>32.4</v>
      </c>
      <c r="I41" s="64">
        <v>4.2</v>
      </c>
      <c r="J41" s="64">
        <v>0.47</v>
      </c>
      <c r="K41" s="64">
        <v>337.48</v>
      </c>
      <c r="L41" s="64">
        <v>20.45</v>
      </c>
      <c r="M41" s="64">
        <v>59.99</v>
      </c>
      <c r="N41" s="64">
        <v>290</v>
      </c>
      <c r="O41" s="64">
        <v>0</v>
      </c>
      <c r="P41" s="64">
        <v>1.1200000000000001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1" t="s">
        <v>3065</v>
      </c>
      <c r="B42" s="64">
        <v>22.14</v>
      </c>
      <c r="C42" s="64">
        <v>15.12</v>
      </c>
      <c r="D42" s="64">
        <v>25.2</v>
      </c>
      <c r="E42" s="64">
        <v>5.31</v>
      </c>
      <c r="F42" s="64">
        <v>2.91</v>
      </c>
      <c r="G42" s="64">
        <v>68.260000000000005</v>
      </c>
      <c r="H42" s="64">
        <v>28.17</v>
      </c>
      <c r="I42" s="64">
        <v>4.17</v>
      </c>
      <c r="J42" s="64">
        <v>0.78</v>
      </c>
      <c r="K42" s="64">
        <v>339.26</v>
      </c>
      <c r="L42" s="64">
        <v>21.64</v>
      </c>
      <c r="M42" s="64">
        <v>54.77</v>
      </c>
      <c r="N42" s="64">
        <v>265</v>
      </c>
      <c r="O42" s="64">
        <v>0</v>
      </c>
      <c r="P42" s="64">
        <v>1.1100000000000001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1" t="s">
        <v>3066</v>
      </c>
      <c r="B43" s="64">
        <v>22.23</v>
      </c>
      <c r="C43" s="64">
        <v>15.51</v>
      </c>
      <c r="D43" s="64">
        <v>25.47</v>
      </c>
      <c r="E43" s="64">
        <v>5.58</v>
      </c>
      <c r="F43" s="64">
        <v>3</v>
      </c>
      <c r="G43" s="64">
        <v>68.260000000000005</v>
      </c>
      <c r="H43" s="64">
        <v>28.17</v>
      </c>
      <c r="I43" s="64">
        <v>4.1399999999999997</v>
      </c>
      <c r="J43" s="64">
        <v>0.46</v>
      </c>
      <c r="K43" s="64">
        <v>120.89</v>
      </c>
      <c r="L43" s="64">
        <v>21.97</v>
      </c>
      <c r="M43" s="64">
        <v>54.88</v>
      </c>
      <c r="N43" s="64">
        <v>360.8</v>
      </c>
      <c r="O43" s="64">
        <v>0</v>
      </c>
      <c r="P43" s="64">
        <v>1.08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1" t="s">
        <v>3067</v>
      </c>
      <c r="B44" s="64">
        <v>22.07</v>
      </c>
      <c r="C44" s="64">
        <v>15.86</v>
      </c>
      <c r="D44" s="64">
        <v>25.52</v>
      </c>
      <c r="E44" s="64">
        <v>5.79</v>
      </c>
      <c r="F44" s="64">
        <v>3.11</v>
      </c>
      <c r="G44" s="64">
        <v>68.260000000000005</v>
      </c>
      <c r="H44" s="64">
        <v>28.17</v>
      </c>
      <c r="I44" s="64">
        <v>4.09</v>
      </c>
      <c r="J44" s="64">
        <v>0.21</v>
      </c>
      <c r="K44" s="64">
        <v>88.6</v>
      </c>
      <c r="L44" s="64">
        <v>21.66</v>
      </c>
      <c r="M44" s="64">
        <v>56.1</v>
      </c>
      <c r="N44" s="64">
        <v>400.3</v>
      </c>
      <c r="O44" s="64">
        <v>0</v>
      </c>
      <c r="P44" s="64">
        <v>1.06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1" t="s">
        <v>3068</v>
      </c>
      <c r="B45" s="64">
        <v>21.85</v>
      </c>
      <c r="C45" s="64">
        <v>16.28</v>
      </c>
      <c r="D45" s="64">
        <v>25.57</v>
      </c>
      <c r="E45" s="64">
        <v>5.65</v>
      </c>
      <c r="F45" s="64">
        <v>3.39</v>
      </c>
      <c r="G45" s="64">
        <v>67.44</v>
      </c>
      <c r="H45" s="64">
        <v>28.49</v>
      </c>
      <c r="I45" s="64">
        <v>4.05</v>
      </c>
      <c r="J45" s="64">
        <v>0.12</v>
      </c>
      <c r="K45" s="64">
        <v>8.5299999999999994</v>
      </c>
      <c r="L45" s="64">
        <v>22.93</v>
      </c>
      <c r="M45" s="64">
        <v>50.94</v>
      </c>
      <c r="N45" s="64">
        <v>450.4</v>
      </c>
      <c r="O45" s="64">
        <v>0</v>
      </c>
      <c r="P45" s="64">
        <v>1.04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1" t="s">
        <v>3069</v>
      </c>
      <c r="B46" s="64">
        <v>21.54</v>
      </c>
      <c r="C46" s="64">
        <v>16.649999999999999</v>
      </c>
      <c r="D46" s="64">
        <v>25.51</v>
      </c>
      <c r="E46" s="64">
        <v>5.75</v>
      </c>
      <c r="F46" s="64">
        <v>3.04</v>
      </c>
      <c r="G46" s="64">
        <v>64.150000000000006</v>
      </c>
      <c r="H46" s="64">
        <v>29.43</v>
      </c>
      <c r="I46" s="64">
        <v>4</v>
      </c>
      <c r="J46" s="64">
        <v>0.94</v>
      </c>
      <c r="K46" s="64">
        <v>122.56</v>
      </c>
      <c r="L46" s="64">
        <v>22.67</v>
      </c>
      <c r="M46" s="64">
        <v>52.98</v>
      </c>
      <c r="N46" s="64">
        <v>452.6</v>
      </c>
      <c r="O46" s="64">
        <v>0</v>
      </c>
      <c r="P46" s="64">
        <v>1.05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1" t="s">
        <v>3070</v>
      </c>
      <c r="B47" s="64">
        <v>20.92</v>
      </c>
      <c r="C47" s="64">
        <v>17.079999999999998</v>
      </c>
      <c r="D47" s="64">
        <v>25.24</v>
      </c>
      <c r="E47" s="64">
        <v>5.63</v>
      </c>
      <c r="F47" s="64">
        <v>3.26</v>
      </c>
      <c r="G47" s="64">
        <v>64.150000000000006</v>
      </c>
      <c r="H47" s="64">
        <v>29.43</v>
      </c>
      <c r="I47" s="64">
        <v>3.95</v>
      </c>
      <c r="J47" s="64">
        <v>0.59</v>
      </c>
      <c r="K47" s="64">
        <v>124.12</v>
      </c>
      <c r="L47" s="64">
        <v>22.95</v>
      </c>
      <c r="M47" s="64">
        <v>50.84</v>
      </c>
      <c r="N47" s="64">
        <v>455.3</v>
      </c>
      <c r="O47" s="64">
        <v>0</v>
      </c>
      <c r="P47" s="64">
        <v>1.02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1" t="s">
        <v>3071</v>
      </c>
      <c r="B48" s="64">
        <v>19.7</v>
      </c>
      <c r="C48" s="64">
        <v>17.14</v>
      </c>
      <c r="D48" s="64">
        <v>24.29</v>
      </c>
      <c r="E48" s="64">
        <v>5.55</v>
      </c>
      <c r="F48" s="64">
        <v>3.23</v>
      </c>
      <c r="G48" s="64">
        <v>64.150000000000006</v>
      </c>
      <c r="H48" s="64">
        <v>29.43</v>
      </c>
      <c r="I48" s="64">
        <v>3.9</v>
      </c>
      <c r="J48" s="64">
        <v>0.74</v>
      </c>
      <c r="K48" s="64">
        <v>129.4</v>
      </c>
      <c r="L48" s="64">
        <v>23.15</v>
      </c>
      <c r="M48" s="64">
        <v>50.75</v>
      </c>
      <c r="N48" s="64">
        <v>457.3</v>
      </c>
      <c r="O48" s="64">
        <v>0</v>
      </c>
      <c r="P48" s="64">
        <v>1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1" t="s">
        <v>3072</v>
      </c>
      <c r="B49" s="64">
        <v>19.12</v>
      </c>
      <c r="C49" s="64">
        <v>16.73</v>
      </c>
      <c r="D49" s="64">
        <v>23.62</v>
      </c>
      <c r="E49" s="64">
        <v>5.85</v>
      </c>
      <c r="F49" s="64">
        <v>3.47</v>
      </c>
      <c r="G49" s="64">
        <v>63.09</v>
      </c>
      <c r="H49" s="64">
        <v>28.89</v>
      </c>
      <c r="I49" s="64">
        <v>3.85</v>
      </c>
      <c r="J49" s="64">
        <v>0.25</v>
      </c>
      <c r="K49" s="64">
        <v>103.58</v>
      </c>
      <c r="L49" s="64">
        <v>24.54</v>
      </c>
      <c r="M49" s="64">
        <v>44.58</v>
      </c>
      <c r="N49" s="64">
        <v>497.6</v>
      </c>
      <c r="O49" s="64">
        <v>0</v>
      </c>
      <c r="P49" s="64">
        <v>1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1" t="s">
        <v>3073</v>
      </c>
      <c r="B50" s="64">
        <v>18.79</v>
      </c>
      <c r="C50" s="64">
        <v>18.32</v>
      </c>
      <c r="D50" s="64">
        <v>24.18</v>
      </c>
      <c r="E50" s="64">
        <v>5.84</v>
      </c>
      <c r="F50" s="64">
        <v>3.17</v>
      </c>
      <c r="G50" s="64">
        <v>58.82</v>
      </c>
      <c r="H50" s="64">
        <v>27.29</v>
      </c>
      <c r="I50" s="64">
        <v>3.8</v>
      </c>
      <c r="J50" s="64">
        <v>0.3</v>
      </c>
      <c r="K50" s="64">
        <v>113.22</v>
      </c>
      <c r="L50" s="64">
        <v>24.76</v>
      </c>
      <c r="M50" s="64">
        <v>42.71</v>
      </c>
      <c r="N50" s="64">
        <v>549.29999999999995</v>
      </c>
      <c r="O50" s="64">
        <v>0</v>
      </c>
      <c r="P50" s="64">
        <v>1.03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1" t="s">
        <v>3074</v>
      </c>
      <c r="B51" s="64">
        <v>17.86</v>
      </c>
      <c r="C51" s="64">
        <v>18.57</v>
      </c>
      <c r="D51" s="64">
        <v>23.57</v>
      </c>
      <c r="E51" s="64">
        <v>6.09</v>
      </c>
      <c r="F51" s="64">
        <v>4.09</v>
      </c>
      <c r="G51" s="64">
        <v>58.82</v>
      </c>
      <c r="H51" s="64">
        <v>27.29</v>
      </c>
      <c r="I51" s="64">
        <v>3.77</v>
      </c>
      <c r="J51" s="64">
        <v>1.22</v>
      </c>
      <c r="K51" s="64">
        <v>122.87</v>
      </c>
      <c r="L51" s="64">
        <v>24.59</v>
      </c>
      <c r="M51" s="64">
        <v>42.7</v>
      </c>
      <c r="N51" s="64">
        <v>450.9</v>
      </c>
      <c r="O51" s="64">
        <v>0</v>
      </c>
      <c r="P51" s="64">
        <v>1.02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1" t="s">
        <v>3075</v>
      </c>
      <c r="B52" s="64">
        <v>17.170000000000002</v>
      </c>
      <c r="C52" s="64">
        <v>19.32</v>
      </c>
      <c r="D52" s="64">
        <v>23.4</v>
      </c>
      <c r="E52" s="64">
        <v>6.53</v>
      </c>
      <c r="F52" s="64">
        <v>4.1399999999999997</v>
      </c>
      <c r="G52" s="64">
        <v>58.82</v>
      </c>
      <c r="H52" s="64">
        <v>27.29</v>
      </c>
      <c r="I52" s="64">
        <v>3.74</v>
      </c>
      <c r="J52" s="64">
        <v>1.4</v>
      </c>
      <c r="K52" s="64">
        <v>124.87</v>
      </c>
      <c r="L52" s="64">
        <v>23.9</v>
      </c>
      <c r="M52" s="64">
        <v>44.84</v>
      </c>
      <c r="N52" s="64">
        <v>482.1</v>
      </c>
      <c r="O52" s="64">
        <v>0</v>
      </c>
      <c r="P52" s="64">
        <v>1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1" t="s">
        <v>3076</v>
      </c>
      <c r="B53" s="64">
        <v>15.9</v>
      </c>
      <c r="C53" s="64">
        <v>20.09</v>
      </c>
      <c r="D53" s="64">
        <v>22.79</v>
      </c>
      <c r="E53" s="64">
        <v>7.39</v>
      </c>
      <c r="F53" s="64">
        <v>4.13</v>
      </c>
      <c r="G53" s="64">
        <v>57.62</v>
      </c>
      <c r="H53" s="64">
        <v>27.03</v>
      </c>
      <c r="I53" s="64">
        <v>3.68</v>
      </c>
      <c r="J53" s="64">
        <v>0.2</v>
      </c>
      <c r="K53" s="64">
        <v>351.16</v>
      </c>
      <c r="L53" s="64">
        <v>24.25</v>
      </c>
      <c r="M53" s="64">
        <v>39.5</v>
      </c>
      <c r="N53" s="64">
        <v>207.4</v>
      </c>
      <c r="O53" s="64">
        <v>0</v>
      </c>
      <c r="P53" s="64">
        <v>0.98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11" t="s">
        <v>3077</v>
      </c>
      <c r="B54" s="64">
        <v>14.99</v>
      </c>
      <c r="C54" s="64">
        <v>20.55</v>
      </c>
      <c r="D54" s="64">
        <v>22.29</v>
      </c>
      <c r="E54" s="64">
        <v>8.02</v>
      </c>
      <c r="F54" s="64">
        <v>5.19</v>
      </c>
      <c r="G54" s="64">
        <v>52.43</v>
      </c>
      <c r="H54" s="64">
        <v>25.86</v>
      </c>
      <c r="I54" s="64">
        <v>3.97</v>
      </c>
      <c r="J54" s="64">
        <v>0.13</v>
      </c>
      <c r="K54" s="64">
        <v>109.13</v>
      </c>
      <c r="L54" s="64">
        <v>24.77</v>
      </c>
      <c r="M54" s="64">
        <v>39.32</v>
      </c>
      <c r="N54" s="64">
        <v>514.9</v>
      </c>
      <c r="O54" s="64">
        <v>0</v>
      </c>
      <c r="P54" s="64">
        <v>0.99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1" t="s">
        <v>3078</v>
      </c>
      <c r="B55" s="64">
        <v>14.24</v>
      </c>
      <c r="C55" s="64">
        <v>20.86</v>
      </c>
      <c r="D55" s="64">
        <v>21.86</v>
      </c>
      <c r="E55" s="64">
        <v>8.33</v>
      </c>
      <c r="F55" s="64">
        <v>5.61</v>
      </c>
      <c r="G55" s="64">
        <v>52.43</v>
      </c>
      <c r="H55" s="64">
        <v>25.86</v>
      </c>
      <c r="I55" s="64">
        <v>3.68</v>
      </c>
      <c r="J55" s="64">
        <v>0.97</v>
      </c>
      <c r="K55" s="64">
        <v>123.7</v>
      </c>
      <c r="L55" s="64">
        <v>25.91</v>
      </c>
      <c r="M55" s="64">
        <v>34.880000000000003</v>
      </c>
      <c r="N55" s="64">
        <v>566.6</v>
      </c>
      <c r="O55" s="64">
        <v>0</v>
      </c>
      <c r="P55" s="64">
        <v>0.97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1" t="s">
        <v>3079</v>
      </c>
      <c r="B56" s="64">
        <v>14.05</v>
      </c>
      <c r="C56" s="64">
        <v>21.39</v>
      </c>
      <c r="D56" s="64">
        <v>21.98</v>
      </c>
      <c r="E56" s="64">
        <v>6.18</v>
      </c>
      <c r="F56" s="64">
        <v>3.89</v>
      </c>
      <c r="G56" s="64">
        <v>52.43</v>
      </c>
      <c r="H56" s="64">
        <v>25.86</v>
      </c>
      <c r="I56" s="64">
        <v>3.51</v>
      </c>
      <c r="J56" s="64">
        <v>1.46</v>
      </c>
      <c r="K56" s="64">
        <v>126.29</v>
      </c>
      <c r="L56" s="64">
        <v>24.58</v>
      </c>
      <c r="M56" s="64">
        <v>36.29</v>
      </c>
      <c r="N56" s="64">
        <v>567</v>
      </c>
      <c r="O56" s="64">
        <v>0</v>
      </c>
      <c r="P56" s="64">
        <v>0.93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1" t="s">
        <v>3080</v>
      </c>
      <c r="B57" s="64">
        <v>13.28</v>
      </c>
      <c r="C57" s="64">
        <v>21.71</v>
      </c>
      <c r="D57" s="64">
        <v>21.53</v>
      </c>
      <c r="E57" s="64">
        <v>6.8</v>
      </c>
      <c r="F57" s="64">
        <v>4.3600000000000003</v>
      </c>
      <c r="G57" s="64">
        <v>51.33</v>
      </c>
      <c r="H57" s="64">
        <v>25.06</v>
      </c>
      <c r="I57" s="64">
        <v>3.8</v>
      </c>
      <c r="J57" s="64">
        <v>0.44</v>
      </c>
      <c r="K57" s="64">
        <v>115.35</v>
      </c>
      <c r="L57" s="64">
        <v>25.41</v>
      </c>
      <c r="M57" s="64">
        <v>33.729999999999997</v>
      </c>
      <c r="N57" s="64">
        <v>478.1</v>
      </c>
      <c r="O57" s="64">
        <v>0</v>
      </c>
      <c r="P57" s="64">
        <v>0.86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1" t="s">
        <v>3081</v>
      </c>
      <c r="B58" s="64">
        <v>11.96</v>
      </c>
      <c r="C58" s="64">
        <v>22.06</v>
      </c>
      <c r="D58" s="64">
        <v>20.66</v>
      </c>
      <c r="E58" s="64">
        <v>6.29</v>
      </c>
      <c r="F58" s="64">
        <v>4.12</v>
      </c>
      <c r="G58" s="64">
        <v>46.93</v>
      </c>
      <c r="H58" s="64">
        <v>22.69</v>
      </c>
      <c r="I58" s="64">
        <v>3.8</v>
      </c>
      <c r="J58" s="64">
        <v>0.49</v>
      </c>
      <c r="K58" s="64">
        <v>116.66</v>
      </c>
      <c r="L58" s="64">
        <v>25.55</v>
      </c>
      <c r="M58" s="64">
        <v>33.65</v>
      </c>
      <c r="N58" s="64">
        <v>365.2</v>
      </c>
      <c r="O58" s="64">
        <v>0</v>
      </c>
      <c r="P58" s="64">
        <v>0.82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1" t="s">
        <v>3082</v>
      </c>
      <c r="B59" s="64">
        <v>11.3</v>
      </c>
      <c r="C59" s="64">
        <v>22.71</v>
      </c>
      <c r="D59" s="64">
        <v>20.47</v>
      </c>
      <c r="E59" s="64">
        <v>5.95</v>
      </c>
      <c r="F59" s="64">
        <v>3.21</v>
      </c>
      <c r="G59" s="64">
        <v>46.93</v>
      </c>
      <c r="H59" s="64">
        <v>22.69</v>
      </c>
      <c r="I59" s="64">
        <v>3.71</v>
      </c>
      <c r="J59" s="64">
        <v>0.93</v>
      </c>
      <c r="K59" s="64">
        <v>129.66999999999999</v>
      </c>
      <c r="L59" s="64">
        <v>24.38</v>
      </c>
      <c r="M59" s="64">
        <v>35.79</v>
      </c>
      <c r="N59" s="64">
        <v>428.8</v>
      </c>
      <c r="O59" s="64">
        <v>0</v>
      </c>
      <c r="P59" s="64">
        <v>0.79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1" t="s">
        <v>3083</v>
      </c>
      <c r="B60" s="64">
        <v>9.61</v>
      </c>
      <c r="C60" s="64">
        <v>23.24</v>
      </c>
      <c r="D60" s="64">
        <v>19.39</v>
      </c>
      <c r="E60" s="64">
        <v>6.78</v>
      </c>
      <c r="F60" s="64">
        <v>4.08</v>
      </c>
      <c r="G60" s="64">
        <v>46.93</v>
      </c>
      <c r="H60" s="64">
        <v>22.69</v>
      </c>
      <c r="I60" s="64">
        <v>3.63</v>
      </c>
      <c r="J60" s="64">
        <v>0.21</v>
      </c>
      <c r="K60" s="64">
        <v>111.72</v>
      </c>
      <c r="L60" s="64">
        <v>25.72</v>
      </c>
      <c r="M60" s="64">
        <v>33.56</v>
      </c>
      <c r="N60" s="64">
        <v>449.6</v>
      </c>
      <c r="O60" s="64">
        <v>0</v>
      </c>
      <c r="P60" s="64">
        <v>0.76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1" t="s">
        <v>3084</v>
      </c>
      <c r="B61" s="64">
        <v>9.32</v>
      </c>
      <c r="C61" s="64">
        <v>24.49</v>
      </c>
      <c r="D61" s="64">
        <v>19.809999999999999</v>
      </c>
      <c r="E61" s="64">
        <v>8.27</v>
      </c>
      <c r="F61" s="64">
        <v>7.5</v>
      </c>
      <c r="G61" s="64">
        <v>46.41</v>
      </c>
      <c r="H61" s="64">
        <v>22.14</v>
      </c>
      <c r="I61" s="64">
        <v>3.56</v>
      </c>
      <c r="J61" s="64">
        <v>0.69</v>
      </c>
      <c r="K61" s="64">
        <v>344.61</v>
      </c>
      <c r="L61" s="64">
        <v>27.25</v>
      </c>
      <c r="M61" s="64">
        <v>29.5</v>
      </c>
      <c r="N61" s="64">
        <v>355.8</v>
      </c>
      <c r="O61" s="64">
        <v>0</v>
      </c>
      <c r="P61" s="64">
        <v>0.83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1" t="s">
        <v>3085</v>
      </c>
      <c r="B62" s="64">
        <v>8.6999999999999993</v>
      </c>
      <c r="C62" s="64">
        <v>25.02</v>
      </c>
      <c r="D62" s="64">
        <v>19.59</v>
      </c>
      <c r="E62" s="64">
        <v>7.4</v>
      </c>
      <c r="F62" s="64">
        <v>3.52</v>
      </c>
      <c r="G62" s="64">
        <v>44.32</v>
      </c>
      <c r="H62" s="64">
        <v>20.51</v>
      </c>
      <c r="I62" s="64">
        <v>3.47</v>
      </c>
      <c r="J62" s="64">
        <v>1.0900000000000001</v>
      </c>
      <c r="K62" s="64">
        <v>136.37</v>
      </c>
      <c r="L62" s="64">
        <v>25.82</v>
      </c>
      <c r="M62" s="64">
        <v>31.68</v>
      </c>
      <c r="N62" s="64">
        <v>386.8</v>
      </c>
      <c r="O62" s="64">
        <v>0</v>
      </c>
      <c r="P62" s="64">
        <v>0.9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1" t="s">
        <v>3086</v>
      </c>
      <c r="B63" s="64">
        <v>7.06</v>
      </c>
      <c r="C63" s="64">
        <v>23.24</v>
      </c>
      <c r="D63" s="64">
        <v>17.34</v>
      </c>
      <c r="E63" s="64">
        <v>5.96</v>
      </c>
      <c r="F63" s="64">
        <v>6.69</v>
      </c>
      <c r="G63" s="64">
        <v>44.32</v>
      </c>
      <c r="H63" s="64">
        <v>20.51</v>
      </c>
      <c r="I63" s="64">
        <v>3.41</v>
      </c>
      <c r="J63" s="64">
        <v>1.48</v>
      </c>
      <c r="K63" s="64">
        <v>120.47</v>
      </c>
      <c r="L63" s="64">
        <v>24.35</v>
      </c>
      <c r="M63" s="64">
        <v>35.44</v>
      </c>
      <c r="N63" s="64">
        <v>257.10000000000002</v>
      </c>
      <c r="O63" s="64">
        <v>0</v>
      </c>
      <c r="P63" s="64">
        <v>0.84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1" t="s">
        <v>3087</v>
      </c>
      <c r="B64" s="64">
        <v>6.57</v>
      </c>
      <c r="C64" s="64">
        <v>24.03</v>
      </c>
      <c r="D64" s="64">
        <v>17.36</v>
      </c>
      <c r="E64" s="64">
        <v>8.99</v>
      </c>
      <c r="F64" s="64">
        <v>7.96</v>
      </c>
      <c r="G64" s="64">
        <v>44.32</v>
      </c>
      <c r="H64" s="64">
        <v>20.51</v>
      </c>
      <c r="I64" s="64">
        <v>3.34</v>
      </c>
      <c r="J64" s="64">
        <v>0.74</v>
      </c>
      <c r="K64" s="64">
        <v>136.71</v>
      </c>
      <c r="L64" s="64">
        <v>24.22</v>
      </c>
      <c r="M64" s="64">
        <v>35.53</v>
      </c>
      <c r="N64" s="64">
        <v>195.4</v>
      </c>
      <c r="O64" s="64">
        <v>0</v>
      </c>
      <c r="P64" s="64">
        <v>0.81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1" t="s">
        <v>3088</v>
      </c>
      <c r="B65" s="64">
        <v>6.4</v>
      </c>
      <c r="C65" s="64">
        <v>26.24</v>
      </c>
      <c r="D65" s="64">
        <v>18.38</v>
      </c>
      <c r="E65" s="64">
        <v>9.01</v>
      </c>
      <c r="F65" s="64">
        <v>3.59</v>
      </c>
      <c r="G65" s="64">
        <v>44.62</v>
      </c>
      <c r="H65" s="64">
        <v>20.239999999999998</v>
      </c>
      <c r="I65" s="64">
        <v>3.26</v>
      </c>
      <c r="J65" s="64">
        <v>0.87</v>
      </c>
      <c r="K65" s="64">
        <v>149.34</v>
      </c>
      <c r="L65" s="64">
        <v>24.25</v>
      </c>
      <c r="M65" s="64">
        <v>34.58</v>
      </c>
      <c r="N65" s="64">
        <v>175.2</v>
      </c>
      <c r="O65" s="64">
        <v>0</v>
      </c>
      <c r="P65" s="64">
        <v>0.82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1" t="s">
        <v>3089</v>
      </c>
      <c r="B66" s="64">
        <v>5.81</v>
      </c>
      <c r="C66" s="64">
        <v>25.23</v>
      </c>
      <c r="D66" s="64">
        <v>17.38</v>
      </c>
      <c r="E66" s="64">
        <v>11.13</v>
      </c>
      <c r="F66" s="64">
        <v>7.18</v>
      </c>
      <c r="G66" s="64">
        <v>45.86</v>
      </c>
      <c r="H66" s="64">
        <v>19.440000000000001</v>
      </c>
      <c r="I66" s="64">
        <v>3.2</v>
      </c>
      <c r="J66" s="64">
        <v>0.86</v>
      </c>
      <c r="K66" s="64">
        <v>128.44</v>
      </c>
      <c r="L66" s="64">
        <v>24.39</v>
      </c>
      <c r="M66" s="64">
        <v>35</v>
      </c>
      <c r="N66" s="64">
        <v>193.9</v>
      </c>
      <c r="O66" s="64">
        <v>0</v>
      </c>
      <c r="P66" s="64">
        <v>0.78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1" t="s">
        <v>3090</v>
      </c>
      <c r="B67" s="64">
        <v>5.28</v>
      </c>
      <c r="C67" s="64">
        <v>24.17</v>
      </c>
      <c r="D67" s="64">
        <v>16.399999999999999</v>
      </c>
      <c r="E67" s="64">
        <v>11.52</v>
      </c>
      <c r="F67" s="64">
        <v>8.27</v>
      </c>
      <c r="G67" s="64">
        <v>45.86</v>
      </c>
      <c r="H67" s="64">
        <v>19.440000000000001</v>
      </c>
      <c r="I67" s="64">
        <v>3.14</v>
      </c>
      <c r="J67" s="64">
        <v>1.32</v>
      </c>
      <c r="K67" s="64">
        <v>120.41</v>
      </c>
      <c r="L67" s="64">
        <v>24</v>
      </c>
      <c r="M67" s="64">
        <v>35.07</v>
      </c>
      <c r="N67" s="64">
        <v>108.6</v>
      </c>
      <c r="O67" s="64">
        <v>0</v>
      </c>
      <c r="P67" s="64">
        <v>0.76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1" t="s">
        <v>3091</v>
      </c>
      <c r="B68" s="64">
        <v>4.9000000000000004</v>
      </c>
      <c r="C68" s="64">
        <v>24.71</v>
      </c>
      <c r="D68" s="64">
        <v>16.37</v>
      </c>
      <c r="E68" s="64">
        <v>14.44</v>
      </c>
      <c r="F68" s="64">
        <v>8.56</v>
      </c>
      <c r="G68" s="64">
        <v>45.86</v>
      </c>
      <c r="H68" s="64">
        <v>19.440000000000001</v>
      </c>
      <c r="I68" s="64">
        <v>3.09</v>
      </c>
      <c r="J68" s="64">
        <v>1.19</v>
      </c>
      <c r="K68" s="64">
        <v>118.52</v>
      </c>
      <c r="L68" s="64">
        <v>23.54</v>
      </c>
      <c r="M68" s="64">
        <v>36.340000000000003</v>
      </c>
      <c r="N68" s="64">
        <v>108.4</v>
      </c>
      <c r="O68" s="64">
        <v>0</v>
      </c>
      <c r="P68" s="64">
        <v>0.78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1" t="s">
        <v>3092</v>
      </c>
      <c r="B69" s="64">
        <v>4.5199999999999996</v>
      </c>
      <c r="C69" s="64">
        <v>24.75</v>
      </c>
      <c r="D69" s="64">
        <v>16.09</v>
      </c>
      <c r="E69" s="64">
        <v>20.21</v>
      </c>
      <c r="F69" s="64">
        <v>14.55</v>
      </c>
      <c r="G69" s="64">
        <v>45.2</v>
      </c>
      <c r="H69" s="64">
        <v>19.66</v>
      </c>
      <c r="I69" s="64">
        <v>3.03</v>
      </c>
      <c r="J69" s="64">
        <v>0.87</v>
      </c>
      <c r="K69" s="64">
        <v>115.39</v>
      </c>
      <c r="L69" s="64">
        <v>23.65</v>
      </c>
      <c r="M69" s="64">
        <v>36.26</v>
      </c>
      <c r="N69" s="64">
        <v>125.7</v>
      </c>
      <c r="O69" s="64">
        <v>0</v>
      </c>
      <c r="P69" s="64">
        <v>0.72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1" t="s">
        <v>3093</v>
      </c>
      <c r="B70" s="64">
        <v>4.41</v>
      </c>
      <c r="C70" s="64">
        <v>25.4</v>
      </c>
      <c r="D70" s="64">
        <v>16.350000000000001</v>
      </c>
      <c r="E70" s="64">
        <v>19.63</v>
      </c>
      <c r="F70" s="64">
        <v>13</v>
      </c>
      <c r="G70" s="64">
        <v>42.56</v>
      </c>
      <c r="H70" s="64">
        <v>20.64</v>
      </c>
      <c r="I70" s="64">
        <v>2.98</v>
      </c>
      <c r="J70" s="64">
        <v>0.89</v>
      </c>
      <c r="K70" s="64">
        <v>124.11</v>
      </c>
      <c r="L70" s="64">
        <v>23.64</v>
      </c>
      <c r="M70" s="64">
        <v>36.200000000000003</v>
      </c>
      <c r="N70" s="64">
        <v>92.7</v>
      </c>
      <c r="O70" s="64">
        <v>0</v>
      </c>
      <c r="P70" s="64">
        <v>0.75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1" t="s">
        <v>3094</v>
      </c>
      <c r="B71" s="64">
        <v>4.63</v>
      </c>
      <c r="C71" s="64">
        <v>27.09</v>
      </c>
      <c r="D71" s="64">
        <v>17.41</v>
      </c>
      <c r="E71" s="64">
        <v>24.79</v>
      </c>
      <c r="F71" s="64">
        <v>14.36</v>
      </c>
      <c r="G71" s="64">
        <v>42.56</v>
      </c>
      <c r="H71" s="64">
        <v>20.64</v>
      </c>
      <c r="I71" s="64">
        <v>2.95</v>
      </c>
      <c r="J71" s="64">
        <v>0.35</v>
      </c>
      <c r="K71" s="64">
        <v>123.19</v>
      </c>
      <c r="L71" s="64">
        <v>23.47</v>
      </c>
      <c r="M71" s="64">
        <v>37.81</v>
      </c>
      <c r="N71" s="64">
        <v>75.3</v>
      </c>
      <c r="O71" s="64">
        <v>0</v>
      </c>
      <c r="P71" s="64">
        <v>0.78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1" t="s">
        <v>3095</v>
      </c>
      <c r="B72" s="64">
        <v>4.41</v>
      </c>
      <c r="C72" s="64">
        <v>25.33</v>
      </c>
      <c r="D72" s="64">
        <v>16.309999999999999</v>
      </c>
      <c r="E72" s="64">
        <v>25.38</v>
      </c>
      <c r="F72" s="64">
        <v>15.41</v>
      </c>
      <c r="G72" s="64">
        <v>42.56</v>
      </c>
      <c r="H72" s="64">
        <v>20.64</v>
      </c>
      <c r="I72" s="64">
        <v>2.91</v>
      </c>
      <c r="J72" s="64">
        <v>0.94</v>
      </c>
      <c r="K72" s="64">
        <v>120.28</v>
      </c>
      <c r="L72" s="64">
        <v>23.2</v>
      </c>
      <c r="M72" s="64">
        <v>38.75</v>
      </c>
      <c r="N72" s="64">
        <v>77.2</v>
      </c>
      <c r="O72" s="64">
        <v>0</v>
      </c>
      <c r="P72" s="64">
        <v>0.73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1" t="s">
        <v>3096</v>
      </c>
      <c r="B73" s="64">
        <v>4.3499999999999996</v>
      </c>
      <c r="C73" s="64">
        <v>25.39</v>
      </c>
      <c r="D73" s="64">
        <v>16.29</v>
      </c>
      <c r="E73" s="64">
        <v>17.87</v>
      </c>
      <c r="F73" s="64">
        <v>8.8000000000000007</v>
      </c>
      <c r="G73" s="64">
        <v>42.72</v>
      </c>
      <c r="H73" s="64">
        <v>20.18</v>
      </c>
      <c r="I73" s="64">
        <v>2.88</v>
      </c>
      <c r="J73" s="64">
        <v>1.0900000000000001</v>
      </c>
      <c r="K73" s="64">
        <v>125.49</v>
      </c>
      <c r="L73" s="64">
        <v>23.15</v>
      </c>
      <c r="M73" s="64">
        <v>38.61</v>
      </c>
      <c r="N73" s="64">
        <v>76</v>
      </c>
      <c r="O73" s="64">
        <v>0</v>
      </c>
      <c r="P73" s="64">
        <v>0.76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1" t="s">
        <v>3097</v>
      </c>
      <c r="B74" s="64">
        <v>5.0199999999999996</v>
      </c>
      <c r="C74" s="64">
        <v>25.2</v>
      </c>
      <c r="D74" s="64">
        <v>16.760000000000002</v>
      </c>
      <c r="E74" s="64">
        <v>8.7899999999999991</v>
      </c>
      <c r="F74" s="64">
        <v>5.28</v>
      </c>
      <c r="G74" s="64">
        <v>43.33</v>
      </c>
      <c r="H74" s="64">
        <v>18.809999999999999</v>
      </c>
      <c r="I74" s="64">
        <v>2.84</v>
      </c>
      <c r="J74" s="64">
        <v>0.44</v>
      </c>
      <c r="K74" s="64">
        <v>118.22</v>
      </c>
      <c r="L74" s="64">
        <v>23.01</v>
      </c>
      <c r="M74" s="64">
        <v>39.19</v>
      </c>
      <c r="N74" s="64">
        <v>56.7</v>
      </c>
      <c r="O74" s="64">
        <v>0</v>
      </c>
      <c r="P74" s="64">
        <v>0.79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1" t="s">
        <v>3098</v>
      </c>
      <c r="B75" s="64">
        <v>4.5999999999999996</v>
      </c>
      <c r="C75" s="64">
        <v>30.6</v>
      </c>
      <c r="D75" s="64">
        <v>19.22</v>
      </c>
      <c r="E75" s="64">
        <v>19.55</v>
      </c>
      <c r="F75" s="64">
        <v>9.9499999999999993</v>
      </c>
      <c r="G75" s="64">
        <v>43.33</v>
      </c>
      <c r="H75" s="64">
        <v>18.809999999999999</v>
      </c>
      <c r="I75" s="64">
        <v>2.83</v>
      </c>
      <c r="J75" s="64">
        <v>0.23</v>
      </c>
      <c r="K75" s="64">
        <v>89.23</v>
      </c>
      <c r="L75" s="64">
        <v>22.83</v>
      </c>
      <c r="M75" s="64">
        <v>40.630000000000003</v>
      </c>
      <c r="N75" s="64">
        <v>55.7</v>
      </c>
      <c r="O75" s="64">
        <v>0</v>
      </c>
      <c r="P75" s="64">
        <v>0.76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11" t="s">
        <v>3099</v>
      </c>
      <c r="B76" s="64">
        <v>4.4400000000000004</v>
      </c>
      <c r="C76" s="64">
        <v>30.7</v>
      </c>
      <c r="D76" s="64">
        <v>19.14</v>
      </c>
      <c r="E76" s="64">
        <v>13.69</v>
      </c>
      <c r="F76" s="64">
        <v>7.74</v>
      </c>
      <c r="G76" s="64">
        <v>43.33</v>
      </c>
      <c r="H76" s="64">
        <v>18.809999999999999</v>
      </c>
      <c r="I76" s="64">
        <v>2.8</v>
      </c>
      <c r="J76" s="64">
        <v>0.19</v>
      </c>
      <c r="K76" s="64">
        <v>74.98</v>
      </c>
      <c r="L76" s="64">
        <v>22.49</v>
      </c>
      <c r="M76" s="64">
        <v>41.5</v>
      </c>
      <c r="N76" s="64">
        <v>40.700000000000003</v>
      </c>
      <c r="O76" s="64">
        <v>0</v>
      </c>
      <c r="P76" s="64">
        <v>0.75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1" t="s">
        <v>3100</v>
      </c>
      <c r="B77" s="64">
        <v>4.71</v>
      </c>
      <c r="C77" s="64">
        <v>32.450000000000003</v>
      </c>
      <c r="D77" s="64">
        <v>20.27</v>
      </c>
      <c r="E77" s="64">
        <v>15.8</v>
      </c>
      <c r="F77" s="64">
        <v>8.1199999999999992</v>
      </c>
      <c r="G77" s="64">
        <v>44.02</v>
      </c>
      <c r="H77" s="64">
        <v>19.16</v>
      </c>
      <c r="I77" s="64">
        <v>2.79</v>
      </c>
      <c r="J77" s="64">
        <v>0.14000000000000001</v>
      </c>
      <c r="K77" s="64">
        <v>97.64</v>
      </c>
      <c r="L77" s="64">
        <v>21.84</v>
      </c>
      <c r="M77" s="64">
        <v>43.82</v>
      </c>
      <c r="N77" s="64">
        <v>33.799999999999997</v>
      </c>
      <c r="O77" s="64">
        <v>0</v>
      </c>
      <c r="P77" s="64">
        <v>0.77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11" t="s">
        <v>3101</v>
      </c>
      <c r="B78" s="64">
        <v>4.82</v>
      </c>
      <c r="C78" s="64">
        <v>29.33</v>
      </c>
      <c r="D78" s="64">
        <v>18.73</v>
      </c>
      <c r="E78" s="64">
        <v>10.76</v>
      </c>
      <c r="F78" s="64">
        <v>5.82</v>
      </c>
      <c r="G78" s="64">
        <v>46.98</v>
      </c>
      <c r="H78" s="64">
        <v>20.18</v>
      </c>
      <c r="I78" s="64">
        <v>2.8</v>
      </c>
      <c r="J78" s="64">
        <v>0.21</v>
      </c>
      <c r="K78" s="64">
        <v>2.59</v>
      </c>
      <c r="L78" s="64">
        <v>21.41</v>
      </c>
      <c r="M78" s="64">
        <v>48.06</v>
      </c>
      <c r="N78" s="64">
        <v>32.6</v>
      </c>
      <c r="O78" s="64">
        <v>0</v>
      </c>
      <c r="P78" s="64">
        <v>0.78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1" t="s">
        <v>3102</v>
      </c>
      <c r="B79" s="64">
        <v>12.7</v>
      </c>
      <c r="C79" s="64">
        <v>26.99</v>
      </c>
      <c r="D79" s="64">
        <v>23.82</v>
      </c>
      <c r="E79" s="64">
        <v>9.09</v>
      </c>
      <c r="F79" s="64">
        <v>3.87</v>
      </c>
      <c r="G79" s="64">
        <v>46.98</v>
      </c>
      <c r="H79" s="64">
        <v>20.18</v>
      </c>
      <c r="I79" s="64">
        <v>2.82</v>
      </c>
      <c r="J79" s="64">
        <v>0.32</v>
      </c>
      <c r="K79" s="64">
        <v>355.66</v>
      </c>
      <c r="L79" s="64">
        <v>20.92</v>
      </c>
      <c r="M79" s="64">
        <v>54.97</v>
      </c>
      <c r="N79" s="64">
        <v>32.299999999999997</v>
      </c>
      <c r="O79" s="64">
        <v>0</v>
      </c>
      <c r="P79" s="64">
        <v>0.94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1" t="s">
        <v>3103</v>
      </c>
      <c r="B80" s="64">
        <v>12.52</v>
      </c>
      <c r="C80" s="64">
        <v>27.34</v>
      </c>
      <c r="D80" s="64">
        <v>23.86</v>
      </c>
      <c r="E80" s="64">
        <v>7.77</v>
      </c>
      <c r="F80" s="64">
        <v>3.82</v>
      </c>
      <c r="G80" s="64">
        <v>46.98</v>
      </c>
      <c r="H80" s="64">
        <v>20.18</v>
      </c>
      <c r="I80" s="64">
        <v>2.87</v>
      </c>
      <c r="J80" s="64">
        <v>0.3</v>
      </c>
      <c r="K80" s="64">
        <v>354.95</v>
      </c>
      <c r="L80" s="64">
        <v>20.49</v>
      </c>
      <c r="M80" s="64">
        <v>56.55</v>
      </c>
      <c r="N80" s="64">
        <v>32.1</v>
      </c>
      <c r="O80" s="64">
        <v>0</v>
      </c>
      <c r="P80" s="64">
        <v>1.02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1" t="s">
        <v>3104</v>
      </c>
      <c r="B81" s="64">
        <v>12.59</v>
      </c>
      <c r="C81" s="64">
        <v>23.23</v>
      </c>
      <c r="D81" s="64">
        <v>21.77</v>
      </c>
      <c r="E81" s="64">
        <v>6.68</v>
      </c>
      <c r="F81" s="64">
        <v>2.73</v>
      </c>
      <c r="G81" s="64">
        <v>50.19</v>
      </c>
      <c r="H81" s="64">
        <v>21.57</v>
      </c>
      <c r="I81" s="64">
        <v>2.68</v>
      </c>
      <c r="J81" s="64">
        <v>0.38</v>
      </c>
      <c r="K81" s="64">
        <v>0.97</v>
      </c>
      <c r="L81" s="64">
        <v>20.190000000000001</v>
      </c>
      <c r="M81" s="64">
        <v>63.42</v>
      </c>
      <c r="N81" s="64">
        <v>32.299999999999997</v>
      </c>
      <c r="O81" s="64">
        <v>0</v>
      </c>
      <c r="P81" s="64">
        <v>0.95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1" t="s">
        <v>3105</v>
      </c>
      <c r="B82" s="64">
        <v>11.49</v>
      </c>
      <c r="C82" s="64">
        <v>28.02</v>
      </c>
      <c r="D82" s="64">
        <v>23.39</v>
      </c>
      <c r="E82" s="64">
        <v>6.26</v>
      </c>
      <c r="F82" s="64">
        <v>2.74</v>
      </c>
      <c r="G82" s="64">
        <v>63.97</v>
      </c>
      <c r="H82" s="64">
        <v>25.68</v>
      </c>
      <c r="I82" s="64">
        <v>2.71</v>
      </c>
      <c r="J82" s="64">
        <v>0.33</v>
      </c>
      <c r="K82" s="64">
        <v>266.45</v>
      </c>
      <c r="L82" s="64">
        <v>19.850000000000001</v>
      </c>
      <c r="M82" s="64">
        <v>61.96</v>
      </c>
      <c r="N82" s="64">
        <v>32</v>
      </c>
      <c r="O82" s="64">
        <v>0</v>
      </c>
      <c r="P82" s="64">
        <v>1.02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1" t="s">
        <v>3106</v>
      </c>
      <c r="B83" s="64">
        <v>19.170000000000002</v>
      </c>
      <c r="C83" s="64">
        <v>22.73</v>
      </c>
      <c r="D83" s="64">
        <v>26.79</v>
      </c>
      <c r="E83" s="64">
        <v>6.02</v>
      </c>
      <c r="F83" s="64">
        <v>2.76</v>
      </c>
      <c r="G83" s="64">
        <v>63.97</v>
      </c>
      <c r="H83" s="64">
        <v>25.68</v>
      </c>
      <c r="I83" s="64">
        <v>2.84</v>
      </c>
      <c r="J83" s="64">
        <v>0.19</v>
      </c>
      <c r="K83" s="64">
        <v>22.73</v>
      </c>
      <c r="L83" s="64">
        <v>19.71</v>
      </c>
      <c r="M83" s="64">
        <v>66.39</v>
      </c>
      <c r="N83" s="64">
        <v>32</v>
      </c>
      <c r="O83" s="64">
        <v>0</v>
      </c>
      <c r="P83" s="64">
        <v>1.21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1" t="s">
        <v>3107</v>
      </c>
      <c r="B84" s="64">
        <v>23.71</v>
      </c>
      <c r="C84" s="64">
        <v>23.68</v>
      </c>
      <c r="D84" s="64">
        <v>30.93</v>
      </c>
      <c r="E84" s="64">
        <v>7.58</v>
      </c>
      <c r="F84" s="64">
        <v>3.19</v>
      </c>
      <c r="G84" s="64">
        <v>63.97</v>
      </c>
      <c r="H84" s="64">
        <v>25.68</v>
      </c>
      <c r="I84" s="64">
        <v>2.97</v>
      </c>
      <c r="J84" s="64">
        <v>0.32</v>
      </c>
      <c r="K84" s="64">
        <v>105.39</v>
      </c>
      <c r="L84" s="64">
        <v>19.52</v>
      </c>
      <c r="M84" s="64">
        <v>66.349999999999994</v>
      </c>
      <c r="N84" s="64">
        <v>31.9</v>
      </c>
      <c r="O84" s="64">
        <v>0</v>
      </c>
      <c r="P84" s="64">
        <v>1.51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1" t="s">
        <v>3108</v>
      </c>
      <c r="B85" s="64">
        <v>19.899999999999999</v>
      </c>
      <c r="C85" s="64">
        <v>28.62</v>
      </c>
      <c r="D85" s="64">
        <v>30.45</v>
      </c>
      <c r="E85" s="64">
        <v>8.6300000000000008</v>
      </c>
      <c r="F85" s="64">
        <v>3.63</v>
      </c>
      <c r="G85" s="64">
        <v>67.180000000000007</v>
      </c>
      <c r="H85" s="64">
        <v>28.04</v>
      </c>
      <c r="I85" s="64">
        <v>3.47</v>
      </c>
      <c r="J85" s="64">
        <v>0.37</v>
      </c>
      <c r="K85" s="64">
        <v>114.18</v>
      </c>
      <c r="L85" s="64">
        <v>19.670000000000002</v>
      </c>
      <c r="M85" s="64">
        <v>64.180000000000007</v>
      </c>
      <c r="N85" s="64">
        <v>31.6</v>
      </c>
      <c r="O85" s="64">
        <v>0</v>
      </c>
      <c r="P85" s="64">
        <v>1.51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1" t="s">
        <v>3109</v>
      </c>
      <c r="B86" s="64">
        <v>23.31</v>
      </c>
      <c r="C86" s="64">
        <v>23.96</v>
      </c>
      <c r="D86" s="64">
        <v>30.74</v>
      </c>
      <c r="E86" s="64">
        <v>8.26</v>
      </c>
      <c r="F86" s="64">
        <v>3.86</v>
      </c>
      <c r="G86" s="64">
        <v>80.95</v>
      </c>
      <c r="H86" s="64">
        <v>38.770000000000003</v>
      </c>
      <c r="I86" s="64">
        <v>3.8</v>
      </c>
      <c r="J86" s="64">
        <v>0.11</v>
      </c>
      <c r="K86" s="64">
        <v>239.52</v>
      </c>
      <c r="L86" s="64">
        <v>19.34</v>
      </c>
      <c r="M86" s="64">
        <v>66.66</v>
      </c>
      <c r="N86" s="64">
        <v>31.8</v>
      </c>
      <c r="O86" s="64">
        <v>0</v>
      </c>
      <c r="P86" s="64">
        <v>1.46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1" t="s">
        <v>3110</v>
      </c>
      <c r="B87" s="64">
        <v>30.03</v>
      </c>
      <c r="C87" s="64">
        <v>17.27</v>
      </c>
      <c r="D87" s="64">
        <v>32.46</v>
      </c>
      <c r="E87" s="64">
        <v>7.63</v>
      </c>
      <c r="F87" s="64">
        <v>3.68</v>
      </c>
      <c r="G87" s="64">
        <v>80.95</v>
      </c>
      <c r="H87" s="64">
        <v>38.770000000000003</v>
      </c>
      <c r="I87" s="64">
        <v>3.64</v>
      </c>
      <c r="J87" s="64">
        <v>0.46</v>
      </c>
      <c r="K87" s="64">
        <v>347.07</v>
      </c>
      <c r="L87" s="64">
        <v>19.059999999999999</v>
      </c>
      <c r="M87" s="64">
        <v>74.47</v>
      </c>
      <c r="N87" s="64">
        <v>32.1</v>
      </c>
      <c r="O87" s="64">
        <v>0</v>
      </c>
      <c r="P87" s="64">
        <v>1.6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1" t="s">
        <v>3111</v>
      </c>
      <c r="B88" s="64">
        <v>32.28</v>
      </c>
      <c r="C88" s="64">
        <v>16.809999999999999</v>
      </c>
      <c r="D88" s="64">
        <v>34.17</v>
      </c>
      <c r="E88" s="64">
        <v>7.65</v>
      </c>
      <c r="F88" s="64">
        <v>3.42</v>
      </c>
      <c r="G88" s="64">
        <v>80.95</v>
      </c>
      <c r="H88" s="64">
        <v>38.770000000000003</v>
      </c>
      <c r="I88" s="64">
        <v>4.04</v>
      </c>
      <c r="J88" s="64">
        <v>0.38</v>
      </c>
      <c r="K88" s="64">
        <v>348.59</v>
      </c>
      <c r="L88" s="64">
        <v>18.64</v>
      </c>
      <c r="M88" s="64">
        <v>75.39</v>
      </c>
      <c r="N88" s="64">
        <v>31.9</v>
      </c>
      <c r="O88" s="64">
        <v>0</v>
      </c>
      <c r="P88" s="64">
        <v>1.79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1" t="s">
        <v>3112</v>
      </c>
      <c r="B89" s="64">
        <v>34.5</v>
      </c>
      <c r="C89" s="64">
        <v>16.899999999999999</v>
      </c>
      <c r="D89" s="64">
        <v>36.03</v>
      </c>
      <c r="E89" s="64">
        <v>6.91</v>
      </c>
      <c r="F89" s="64">
        <v>3.46</v>
      </c>
      <c r="G89" s="64">
        <v>84.03</v>
      </c>
      <c r="H89" s="64">
        <v>39.909999999999997</v>
      </c>
      <c r="I89" s="64">
        <v>4.4000000000000004</v>
      </c>
      <c r="J89" s="64">
        <v>0.15</v>
      </c>
      <c r="K89" s="64">
        <v>61.86</v>
      </c>
      <c r="L89" s="64">
        <v>18.38</v>
      </c>
      <c r="M89" s="64">
        <v>74.98</v>
      </c>
      <c r="N89" s="64">
        <v>31.8</v>
      </c>
      <c r="O89" s="64">
        <v>0</v>
      </c>
      <c r="P89" s="64">
        <v>1.8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1" t="s">
        <v>3113</v>
      </c>
      <c r="B90" s="64">
        <v>34.68</v>
      </c>
      <c r="C90" s="64">
        <v>15.14</v>
      </c>
      <c r="D90" s="64">
        <v>35.26</v>
      </c>
      <c r="E90" s="64">
        <v>6.92</v>
      </c>
      <c r="F90" s="64">
        <v>3.51</v>
      </c>
      <c r="G90" s="64">
        <v>97.26</v>
      </c>
      <c r="H90" s="64">
        <v>43.24</v>
      </c>
      <c r="I90" s="64">
        <v>4.29</v>
      </c>
      <c r="J90" s="64">
        <v>0.28000000000000003</v>
      </c>
      <c r="K90" s="64">
        <v>283.10000000000002</v>
      </c>
      <c r="L90" s="64">
        <v>18.13</v>
      </c>
      <c r="M90" s="64">
        <v>77.17</v>
      </c>
      <c r="N90" s="64">
        <v>31.5</v>
      </c>
      <c r="O90" s="64">
        <v>0</v>
      </c>
      <c r="P90" s="64">
        <v>1.73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1" t="s">
        <v>3114</v>
      </c>
      <c r="B91" s="64">
        <v>32.97</v>
      </c>
      <c r="C91" s="64">
        <v>12.04</v>
      </c>
      <c r="D91" s="64">
        <v>32.270000000000003</v>
      </c>
      <c r="E91" s="64">
        <v>6.72</v>
      </c>
      <c r="F91" s="64">
        <v>3.25</v>
      </c>
      <c r="G91" s="64">
        <v>97.26</v>
      </c>
      <c r="H91" s="64">
        <v>43.24</v>
      </c>
      <c r="I91" s="64">
        <v>4.71</v>
      </c>
      <c r="J91" s="64">
        <v>0.48</v>
      </c>
      <c r="K91" s="64">
        <v>349.07</v>
      </c>
      <c r="L91" s="64">
        <v>17.920000000000002</v>
      </c>
      <c r="M91" s="64">
        <v>84.33</v>
      </c>
      <c r="N91" s="64">
        <v>31.8</v>
      </c>
      <c r="O91" s="64">
        <v>0</v>
      </c>
      <c r="P91" s="64">
        <v>1.7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1" t="s">
        <v>3115</v>
      </c>
      <c r="B92" s="64">
        <v>34.39</v>
      </c>
      <c r="C92" s="64">
        <v>11.62</v>
      </c>
      <c r="D92" s="64">
        <v>33.19</v>
      </c>
      <c r="E92" s="64">
        <v>6.51</v>
      </c>
      <c r="F92" s="64">
        <v>3.18</v>
      </c>
      <c r="G92" s="64">
        <v>97.26</v>
      </c>
      <c r="H92" s="64">
        <v>43.24</v>
      </c>
      <c r="I92" s="64">
        <v>4.68</v>
      </c>
      <c r="J92" s="64">
        <v>0.37</v>
      </c>
      <c r="K92" s="64">
        <v>307.57</v>
      </c>
      <c r="L92" s="64">
        <v>17.940000000000001</v>
      </c>
      <c r="M92" s="64">
        <v>73.03</v>
      </c>
      <c r="N92" s="64">
        <v>31.4</v>
      </c>
      <c r="O92" s="64">
        <v>0</v>
      </c>
      <c r="P92" s="64">
        <v>1.7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1" t="s">
        <v>3116</v>
      </c>
      <c r="B93" s="64">
        <v>35.57</v>
      </c>
      <c r="C93" s="64">
        <v>13.09</v>
      </c>
      <c r="D93" s="64">
        <v>34.9</v>
      </c>
      <c r="E93" s="64">
        <v>6.18</v>
      </c>
      <c r="F93" s="64">
        <v>3.06</v>
      </c>
      <c r="G93" s="64">
        <v>99.21</v>
      </c>
      <c r="H93" s="64">
        <v>43.59</v>
      </c>
      <c r="I93" s="64">
        <v>4.78</v>
      </c>
      <c r="J93" s="64">
        <v>0.17</v>
      </c>
      <c r="K93" s="64">
        <v>217.87</v>
      </c>
      <c r="L93" s="64">
        <v>18.52</v>
      </c>
      <c r="M93" s="64">
        <v>65.650000000000006</v>
      </c>
      <c r="N93" s="64">
        <v>31.4</v>
      </c>
      <c r="O93" s="64">
        <v>0</v>
      </c>
      <c r="P93" s="64">
        <v>1.71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1" t="s">
        <v>3117</v>
      </c>
      <c r="B94" s="64">
        <v>34.83</v>
      </c>
      <c r="C94" s="64">
        <v>12.66</v>
      </c>
      <c r="D94" s="64">
        <v>34.08</v>
      </c>
      <c r="E94" s="64">
        <v>6.11</v>
      </c>
      <c r="F94" s="64">
        <v>3.05</v>
      </c>
      <c r="G94" s="64">
        <v>107.59</v>
      </c>
      <c r="H94" s="64">
        <v>44.63</v>
      </c>
      <c r="I94" s="64">
        <v>4.88</v>
      </c>
      <c r="J94" s="64">
        <v>0.64</v>
      </c>
      <c r="K94" s="64">
        <v>124.49</v>
      </c>
      <c r="L94" s="64">
        <v>19.14</v>
      </c>
      <c r="M94" s="64">
        <v>61.05</v>
      </c>
      <c r="N94" s="64">
        <v>31</v>
      </c>
      <c r="O94" s="64">
        <v>0</v>
      </c>
      <c r="P94" s="64">
        <v>1.69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1" t="s">
        <v>3118</v>
      </c>
      <c r="B95" s="64">
        <v>34.28</v>
      </c>
      <c r="C95" s="64">
        <v>12.42</v>
      </c>
      <c r="D95" s="64">
        <v>33.520000000000003</v>
      </c>
      <c r="E95" s="64">
        <v>6.02</v>
      </c>
      <c r="F95" s="64">
        <v>3.09</v>
      </c>
      <c r="G95" s="64">
        <v>107.59</v>
      </c>
      <c r="H95" s="64">
        <v>44.63</v>
      </c>
      <c r="I95" s="64">
        <v>4.9000000000000004</v>
      </c>
      <c r="J95" s="64">
        <v>0.56000000000000005</v>
      </c>
      <c r="K95" s="64">
        <v>109.6</v>
      </c>
      <c r="L95" s="64">
        <v>19.579999999999998</v>
      </c>
      <c r="M95" s="64">
        <v>56.19</v>
      </c>
      <c r="N95" s="64">
        <v>31.4</v>
      </c>
      <c r="O95" s="64">
        <v>0</v>
      </c>
      <c r="P95" s="64">
        <v>1.67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1" t="s">
        <v>3119</v>
      </c>
      <c r="B96" s="64">
        <v>32.979999999999997</v>
      </c>
      <c r="C96" s="64">
        <v>12.5</v>
      </c>
      <c r="D96" s="64">
        <v>32.520000000000003</v>
      </c>
      <c r="E96" s="64">
        <v>5.86</v>
      </c>
      <c r="F96" s="64">
        <v>3.2</v>
      </c>
      <c r="G96" s="64">
        <v>107.59</v>
      </c>
      <c r="H96" s="64">
        <v>44.63</v>
      </c>
      <c r="I96" s="64">
        <v>4.8899999999999997</v>
      </c>
      <c r="J96" s="64">
        <v>0.26</v>
      </c>
      <c r="K96" s="64">
        <v>129.07</v>
      </c>
      <c r="L96" s="64">
        <v>19.489999999999998</v>
      </c>
      <c r="M96" s="64">
        <v>56.45</v>
      </c>
      <c r="N96" s="64">
        <v>32</v>
      </c>
      <c r="O96" s="64">
        <v>0</v>
      </c>
      <c r="P96" s="64">
        <v>1.64</v>
      </c>
      <c r="Q96" s="64">
        <v>9.67</v>
      </c>
      <c r="R96" s="198"/>
      <c r="S96" s="198"/>
      <c r="T96" s="210"/>
      <c r="U96" s="198"/>
      <c r="Z96" s="109"/>
    </row>
    <row r="97" spans="1:33" s="12" customFormat="1" x14ac:dyDescent="0.25">
      <c r="A97" s="211" t="s">
        <v>3120</v>
      </c>
      <c r="B97" s="64">
        <v>31.77</v>
      </c>
      <c r="C97" s="64">
        <v>12.95</v>
      </c>
      <c r="D97" s="64">
        <v>31.78</v>
      </c>
      <c r="E97" s="64">
        <v>6.08</v>
      </c>
      <c r="F97" s="64">
        <v>3.17</v>
      </c>
      <c r="G97" s="64">
        <v>103.6</v>
      </c>
      <c r="H97" s="64">
        <v>43.05</v>
      </c>
      <c r="I97" s="64">
        <v>5.27</v>
      </c>
      <c r="J97" s="64">
        <v>0.28999999999999998</v>
      </c>
      <c r="K97" s="64">
        <v>286.52999999999997</v>
      </c>
      <c r="L97" s="64">
        <v>19.3</v>
      </c>
      <c r="M97" s="64">
        <v>58.83</v>
      </c>
      <c r="N97" s="64">
        <v>32.1</v>
      </c>
      <c r="O97" s="64">
        <v>0</v>
      </c>
      <c r="P97" s="64">
        <v>1.63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1" t="s">
        <v>3121</v>
      </c>
      <c r="B98" s="64">
        <v>32.39</v>
      </c>
      <c r="C98" s="64">
        <v>12.79</v>
      </c>
      <c r="D98" s="64">
        <v>32.19</v>
      </c>
      <c r="E98" s="64">
        <v>5.63</v>
      </c>
      <c r="F98" s="64">
        <v>2.63</v>
      </c>
      <c r="G98" s="64">
        <v>87.65</v>
      </c>
      <c r="H98" s="64">
        <v>38.4</v>
      </c>
      <c r="I98" s="64">
        <v>5.34</v>
      </c>
      <c r="J98" s="64">
        <v>0.42</v>
      </c>
      <c r="K98" s="64">
        <v>336.73</v>
      </c>
      <c r="L98" s="64">
        <v>19</v>
      </c>
      <c r="M98" s="64">
        <v>62.94</v>
      </c>
      <c r="N98" s="64">
        <v>32.200000000000003</v>
      </c>
      <c r="O98" s="64">
        <v>0</v>
      </c>
      <c r="P98" s="64">
        <v>1.63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1" t="s">
        <v>3122</v>
      </c>
      <c r="B99" s="64">
        <v>33.799999999999997</v>
      </c>
      <c r="C99" s="64">
        <v>12.13</v>
      </c>
      <c r="D99" s="64">
        <v>32.979999999999997</v>
      </c>
      <c r="E99" s="64">
        <v>5.44</v>
      </c>
      <c r="F99" s="64">
        <v>2.83</v>
      </c>
      <c r="G99" s="64">
        <v>87.65</v>
      </c>
      <c r="H99" s="64">
        <v>38.4</v>
      </c>
      <c r="I99" s="64">
        <v>4.8899999999999997</v>
      </c>
      <c r="J99" s="64">
        <v>0.13</v>
      </c>
      <c r="K99" s="64">
        <v>323.47000000000003</v>
      </c>
      <c r="L99" s="64">
        <v>18.82</v>
      </c>
      <c r="M99" s="64">
        <v>65.510000000000005</v>
      </c>
      <c r="N99" s="64">
        <v>32.200000000000003</v>
      </c>
      <c r="O99" s="64">
        <v>0</v>
      </c>
      <c r="P99" s="64">
        <v>1.65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1" t="s">
        <v>3123</v>
      </c>
      <c r="B100" s="64">
        <v>34.56</v>
      </c>
      <c r="C100" s="64">
        <v>11.75</v>
      </c>
      <c r="D100" s="64">
        <v>33.39</v>
      </c>
      <c r="E100" s="64">
        <v>5.62</v>
      </c>
      <c r="F100" s="64">
        <v>2.84</v>
      </c>
      <c r="G100" s="64">
        <v>87.65</v>
      </c>
      <c r="H100" s="64">
        <v>38.4</v>
      </c>
      <c r="I100" s="64">
        <v>5.14</v>
      </c>
      <c r="J100" s="64">
        <v>0.17</v>
      </c>
      <c r="K100" s="64">
        <v>218.38</v>
      </c>
      <c r="L100" s="64">
        <v>18.68</v>
      </c>
      <c r="M100" s="64">
        <v>64.33</v>
      </c>
      <c r="N100" s="64">
        <v>32.1</v>
      </c>
      <c r="O100" s="64">
        <v>0</v>
      </c>
      <c r="P100" s="64">
        <v>1.64</v>
      </c>
      <c r="Q100" s="64">
        <v>9.68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3124</v>
      </c>
      <c r="B101" s="64">
        <v>34.229999999999997</v>
      </c>
      <c r="C101" s="64">
        <v>11.61</v>
      </c>
      <c r="D101" s="64">
        <v>33.049999999999997</v>
      </c>
      <c r="E101" s="64">
        <v>5.63</v>
      </c>
      <c r="F101" s="64">
        <v>2.83</v>
      </c>
      <c r="G101" s="64">
        <v>86.36</v>
      </c>
      <c r="H101" s="64">
        <v>38.39</v>
      </c>
      <c r="I101" s="64">
        <v>5.27</v>
      </c>
      <c r="J101" s="64">
        <v>0.03</v>
      </c>
      <c r="K101" s="64">
        <v>187.41</v>
      </c>
      <c r="L101" s="64">
        <v>18.54</v>
      </c>
      <c r="M101" s="64">
        <v>65.89</v>
      </c>
      <c r="N101" s="64">
        <v>32.1</v>
      </c>
      <c r="O101" s="64">
        <v>0</v>
      </c>
      <c r="P101" s="64">
        <v>1.63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1" t="s">
        <v>3125</v>
      </c>
      <c r="B102" s="64">
        <v>33.25</v>
      </c>
      <c r="C102" s="64">
        <v>11.92</v>
      </c>
      <c r="D102" s="64">
        <v>32.43</v>
      </c>
      <c r="E102" s="64">
        <v>5.48</v>
      </c>
      <c r="F102" s="64">
        <v>2.82</v>
      </c>
      <c r="G102" s="64">
        <v>81.209999999999994</v>
      </c>
      <c r="H102" s="64">
        <v>38.33</v>
      </c>
      <c r="I102" s="64">
        <v>5.24</v>
      </c>
      <c r="J102" s="64">
        <v>0.33</v>
      </c>
      <c r="K102" s="64">
        <v>99.39</v>
      </c>
      <c r="L102" s="64">
        <v>18.489999999999998</v>
      </c>
      <c r="M102" s="64">
        <v>66</v>
      </c>
      <c r="N102" s="64">
        <v>32</v>
      </c>
      <c r="O102" s="64">
        <v>0</v>
      </c>
      <c r="P102" s="64">
        <v>1.67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1" t="s">
        <v>3126</v>
      </c>
      <c r="B103" s="64">
        <v>31.81</v>
      </c>
      <c r="C103" s="64">
        <v>13.03</v>
      </c>
      <c r="D103" s="64">
        <v>31.85</v>
      </c>
      <c r="E103" s="64">
        <v>5.7</v>
      </c>
      <c r="F103" s="64">
        <v>2.88</v>
      </c>
      <c r="G103" s="64">
        <v>81.209999999999994</v>
      </c>
      <c r="H103" s="64">
        <v>38.33</v>
      </c>
      <c r="I103" s="64">
        <v>4.84</v>
      </c>
      <c r="J103" s="64">
        <v>0.33</v>
      </c>
      <c r="K103" s="64">
        <v>119.8</v>
      </c>
      <c r="L103" s="64">
        <v>18.43</v>
      </c>
      <c r="M103" s="64">
        <v>65.09</v>
      </c>
      <c r="N103" s="64">
        <v>31.8</v>
      </c>
      <c r="O103" s="64">
        <v>0</v>
      </c>
      <c r="P103" s="64">
        <v>1.67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1" t="s">
        <v>3127</v>
      </c>
      <c r="B104" s="64">
        <v>31.3</v>
      </c>
      <c r="C104" s="64">
        <v>12.99</v>
      </c>
      <c r="D104" s="64">
        <v>31.42</v>
      </c>
      <c r="E104" s="64">
        <v>5.71</v>
      </c>
      <c r="F104" s="64">
        <v>2.94</v>
      </c>
      <c r="G104" s="64">
        <v>81.209999999999994</v>
      </c>
      <c r="H104" s="64">
        <v>38.33</v>
      </c>
      <c r="I104" s="64">
        <v>5.1100000000000003</v>
      </c>
      <c r="J104" s="64">
        <v>0.17</v>
      </c>
      <c r="K104" s="64">
        <v>259.42</v>
      </c>
      <c r="L104" s="64">
        <v>18.41</v>
      </c>
      <c r="M104" s="64">
        <v>65.459999999999994</v>
      </c>
      <c r="N104" s="64">
        <v>32</v>
      </c>
      <c r="O104" s="64">
        <v>0</v>
      </c>
      <c r="P104" s="64">
        <v>1.66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4.3499999999999996</v>
      </c>
      <c r="C106" s="67">
        <f>MIN(C9:C104)</f>
        <v>11.05</v>
      </c>
      <c r="D106" s="67">
        <f t="shared" ref="D106:Q106" si="0">MIN(D9:D104)</f>
        <v>16.09</v>
      </c>
      <c r="E106" s="67">
        <f t="shared" si="0"/>
        <v>5.31</v>
      </c>
      <c r="F106" s="67">
        <f t="shared" si="0"/>
        <v>2.63</v>
      </c>
      <c r="G106" s="67">
        <f t="shared" si="0"/>
        <v>42.56</v>
      </c>
      <c r="H106" s="67">
        <f t="shared" si="0"/>
        <v>18.809999999999999</v>
      </c>
      <c r="I106" s="67">
        <f t="shared" si="0"/>
        <v>2.68</v>
      </c>
      <c r="J106" s="67">
        <f t="shared" si="0"/>
        <v>0.03</v>
      </c>
      <c r="K106" s="67">
        <f t="shared" si="0"/>
        <v>0.97</v>
      </c>
      <c r="L106" s="67">
        <f t="shared" si="0"/>
        <v>14.25</v>
      </c>
      <c r="M106" s="67">
        <f t="shared" si="0"/>
        <v>29.5</v>
      </c>
      <c r="N106" s="67">
        <f t="shared" si="0"/>
        <v>31</v>
      </c>
      <c r="O106" s="67">
        <f t="shared" si="0"/>
        <v>0</v>
      </c>
      <c r="P106" s="67">
        <f t="shared" si="0"/>
        <v>0.72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36.869999999999997</v>
      </c>
      <c r="C107" s="66">
        <f t="shared" ref="C107:Q107" si="1">MAX(C9:C104)</f>
        <v>32.450000000000003</v>
      </c>
      <c r="D107" s="66">
        <f t="shared" si="1"/>
        <v>36.03</v>
      </c>
      <c r="E107" s="66">
        <f t="shared" si="1"/>
        <v>25.38</v>
      </c>
      <c r="F107" s="66">
        <f t="shared" si="1"/>
        <v>15.41</v>
      </c>
      <c r="G107" s="66">
        <f t="shared" si="1"/>
        <v>135.88999999999999</v>
      </c>
      <c r="H107" s="66">
        <f t="shared" si="1"/>
        <v>51.99</v>
      </c>
      <c r="I107" s="66">
        <f t="shared" si="1"/>
        <v>6.36</v>
      </c>
      <c r="J107" s="66">
        <f t="shared" si="1"/>
        <v>1.48</v>
      </c>
      <c r="K107" s="66">
        <f t="shared" si="1"/>
        <v>355.66</v>
      </c>
      <c r="L107" s="66">
        <f t="shared" si="1"/>
        <v>27.25</v>
      </c>
      <c r="M107" s="66">
        <f t="shared" si="1"/>
        <v>96.84</v>
      </c>
      <c r="N107" s="66">
        <f t="shared" si="1"/>
        <v>567</v>
      </c>
      <c r="O107" s="66">
        <f t="shared" si="1"/>
        <v>0</v>
      </c>
      <c r="P107" s="66">
        <f t="shared" si="1"/>
        <v>1.97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21.456354166666671</v>
      </c>
      <c r="C108" s="67">
        <f t="shared" ref="C108:Q108" si="2">AVERAGE(C9:C104)</f>
        <v>17.831875</v>
      </c>
      <c r="D108" s="67">
        <f t="shared" si="2"/>
        <v>26.060104166666672</v>
      </c>
      <c r="E108" s="67">
        <f t="shared" si="2"/>
        <v>7.6905208333333333</v>
      </c>
      <c r="F108" s="67">
        <f t="shared" si="2"/>
        <v>4.2563541666666671</v>
      </c>
      <c r="G108" s="67">
        <f t="shared" si="2"/>
        <v>77.648229166666667</v>
      </c>
      <c r="H108" s="67">
        <f t="shared" si="2"/>
        <v>34.088333333333317</v>
      </c>
      <c r="I108" s="67">
        <f t="shared" si="2"/>
        <v>4.3626041666666646</v>
      </c>
      <c r="J108" s="67">
        <f t="shared" si="2"/>
        <v>0.43937500000000002</v>
      </c>
      <c r="K108" s="67">
        <f t="shared" si="2"/>
        <v>194.86677083333336</v>
      </c>
      <c r="L108" s="67">
        <f t="shared" si="2"/>
        <v>19.575729166666672</v>
      </c>
      <c r="M108" s="67">
        <f t="shared" si="2"/>
        <v>63.442812500000009</v>
      </c>
      <c r="N108" s="67">
        <f t="shared" si="2"/>
        <v>140.16666666666669</v>
      </c>
      <c r="O108" s="67">
        <f t="shared" si="2"/>
        <v>0</v>
      </c>
      <c r="P108" s="67">
        <f t="shared" si="2"/>
        <v>1.3014583333333336</v>
      </c>
      <c r="Q108" s="67">
        <f t="shared" si="2"/>
        <v>9.6498958333333302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10.394965493959766</v>
      </c>
      <c r="C109" s="67">
        <f t="shared" ref="C109:Q109" si="3">STDEV(C9:C104)</f>
        <v>5.8919499609301766</v>
      </c>
      <c r="D109" s="67">
        <f t="shared" si="3"/>
        <v>5.7673429976196697</v>
      </c>
      <c r="E109" s="67">
        <f t="shared" si="3"/>
        <v>4.0501221215614525</v>
      </c>
      <c r="F109" s="67">
        <f t="shared" si="3"/>
        <v>2.6559332267255051</v>
      </c>
      <c r="G109" s="67">
        <f t="shared" si="3"/>
        <v>26.965510447110805</v>
      </c>
      <c r="H109" s="67">
        <f t="shared" si="3"/>
        <v>10.714828649234478</v>
      </c>
      <c r="I109" s="67">
        <f t="shared" si="3"/>
        <v>1.0981795891782606</v>
      </c>
      <c r="J109" s="67">
        <f t="shared" si="3"/>
        <v>0.34512183203525171</v>
      </c>
      <c r="K109" s="67">
        <f t="shared" si="3"/>
        <v>107.91293038463712</v>
      </c>
      <c r="L109" s="67">
        <f t="shared" si="3"/>
        <v>3.8963807078638952</v>
      </c>
      <c r="M109" s="67">
        <f t="shared" si="3"/>
        <v>21.121948360245863</v>
      </c>
      <c r="N109" s="67">
        <f t="shared" si="3"/>
        <v>169.82467099097528</v>
      </c>
      <c r="O109" s="67">
        <f t="shared" si="3"/>
        <v>0</v>
      </c>
      <c r="P109" s="67">
        <f t="shared" si="3"/>
        <v>0.39449095558084563</v>
      </c>
      <c r="Q109" s="67">
        <f t="shared" si="3"/>
        <v>3.5791642413650945E-2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36" activePane="bottomRight" state="frozen"/>
      <selection activeCell="B2" sqref="B2"/>
      <selection pane="topRight" activeCell="B2" sqref="B2"/>
      <selection pane="bottomLeft" activeCell="B2" sqref="B2"/>
      <selection pane="bottomRight" activeCell="B50" sqref="B50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01/11/2025 00:15</v>
      </c>
      <c r="B9" s="61">
        <f>'01'!B108</f>
        <v>14.17385416666666</v>
      </c>
      <c r="C9" s="61">
        <f>'01'!C108</f>
        <v>8.4646875000000001</v>
      </c>
      <c r="D9" s="61">
        <f>'01'!D108</f>
        <v>15.796979166666665</v>
      </c>
      <c r="E9" s="61">
        <f>'01'!E108</f>
        <v>5.1054166666666676</v>
      </c>
      <c r="F9" s="61">
        <f>'01'!F108</f>
        <v>7.4856250000000024</v>
      </c>
      <c r="G9" s="99">
        <f>'01'!$G$108</f>
        <v>43.565416666666664</v>
      </c>
      <c r="H9" s="61">
        <f>'01'!H108</f>
        <v>9.2435416666666708</v>
      </c>
      <c r="I9" s="61">
        <f>'01'!I108</f>
        <v>1.7515624999999997</v>
      </c>
      <c r="J9" s="61">
        <f>'01'!J108</f>
        <v>0.3065624999999999</v>
      </c>
      <c r="K9" s="61">
        <f>'01'!K108</f>
        <v>279.33739583333323</v>
      </c>
      <c r="L9" s="61">
        <f>'01'!L108</f>
        <v>25.219583333333333</v>
      </c>
      <c r="M9" s="61">
        <f>'01'!M108</f>
        <v>87.979479166666636</v>
      </c>
      <c r="N9" s="61">
        <f>'01'!N108</f>
        <v>147.98333333333338</v>
      </c>
      <c r="O9" s="61">
        <f>'01'!O108</f>
        <v>2.0833333333333333E-3</v>
      </c>
      <c r="P9" s="202">
        <f>'01'!P108</f>
        <v>0.60208333333333319</v>
      </c>
      <c r="Q9" s="61">
        <f>'01'!Q108</f>
        <v>9.1886458333333341</v>
      </c>
      <c r="R9" s="118"/>
      <c r="S9" s="118"/>
      <c r="T9" s="118"/>
      <c r="U9" s="118"/>
    </row>
    <row r="10" spans="1:21" x14ac:dyDescent="0.25">
      <c r="A10" s="94" t="str">
        <f>'02'!$B$2</f>
        <v>02/11/2025 00:15</v>
      </c>
      <c r="B10" s="61">
        <f>'02'!B108</f>
        <v>24.997083333333332</v>
      </c>
      <c r="C10" s="61">
        <f>'02'!C108</f>
        <v>7.0096874999999983</v>
      </c>
      <c r="D10" s="61">
        <f>'02'!D108</f>
        <v>23.414062500000004</v>
      </c>
      <c r="E10" s="61">
        <f>'02'!E108</f>
        <v>6.4038541666666653</v>
      </c>
      <c r="F10" s="61">
        <f>'02'!F108</f>
        <v>7.8154166666666613</v>
      </c>
      <c r="G10" s="61">
        <f>'02'!G108</f>
        <v>46.041145833333339</v>
      </c>
      <c r="H10" s="61">
        <f>'02'!H108</f>
        <v>9.0750000000000011</v>
      </c>
      <c r="I10" s="61">
        <f>'02'!I108</f>
        <v>2.3691666666666671</v>
      </c>
      <c r="J10" s="61">
        <f>'02'!J108</f>
        <v>0.29302083333333323</v>
      </c>
      <c r="K10" s="61">
        <f>'02'!K108</f>
        <v>264.6907291666667</v>
      </c>
      <c r="L10" s="61">
        <f>'02'!L108</f>
        <v>25.646666666666672</v>
      </c>
      <c r="M10" s="61">
        <f>'02'!M108</f>
        <v>85.12750000000004</v>
      </c>
      <c r="N10" s="61">
        <f>'02'!N108</f>
        <v>157.96770833333326</v>
      </c>
      <c r="O10" s="61">
        <f>'02'!O108</f>
        <v>8.3333333333333332E-3</v>
      </c>
      <c r="P10" s="202">
        <f>'02'!P108</f>
        <v>0.7969791666666669</v>
      </c>
      <c r="Q10" s="61">
        <f>'02'!Q108</f>
        <v>9.4083333333333261</v>
      </c>
      <c r="R10" s="118"/>
      <c r="S10" s="118"/>
      <c r="T10" s="118"/>
      <c r="U10" s="118"/>
    </row>
    <row r="11" spans="1:21" x14ac:dyDescent="0.25">
      <c r="A11" s="94" t="str">
        <f>'03'!$B$2</f>
        <v>03/11/2025 00:15</v>
      </c>
      <c r="B11" s="61">
        <f>'03'!B108</f>
        <v>26.497812500000006</v>
      </c>
      <c r="C11" s="61">
        <f>'03'!C108</f>
        <v>11.887187499999996</v>
      </c>
      <c r="D11" s="61">
        <f>'03'!D108</f>
        <v>27.122395833333346</v>
      </c>
      <c r="E11" s="61">
        <f>'03'!E108</f>
        <v>6.48</v>
      </c>
      <c r="F11" s="61">
        <f>'03'!F108</f>
        <v>8.3260416666666668</v>
      </c>
      <c r="G11" s="61">
        <f>'03'!G108</f>
        <v>48.526354166666692</v>
      </c>
      <c r="H11" s="61">
        <f>'03'!H108</f>
        <v>9.2254166666666624</v>
      </c>
      <c r="I11" s="61">
        <f>'03'!I108</f>
        <v>2.7357291666666668</v>
      </c>
      <c r="J11" s="61">
        <f>'03'!J108</f>
        <v>0.35104166666666664</v>
      </c>
      <c r="K11" s="61">
        <f>'03'!K108</f>
        <v>260.85072916666661</v>
      </c>
      <c r="L11" s="61">
        <f>'03'!L108</f>
        <v>26.253229166666667</v>
      </c>
      <c r="M11" s="61">
        <f>'03'!M108</f>
        <v>77.420833333333348</v>
      </c>
      <c r="N11" s="61">
        <f>'03'!N108</f>
        <v>181.95000000000005</v>
      </c>
      <c r="O11" s="61">
        <f>'03'!O108</f>
        <v>4.1666666666666666E-3</v>
      </c>
      <c r="P11" s="202">
        <f>'03'!P108</f>
        <v>0.27937499999999998</v>
      </c>
      <c r="Q11" s="61">
        <f>'03'!Q108</f>
        <v>9.4181249999999928</v>
      </c>
      <c r="R11" s="118"/>
      <c r="S11" s="118"/>
      <c r="T11" s="118"/>
      <c r="U11" s="118"/>
    </row>
    <row r="12" spans="1:21" x14ac:dyDescent="0.25">
      <c r="A12" s="94" t="str">
        <f>'04'!$B$2</f>
        <v>04/11/2025 00:15</v>
      </c>
      <c r="B12" s="61">
        <f>'04'!B108</f>
        <v>34.621770833333336</v>
      </c>
      <c r="C12" s="61">
        <f>'04'!C108</f>
        <v>10.041458333333338</v>
      </c>
      <c r="D12" s="61">
        <f>'04'!D108</f>
        <v>31.255520833333335</v>
      </c>
      <c r="E12" s="61">
        <f>'04'!E108</f>
        <v>8.3763541666666637</v>
      </c>
      <c r="F12" s="61">
        <f>'04'!F108</f>
        <v>7.9279166666666647</v>
      </c>
      <c r="G12" s="61">
        <f>'04'!G108</f>
        <v>61.082916666666669</v>
      </c>
      <c r="H12" s="61">
        <f>'04'!H108</f>
        <v>9.7796875000000014</v>
      </c>
      <c r="I12" s="61">
        <f>'04'!I108</f>
        <v>2.7119791666666662</v>
      </c>
      <c r="J12" s="61">
        <f>'04'!J108</f>
        <v>0.51270833333333354</v>
      </c>
      <c r="K12" s="61">
        <f>'04'!K108</f>
        <v>278.75458333333336</v>
      </c>
      <c r="L12" s="61">
        <f>'04'!L108</f>
        <v>25.033749999999998</v>
      </c>
      <c r="M12" s="61">
        <f>'04'!M108</f>
        <v>66.389791666666639</v>
      </c>
      <c r="N12" s="61">
        <f>'04'!N108</f>
        <v>202.00624999999994</v>
      </c>
      <c r="O12" s="61">
        <f>'04'!O108</f>
        <v>2.0833333333333333E-3</v>
      </c>
      <c r="P12" s="202">
        <f>'04'!P108</f>
        <v>0.61635416666666665</v>
      </c>
      <c r="Q12" s="61">
        <f>'04'!Q108</f>
        <v>9.421979166666663</v>
      </c>
      <c r="R12" s="118"/>
      <c r="S12" s="118"/>
      <c r="T12" s="118"/>
      <c r="U12" s="118"/>
    </row>
    <row r="13" spans="1:21" x14ac:dyDescent="0.25">
      <c r="A13" s="94" t="str">
        <f>'05'!$B$2</f>
        <v>05/11/2025 00:15</v>
      </c>
      <c r="B13" s="61">
        <f>'05'!B108</f>
        <v>40.666582278481009</v>
      </c>
      <c r="C13" s="61">
        <f>'05'!C108</f>
        <v>12.123207547169812</v>
      </c>
      <c r="D13" s="61">
        <f>'05'!D108</f>
        <v>32.693797468354425</v>
      </c>
      <c r="E13" s="61">
        <f>'05'!E108</f>
        <v>5.2041666666666666</v>
      </c>
      <c r="F13" s="61">
        <f>'05'!F108</f>
        <v>6.0760416666666686</v>
      </c>
      <c r="G13" s="61">
        <f>'05'!G108</f>
        <v>76.000000000000028</v>
      </c>
      <c r="H13" s="61">
        <f>'05'!H108</f>
        <v>18.978695652173919</v>
      </c>
      <c r="I13" s="61">
        <f>'05'!I108</f>
        <v>3.8339583333333329</v>
      </c>
      <c r="J13" s="61">
        <f>'05'!J108</f>
        <v>0.30229166666666668</v>
      </c>
      <c r="K13" s="61">
        <f>'05'!K108</f>
        <v>288.45739583333341</v>
      </c>
      <c r="L13" s="61">
        <f>'05'!L108</f>
        <v>25.140416666666667</v>
      </c>
      <c r="M13" s="61">
        <f>'05'!M108</f>
        <v>68.930833333333311</v>
      </c>
      <c r="N13" s="61">
        <f>'05'!N108</f>
        <v>200.52604166666677</v>
      </c>
      <c r="O13" s="61">
        <f>'05'!O108</f>
        <v>0</v>
      </c>
      <c r="P13" s="202">
        <f>'05'!P108</f>
        <v>0.98072916666666676</v>
      </c>
      <c r="Q13" s="61">
        <f>'05'!Q108</f>
        <v>9.4896874999999969</v>
      </c>
      <c r="R13" s="118"/>
      <c r="S13" s="118"/>
      <c r="T13" s="118"/>
      <c r="U13" s="118"/>
    </row>
    <row r="14" spans="1:21" x14ac:dyDescent="0.25">
      <c r="A14" s="94" t="str">
        <f>'06'!$B$2</f>
        <v>06/11/2025 00:15</v>
      </c>
      <c r="B14" s="61">
        <f>'06'!B108</f>
        <v>17.910208333333333</v>
      </c>
      <c r="C14" s="61">
        <f>'06'!C108</f>
        <v>10.347812499999998</v>
      </c>
      <c r="D14" s="61">
        <f>'06'!D108</f>
        <v>19.006979166666657</v>
      </c>
      <c r="E14" s="61">
        <f>'06'!E108</f>
        <v>5.965937499999999</v>
      </c>
      <c r="F14" s="61">
        <f>'06'!F108</f>
        <v>6.3067708333333323</v>
      </c>
      <c r="G14" s="61">
        <f>'06'!G108</f>
        <v>66.001458333333332</v>
      </c>
      <c r="H14" s="61">
        <f>'06'!H108</f>
        <v>23.742604166666666</v>
      </c>
      <c r="I14" s="61">
        <f>'06'!I108</f>
        <v>2.5557291666666671</v>
      </c>
      <c r="J14" s="61">
        <f>'06'!J108</f>
        <v>0.43874999999999981</v>
      </c>
      <c r="K14" s="61">
        <f>'06'!K108</f>
        <v>279.48354166666661</v>
      </c>
      <c r="L14" s="61">
        <f>'06'!L108</f>
        <v>24.611250000000002</v>
      </c>
      <c r="M14" s="61">
        <f>'06'!M108</f>
        <v>75.766770833333354</v>
      </c>
      <c r="N14" s="61">
        <f>'06'!N108</f>
        <v>166.03541666666663</v>
      </c>
      <c r="O14" s="61">
        <f>'06'!O108</f>
        <v>0</v>
      </c>
      <c r="P14" s="202">
        <f>'06'!P108</f>
        <v>0.87500000000000033</v>
      </c>
      <c r="Q14" s="61">
        <f>'06'!Q108</f>
        <v>9.3278124999999985</v>
      </c>
      <c r="R14" s="118"/>
      <c r="S14" s="118"/>
      <c r="T14" s="118"/>
      <c r="U14" s="118"/>
    </row>
    <row r="15" spans="1:21" x14ac:dyDescent="0.25">
      <c r="A15" s="94" t="str">
        <f>'07'!$B$2</f>
        <v>07/11/2025 00:15</v>
      </c>
      <c r="B15" s="61">
        <f>'07'!B108</f>
        <v>28.710520833333344</v>
      </c>
      <c r="C15" s="61">
        <f>'07'!C108</f>
        <v>7.3620512820512838</v>
      </c>
      <c r="D15" s="61">
        <f>'07'!D108</f>
        <v>24.323541666666671</v>
      </c>
      <c r="E15" s="61">
        <f>'07'!E108</f>
        <v>6.5201041666666635</v>
      </c>
      <c r="F15" s="61">
        <f>'07'!F108</f>
        <v>5.6048958333333339</v>
      </c>
      <c r="G15" s="100">
        <f>'07'!$G$108</f>
        <v>85.648437499999986</v>
      </c>
      <c r="H15" s="61">
        <f>'07'!H108</f>
        <v>31.140729166666677</v>
      </c>
      <c r="I15" s="61">
        <f>'07'!I108</f>
        <v>3.3554166666666663</v>
      </c>
      <c r="J15" s="61">
        <f>'07'!J108</f>
        <v>0.28927083333333337</v>
      </c>
      <c r="K15" s="61">
        <f>'07'!K108</f>
        <v>222.65489583333343</v>
      </c>
      <c r="L15" s="61">
        <f>'07'!L108</f>
        <v>23.965104166666666</v>
      </c>
      <c r="M15" s="61">
        <f>'07'!M108</f>
        <v>64.651666666666657</v>
      </c>
      <c r="N15" s="61">
        <f>'07'!N108</f>
        <v>205.32291666666654</v>
      </c>
      <c r="O15" s="61">
        <f>'07'!O108</f>
        <v>0</v>
      </c>
      <c r="P15" s="202">
        <f>'07'!P108</f>
        <v>1.0308333333333333</v>
      </c>
      <c r="Q15" s="61">
        <f>'07'!Q108</f>
        <v>9.5186458333333359</v>
      </c>
      <c r="R15" s="118"/>
      <c r="S15" s="118"/>
      <c r="T15" s="118"/>
      <c r="U15" s="118"/>
    </row>
    <row r="16" spans="1:21" x14ac:dyDescent="0.25">
      <c r="A16" s="94" t="str">
        <f>'08'!$B$2</f>
        <v>08/11/2025 00:15</v>
      </c>
      <c r="B16" s="61">
        <f>'08'!B108</f>
        <v>17.326041666666661</v>
      </c>
      <c r="C16" s="61">
        <f>'08'!C108</f>
        <v>10.317608695652176</v>
      </c>
      <c r="D16" s="61">
        <f>'08'!D108</f>
        <v>18.275520833333328</v>
      </c>
      <c r="E16" s="61">
        <f>'08'!E108</f>
        <v>5.4773958333333352</v>
      </c>
      <c r="F16" s="61">
        <f>'08'!F108</f>
        <v>4.8001041666666664</v>
      </c>
      <c r="G16" s="100">
        <f>'08'!$G$108</f>
        <v>97.795483870967743</v>
      </c>
      <c r="H16" s="61">
        <f>'08'!H108</f>
        <v>33.987291666666671</v>
      </c>
      <c r="I16" s="61">
        <f>'08'!I108</f>
        <v>3.5295833333333335</v>
      </c>
      <c r="J16" s="61">
        <f>'08'!J108</f>
        <v>0.70291666666666675</v>
      </c>
      <c r="K16" s="61">
        <f>'08'!K108</f>
        <v>298.42427083333331</v>
      </c>
      <c r="L16" s="61">
        <f>'08'!L108</f>
        <v>23.104583333333338</v>
      </c>
      <c r="M16" s="61">
        <f>'08'!M108</f>
        <v>50.019375000000004</v>
      </c>
      <c r="N16" s="61">
        <f>'08'!N108</f>
        <v>209.58229166666661</v>
      </c>
      <c r="O16" s="61">
        <f>'08'!O108</f>
        <v>0</v>
      </c>
      <c r="P16" s="202">
        <f>'08'!P108</f>
        <v>0.90864583333333293</v>
      </c>
      <c r="Q16" s="61">
        <f>'08'!Q108</f>
        <v>9.4202083333333331</v>
      </c>
      <c r="R16" s="118"/>
      <c r="S16" s="118"/>
      <c r="T16" s="118"/>
      <c r="U16" s="118"/>
    </row>
    <row r="17" spans="1:21" x14ac:dyDescent="0.25">
      <c r="A17" s="94" t="str">
        <f>'09'!$B$2</f>
        <v>09/11/2025 00:15</v>
      </c>
      <c r="B17" s="61">
        <f>'09'!B108</f>
        <v>16.41</v>
      </c>
      <c r="C17" s="61">
        <f>'09'!C108</f>
        <v>13.472812499999995</v>
      </c>
      <c r="D17" s="61">
        <f>'09'!D108</f>
        <v>19.147812500000001</v>
      </c>
      <c r="E17" s="61">
        <f>'09'!E108</f>
        <v>6.3811458333333304</v>
      </c>
      <c r="F17" s="61">
        <f>'09'!F108</f>
        <v>4.6012500000000021</v>
      </c>
      <c r="G17" s="100">
        <f>'09'!$G$108</f>
        <v>116.86656250000014</v>
      </c>
      <c r="H17" s="61">
        <f>'09'!H108</f>
        <v>41.802187499999981</v>
      </c>
      <c r="I17" s="61">
        <f>'09'!I108</f>
        <v>3.8330208333333338</v>
      </c>
      <c r="J17" s="61">
        <f>'09'!J108</f>
        <v>0.46156250000000004</v>
      </c>
      <c r="K17" s="61">
        <f>'09'!K108</f>
        <v>298.71989583333323</v>
      </c>
      <c r="L17" s="61">
        <f>'09'!L108</f>
        <v>20.96583333333334</v>
      </c>
      <c r="M17" s="61">
        <f>'09'!M108</f>
        <v>52.533854166666657</v>
      </c>
      <c r="N17" s="61">
        <f>'09'!N108</f>
        <v>195.76979166666675</v>
      </c>
      <c r="O17" s="61">
        <f>'09'!O108</f>
        <v>0</v>
      </c>
      <c r="P17" s="202">
        <f>'09'!P108</f>
        <v>0.97677083333333348</v>
      </c>
      <c r="Q17" s="61">
        <f>'09'!Q108</f>
        <v>9.3448958333333341</v>
      </c>
      <c r="R17" s="118"/>
      <c r="S17" s="118"/>
      <c r="T17" s="118"/>
      <c r="U17" s="118"/>
    </row>
    <row r="18" spans="1:21" x14ac:dyDescent="0.25">
      <c r="A18" s="94" t="str">
        <f>'10'!$B$2</f>
        <v>10/11/2025 00:15</v>
      </c>
      <c r="B18" s="61">
        <f>'10'!B108</f>
        <v>35.194375000000001</v>
      </c>
      <c r="C18" s="61">
        <f>'10'!C108</f>
        <v>15.544857142857145</v>
      </c>
      <c r="D18" s="61">
        <f>'10'!D108</f>
        <v>31.788854166666653</v>
      </c>
      <c r="E18" s="61">
        <f>'10'!E108</f>
        <v>6.3219791666666687</v>
      </c>
      <c r="F18" s="61">
        <f>'10'!F108</f>
        <v>5.5389583333333308</v>
      </c>
      <c r="G18" s="101">
        <f>'10'!$G$108</f>
        <v>112.08999999999996</v>
      </c>
      <c r="H18" s="61">
        <f>'10'!H108</f>
        <v>42.689782608695616</v>
      </c>
      <c r="I18" s="61">
        <f>'10'!I108</f>
        <v>4.4885416666666664</v>
      </c>
      <c r="J18" s="61">
        <f>'10'!J108</f>
        <v>0.32708333333333334</v>
      </c>
      <c r="K18" s="61">
        <f>'10'!K108</f>
        <v>257.84499999999997</v>
      </c>
      <c r="L18" s="61">
        <f>'10'!L108</f>
        <v>20.503020833333334</v>
      </c>
      <c r="M18" s="61">
        <f>'10'!M108</f>
        <v>61.983333333333327</v>
      </c>
      <c r="N18" s="61">
        <f>'10'!N108</f>
        <v>193.55208333333314</v>
      </c>
      <c r="O18" s="61">
        <f>'10'!O108</f>
        <v>0</v>
      </c>
      <c r="P18" s="202">
        <f>'10'!P108</f>
        <v>1.3050000000000004</v>
      </c>
      <c r="Q18" s="61">
        <f>'10'!Q108</f>
        <v>9.5284375000000026</v>
      </c>
      <c r="R18" s="118"/>
      <c r="S18" s="118"/>
      <c r="T18" s="118"/>
      <c r="U18" s="118"/>
    </row>
    <row r="19" spans="1:21" x14ac:dyDescent="0.25">
      <c r="A19" s="94" t="str">
        <f>'11'!$B$2</f>
        <v>11/11/2025 00:15</v>
      </c>
      <c r="B19" s="61">
        <f>'11'!B108</f>
        <v>46.865000000000002</v>
      </c>
      <c r="C19" s="61">
        <f>'11'!C108</f>
        <v>15.07259259259259</v>
      </c>
      <c r="D19" s="61">
        <f>'11'!D108</f>
        <v>38.641041666666666</v>
      </c>
      <c r="E19" s="61">
        <f>'11'!E108</f>
        <v>5.6635416666666671</v>
      </c>
      <c r="F19" s="61">
        <f>'11'!F108</f>
        <v>4.2610416666666673</v>
      </c>
      <c r="G19" s="99">
        <f>'11'!$G$108</f>
        <v>111.98322916666667</v>
      </c>
      <c r="H19" s="61">
        <f>'11'!H108</f>
        <v>44.549895833333331</v>
      </c>
      <c r="I19" s="61">
        <f>'11'!I108</f>
        <v>5.3270833333333343</v>
      </c>
      <c r="J19" s="61">
        <f>'11'!J108</f>
        <v>0.32810526315789473</v>
      </c>
      <c r="K19" s="61">
        <f>'11'!K108</f>
        <v>253.88937500000011</v>
      </c>
      <c r="L19" s="61">
        <f>'11'!L108</f>
        <v>20.408437500000005</v>
      </c>
      <c r="M19" s="61">
        <f>'11'!M108</f>
        <v>57.66770833333333</v>
      </c>
      <c r="N19" s="61">
        <f>'11'!N108</f>
        <v>193.72187499999995</v>
      </c>
      <c r="O19" s="61">
        <f>'11'!O108</f>
        <v>0</v>
      </c>
      <c r="P19" s="202">
        <f>'11'!P108</f>
        <v>1.4476041666666664</v>
      </c>
      <c r="Q19" s="61">
        <f>'11'!Q108</f>
        <v>9.5874999999999968</v>
      </c>
      <c r="R19" s="118"/>
      <c r="S19" s="118"/>
      <c r="T19" s="118"/>
      <c r="U19" s="118"/>
    </row>
    <row r="20" spans="1:21" x14ac:dyDescent="0.25">
      <c r="A20" s="94" t="str">
        <f>'12'!$B$2</f>
        <v>12/11/2025 00:15</v>
      </c>
      <c r="B20" s="61">
        <f>'12'!B108</f>
        <v>47.691249999999997</v>
      </c>
      <c r="C20" s="61">
        <f>'12'!C108</f>
        <v>14.323584905660372</v>
      </c>
      <c r="D20" s="61">
        <f>'12'!D108</f>
        <v>39.122708333333343</v>
      </c>
      <c r="E20" s="61">
        <f>'12'!E108</f>
        <v>6.764895833333334</v>
      </c>
      <c r="F20" s="61">
        <f>'12'!F108</f>
        <v>5.0109374999999989</v>
      </c>
      <c r="G20" s="101">
        <f>'12'!$G$108</f>
        <v>86.464062500000011</v>
      </c>
      <c r="H20" s="61">
        <f>'12'!H108</f>
        <v>32.158124999999977</v>
      </c>
      <c r="I20" s="61">
        <f>'12'!I108</f>
        <v>5.5779166666666695</v>
      </c>
      <c r="J20" s="61">
        <f>'12'!J108</f>
        <v>0.25010416666666674</v>
      </c>
      <c r="K20" s="61">
        <f>'12'!K108</f>
        <v>234.66343750000013</v>
      </c>
      <c r="L20" s="61">
        <f>'12'!L108</f>
        <v>19.788541666666656</v>
      </c>
      <c r="M20" s="61">
        <f>'12'!M108</f>
        <v>58.858958333333341</v>
      </c>
      <c r="N20" s="61">
        <f>'12'!N108</f>
        <v>193.58541666666659</v>
      </c>
      <c r="O20" s="61">
        <f>'12'!O108</f>
        <v>0</v>
      </c>
      <c r="P20" s="202">
        <f>'12'!P108</f>
        <v>1.4121874999999999</v>
      </c>
      <c r="Q20" s="61">
        <f>'12'!Q108</f>
        <v>9.6106249999999989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13/11/2025 00:15</v>
      </c>
      <c r="B21" s="91">
        <f>'13'!B108</f>
        <v>48.184374999999996</v>
      </c>
      <c r="C21" s="91">
        <f>'13'!C108</f>
        <v>25.013333333333335</v>
      </c>
      <c r="D21" s="91">
        <f>'13'!D108</f>
        <v>42.393541666666671</v>
      </c>
      <c r="E21" s="91">
        <f>'13'!E108</f>
        <v>7.4106249999999951</v>
      </c>
      <c r="F21" s="91">
        <f>'13'!F108</f>
        <v>6.2451041666666676</v>
      </c>
      <c r="G21" s="100">
        <f>'13'!$G$108</f>
        <v>93.058124999999961</v>
      </c>
      <c r="H21" s="91">
        <f>'13'!H108</f>
        <v>35.221666666666685</v>
      </c>
      <c r="I21" s="91">
        <f>'13'!I108</f>
        <v>5.9924999999999997</v>
      </c>
      <c r="J21" s="91">
        <f>'13'!J108</f>
        <v>0.21677083333333325</v>
      </c>
      <c r="K21" s="91">
        <f>'13'!K108</f>
        <v>247.63906249999991</v>
      </c>
      <c r="L21" s="91">
        <f>'13'!L108</f>
        <v>19.936249999999998</v>
      </c>
      <c r="M21" s="91">
        <f>'13'!M108</f>
        <v>60.018854166666671</v>
      </c>
      <c r="N21" s="91">
        <f>'13'!N108</f>
        <v>189.35520833333328</v>
      </c>
      <c r="O21" s="91">
        <f>'13'!O108</f>
        <v>0</v>
      </c>
      <c r="P21" s="203">
        <f>'13'!P108</f>
        <v>1.5308333333333328</v>
      </c>
      <c r="Q21" s="91">
        <f>'13'!Q108</f>
        <v>9.5984374999999957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14/11/2025 00:15</v>
      </c>
      <c r="B22" s="90">
        <f>'14'!B108</f>
        <v>49.372604166666662</v>
      </c>
      <c r="C22" s="90">
        <f>'14'!C108</f>
        <v>19.113157894736844</v>
      </c>
      <c r="D22" s="90">
        <f>'14'!D108</f>
        <v>42.554791666666681</v>
      </c>
      <c r="E22" s="90">
        <f>'14'!E108</f>
        <v>8.7249999999999996</v>
      </c>
      <c r="F22" s="90">
        <f>'14'!F108</f>
        <v>4.8919791666666663</v>
      </c>
      <c r="G22" s="100">
        <f>'14'!$G$108</f>
        <v>98.360520833333325</v>
      </c>
      <c r="H22" s="100">
        <f>'14'!$G$108</f>
        <v>98.360520833333325</v>
      </c>
      <c r="I22" s="90">
        <f>'14'!I108</f>
        <v>5.9034375000000017</v>
      </c>
      <c r="J22" s="90">
        <f>'14'!J108</f>
        <v>0.24552083333333341</v>
      </c>
      <c r="K22" s="90">
        <f>'14'!K108</f>
        <v>253.93229166666671</v>
      </c>
      <c r="L22" s="90">
        <f>'14'!L108</f>
        <v>19.865416666666665</v>
      </c>
      <c r="M22" s="90">
        <f>'14'!M108</f>
        <v>56.479270833333338</v>
      </c>
      <c r="N22" s="90">
        <f>'14'!N108</f>
        <v>193.12604166666662</v>
      </c>
      <c r="O22" s="90">
        <f>'14'!O108</f>
        <v>0</v>
      </c>
      <c r="P22" s="204">
        <f>'14'!P108</f>
        <v>1.6008333333333333</v>
      </c>
      <c r="Q22" s="90">
        <f>'14'!Q108</f>
        <v>9.6408333333333331</v>
      </c>
      <c r="R22" s="206"/>
      <c r="S22" s="206"/>
      <c r="T22" s="206"/>
      <c r="U22" s="206"/>
    </row>
    <row r="23" spans="1:21" x14ac:dyDescent="0.25">
      <c r="A23" s="94" t="str">
        <f>'15'!$B$2</f>
        <v>15/11/2025 00:15</v>
      </c>
      <c r="B23" s="61">
        <f>'15'!B108</f>
        <v>30.884583333333325</v>
      </c>
      <c r="C23" s="61">
        <f>'15'!C108</f>
        <v>16.731999999999992</v>
      </c>
      <c r="D23" s="61">
        <f>'15'!D108</f>
        <v>32.370208333333316</v>
      </c>
      <c r="E23" s="61">
        <f>'15'!E108</f>
        <v>7.9883333333333333</v>
      </c>
      <c r="F23" s="61">
        <f>'15'!F108</f>
        <v>4.8885416666666659</v>
      </c>
      <c r="G23" s="100">
        <f>'15'!$G$108</f>
        <v>86.268437500000047</v>
      </c>
      <c r="H23" s="61">
        <f>'15'!H108</f>
        <v>35.629375000000003</v>
      </c>
      <c r="I23" s="61">
        <f>'15'!I108</f>
        <v>4.6185416666666663</v>
      </c>
      <c r="J23" s="61">
        <f>'15'!J108</f>
        <v>0.25322916666666656</v>
      </c>
      <c r="K23" s="61">
        <f>'15'!K108</f>
        <v>229.87635416666669</v>
      </c>
      <c r="L23" s="61">
        <f>'15'!L108</f>
        <v>19.988125</v>
      </c>
      <c r="M23" s="61">
        <f>'15'!M108</f>
        <v>53.107916666666654</v>
      </c>
      <c r="N23" s="61">
        <f>'15'!N108</f>
        <v>191.58124999999998</v>
      </c>
      <c r="O23" s="61">
        <f>'15'!O108</f>
        <v>0</v>
      </c>
      <c r="P23" s="202">
        <f>'15'!P108</f>
        <v>1.3289583333333328</v>
      </c>
      <c r="Q23" s="61">
        <f>'15'!Q108</f>
        <v>9.5861458333333349</v>
      </c>
      <c r="R23" s="118"/>
      <c r="S23" s="118"/>
      <c r="T23" s="118"/>
      <c r="U23" s="118"/>
    </row>
    <row r="24" spans="1:21" x14ac:dyDescent="0.25">
      <c r="A24" s="94" t="str">
        <f>'16'!$B$2</f>
        <v>16/11/2025 00:15</v>
      </c>
      <c r="B24" s="61">
        <f>'16'!B108</f>
        <v>26.04677083333333</v>
      </c>
      <c r="C24" s="61">
        <f>'16'!C108</f>
        <v>18.739770114942527</v>
      </c>
      <c r="D24" s="61">
        <f>'16'!D108</f>
        <v>29.158750000000008</v>
      </c>
      <c r="E24" s="61">
        <f>'16'!E108</f>
        <v>5.4732291666666688</v>
      </c>
      <c r="F24" s="61">
        <f>'16'!F108</f>
        <v>4.4697916666666666</v>
      </c>
      <c r="G24" s="100">
        <f>'16'!$G$108</f>
        <v>89.727500000000035</v>
      </c>
      <c r="H24" s="61">
        <f>'16'!H108</f>
        <v>35.835833333333312</v>
      </c>
      <c r="I24" s="61">
        <f>'16'!I108</f>
        <v>5.0406250000000012</v>
      </c>
      <c r="J24" s="61">
        <f>'16'!J108</f>
        <v>0.31427083333333344</v>
      </c>
      <c r="K24" s="61">
        <f>'16'!K108</f>
        <v>243.67145833333328</v>
      </c>
      <c r="L24" s="61">
        <f>'16'!L108</f>
        <v>19.798229166666669</v>
      </c>
      <c r="M24" s="61">
        <f>'16'!M108</f>
        <v>50.308437499999997</v>
      </c>
      <c r="N24" s="61">
        <f>'16'!N108</f>
        <v>188.17083333333335</v>
      </c>
      <c r="O24" s="61">
        <f>'16'!O108</f>
        <v>0</v>
      </c>
      <c r="P24" s="202">
        <f>'16'!P108</f>
        <v>1.3281249999999998</v>
      </c>
      <c r="Q24" s="61">
        <f>'16'!Q108</f>
        <v>9.577812499999995</v>
      </c>
      <c r="R24" s="118"/>
      <c r="S24" s="118"/>
      <c r="T24" s="118"/>
      <c r="U24" s="118"/>
    </row>
    <row r="25" spans="1:21" x14ac:dyDescent="0.25">
      <c r="A25" s="94" t="str">
        <f>'17'!$B$2</f>
        <v>17/11/2025 00:15</v>
      </c>
      <c r="B25" s="61">
        <f>'17'!B108</f>
        <v>13.574479166666665</v>
      </c>
      <c r="C25" s="61">
        <f>'17'!C108</f>
        <v>23.036145833333332</v>
      </c>
      <c r="D25" s="61">
        <f>'17'!D108</f>
        <v>22.459895833333334</v>
      </c>
      <c r="E25" s="61">
        <f>'17'!E108</f>
        <v>8.1984375000000025</v>
      </c>
      <c r="F25" s="61">
        <f>'17'!F108</f>
        <v>5.709270833333334</v>
      </c>
      <c r="G25" s="101">
        <f>'17'!$G$108</f>
        <v>79.801458333333315</v>
      </c>
      <c r="H25" s="61">
        <f>'17'!H108</f>
        <v>31.877604166666675</v>
      </c>
      <c r="I25" s="61">
        <f>'17'!I108</f>
        <v>3.5073958333333319</v>
      </c>
      <c r="J25" s="61">
        <f>'17'!J108</f>
        <v>0.33156250000000009</v>
      </c>
      <c r="K25" s="61">
        <f>'17'!K108</f>
        <v>195.11802083333325</v>
      </c>
      <c r="L25" s="61">
        <f>'17'!L108</f>
        <v>19.514062499999991</v>
      </c>
      <c r="M25" s="61">
        <f>'17'!M108</f>
        <v>48.285312500000003</v>
      </c>
      <c r="N25" s="61">
        <f>'17'!N108</f>
        <v>188.53229166666668</v>
      </c>
      <c r="O25" s="61">
        <f>'17'!O108</f>
        <v>0</v>
      </c>
      <c r="P25" s="202">
        <f>'17'!P108</f>
        <v>1.0980208333333332</v>
      </c>
      <c r="Q25" s="61">
        <f>'17'!Q108</f>
        <v>9.5763541666666558</v>
      </c>
      <c r="R25" s="118"/>
      <c r="S25" s="118"/>
      <c r="T25" s="118"/>
      <c r="U25" s="118"/>
    </row>
    <row r="26" spans="1:21" x14ac:dyDescent="0.25">
      <c r="A26" s="94" t="str">
        <f>'18'!$B$2</f>
        <v>18/11/2025 00:15</v>
      </c>
      <c r="B26" s="61">
        <f>'18'!B108</f>
        <v>17.264270833333327</v>
      </c>
      <c r="C26" s="61">
        <f>'18'!C108</f>
        <v>22.647291666666661</v>
      </c>
      <c r="D26" s="61">
        <f>'18'!D108</f>
        <v>25.214791666666656</v>
      </c>
      <c r="E26" s="61">
        <f>'18'!E108</f>
        <v>7.1178124999999994</v>
      </c>
      <c r="F26" s="61">
        <f>'18'!F108</f>
        <v>5.5177083333333323</v>
      </c>
      <c r="G26" s="99">
        <f>'18'!$G$108</f>
        <v>85.930760869565276</v>
      </c>
      <c r="H26" s="61">
        <f>'18'!H108</f>
        <v>34.606956521739122</v>
      </c>
      <c r="I26" s="61">
        <f>'18'!I108</f>
        <v>4.2519791666666684</v>
      </c>
      <c r="J26" s="61">
        <f>'18'!J108</f>
        <v>0.3136458333333334</v>
      </c>
      <c r="K26" s="61">
        <f>'18'!K108</f>
        <v>204.28500000000008</v>
      </c>
      <c r="L26" s="61">
        <f>'18'!L108</f>
        <v>19.732812499999994</v>
      </c>
      <c r="M26" s="61">
        <f>'18'!M108</f>
        <v>58.441979166666677</v>
      </c>
      <c r="N26" s="61">
        <f>'18'!N108</f>
        <v>186.89062500000014</v>
      </c>
      <c r="O26" s="61">
        <f>'18'!O108</f>
        <v>0</v>
      </c>
      <c r="P26" s="202">
        <f>'18'!P108</f>
        <v>1.2205208333333333</v>
      </c>
      <c r="Q26" s="61">
        <f>'18'!Q108</f>
        <v>9.5364583333333357</v>
      </c>
      <c r="R26" s="118"/>
      <c r="S26" s="118"/>
      <c r="T26" s="118"/>
      <c r="U26" s="118"/>
    </row>
    <row r="27" spans="1:21" x14ac:dyDescent="0.25">
      <c r="A27" s="94" t="str">
        <f>'19'!$B$2</f>
        <v>19/11/2025 00:15</v>
      </c>
      <c r="B27" s="61">
        <f>'19'!B108</f>
        <v>23.225000000000009</v>
      </c>
      <c r="C27" s="61">
        <f>'19'!C108</f>
        <v>20.147812500000008</v>
      </c>
      <c r="D27" s="61">
        <f>'19'!D108</f>
        <v>28.683854166666666</v>
      </c>
      <c r="E27" s="61">
        <f>'19'!E108</f>
        <v>6.365104166666665</v>
      </c>
      <c r="F27" s="61">
        <f>'19'!F108</f>
        <v>5.896562499999999</v>
      </c>
      <c r="G27" s="61">
        <f>'19'!G108</f>
        <v>80.23322916666659</v>
      </c>
      <c r="H27" s="61">
        <f>'19'!H108</f>
        <v>34.29500000000003</v>
      </c>
      <c r="I27" s="61">
        <f>'19'!I108</f>
        <v>4.600104166666668</v>
      </c>
      <c r="J27" s="61">
        <f>'19'!J108</f>
        <v>0.30937500000000007</v>
      </c>
      <c r="K27" s="61">
        <f>'19'!K108</f>
        <v>192.8194791666667</v>
      </c>
      <c r="L27" s="61">
        <f>'19'!L108</f>
        <v>20.010208333333335</v>
      </c>
      <c r="M27" s="61">
        <f>'19'!M108</f>
        <v>64.928645833333306</v>
      </c>
      <c r="N27" s="61">
        <f>'19'!N108</f>
        <v>181.18854166666668</v>
      </c>
      <c r="O27" s="61">
        <f>'19'!O108</f>
        <v>0</v>
      </c>
      <c r="P27" s="202">
        <f>'19'!P108</f>
        <v>1.2921875</v>
      </c>
      <c r="Q27" s="61">
        <f>'19'!Q108</f>
        <v>9.546979166666663</v>
      </c>
      <c r="R27" s="118"/>
      <c r="S27" s="118"/>
      <c r="T27" s="118"/>
      <c r="U27" s="118"/>
    </row>
    <row r="28" spans="1:21" x14ac:dyDescent="0.25">
      <c r="A28" s="94" t="str">
        <f>'20'!$B$2</f>
        <v>20/11/2025 00:15</v>
      </c>
      <c r="B28" s="61">
        <f>'20'!B108</f>
        <v>29.049062500000005</v>
      </c>
      <c r="C28" s="61">
        <f>'20'!C108</f>
        <v>17.548229166666665</v>
      </c>
      <c r="D28" s="61">
        <f>'20'!D108</f>
        <v>31.767499999999998</v>
      </c>
      <c r="E28" s="61">
        <f>'20'!E108</f>
        <v>7.5660416666666661</v>
      </c>
      <c r="F28" s="61">
        <f>'20'!F108</f>
        <v>5.3027083333333316</v>
      </c>
      <c r="G28" s="61">
        <f>'20'!G108</f>
        <v>83.139166666666668</v>
      </c>
      <c r="H28" s="61">
        <f>'20'!H108</f>
        <v>34.186458333333341</v>
      </c>
      <c r="I28" s="61">
        <f>'20'!I108</f>
        <v>4.6582291666666675</v>
      </c>
      <c r="J28" s="61">
        <f>'20'!J108</f>
        <v>0.3567708333333332</v>
      </c>
      <c r="K28" s="61">
        <f>'20'!K108</f>
        <v>271.3143750000001</v>
      </c>
      <c r="L28" s="61">
        <f>'20'!L108</f>
        <v>20.662708333333331</v>
      </c>
      <c r="M28" s="61">
        <f>'20'!M108</f>
        <v>67.703958333333318</v>
      </c>
      <c r="N28" s="61">
        <f>'20'!N108</f>
        <v>174.57812499999997</v>
      </c>
      <c r="O28" s="61">
        <f>'20'!O108</f>
        <v>0</v>
      </c>
      <c r="P28" s="202">
        <f>'20'!P108</f>
        <v>1.4022916666666674</v>
      </c>
      <c r="Q28" s="61">
        <f>'20'!Q108</f>
        <v>9.5817708333333318</v>
      </c>
      <c r="R28" s="118"/>
      <c r="S28" s="118"/>
      <c r="T28" s="118"/>
      <c r="U28" s="118"/>
    </row>
    <row r="29" spans="1:21" x14ac:dyDescent="0.25">
      <c r="A29" s="94" t="str">
        <f>'21'!$B$2</f>
        <v>21/11/2025 00:15</v>
      </c>
      <c r="B29" s="61">
        <f>'21'!B108</f>
        <v>44.552499999999981</v>
      </c>
      <c r="C29" s="61">
        <f>'21'!C108</f>
        <v>15.992794117647062</v>
      </c>
      <c r="D29" s="61">
        <f>'21'!D108</f>
        <v>40.327083333333334</v>
      </c>
      <c r="E29" s="61">
        <f>'21'!E108</f>
        <v>8.4265625000000011</v>
      </c>
      <c r="F29" s="61">
        <f>'21'!F108</f>
        <v>5.631562500000002</v>
      </c>
      <c r="G29" s="61">
        <f>'21'!G108</f>
        <v>95.180729166666637</v>
      </c>
      <c r="H29" s="61">
        <f>'21'!H108</f>
        <v>36.769166666666706</v>
      </c>
      <c r="I29" s="61">
        <f>'21'!I108</f>
        <v>6.048020833333335</v>
      </c>
      <c r="J29" s="61">
        <f>'21'!J108</f>
        <v>0.33031249999999995</v>
      </c>
      <c r="K29" s="61">
        <f>'21'!K108</f>
        <v>217.51427083333328</v>
      </c>
      <c r="L29" s="61">
        <f>'21'!L108</f>
        <v>21.331979166666667</v>
      </c>
      <c r="M29" s="61">
        <f>'21'!M108</f>
        <v>68.727916666666644</v>
      </c>
      <c r="N29" s="61">
        <f>'21'!N108</f>
        <v>180.69270833333337</v>
      </c>
      <c r="O29" s="61">
        <f>'21'!O108</f>
        <v>0</v>
      </c>
      <c r="P29" s="202">
        <f>'21'!P108</f>
        <v>1.7310416666666664</v>
      </c>
      <c r="Q29" s="61">
        <f>'21'!Q108</f>
        <v>9.6417708333333341</v>
      </c>
      <c r="R29" s="118"/>
      <c r="S29" s="118"/>
      <c r="T29" s="118"/>
      <c r="U29" s="118"/>
    </row>
    <row r="30" spans="1:21" x14ac:dyDescent="0.25">
      <c r="A30" s="94" t="str">
        <f>'22'!$B$2</f>
        <v>22/11/2025 00:15</v>
      </c>
      <c r="B30" s="61">
        <f>'22'!B108</f>
        <v>46.256770833333341</v>
      </c>
      <c r="C30" s="61">
        <f>'22'!C108</f>
        <v>15.497397260273969</v>
      </c>
      <c r="D30" s="61">
        <f>'22'!D108</f>
        <v>42.114895833333335</v>
      </c>
      <c r="E30" s="61">
        <f>'22'!E108</f>
        <v>7.5608333333333304</v>
      </c>
      <c r="F30" s="61">
        <f>'22'!F108</f>
        <v>6.2195833333333335</v>
      </c>
      <c r="G30" s="61">
        <f>'22'!G108</f>
        <v>103.01083333333328</v>
      </c>
      <c r="H30" s="61">
        <f>'22'!H108</f>
        <v>41.437499999999972</v>
      </c>
      <c r="I30" s="61">
        <f>'22'!I108</f>
        <v>6.0941666666666654</v>
      </c>
      <c r="J30" s="61">
        <f>'22'!J108</f>
        <v>0.2754166666666667</v>
      </c>
      <c r="K30" s="61">
        <f>'22'!K108</f>
        <v>229.70197916666666</v>
      </c>
      <c r="L30" s="61">
        <f>'22'!L108</f>
        <v>21.291145833333339</v>
      </c>
      <c r="M30" s="61">
        <f>'22'!M108</f>
        <v>70.728645833333346</v>
      </c>
      <c r="N30" s="61">
        <f>'22'!N108</f>
        <v>170.27395833333327</v>
      </c>
      <c r="O30" s="61">
        <f>'22'!O108</f>
        <v>0</v>
      </c>
      <c r="P30" s="202">
        <f>'22'!P108</f>
        <v>1.8040624999999997</v>
      </c>
      <c r="Q30" s="61">
        <f>'22'!Q108</f>
        <v>9.6633333333333322</v>
      </c>
      <c r="R30" s="118"/>
      <c r="S30" s="118"/>
      <c r="T30" s="118"/>
      <c r="U30" s="118"/>
    </row>
    <row r="31" spans="1:21" x14ac:dyDescent="0.25">
      <c r="A31" s="94" t="str">
        <f>'23'!$B$2</f>
        <v>23/11/2025 00:15</v>
      </c>
      <c r="B31" s="61">
        <f>'23'!B108</f>
        <v>42.068541666666675</v>
      </c>
      <c r="C31" s="61">
        <f>'23'!C108</f>
        <v>14.379390243902435</v>
      </c>
      <c r="D31" s="61">
        <f>'23'!D108</f>
        <v>39.378125000000004</v>
      </c>
      <c r="E31" s="61">
        <f>'23'!E108</f>
        <v>8.1637499999999985</v>
      </c>
      <c r="F31" s="61">
        <f>'23'!F108</f>
        <v>6.5937500000000036</v>
      </c>
      <c r="G31" s="61">
        <f>'23'!G108</f>
        <v>82.539687500000042</v>
      </c>
      <c r="H31" s="61">
        <f>'23'!H108</f>
        <v>33.702499999999993</v>
      </c>
      <c r="I31" s="61">
        <f>'23'!I108</f>
        <v>5.7405208333333348</v>
      </c>
      <c r="J31" s="61">
        <f>'23'!J108</f>
        <v>0.28374999999999995</v>
      </c>
      <c r="K31" s="61">
        <f>'23'!K108</f>
        <v>182.49197916666671</v>
      </c>
      <c r="L31" s="61">
        <f>'23'!L108</f>
        <v>21.718749999999996</v>
      </c>
      <c r="M31" s="61">
        <f>'23'!M108</f>
        <v>68.544166666666683</v>
      </c>
      <c r="N31" s="61">
        <f>'23'!N108</f>
        <v>167.27395833333335</v>
      </c>
      <c r="O31" s="61">
        <f>'23'!O108</f>
        <v>0</v>
      </c>
      <c r="P31" s="202">
        <f>'23'!P108</f>
        <v>1.549895833333333</v>
      </c>
      <c r="Q31" s="61">
        <f>'23'!Q108</f>
        <v>9.6315625000000029</v>
      </c>
      <c r="R31" s="118"/>
      <c r="S31" s="207"/>
      <c r="T31" s="118"/>
      <c r="U31" s="118"/>
    </row>
    <row r="32" spans="1:21" x14ac:dyDescent="0.25">
      <c r="A32" s="94" t="str">
        <f>'24'!$B$2</f>
        <v>24/11/2025 00:15</v>
      </c>
      <c r="B32" s="61">
        <f>'24'!B108</f>
        <v>21.540208333333343</v>
      </c>
      <c r="C32" s="61">
        <f>'24'!C108</f>
        <v>20.27279069767442</v>
      </c>
      <c r="D32" s="61">
        <f>'24'!D108</f>
        <v>26.157291666666662</v>
      </c>
      <c r="E32" s="61">
        <f>'24'!E108</f>
        <v>7.0695833333333349</v>
      </c>
      <c r="F32" s="61">
        <f>'24'!F108</f>
        <v>7.3119791666666698</v>
      </c>
      <c r="G32" s="61">
        <f>'24'!G108</f>
        <v>70.116770833333291</v>
      </c>
      <c r="H32" s="61">
        <f>'24'!H108</f>
        <v>28.636250000000032</v>
      </c>
      <c r="I32" s="61">
        <f>'24'!I108</f>
        <v>4.3022916666666662</v>
      </c>
      <c r="J32" s="61">
        <f>'24'!J108</f>
        <v>0.32916666666666666</v>
      </c>
      <c r="K32" s="61">
        <f>'24'!K108</f>
        <v>143.07135416666668</v>
      </c>
      <c r="L32" s="61">
        <f>'24'!L108</f>
        <v>21.95020833333334</v>
      </c>
      <c r="M32" s="61">
        <f>'24'!M108</f>
        <v>69.684062500000039</v>
      </c>
      <c r="N32" s="61">
        <f>'24'!N108</f>
        <v>164.625</v>
      </c>
      <c r="O32" s="61">
        <f>'24'!O108</f>
        <v>0</v>
      </c>
      <c r="P32" s="202">
        <f>'24'!P108</f>
        <v>1.0902083333333339</v>
      </c>
      <c r="Q32" s="61">
        <f>'24'!Q108</f>
        <v>9.4651041666666753</v>
      </c>
      <c r="R32" s="118"/>
      <c r="S32" s="118"/>
      <c r="T32" s="118"/>
      <c r="U32" s="118"/>
    </row>
    <row r="33" spans="1:21" x14ac:dyDescent="0.25">
      <c r="A33" s="94" t="str">
        <f>'25'!$B$2</f>
        <v>25/11/2025 00:15</v>
      </c>
      <c r="B33" s="61">
        <f>'25'!B108</f>
        <v>10.25329411764706</v>
      </c>
      <c r="C33" s="61">
        <f>'25'!C108</f>
        <v>26.882470588235293</v>
      </c>
      <c r="D33" s="61">
        <f>'25'!D108</f>
        <v>21.805529411764702</v>
      </c>
      <c r="E33" s="61">
        <f>'25'!E108</f>
        <v>6.650882352941176</v>
      </c>
      <c r="F33" s="61">
        <f>'25'!F108</f>
        <v>6.7447126436781595</v>
      </c>
      <c r="G33" s="61">
        <f>'25'!G108</f>
        <v>72.618390804597681</v>
      </c>
      <c r="H33" s="61">
        <f>'25'!H108</f>
        <v>31.571609195402289</v>
      </c>
      <c r="I33" s="61">
        <f>'25'!I108</f>
        <v>3.2054117647058815</v>
      </c>
      <c r="J33" s="61">
        <f>'25'!J108</f>
        <v>0.35643678160919545</v>
      </c>
      <c r="K33" s="61">
        <f>'25'!K108</f>
        <v>188.62103448275869</v>
      </c>
      <c r="L33" s="61">
        <f>'25'!L108</f>
        <v>22.854942528735638</v>
      </c>
      <c r="M33" s="61">
        <f>'25'!M108</f>
        <v>68.532183908045965</v>
      </c>
      <c r="N33" s="61">
        <f>'25'!N108</f>
        <v>154.6471264367816</v>
      </c>
      <c r="O33" s="61">
        <f>'25'!O108</f>
        <v>0</v>
      </c>
      <c r="P33" s="202">
        <f>'25'!P108</f>
        <v>0.92523255813953476</v>
      </c>
      <c r="Q33" s="61">
        <f>'25'!Q108</f>
        <v>9.5064285714285681</v>
      </c>
      <c r="R33" s="118"/>
      <c r="S33" s="207"/>
      <c r="T33" s="118"/>
      <c r="U33" s="118"/>
    </row>
    <row r="34" spans="1:21" x14ac:dyDescent="0.25">
      <c r="A34" s="94" t="str">
        <f>'26'!$B$2</f>
        <v>26/11/2025 00:15</v>
      </c>
      <c r="B34" s="61">
        <f>'26'!B108</f>
        <v>10.592812500000001</v>
      </c>
      <c r="C34" s="61">
        <f>'26'!C108</f>
        <v>23.879895833333336</v>
      </c>
      <c r="D34" s="61">
        <f>'26'!D108</f>
        <v>20.510416666666664</v>
      </c>
      <c r="E34" s="61">
        <f>'26'!E108</f>
        <v>10.287708333333333</v>
      </c>
      <c r="F34" s="61">
        <f>'26'!F108</f>
        <v>6.2563541666666644</v>
      </c>
      <c r="G34" s="61">
        <f>'26'!G108</f>
        <v>68.356979166666619</v>
      </c>
      <c r="H34" s="61">
        <f>'26'!H108</f>
        <v>29.083437499999988</v>
      </c>
      <c r="I34" s="61">
        <f>'26'!I108</f>
        <v>3.1742708333333343</v>
      </c>
      <c r="J34" s="61">
        <f>'26'!J108</f>
        <v>0.27520833333333328</v>
      </c>
      <c r="K34" s="61">
        <f>'26'!K108</f>
        <v>191.20677083333331</v>
      </c>
      <c r="L34" s="61">
        <f>'26'!L108</f>
        <v>21.234583333333337</v>
      </c>
      <c r="M34" s="61">
        <f>'26'!M108</f>
        <v>59.588020833333353</v>
      </c>
      <c r="N34" s="61">
        <f>'26'!N108</f>
        <v>151.89270833333333</v>
      </c>
      <c r="O34" s="61">
        <f>'26'!O108</f>
        <v>0</v>
      </c>
      <c r="P34" s="202">
        <f>'26'!P108</f>
        <v>0.97354166666666708</v>
      </c>
      <c r="Q34" s="61">
        <f>'26'!Q108</f>
        <v>9.6086458333333287</v>
      </c>
      <c r="R34" s="118"/>
      <c r="S34" s="118"/>
      <c r="T34" s="118"/>
      <c r="U34" s="118"/>
    </row>
    <row r="35" spans="1:21" x14ac:dyDescent="0.25">
      <c r="A35" s="94" t="str">
        <f>'27'!$B$2</f>
        <v>27/11/2025 00:15</v>
      </c>
      <c r="B35" s="61">
        <f>'27'!B108</f>
        <v>6.4920833333333334</v>
      </c>
      <c r="C35" s="61">
        <f>'27'!C108</f>
        <v>25.055208333333336</v>
      </c>
      <c r="D35" s="61">
        <f>'27'!D108</f>
        <v>17.826875000000005</v>
      </c>
      <c r="E35" s="61">
        <f>'27'!E108</f>
        <v>5.5312499999999964</v>
      </c>
      <c r="F35" s="61">
        <f>'27'!F108</f>
        <v>4.0909374999999999</v>
      </c>
      <c r="G35" s="61">
        <f>'27'!G108</f>
        <v>57.039583333333404</v>
      </c>
      <c r="H35" s="61">
        <f>'27'!H108</f>
        <v>25.083020833333332</v>
      </c>
      <c r="I35" s="61">
        <f>'27'!I108</f>
        <v>2.7204166666666674</v>
      </c>
      <c r="J35" s="61">
        <f>'27'!J108</f>
        <v>0.34250000000000003</v>
      </c>
      <c r="K35" s="61">
        <f>'27'!K108</f>
        <v>203.01333333333335</v>
      </c>
      <c r="L35" s="61">
        <f>'27'!L108</f>
        <v>20.333541666666665</v>
      </c>
      <c r="M35" s="61">
        <f>'27'!M108</f>
        <v>45.945416666666667</v>
      </c>
      <c r="N35" s="61">
        <f>'27'!N108</f>
        <v>156.36458333333323</v>
      </c>
      <c r="O35" s="61">
        <f>'27'!O108</f>
        <v>0</v>
      </c>
      <c r="P35" s="202">
        <f>'27'!P108</f>
        <v>0.82708333333333306</v>
      </c>
      <c r="Q35" s="61">
        <f>'27'!Q108</f>
        <v>9.563854166666669</v>
      </c>
      <c r="R35" s="118"/>
      <c r="S35" s="118"/>
      <c r="T35" s="118"/>
      <c r="U35" s="118"/>
    </row>
    <row r="36" spans="1:21" x14ac:dyDescent="0.25">
      <c r="A36" s="94" t="str">
        <f>'28'!$B$2</f>
        <v>28/11/2025 00:15</v>
      </c>
      <c r="B36" s="61">
        <f>'28'!B108</f>
        <v>13.166979166666666</v>
      </c>
      <c r="C36" s="61">
        <f>'28'!C108</f>
        <v>22.029895833333331</v>
      </c>
      <c r="D36" s="61">
        <f>'28'!D108</f>
        <v>21.608125000000001</v>
      </c>
      <c r="E36" s="61">
        <f>'28'!E108</f>
        <v>5.2575000000000012</v>
      </c>
      <c r="F36" s="61">
        <f>'28'!F108</f>
        <v>3.7020833333333343</v>
      </c>
      <c r="G36" s="61">
        <f>'28'!G108</f>
        <v>65.99791666666664</v>
      </c>
      <c r="H36" s="61">
        <f>'28'!H108</f>
        <v>29.069166666666646</v>
      </c>
      <c r="I36" s="61">
        <f>'28'!I108</f>
        <v>3.4226041666666664</v>
      </c>
      <c r="J36" s="61">
        <f>'28'!J108</f>
        <v>0.39833333333333337</v>
      </c>
      <c r="K36" s="61">
        <f>'28'!K108</f>
        <v>231.02989583333337</v>
      </c>
      <c r="L36" s="61">
        <f>'28'!L108</f>
        <v>18.810416666666676</v>
      </c>
      <c r="M36" s="61">
        <f>'28'!M108</f>
        <v>54.441041666666649</v>
      </c>
      <c r="N36" s="61">
        <f>'28'!N108</f>
        <v>155.97812500000003</v>
      </c>
      <c r="O36" s="61">
        <f>'28'!O108</f>
        <v>0</v>
      </c>
      <c r="P36" s="202">
        <f>'28'!P108</f>
        <v>1.0089583333333334</v>
      </c>
      <c r="Q36" s="61">
        <f>'28'!Q108</f>
        <v>9.5990624999999987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29/11/2025 00:15</v>
      </c>
      <c r="B37" s="61">
        <f>'29'!B108</f>
        <v>22.147812500000004</v>
      </c>
      <c r="C37" s="61">
        <f>'29'!C108</f>
        <v>18.660833333333333</v>
      </c>
      <c r="D37" s="61">
        <f>'29'!D108</f>
        <v>27.047916666666662</v>
      </c>
      <c r="E37" s="61">
        <f>'29'!E108</f>
        <v>6.7653124999999976</v>
      </c>
      <c r="F37" s="61">
        <f>'29'!F108</f>
        <v>4.4094791666666673</v>
      </c>
      <c r="G37" s="61">
        <f>'29'!G108</f>
        <v>80.834479166666668</v>
      </c>
      <c r="H37" s="61">
        <f>'29'!H108</f>
        <v>34.222291666666663</v>
      </c>
      <c r="I37" s="61">
        <f>'29'!I108</f>
        <v>4.5472916666666672</v>
      </c>
      <c r="J37" s="61">
        <f>'29'!J108</f>
        <v>0.44031249999999988</v>
      </c>
      <c r="K37" s="61">
        <f>'29'!K108</f>
        <v>192.94291666666666</v>
      </c>
      <c r="L37" s="61">
        <f>'29'!L108</f>
        <v>19.42145833333332</v>
      </c>
      <c r="M37" s="61">
        <f>'29'!M108</f>
        <v>63.566770833333294</v>
      </c>
      <c r="N37" s="61">
        <f>'29'!N108</f>
        <v>153.04999999999998</v>
      </c>
      <c r="O37" s="61">
        <f>'29'!O108</f>
        <v>0</v>
      </c>
      <c r="P37" s="202">
        <f>'29'!P108</f>
        <v>1.4031249999999995</v>
      </c>
      <c r="Q37" s="61">
        <f>'29'!Q108</f>
        <v>9.6598958333333353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30/11/2025 00:15</v>
      </c>
      <c r="B38" s="61">
        <f>'30'!B108</f>
        <v>21.456354166666671</v>
      </c>
      <c r="C38" s="61">
        <f>'30'!C108</f>
        <v>17.831875</v>
      </c>
      <c r="D38" s="61">
        <f>'30'!D108</f>
        <v>26.060104166666672</v>
      </c>
      <c r="E38" s="61">
        <f>'30'!E108</f>
        <v>7.6905208333333333</v>
      </c>
      <c r="F38" s="61">
        <f>'30'!F108</f>
        <v>4.2563541666666671</v>
      </c>
      <c r="G38" s="61">
        <f>'30'!G108</f>
        <v>77.648229166666667</v>
      </c>
      <c r="H38" s="61">
        <f>'30'!H108</f>
        <v>34.088333333333317</v>
      </c>
      <c r="I38" s="61">
        <f>'30'!I108</f>
        <v>4.3626041666666646</v>
      </c>
      <c r="J38" s="61">
        <f>'30'!J108</f>
        <v>0.43937500000000002</v>
      </c>
      <c r="K38" s="61">
        <f>'30'!K108</f>
        <v>194.86677083333336</v>
      </c>
      <c r="L38" s="61">
        <f>'30'!L108</f>
        <v>19.575729166666672</v>
      </c>
      <c r="M38" s="61">
        <f>'30'!M108</f>
        <v>63.442812500000009</v>
      </c>
      <c r="N38" s="61">
        <f>'30'!N108</f>
        <v>140.16666666666669</v>
      </c>
      <c r="O38" s="61">
        <f>'30'!O108</f>
        <v>0</v>
      </c>
      <c r="P38" s="202">
        <f>'30'!P108</f>
        <v>1.3014583333333336</v>
      </c>
      <c r="Q38" s="61">
        <f>'30'!Q108</f>
        <v>9.6498958333333302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6.4920833333333334</v>
      </c>
      <c r="C40" s="16">
        <f t="shared" si="0"/>
        <v>7.0096874999999983</v>
      </c>
      <c r="D40" s="16">
        <f t="shared" si="0"/>
        <v>15.796979166666665</v>
      </c>
      <c r="E40" s="16">
        <f t="shared" si="0"/>
        <v>5.1054166666666676</v>
      </c>
      <c r="F40" s="16">
        <f t="shared" si="0"/>
        <v>3.7020833333333343</v>
      </c>
      <c r="G40" s="16">
        <f t="shared" si="0"/>
        <v>43.565416666666664</v>
      </c>
      <c r="H40" s="16">
        <f t="shared" si="0"/>
        <v>9.0750000000000011</v>
      </c>
      <c r="I40" s="16">
        <f t="shared" si="0"/>
        <v>1.7515624999999997</v>
      </c>
      <c r="J40" s="16">
        <f t="shared" si="0"/>
        <v>0.21677083333333325</v>
      </c>
      <c r="K40" s="16">
        <f t="shared" si="0"/>
        <v>143.07135416666668</v>
      </c>
      <c r="L40" s="16">
        <f t="shared" si="0"/>
        <v>18.810416666666676</v>
      </c>
      <c r="M40" s="16">
        <f t="shared" si="0"/>
        <v>45.945416666666667</v>
      </c>
      <c r="N40" s="16">
        <f t="shared" si="0"/>
        <v>140.16666666666669</v>
      </c>
      <c r="O40" s="16">
        <f t="shared" si="0"/>
        <v>0</v>
      </c>
      <c r="P40" s="16">
        <f t="shared" si="0"/>
        <v>0.27937499999999998</v>
      </c>
      <c r="Q40" s="16">
        <f t="shared" si="0"/>
        <v>9.1886458333333341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49.372604166666662</v>
      </c>
      <c r="C41" s="16">
        <f t="shared" si="1"/>
        <v>26.882470588235293</v>
      </c>
      <c r="D41" s="16">
        <f t="shared" si="1"/>
        <v>42.554791666666681</v>
      </c>
      <c r="E41" s="16">
        <f t="shared" si="1"/>
        <v>10.287708333333333</v>
      </c>
      <c r="F41" s="16">
        <f t="shared" si="1"/>
        <v>8.3260416666666668</v>
      </c>
      <c r="G41" s="16">
        <f t="shared" si="1"/>
        <v>116.86656250000014</v>
      </c>
      <c r="H41" s="16">
        <f t="shared" si="1"/>
        <v>98.360520833333325</v>
      </c>
      <c r="I41" s="16">
        <f t="shared" si="1"/>
        <v>6.0941666666666654</v>
      </c>
      <c r="J41" s="16">
        <f t="shared" si="1"/>
        <v>0.70291666666666675</v>
      </c>
      <c r="K41" s="16">
        <f t="shared" si="1"/>
        <v>298.71989583333323</v>
      </c>
      <c r="L41" s="16">
        <f t="shared" si="1"/>
        <v>26.253229166666667</v>
      </c>
      <c r="M41" s="16">
        <f t="shared" si="1"/>
        <v>87.979479166666636</v>
      </c>
      <c r="N41" s="16">
        <f t="shared" si="1"/>
        <v>209.58229166666661</v>
      </c>
      <c r="O41" s="16">
        <f t="shared" si="1"/>
        <v>8.3333333333333332E-3</v>
      </c>
      <c r="P41" s="16">
        <f t="shared" si="1"/>
        <v>1.8040624999999997</v>
      </c>
      <c r="Q41" s="16">
        <f t="shared" si="1"/>
        <v>9.6633333333333322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27.573100046537604</v>
      </c>
      <c r="C42" s="16">
        <f t="shared" si="2"/>
        <v>16.647594658335418</v>
      </c>
      <c r="D42" s="16">
        <f t="shared" si="2"/>
        <v>28.600963673781749</v>
      </c>
      <c r="E42" s="16">
        <f t="shared" si="2"/>
        <v>6.8971092728758148</v>
      </c>
      <c r="F42" s="16">
        <f t="shared" si="2"/>
        <v>5.7297820881226045</v>
      </c>
      <c r="G42" s="16">
        <f t="shared" si="2"/>
        <v>80.730928823726572</v>
      </c>
      <c r="H42" s="16">
        <f t="shared" si="2"/>
        <v>32.334988271489259</v>
      </c>
      <c r="I42" s="16">
        <f t="shared" si="2"/>
        <v>4.1420033088235302</v>
      </c>
      <c r="J42" s="16">
        <f t="shared" si="2"/>
        <v>0.34584584593668072</v>
      </c>
      <c r="K42" s="16">
        <f t="shared" si="2"/>
        <v>234.36291989942529</v>
      </c>
      <c r="L42" s="16">
        <f t="shared" si="2"/>
        <v>21.622366139846743</v>
      </c>
      <c r="M42" s="16">
        <f t="shared" si="2"/>
        <v>63.326850574712644</v>
      </c>
      <c r="N42" s="16">
        <f t="shared" si="2"/>
        <v>177.87969588122613</v>
      </c>
      <c r="O42" s="16">
        <f t="shared" si="2"/>
        <v>5.5555555555555556E-4</v>
      </c>
      <c r="P42" s="16">
        <f t="shared" si="2"/>
        <v>1.1549313630490956</v>
      </c>
      <c r="Q42" s="16">
        <f t="shared" si="2"/>
        <v>9.5299747023809509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13.124585639754748</v>
      </c>
      <c r="C43" s="16">
        <f t="shared" si="3"/>
        <v>5.5220802065463621</v>
      </c>
      <c r="D43" s="16">
        <f t="shared" si="3"/>
        <v>8.1605164661671186</v>
      </c>
      <c r="E43" s="16">
        <f t="shared" si="3"/>
        <v>1.2360924664384105</v>
      </c>
      <c r="F43" s="16">
        <f t="shared" si="3"/>
        <v>1.2227507252330418</v>
      </c>
      <c r="G43" s="16">
        <f t="shared" si="3"/>
        <v>18.843754828121508</v>
      </c>
      <c r="H43" s="16">
        <f t="shared" si="3"/>
        <v>15.889778315147629</v>
      </c>
      <c r="I43" s="16">
        <f t="shared" si="3"/>
        <v>1.2206432054129168</v>
      </c>
      <c r="J43" s="16">
        <f t="shared" si="3"/>
        <v>9.6583295562006066E-2</v>
      </c>
      <c r="K43" s="16">
        <f t="shared" si="3"/>
        <v>39.674978803898789</v>
      </c>
      <c r="L43" s="16">
        <f t="shared" si="3"/>
        <v>2.2110856943825126</v>
      </c>
      <c r="M43" s="16">
        <f t="shared" si="3"/>
        <v>10.177234168458446</v>
      </c>
      <c r="N43" s="16">
        <f t="shared" si="3"/>
        <v>19.287535855827738</v>
      </c>
      <c r="O43" s="16">
        <f t="shared" si="3"/>
        <v>1.7243374724888903E-3</v>
      </c>
      <c r="P43" s="16">
        <f t="shared" si="3"/>
        <v>0.3513651201892794</v>
      </c>
      <c r="Q43" s="16">
        <f t="shared" si="3"/>
        <v>0.11303600038450368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223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opLeftCell="E1" zoomScale="85" zoomScaleNormal="85" workbookViewId="0">
      <selection activeCell="T17" sqref="T17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9" t="s">
        <v>246</v>
      </c>
      <c r="E1" s="219"/>
      <c r="F1" s="219"/>
      <c r="G1" s="219"/>
      <c r="H1" s="219"/>
      <c r="I1" s="219"/>
      <c r="J1" s="220"/>
    </row>
    <row r="2" spans="2:24" ht="22.5" customHeight="1" thickBot="1" x14ac:dyDescent="0.3">
      <c r="B2" s="54"/>
      <c r="C2" s="111" t="s">
        <v>0</v>
      </c>
      <c r="D2" s="112" t="s">
        <v>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8" t="s">
        <v>1</v>
      </c>
      <c r="H5" s="218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216</v>
      </c>
      <c r="O8" s="63">
        <v>45965.632638888892</v>
      </c>
      <c r="P8" s="64" t="s">
        <v>70</v>
      </c>
      <c r="Q8" s="64">
        <v>7111.17</v>
      </c>
      <c r="R8" s="64">
        <v>5202.32</v>
      </c>
      <c r="S8" s="77" t="s">
        <v>227</v>
      </c>
      <c r="T8" s="77">
        <v>841.11</v>
      </c>
      <c r="U8" s="86">
        <v>0.79159999999999997</v>
      </c>
      <c r="V8" s="86">
        <v>0.78590000000000004</v>
      </c>
      <c r="W8" s="60" t="s">
        <v>67</v>
      </c>
      <c r="X8" s="78" t="s">
        <v>216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216</v>
      </c>
      <c r="O9" s="63">
        <v>45979.457638888889</v>
      </c>
      <c r="P9" s="64" t="s">
        <v>70</v>
      </c>
      <c r="Q9" s="64">
        <v>7165.62</v>
      </c>
      <c r="R9" s="64">
        <v>5220.2299999999996</v>
      </c>
      <c r="S9" s="77" t="s">
        <v>227</v>
      </c>
      <c r="T9" s="77">
        <v>836.37</v>
      </c>
      <c r="U9" s="86">
        <v>0.77690000000000003</v>
      </c>
      <c r="V9" s="86">
        <v>0.77569999999999995</v>
      </c>
      <c r="W9" s="60" t="s">
        <v>67</v>
      </c>
      <c r="X9" s="62" t="s">
        <v>216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>
        <v>45988.405555555553</v>
      </c>
      <c r="P10" s="64" t="s">
        <v>70</v>
      </c>
      <c r="Q10" s="64">
        <v>6555.89</v>
      </c>
      <c r="R10" s="64">
        <v>4771.51</v>
      </c>
      <c r="S10" s="77" t="s">
        <v>227</v>
      </c>
      <c r="T10" s="77">
        <v>836.74</v>
      </c>
      <c r="U10" s="86">
        <v>0.77569999999999995</v>
      </c>
      <c r="V10" s="86">
        <v>0.77400000000000002</v>
      </c>
      <c r="W10" s="60" t="s">
        <v>67</v>
      </c>
      <c r="X10" s="62" t="s">
        <v>247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227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227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6" t="s">
        <v>25</v>
      </c>
      <c r="D21" s="216"/>
      <c r="E21" s="216"/>
      <c r="F21" s="216"/>
      <c r="G21" s="216"/>
      <c r="H21" s="216"/>
      <c r="I21" s="45">
        <f>COUNT(B8:B20)</f>
        <v>0</v>
      </c>
      <c r="J21" s="46"/>
      <c r="K21" s="46"/>
      <c r="L21" s="47"/>
      <c r="M21" s="48"/>
      <c r="O21" s="80"/>
      <c r="P21" s="215" t="s">
        <v>84</v>
      </c>
      <c r="Q21" s="215"/>
      <c r="R21" s="215"/>
      <c r="S21" s="21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7" t="s">
        <v>2</v>
      </c>
      <c r="H24" s="217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/>
      <c r="C27" s="60" t="s">
        <v>68</v>
      </c>
      <c r="D27" s="60" t="s">
        <v>51</v>
      </c>
      <c r="E27" s="60">
        <v>0</v>
      </c>
      <c r="F27" s="60">
        <v>200</v>
      </c>
      <c r="G27" s="60"/>
      <c r="H27" s="61"/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216</v>
      </c>
      <c r="O27" s="63">
        <v>45965.632638888892</v>
      </c>
      <c r="P27" s="64" t="s">
        <v>71</v>
      </c>
      <c r="Q27" s="64">
        <v>5075.66</v>
      </c>
      <c r="R27" s="64">
        <v>3909.28</v>
      </c>
      <c r="S27" s="77" t="s">
        <v>226</v>
      </c>
      <c r="T27" s="77">
        <v>864.71</v>
      </c>
      <c r="U27" s="86">
        <v>0.97289999999999999</v>
      </c>
      <c r="V27" s="86">
        <v>0.95299999999999996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222</v>
      </c>
      <c r="O28" s="63">
        <v>45979.436111111114</v>
      </c>
      <c r="P28" s="64" t="s">
        <v>71</v>
      </c>
      <c r="Q28" s="64">
        <v>5134.58</v>
      </c>
      <c r="R28" s="64">
        <v>3976.92</v>
      </c>
      <c r="S28" s="77" t="s">
        <v>226</v>
      </c>
      <c r="T28" s="77">
        <v>845.56</v>
      </c>
      <c r="U28" s="86">
        <v>0.97250000000000003</v>
      </c>
      <c r="V28" s="86">
        <v>0.97409999999999997</v>
      </c>
      <c r="W28" s="60" t="s">
        <v>67</v>
      </c>
      <c r="X28" s="62" t="s">
        <v>216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223</v>
      </c>
      <c r="O29" s="63">
        <v>45988.465277777781</v>
      </c>
      <c r="P29" s="64" t="s">
        <v>71</v>
      </c>
      <c r="Q29" s="64">
        <v>4815.83</v>
      </c>
      <c r="R29" s="64">
        <v>3713.72</v>
      </c>
      <c r="S29" s="77" t="s">
        <v>226</v>
      </c>
      <c r="T29" s="77">
        <v>853.49</v>
      </c>
      <c r="U29" s="86">
        <v>0.96419999999999995</v>
      </c>
      <c r="V29" s="86">
        <v>0.95689999999999997</v>
      </c>
      <c r="W29" s="60" t="s">
        <v>67</v>
      </c>
      <c r="X29" s="62" t="s">
        <v>247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 t="s">
        <v>226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5" t="s">
        <v>85</v>
      </c>
      <c r="Q40" s="215"/>
      <c r="R40" s="215"/>
      <c r="S40" s="21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6" t="s">
        <v>26</v>
      </c>
      <c r="E41" s="216"/>
      <c r="F41" s="216"/>
      <c r="G41" s="216"/>
      <c r="H41" s="216"/>
      <c r="I41" s="216"/>
      <c r="J41" s="52">
        <f>COUNT(B27:B39)</f>
        <v>0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7" t="s">
        <v>23</v>
      </c>
      <c r="H44" s="217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6" t="s">
        <v>27</v>
      </c>
      <c r="E61" s="216"/>
      <c r="F61" s="216"/>
      <c r="G61" s="216"/>
      <c r="H61" s="216"/>
      <c r="I61" s="216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7" t="s">
        <v>3</v>
      </c>
      <c r="H64" s="217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/>
      <c r="C67" s="60" t="s">
        <v>3</v>
      </c>
      <c r="D67" s="60" t="s">
        <v>52</v>
      </c>
      <c r="E67" s="60">
        <v>0</v>
      </c>
      <c r="F67" s="60">
        <v>5</v>
      </c>
      <c r="G67" s="60"/>
      <c r="H67" s="117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222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223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6" t="s">
        <v>28</v>
      </c>
      <c r="E81" s="216"/>
      <c r="F81" s="216"/>
      <c r="G81" s="216"/>
      <c r="H81" s="216"/>
      <c r="I81" s="216"/>
      <c r="J81" s="52">
        <f>COUNT(B67:B79)</f>
        <v>0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7" t="s">
        <v>24</v>
      </c>
      <c r="H84" s="217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6" t="s">
        <v>29</v>
      </c>
      <c r="E101" s="216"/>
      <c r="F101" s="216"/>
      <c r="G101" s="216"/>
      <c r="H101" s="216"/>
      <c r="I101" s="216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8" t="s">
        <v>4</v>
      </c>
      <c r="H104" s="218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6" t="s">
        <v>69</v>
      </c>
      <c r="D119" s="216"/>
      <c r="E119" s="216"/>
      <c r="F119" s="216"/>
      <c r="G119" s="216"/>
      <c r="H119" s="216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1" t="s">
        <v>228</v>
      </c>
      <c r="C2" s="221"/>
      <c r="D2" s="222">
        <v>45017</v>
      </c>
      <c r="E2" s="222"/>
    </row>
    <row r="3" spans="1:5" x14ac:dyDescent="0.25">
      <c r="B3" s="221" t="s">
        <v>21</v>
      </c>
      <c r="C3" s="221"/>
      <c r="D3" s="222"/>
      <c r="E3" s="222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3" t="s">
        <v>22</v>
      </c>
      <c r="C44" s="223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9" t="s">
        <v>220</v>
      </c>
      <c r="C2" s="239"/>
      <c r="D2" s="239"/>
      <c r="E2" s="239"/>
      <c r="F2" s="240">
        <v>44713</v>
      </c>
      <c r="G2" s="241"/>
      <c r="H2" s="241"/>
    </row>
    <row r="3" spans="2:24" s="12" customFormat="1" ht="15" customHeight="1" x14ac:dyDescent="0.25">
      <c r="B3" s="239"/>
      <c r="C3" s="239"/>
      <c r="D3" s="239"/>
      <c r="E3" s="239"/>
      <c r="F3" s="241"/>
      <c r="G3" s="241"/>
      <c r="H3" s="24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2" t="s">
        <v>4</v>
      </c>
      <c r="C12" s="244" t="s">
        <v>133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127"/>
      <c r="U12" s="125"/>
    </row>
    <row r="13" spans="2:24" ht="15" customHeight="1" x14ac:dyDescent="0.25">
      <c r="B13" s="243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3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4" t="s">
        <v>2</v>
      </c>
      <c r="C25" s="237" t="s">
        <v>133</v>
      </c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26"/>
      <c r="S25" s="188"/>
      <c r="T25" s="189"/>
    </row>
    <row r="26" spans="2:28" ht="15" customHeight="1" x14ac:dyDescent="0.3">
      <c r="B26" s="234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4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4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6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28" t="s">
        <v>3</v>
      </c>
      <c r="C36" s="230" t="s">
        <v>133</v>
      </c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1"/>
    </row>
    <row r="37" spans="2:25" ht="15.75" customHeight="1" x14ac:dyDescent="0.25">
      <c r="B37" s="229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29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29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2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2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3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3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3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3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4" t="s">
        <v>184</v>
      </c>
      <c r="C61" s="237" t="s">
        <v>133</v>
      </c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26"/>
      <c r="S61" s="166"/>
      <c r="T61" s="167"/>
    </row>
    <row r="62" spans="2:20" ht="15.75" x14ac:dyDescent="0.3">
      <c r="B62" s="234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5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5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6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4" t="s">
        <v>201</v>
      </c>
      <c r="C69" s="237" t="s">
        <v>133</v>
      </c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26"/>
      <c r="S69" s="166"/>
      <c r="T69" s="167"/>
    </row>
    <row r="70" spans="2:20" ht="15.75" x14ac:dyDescent="0.3">
      <c r="B70" s="234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4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5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6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4" t="s">
        <v>24</v>
      </c>
      <c r="C77" s="226" t="s">
        <v>133</v>
      </c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177"/>
      <c r="S77" s="177"/>
      <c r="T77" s="178"/>
    </row>
    <row r="78" spans="2:20" x14ac:dyDescent="0.25">
      <c r="B78" s="225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5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5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5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5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5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2025-12-24T09:52:32Z</dcterms:modified>
</cp:coreProperties>
</file>